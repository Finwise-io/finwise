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lakjain/Vibe_Coding/finwise/MoneyKeel/documents/other/"/>
    </mc:Choice>
  </mc:AlternateContent>
  <xr:revisionPtr revIDLastSave="0" documentId="13_ncr:1_{EC3B0E87-8523-7446-A436-5EFA434F3021}" xr6:coauthVersionLast="47" xr6:coauthVersionMax="47" xr10:uidLastSave="{00000000-0000-0000-0000-000000000000}"/>
  <bookViews>
    <workbookView xWindow="0" yWindow="0" windowWidth="33600" windowHeight="19860" activeTab="4" xr2:uid="{00000000-000D-0000-FFFF-FFFF00000000}"/>
  </bookViews>
  <sheets>
    <sheet name="Reference" sheetId="1" r:id="rId1"/>
    <sheet name="Specification" sheetId="2" r:id="rId2"/>
    <sheet name="multiple_screens" sheetId="3" r:id="rId3"/>
    <sheet name="home" sheetId="4" r:id="rId4"/>
    <sheet name="networth" sheetId="5" r:id="rId5"/>
    <sheet name="performance" sheetId="6" r:id="rId6"/>
    <sheet name="plan" sheetId="7" r:id="rId7"/>
    <sheet name="cashflow" sheetId="8" r:id="rId8"/>
    <sheet name="menu" sheetId="9" r:id="rId9"/>
    <sheet name="inputs" sheetId="10" r:id="rId10"/>
    <sheet name="database" sheetId="11" r:id="rId11"/>
    <sheet name="core_screens" sheetId="12" r:id="rId12"/>
    <sheet name="reconciliation" sheetId="13" r:id="rId13"/>
    <sheet name="engines-old-tab" sheetId="14" r:id="rId14"/>
    <sheet name="functions_from_code" sheetId="15" r:id="rId15"/>
    <sheet name="functions_summary" sheetId="16" r:id="rId16"/>
    <sheet name="functions_per_metric" sheetId="17" r:id="rId17"/>
  </sheets>
  <definedNames>
    <definedName name="_xlnm._FilterDatabase" localSheetId="14" hidden="1">functions_from_code!$A$1:$T$457</definedName>
    <definedName name="_xlnm._FilterDatabase" localSheetId="9" hidden="1">inputs!$A$1:$G$49</definedName>
    <definedName name="_xlnm._FilterDatabase" localSheetId="4" hidden="1">networth!$A$1:$AB$49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8" l="1"/>
  <c r="D4" i="8"/>
  <c r="D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tc={75552233-2381-4040-A934-83B88D99F75E}</author>
    <author>tc={101AB7E1-ECD4-C249-81BC-0F0185E70012}</author>
    <author>tc={5ACED09D-32B1-E940-9E12-C5343F0876BD}</author>
    <author>tc={AB050EC6-DD04-5D46-A802-D24E93A5107D}</author>
    <author>tc={44FE70B0-25CE-7946-A1B0-04C707C0964B}</author>
    <author>tc={3DC965BF-B51A-694F-9F68-D4A699BC9006}</author>
    <author>tc={5DCE8B39-071F-7745-BFA8-1E9964BE2221}</author>
    <author>tc={60AA9A35-3057-D54C-A8E4-DB12C6913DD9}</author>
    <author>tc={C9D5A2E2-D8C8-BC46-8551-1B2CC0BA379A}</author>
    <author>tc={57105178-8324-3C4F-A5E0-A40DFB73B5DD}</author>
    <author>tc={014F8307-DEB4-1749-BD2F-30582C9BF909}</author>
    <author>tc={2B318D47-D5EE-2A42-8BD3-F268D0B54D02}</author>
    <author>tc={E490BE60-F60A-0E41-9C63-E38CB9559EC9}</author>
    <author>tc={1BD37CA4-0567-DD49-A93A-621F5BD3BF6E}</author>
    <author>tc={84DEC9A4-8A36-234F-B762-C3BE59694987}</author>
    <author>tc={247D93DB-BED3-4543-9244-BD087C7E0D55}</author>
    <author>tc={8BE8D569-FA82-8948-A9D5-3E869F31FF7F}</author>
    <author>tc={31903719-5706-B544-B78A-50363575F0A6}</author>
    <author>tc={5478D8EC-E67E-E046-A095-083873B9A3F7}</author>
  </authors>
  <commentList>
    <comment ref="H30" authorId="0" shapeId="0" xr:uid="{75552233-2381-4040-A934-83B88D99F75E}">
      <text>
        <t xml:space="preserve">[Threaded comment]
Your version of Excel allows you to read this threaded comment; however, any edits to it will get removed if the file is opened in a newer version of Excel. Learn more: https://go.microsoft.com/fwlink/?linkid=870924
Comment:
    Is the formula embedded directly in the code and not as a separate function? Live price was to be sourced from Yahoo or similar engine. </t>
      </text>
    </comment>
    <comment ref="O31" authorId="1" shapeId="0" xr:uid="{101AB7E1-ECD4-C249-81BC-0F0185E70012}">
      <text>
        <t>[Threaded comment]
Your version of Excel allows you to read this threaded comment; however, any edits to it will get removed if the file is opened in a newer version of Excel. Learn more: https://go.microsoft.com/fwlink/?linkid=870924
Comment:
    why dependency on engine and not function?</t>
      </text>
    </comment>
    <comment ref="I33" authorId="2" shapeId="0" xr:uid="{5ACED09D-32B1-E940-9E12-C5343F0876BD}">
      <text>
        <t>[Threaded comment]
Your version of Excel allows you to read this threaded comment; however, any edits to it will get removed if the file is opened in a newer version of Excel. Learn more: https://go.microsoft.com/fwlink/?linkid=870924
Comment:
    if price or share quantity not available it is eliminated from average calculation? Make sure total paid divided by quantity does not include quantity for which price is not listed or is zero. And info dot should call it out under assumptions that if price or quantity is not provided or zero it is excluded from average price calculation.</t>
      </text>
    </comment>
    <comment ref="AB34" authorId="3" shapeId="0" xr:uid="{AB050EC6-DD04-5D46-A802-D24E93A5107D}">
      <text>
        <t>[Threaded comment]
Your version of Excel allows you to read this threaded comment; however, any edits to it will get removed if the file is opened in a newer version of Excel. Learn more: https://go.microsoft.com/fwlink/?linkid=870924
Comment:
    Where is Total Price versus Price Paid (Average) displayed in the app? Are we trying to tell two different things to user and need to fix formulas or are we saying same thing and calling it differently?</t>
      </text>
    </comment>
    <comment ref="D35" authorId="4" shapeId="0" xr:uid="{44FE70B0-25CE-7946-A1B0-04C707C0964B}">
      <text>
        <t xml:space="preserve">[Threaded comment]
Your version of Excel allows you to read this threaded comment; however, any edits to it will get removed if the file is opened in a newer version of Excel. Learn more: https://go.microsoft.com/fwlink/?linkid=870924
Comment:
    Screen should say Trailing Twelve Months and not just 12 months.
</t>
      </text>
    </comment>
    <comment ref="AB35" authorId="5" shapeId="0" xr:uid="{3DC965BF-B51A-694F-9F68-D4A699BC9006}">
      <text>
        <t>[Threaded comment]
Your version of Excel allows you to read this threaded comment; however, any edits to it will get removed if the file is opened in a newer version of Excel. Learn more: https://go.microsoft.com/fwlink/?linkid=870924
Comment:
    Is it calculated directly in the code without any function?</t>
      </text>
    </comment>
    <comment ref="H36" authorId="6" shapeId="0" xr:uid="{5DCE8B39-071F-7745-BFA8-1E9964BE2221}">
      <text>
        <t>[Threaded comment]
Your version of Excel allows you to read this threaded comment; however, any edits to it will get removed if the file is opened in a newer version of Excel. Learn more: https://go.microsoft.com/fwlink/?linkid=870924
Comment:
    The feed from an institution is likely to show quantity held net of sales. So, how do you determine the total quantity before sale?</t>
      </text>
    </comment>
    <comment ref="E42" authorId="7" shapeId="0" xr:uid="{60AA9A35-3057-D54C-A8E4-DB12C6913DD9}">
      <text>
        <t>[Threaded comment]
Your version of Excel allows you to read this threaded comment; however, any edits to it will get removed if the file is opened in a newer version of Excel. Learn more: https://go.microsoft.com/fwlink/?linkid=870924
Comment:
    Is totalValue = sum of (current value of each bond) or sum of (total value of each bond)</t>
      </text>
    </comment>
    <comment ref="I42" authorId="8" shapeId="0" xr:uid="{C9D5A2E2-D8C8-BC46-8551-1B2CC0BA379A}">
      <text>
        <t>[Threaded comment]
Your version of Excel allows you to read this threaded comment; however, any edits to it will get removed if the file is opened in a newer version of Excel. Learn more: https://go.microsoft.com/fwlink/?linkid=870924
Comment:
    why is function computing yield, when coupon rate should be direct input from institution, file or user?</t>
      </text>
    </comment>
    <comment ref="Q42" authorId="9" shapeId="0" xr:uid="{57105178-8324-3C4F-A5E0-A40DFB73B5DD}">
      <text>
        <t xml:space="preserve">[Threaded comment]
Your version of Excel allows you to read this threaded comment; however, any edits to it will get removed if the file is opened in a newer version of Excel. Learn more: https://go.microsoft.com/fwlink/?linkid=870924
Comment: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t>
      </text>
    </comment>
    <comment ref="J43" authorId="10" shapeId="0" xr:uid="{014F8307-DEB4-1749-BD2F-30582C9BF909}">
      <text>
        <t>[Threaded comment]
Your version of Excel allows you to read this threaded comment; however, any edits to it will get removed if the file is opened in a newer version of Excel. Learn more: https://go.microsoft.com/fwlink/?linkid=870924
Comment:
    Input should be MK-XS-I-011
bond face value
and not MK-XS-I-004</t>
      </text>
    </comment>
    <comment ref="Q43" authorId="11" shapeId="0" xr:uid="{2B318D47-D5EE-2A42-8BD3-F268D0B54D02}">
      <text>
        <t xml:space="preserve">[Threaded comment]
Your version of Excel allows you to read this threaded comment; however, any edits to it will get removed if the file is opened in a newer version of Excel. Learn more: https://go.microsoft.com/fwlink/?linkid=870924
Comment: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t>
      </text>
    </comment>
    <comment ref="H44" authorId="12" shapeId="0" xr:uid="{E490BE60-F60A-0E41-9C63-E38CB9559EC9}">
      <text>
        <t>[Threaded comment]
Your version of Excel allows you to read this threaded comment; however, any edits to it will get removed if the file is opened in a newer version of Excel. Learn more: https://go.microsoft.com/fwlink/?linkid=870924
Comment:
    Should also account for maturity as if bond has matured app should not be calculating coupon</t>
      </text>
    </comment>
    <comment ref="J44" authorId="13" shapeId="0" xr:uid="{1BD37CA4-0567-DD49-A93A-621F5BD3BF6E}">
      <text>
        <t>[Threaded comment]
Your version of Excel allows you to read this threaded comment; however, any edits to it will get removed if the file is opened in a newer version of Excel. Learn more: https://go.microsoft.com/fwlink/?linkid=870924
Comment:
    maturity date should also be input</t>
      </text>
    </comment>
    <comment ref="Q44" authorId="14" shapeId="0" xr:uid="{84DEC9A4-8A36-234F-B762-C3BE59694987}">
      <text>
        <t>[Threaded comment]
Your version of Excel allows you to read this threaded comment; however, any edits to it will get removed if the file is opened in a newer version of Excel. Learn more: https://go.microsoft.com/fwlink/?linkid=870924
Comment:
    does MK-ST-F-055 round to 2 decimal digits or found to whole number? Two contradicting statements?</t>
      </text>
    </comment>
    <comment ref="U44" authorId="15" shapeId="0" xr:uid="{247D93DB-BED3-4543-9244-BD087C7E0D55}">
      <text>
        <t xml:space="preserve">[Threaded comment]
Your version of Excel allows you to read this threaded comment; however, any edits to it will get removed if the file is opened in a newer version of Excel. Learn more: https://go.microsoft.com/fwlink/?linkid=870924
Comment:
    Since the formula is to calculate annual interest it should be labelled as "Calculated Annual interest" and not interest payments or coupon/yr. This does not tell that this is the interest received YTD or anything. </t>
      </text>
    </comment>
    <comment ref="K45" authorId="16" shapeId="0" xr:uid="{8BE8D569-FA82-8948-A9D5-3E869F31FF7F}">
      <text>
        <t xml:space="preserve">[Threaded comment]
Your version of Excel allows you to read this threaded comment; however, any edits to it will get removed if the file is opened in a newer version of Excel. Learn more: https://go.microsoft.com/fwlink/?linkid=870924
Comment:
    yield should always be two decimal digits
</t>
      </text>
    </comment>
    <comment ref="J46" authorId="17" shapeId="0" xr:uid="{31903719-5706-B544-B78A-50363575F0A6}">
      <text>
        <t xml:space="preserve">[Threaded comment]
Your version of Excel allows you to read this threaded comment; however, any edits to it will get removed if the file is opened in a newer version of Excel. Learn more: https://go.microsoft.com/fwlink/?linkid=870924
Comment:
    screen should display maturity date as well
</t>
      </text>
    </comment>
    <comment ref="Q46" authorId="18" shapeId="0" xr:uid="{5478D8EC-E67E-E046-A095-083873B9A3F7}">
      <text>
        <t xml:space="preserve">[Threaded comment]
Your version of Excel allows you to read this threaded comment; however, any edits to it will get removed if the file is opened in a newer version of Excel. Learn more: https://go.microsoft.com/fwlink/?linkid=870924
Comment: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tc={EF7602A4-E770-7944-AB64-F4F5EEBC56E5}</author>
  </authors>
  <commentList>
    <comment ref="G218" authorId="0" shapeId="0" xr:uid="{EF7602A4-E770-7944-AB64-F4F5EEBC56E5}">
      <text>
        <t>[Threaded comment]
Your version of Excel allows you to read this threaded comment; however, any edits to it will get removed if the file is opened in a newer version of Excel. Learn more: https://go.microsoft.com/fwlink/?linkid=870924
Comment:
    missing code which actually calculate gain or loss (realized). Takes shares from lot.shares.Adds (lot.price * matchedShares) to basis.Subtracts matchedShares from toSell and lot.shares.Pops lot from q once depleted and moves to the next lot.Calculates Gain/Loss: $\text{Proceeds} - \text{Basis}$.</t>
      </text>
    </comment>
  </commentList>
</comments>
</file>

<file path=xl/sharedStrings.xml><?xml version="1.0" encoding="utf-8"?>
<sst xmlns="http://schemas.openxmlformats.org/spreadsheetml/2006/main" count="14329" uniqueCount="5812">
  <si>
    <t>Item</t>
  </si>
  <si>
    <t>Detail</t>
  </si>
  <si>
    <t>STANDING DECISION — how numbers are held and shown</t>
  </si>
  <si>
    <t>Every number is held as a float internally. Decimals are SHOWN only for prices of stocks, bonds and options, for interest and dividend rates, and for expenses; everything else displays whole dollars. Rounding happens once, at the edge, never in the middle. Founder, 2026-08-22.</t>
  </si>
  <si>
    <t>Date file created</t>
  </si>
  <si>
    <t>2026-08-26</t>
  </si>
  <si>
    <t>Date file last modified</t>
  </si>
  <si>
    <t>2026-08-26  (stamped by the build, not typed; unchanged when the file is only read)</t>
  </si>
  <si>
    <t>Objective of this file</t>
  </si>
  <si>
    <t>One row for every figure a person reads on screen, tied to the metric behind it, the engine that produces it, and the identifier that joins them — so a wrong number can be traced from the label on screen to its engine and formula in a minute. Serves objectives 3 and 4.</t>
  </si>
  <si>
    <t>TAB — Specification</t>
  </si>
  <si>
    <t>Everything a row must carry before its calculation can be written in code, NUMBERED S01 upwards so a piece of work can be named by its number. The last column says where each one stands in this file today.</t>
  </si>
  <si>
    <t>TAB — Reference</t>
  </si>
  <si>
    <t>This tab. What the file is, what each tab holds, what each column means, and what it must comply with.</t>
  </si>
  <si>
    <t>TAB — multiple_screens</t>
  </si>
  <si>
    <t>Figures shown on more than one parent screen. A figure lives here ONCE, with every screen and every label it wears listed, so the same figure can never have two definitions.</t>
  </si>
  <si>
    <t>TAB — home</t>
  </si>
  <si>
    <t>Figures shown only on Home and the screens reached from it.</t>
  </si>
  <si>
    <t>TAB — networth</t>
  </si>
  <si>
    <t>Figures shown only on Net worth and the screens reached from it.</t>
  </si>
  <si>
    <t>TAB — performance</t>
  </si>
  <si>
    <t>Figures shown only on Performance and the screens reached from it.</t>
  </si>
  <si>
    <t>TAB — plan</t>
  </si>
  <si>
    <t>Figures shown only on Plan and the screens reached from it.</t>
  </si>
  <si>
    <t>TAB — cashflow</t>
  </si>
  <si>
    <t>Figures shown only on Cash flow and the screens reached from it.</t>
  </si>
  <si>
    <t>TAB — menu</t>
  </si>
  <si>
    <t>Screens reachable only from the menu, and the figures on them.</t>
  </si>
  <si>
    <t>TAB — engines-old-tab</t>
  </si>
  <si>
    <t>One row per engine identifier — the definitive list every dependency and every figure points at. Carries where the engine is implemented, what it answers, and which figures reach it.</t>
  </si>
  <si>
    <t>TAB — functions_per_metric</t>
  </si>
  <si>
    <t>By parent screen: how many figures it shows, and how many functions stand behind each one — a single function, two to five, more than five, or none on record.</t>
  </si>
  <si>
    <t>TAB — functions_summary</t>
  </si>
  <si>
    <t>A count per category: how many functions there are, how many are handed nothing at all, how many are handed nothing but reach into the stored data, and how many never say what they give back.</t>
  </si>
  <si>
    <t>TAB — functions_from_code</t>
  </si>
  <si>
    <t>Every function in the calculation code, read from the code itself, sorted into the four categories by what it actually does. 1 ACTION does something and displays nothing. 2 DISPLAYED lands on a screen. 3 DEPENDENT feeds a chain that ends at a screen. 4 BRINGS DATA IN fetches from outside the app. A function that can reach a screen can put a wrong number in front of a person; one that cannot, cannot.</t>
  </si>
  <si>
    <t>TAB — reconciliation</t>
  </si>
  <si>
    <t>The input map checked in BOTH directions: what the inputs tab says uses each input, against what each engine actually names in its own input list. Where the two disagree the row says so. The section at the foot lists inputs an engine names that appear nowhere on the inputs tab.</t>
  </si>
  <si>
    <t>TAB — core_screens</t>
  </si>
  <si>
    <t>Every screen in the app, its parent, my recommendation on whether it belongs to the 55-70 core, and a column for the founder to decide. Until this is decided, no row in the file can honestly claim to be in scope (S17).</t>
  </si>
  <si>
    <t>TAB — database</t>
  </si>
  <si>
    <t>What the app saves in the cloud: where each thing is stored, what it holds, which figures depend on it, how often it is written and at what grain. Also names what is deliberately NOT saved.</t>
  </si>
  <si>
    <t>TAB — inputs</t>
  </si>
  <si>
    <t>The raw values the engines need before any calculation happens.</t>
  </si>
  <si>
    <t>COLUMN — Function that produces it</t>
  </si>
  <si>
    <t>The function in the code that produces this figure, named plainly. Three honest answers: the function · "worked out on the screen itself" · or "no function on record", which means nothing in the old inventory ever recorded one.</t>
  </si>
  <si>
    <t>COLUMN — Function ID</t>
  </si>
  <si>
    <t>That function's identifier, MK-[family]-F-[number], from the functions_from_code tab.</t>
  </si>
  <si>
    <t>COLUMN — Category / File / Line</t>
  </si>
  <si>
    <t>On the functions tab: which of the four categories the function falls in, and where it lives in the code.</t>
  </si>
  <si>
    <t>COLUMN — Objective — what this function is for</t>
  </si>
  <si>
    <t>Its purpose in one sentence, in the author's own words from the note above it in the code, or from the old inventory. NOT DETERMINED where neither exists.</t>
  </si>
  <si>
    <t>COLUMN — Formula (mathematical) [functions tab]</t>
  </si>
  <si>
    <t>What the function actually computes, written as arithmetic, read out of its own body. A sum written in code as a reduce is shown as Σ; a rounding is shown with the number of decimal places it really uses; a condition is shown as its two answers. Nothing here is inferred from the function NAME — where a body could not be rendered faithfully the cell says so instead of guessing.</t>
  </si>
  <si>
    <t>COLUMN — Formula (in words) [functions tab]</t>
  </si>
  <si>
    <t>The same rule in plain English. It is generated from the SAME expression as the arithmetic beside it, so the two cannot drift apart. Where the formula was read by hand this column is written by hand and says what the rule means, not just what it does.</t>
  </si>
  <si>
    <t>COLUMN — How the formula was read</t>
  </si>
  <si>
    <t>How much to trust the two columns before it. READ BY HAND — checked line by line against the code, and the words say what the rule means. READ FROM THE CODE — rendered from the expressions the function runs, with no code left showing. PARTLY READ — faithful, but some of the code is still showing through and it needs a hand pass. NO ARITHMETIC — it fetches, saves or announces, so there is no formula to state. NOT READ — the body is not a shape the reader can render, and nothing is claimed rather than something guessed.</t>
  </si>
  <si>
    <t>COLUMN — What it gives back (its output)</t>
  </si>
  <si>
    <t>What the function returns. NOT DECLARED means the code does not say, so nothing can check it returns the right kind of thing.</t>
  </si>
  <si>
    <t>COLUMN — Can its answer reach a screen?</t>
  </si>
  <si>
    <t>The question that decides whether a function can put a wrong number in front of a person.</t>
  </si>
  <si>
    <t>COLUMN — Figures that name it</t>
  </si>
  <si>
    <t>Which metric identifiers reach this function. It travels through the old inventory to get there, so it is only as good as that record.</t>
  </si>
  <si>
    <t>COLUMN — Name in the old inventory</t>
  </si>
  <si>
    <t>What the old master called this function, kept only so the link to the earlier file is not lost. The word engine is retired.</t>
  </si>
  <si>
    <t>COLUMN — Metric ID</t>
  </si>
  <si>
    <t>The identifier of the figure, per moneykeel_naming_spec_unique-identifier_v01.md. Given once, never changed, never reused.</t>
  </si>
  <si>
    <t>COLUMN — Parent Screen Name</t>
  </si>
  <si>
    <t>One of: Home, Networth, Performance, Cashflow, Plan, Menu. Menu means reachable only from the menu.</t>
  </si>
  <si>
    <t>COLUMN — Secondary Screen Name</t>
  </si>
  <si>
    <t>The screen reached from the parent, or NA when the figure is on the parent screen itself.</t>
  </si>
  <si>
    <t>COLUMN — Name on Screen</t>
  </si>
  <si>
    <t>The label copied exactly as it is worded on screen, including capitals. Where a figure wears different labels on different screens, all are listed.</t>
  </si>
  <si>
    <t>COLUMN — Name of Underlying Metric</t>
  </si>
  <si>
    <t>The metric's name in the code.</t>
  </si>
  <si>
    <t>COLUMN — Name of Underlying Engine</t>
  </si>
  <si>
    <t>The engine that produces the figure. NOT IN OLD MASTER means the engine exists in the code but has no row in the old master file.</t>
  </si>
  <si>
    <t>COLUMN — Inputs it needs (S02)</t>
  </si>
  <si>
    <t>Every input the engine reads, named. Carried from the old master where it has a row there.</t>
  </si>
  <si>
    <t>COLUMN — What comes out (S04)</t>
  </si>
  <si>
    <t>Dollars, a percentage, a date, a count; how it is held and how it is shown. Marked "derived by rule" where it was worked out from the label and formula rather than read from the engine — those need confirming.</t>
  </si>
  <si>
    <t>COLUMN — What it says when it cannot be computed (S05)</t>
  </si>
  <si>
    <t>The refusal. Written where the engine has been read; NOT DETERMINED where it has not, rather than guessed.</t>
  </si>
  <si>
    <t>COLUMN — Grain (S06)</t>
  </si>
  <si>
    <t>One figure per what: holding, account, debt, goal, category, month, or person.</t>
  </si>
  <si>
    <t>COLUMN — Period (S07)</t>
  </si>
  <si>
    <t>As of when, and over what window.</t>
  </si>
  <si>
    <t>COLUMN — Dependency (S11)</t>
  </si>
  <si>
    <t>The engines this one leans on, each named by ITS identifier and by the output it gives. Read from the code itself, never from a document. "None" means the engine reads raw inputs only.</t>
  </si>
  <si>
    <t>COLUMN — Secondary calculations and decisions the engine makes</t>
  </si>
  <si>
    <t>The judgements an engine must make BEFORE its headline figure exists: what class an asset is, what to call it on screen, which units apply, whether a value is fresh. Each of these is a formula of its own and needs its own row.</t>
  </si>
  <si>
    <t>Every function in the code carries one, MK-[family]-F-[number]. The family comes from the folder the code sits in.</t>
  </si>
  <si>
    <t>COLUMN — What it is for</t>
  </si>
  <si>
    <t>The purpose of the function in one sentence, taken from the note written above it in the code, or from the old inventory when the code carries none. NOT DETERMINED where neither exists — never invented.</t>
  </si>
  <si>
    <t>COLUMN — What it is handed / what it gives back</t>
  </si>
  <si>
    <t>Read from the function's own signature: the values passed to it, whether it also reads the stored data, and what it returns. NOT DECLARED means the code does not say what comes back.</t>
  </si>
  <si>
    <t>COLUMN — Where its answer appears</t>
  </si>
  <si>
    <t>In plain English: the words printed beside the answer, which screen they are on, and the section they sit under. NOT FOUND means a screen calls the function but the words could not be traced automatically and need reading.</t>
  </si>
  <si>
    <t>COLUMN — Assumptions it makes</t>
  </si>
  <si>
    <t>What the function takes for granted, in plain English rather than in code: a value used when data is missing, a rate nobody chose on a screen, a year treated as twelve equal months, a cap, rows deliberately left out. Read from the code with the comments stripped out, so it reports what runs rather than what someone wrote about it.</t>
  </si>
  <si>
    <t>COLUMN — Dependent functions</t>
  </si>
  <si>
    <t>A dependent function is one whose output is used by another function, in a chain that ends at a screen. These columns list the dependent functions behind this one: those one step below it, how many there are in total, and all of them however many steps away.</t>
  </si>
  <si>
    <t>COLUMN — The chain, ending in this function</t>
  </si>
  <si>
    <t>Read left to right. The function that shows the answer sits at the END, and everything feeding it comes before it. A loop is marked where a chain turns back on itself. Chains are cut at five levels and eight paths, and say so.</t>
  </si>
  <si>
    <t>COLUMN — The chain of functions behind it</t>
  </si>
  <si>
    <t>The chain that ends in the function producing this figure, read left to right, taken from the functions tab.</t>
  </si>
  <si>
    <t>COLUMN — Assumptions made anywhere in that chain</t>
  </si>
  <si>
    <t>Every assumption made by the producing function OR by any function below it, each named with the identifier of the function that makes it. This is where a figure quietly inherits a rate nobody chose.</t>
  </si>
  <si>
    <t>COLUMN — Same figure as (S16)</t>
  </si>
  <si>
    <t>Where the same figure appears under more than one identifier, the row names the surviving identifier and why. Nothing is deleted: identifiers are never reused, so a folded row stays visible and says what it became.</t>
  </si>
  <si>
    <t>COLUMN — Questions for you (numbered)</t>
  </si>
  <si>
    <t>My open questions about that engine or figure, each with a number that never changes. A number is never reused or renumbered, so an answer can always be matched to its question.</t>
  </si>
  <si>
    <t>COLUMN — YOUR ANSWER — use the same number</t>
  </si>
  <si>
    <t>Answer here, starting each answer with the question number. Nothing else in the file needs to line up.</t>
  </si>
  <si>
    <t>COLUMN — Formula audit — metric vs the function it names</t>
  </si>
  <si>
    <t>The 2026-08-26 pass: this figure's arithmetic checked against the arithmetic of the function in its Function ID column, and against every other figure naming the same function. Four verdicts. CLASH — the figure states a rule the code does not implement; a real defect. MISNAMED — the formula and the function are about different things. ONE FORMULA — figures that are not the same figure sharing one formula between them. AGREES — the two say the same thing. NOT COMPARABLE — no function is named, so nothing can be checked. Each finding is numbered B01 upwards and names the code file and line it was checked against.</t>
  </si>
  <si>
    <t>COLUMN — Audit finding — 2026-08-25 review</t>
  </si>
  <si>
    <t>What the 2026-08-25 review found wrong, unproved or missing on THIS row, each numbered A01 upwards. A number is given once and never reused, the same rule the questions follow. Findings that belong to the whole file rather than to any one row are listed at the bottom of this tab under AUDIT. Blank means nothing was found on this row by this review — it does not mean the row is right.</t>
  </si>
  <si>
    <t>COLUMN — Errors or findings to address</t>
  </si>
  <si>
    <t>What is known to be wrong or unproved about this figure, in plain English. Blank means nothing is on record yet — not that nothing is wrong.</t>
  </si>
  <si>
    <t>COLUMN — Decisions made (S03)</t>
  </si>
  <si>
    <t>The rulings and assumptions that govern this figure, each marked with WHOSE decision it was: [Founder] his own ruling, [The person] something the user set, [Built in] an assumption nobody chose on a screen — which is usually why a number looks wrong. The standing display and rounding rule applies to every row and is stated at the top of this tab.</t>
  </si>
  <si>
    <t>COLUMN — Formula (mathematical)</t>
  </si>
  <si>
    <t>The rule written as arithmetic, so it can be followed symbol by symbol and checked against the code.</t>
  </si>
  <si>
    <t>COLUMN — Formula (in words)</t>
  </si>
  <si>
    <t>The same rule in plain English, followable by hand. Where the engine has a row in the old master this is its wording, carried over; where it does not, it is written here from reading the code.</t>
  </si>
  <si>
    <t>COLUMN — Engine ID</t>
  </si>
  <si>
    <t>The identifier of that engine. Blank where the figure is worked out on the screen itself rather than by an engine — which is itself a finding.</t>
  </si>
  <si>
    <t>COLUMN — Your name for it (72-metric file)</t>
  </si>
  <si>
    <t>The founder's own name for the same figure, from METRICS-DELIVERABLE-ANSWERED-2026-08-20.xlsx. This column is the bridge between his vocabulary and the code's.</t>
  </si>
  <si>
    <t>COLUMN — Core screen?</t>
  </si>
  <si>
    <t>Whether the screen is part of the 55-70 core, the agreed first scope. Currently NOT DETERMINED on every row: the core list has never been written down, so no row can honestly claim to be in or out of it.</t>
  </si>
  <si>
    <t>COLUMN — Row status</t>
  </si>
  <si>
    <t>VERIFIED with its date means a person read the screen and confirmed the chain. NOT STARTED means the screen has not been read yet. Nothing in between is claimed.</t>
  </si>
  <si>
    <t>COLUMN — Input ID</t>
  </si>
  <si>
    <t>The identifier of a raw input, per the same standard.</t>
  </si>
  <si>
    <t>COLUMN — Variable name</t>
  </si>
  <si>
    <t>What the raw value is called.</t>
  </si>
  <si>
    <t>COLUMN — Source</t>
  </si>
  <si>
    <t>Where the value comes from: the person typed it, an institution download, a connected provider, or another engine computed it.</t>
  </si>
  <si>
    <t>COLUMN — Which metric uses it</t>
  </si>
  <si>
    <t>Every metric identifier that depends on this input.</t>
  </si>
  <si>
    <t>COLUMN — Which engine uses it</t>
  </si>
  <si>
    <t>Every engine identifier that reads this input.</t>
  </si>
  <si>
    <t>Complies with — naming</t>
  </si>
  <si>
    <t>MoneyKeel/documents/standards/moneykeel_naming_spec_file-and-folder-naming_v01.md</t>
  </si>
  <si>
    <t>Complies with — identifiers</t>
  </si>
  <si>
    <t>MoneyKeel/documents/standards/moneykeel_naming_spec_unique-identifier_v01.md</t>
  </si>
  <si>
    <t>Complies with — objectives</t>
  </si>
  <si>
    <t>MoneyKeel/documents/standards/moneykeel_calc_spec_objectives-and-verification_v01.md</t>
  </si>
  <si>
    <t>COVERAGE — screens read so far</t>
  </si>
  <si>
    <t>49 of 49. Every screen in the app has been read: the five parent screens, every secondary screen and every menu screen. Twelve screens carry no calculated figure and say so.</t>
  </si>
  <si>
    <t>COVERAGE — what that means</t>
  </si>
  <si>
    <t>Every screen in the app is listed on its tab. Only Home carries figures so far; the rest are marked NOT STARTED. A rising count is not completeness while screens remain unread.</t>
  </si>
  <si>
    <t/>
  </si>
  <si>
    <t>AUDIT — 2026-08-25 review</t>
  </si>
  <si>
    <t>Read against the three standards: the vocabulary, the identifiers, and the objectives-and-verification. These findings belong to the FILE rather than to any one row. The ones that land on rows are in the last column of each screen tab, numbered from the same list, so a number means the same thing wherever it is read.</t>
  </si>
  <si>
    <t>AUDIT A01</t>
  </si>
  <si>
    <t>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</si>
  <si>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AUDIT A48</t>
  </si>
  <si>
    <t>126 of 163 rows read NOT DETERMINED for the decisions that govern the figure and 37 read NOT DETERMINED for what the figure says when it cannot be computed — and every one of those same rows is stamped VERIFIED.</t>
  </si>
  <si>
    <t>AUDIT A02</t>
  </si>
  <si>
    <t>The vocabulary standard retired the word engine on 2026-08-25. It is still the working vocabulary of the inputs tab (Which engine uses it, Engine ID), both engine columns of the reconciliation tab, column R of every screen tab, and 20-odd column notes on this tab. Identifier type E is retired and is still being issued live on the inputs tab.</t>
  </si>
  <si>
    <t>AUDIT A03</t>
  </si>
  <si>
    <t>moneykeel_naming_spec_unique-identifier_v01.md still lists type E in its pieces table and does not list type F, while its own examples use MK-PL-F-012. Rule 4 and the worked example are still written in engine language.</t>
  </si>
  <si>
    <t>AUDIT A04</t>
  </si>
  <si>
    <t>This tab describes two columns that no longer exist — Name of Underlying Engine, Engine ID — and names others with (S02), (S04), (S11) suffixes the headers do not carry.</t>
  </si>
  <si>
    <t>AUDIT A22</t>
  </si>
  <si>
    <t>The vocabulary standard names four categories of function. The functions tab has six. "3 · DEPENDENT (feeds an action only)" holds 74 functions and contradicts the standard's own definition of DEPENDENT — a chain that ends at a screen.</t>
  </si>
  <si>
    <t>AUDIT A05</t>
  </si>
  <si>
    <t>The Specification runs S01-S15, S18-S21, then S16 and S17. On a tab whose stated purpose is that a piece of work can be named by its number, the numbers are out of order.</t>
  </si>
  <si>
    <t>AUDIT A07</t>
  </si>
  <si>
    <t>S02 says 59 rows name inputs carrying their identifiers; 77 do. Its second figure — 72 rows naming an input that is on no row of the inputs tab — matches nothing countable in the file, and the reconciliation tab's GAPS section, which S02 points at as the place the gap is counted, is a heading with no rows under it.</t>
  </si>
  <si>
    <t>AUDIT A08</t>
  </si>
  <si>
    <t>S20 says 69 figures name no function, then breaks it down as Plan 23, Menu 20, Cash flow 13, Net worth 9 — which is 65. The functions_per_metric tab carries the missing four: Home 2, Performance 1, shown-on-more-than-one-screen 1.</t>
  </si>
  <si>
    <t>AUDIT A09</t>
  </si>
  <si>
    <t>S12 says COMPLETE for functions, all 455 read from the code. The sweep reads only exported top-level declarations. 88 module-private functions in the same three folders are invisible to it, and 5 exported names that are defined in two files each are collapsed to one row. Rung 1 — every engine in the code has a row in the file — is therefore not met, and S12 should read PARTIAL.</t>
  </si>
  <si>
    <t>AUDIT A10</t>
  </si>
  <si>
    <t>The reconciliation gate matches identifiers with MK-[A-Z]{2}-[MEIDS]-\d{3}. That class carries the retired E and has no F. So no function identifier is ever matched, the Function ID column contributes nothing, and check 4 — UNKNOWN FUNCTION, a figure depending on a function that is in no row — has never been able to fire.</t>
  </si>
  <si>
    <t>AUDIT A11</t>
  </si>
  <si>
    <t>The gate's orphan-input check looks for the text NO INPUT ID, which appears nowhere in the file. The builder writes "NOT DETERMINED — no input list on record" and "[NOT AN INPUT — another engine's answer]" instead. That check has never fired either.</t>
  </si>
  <si>
    <t>AUDIT A26</t>
  </si>
  <si>
    <t>The 28 screen rows that carry no figure are built one cell short: their core-screen answer is written into "Your name for it (72-metric file)" and their row status into "Core screen?", leaving Row status empty. Two hard-coded pad counts in the builder (17 and 20) against 26 columns.</t>
  </si>
  <si>
    <t>AUDIT A13</t>
  </si>
  <si>
    <t>Four more names are defined in two files each and silently collapsed to one row: classifyHolding (import/holdingsImport.ts and engines/classify.ts), rmdDivisor (decumulation/index.ts and engines/rmd.ts), round2 (_shared/num.ts and engines/money.ts), parseReceipt (services/economicData.ts and services/receiptScan.ts). This is S19 — duplicate calculations in the code — and it is worse than not started, because the file shows one row where there are two implementations.</t>
  </si>
  <si>
    <t>AUDIT A15</t>
  </si>
  <si>
    <t>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t>
  </si>
  <si>
    <t>AUDIT A16</t>
  </si>
  <si>
    <t>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t>
  </si>
  <si>
    <t>AUDIT A17</t>
  </si>
  <si>
    <t>"Uses a built-in i of 0", on 11 functions, is the loop counter — let i = 0.</t>
  </si>
  <si>
    <t>AUDIT A18</t>
  </si>
  <si>
    <t>"Treats a year as twelve equal months" fires on any division by 12, a month index included; "Treats a month as 30 days" fires on any multiplication by 30. Neither is read as arithmetic, so both carry false positives.</t>
  </si>
  <si>
    <t>AUDIT A19</t>
  </si>
  <si>
    <t>A function's body is read from its own line to the start of the next EXPORTED function, so every module-private helper below it is swallowed and its assumptions are attributed upwards. classifyHolding is three lines and only delegates; this file gives it findHeaderRow's loop counter as its assumption.</t>
  </si>
  <si>
    <t>AUDIT A20</t>
  </si>
  <si>
    <t>Comments are stripped before assumptions are read, by design. So an assumption the author stated in prose — the kind a founder would want to see — cannot appear at all, and 241 functions read "None found".</t>
  </si>
  <si>
    <t>AUDIT A21</t>
  </si>
  <si>
    <t>functions_summary shows 0 in "Handed nothing, but reads the stored data" for all 455 functions. The store is detected only as the text useStore or getState() inside the captured body; those folders contain 18 getState() calls and exactly one row carries the phrase. A zero that reads as a finding is a detection gap.</t>
  </si>
  <si>
    <t>AUDIT A24</t>
  </si>
  <si>
    <t>All 48 input rows are stamped VERIFIED 2026-08-22. The reconciliation tab, built from the code three days later, says 9 of them are named by no engine at all and 29 more only partly agree. 10 of 48 agree in both directions.</t>
  </si>
  <si>
    <t>AUDIT A25</t>
  </si>
  <si>
    <t>MK-XS-I-010 names two engines and carries no engine identifier, and one of the two — "the institution-words table" — is prose, not an identifier. MK-XS-I-002, -008, -009 and -017 each name two engines and carry one identifier. The identifier standard's rule 4 says neither side is allowed to be silent.</t>
  </si>
  <si>
    <t>AUDIT A41</t>
  </si>
  <si>
    <t>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t>
  </si>
  <si>
    <t>No.</t>
  </si>
  <si>
    <t>What is needed</t>
  </si>
  <si>
    <t>Why it is needed</t>
  </si>
  <si>
    <t>Where it stands in this file today</t>
  </si>
  <si>
    <t>SECTION — WHAT THE NUMBER IS</t>
  </si>
  <si>
    <t>S01</t>
  </si>
  <si>
    <t>The formula</t>
  </si>
  <si>
    <t>The actual rules, both as arithmetic and in plain English, followable by hand.</t>
  </si>
  <si>
    <t>COMPLETE — 163 of 163 carry both forms.</t>
  </si>
  <si>
    <t>S02</t>
  </si>
  <si>
    <t>The inputs, one by one</t>
  </si>
  <si>
    <t>Every input named, with its INPUT IDENTIFIER beside it, its unit and where it comes from.</t>
  </si>
  <si>
    <t>PARTIAL — 59 rows name inputs carrying their identifiers; 72 rows name at least one input that appears nowhere on the inputs tab, and say so in the cell. The reconciliation tab checks both directions and is where the gap is counted.</t>
  </si>
  <si>
    <t>S03</t>
  </si>
  <si>
    <t>The decisions and assumptions applied</t>
  </si>
  <si>
    <t>Each marked with whose decision it was: the founder's, the person's, or built in.</t>
  </si>
  <si>
    <t>PARTIAL — every row carries a cell; 37 name a real decision, 126 read NOT DETERMINED.</t>
  </si>
  <si>
    <t>S04</t>
  </si>
  <si>
    <t>What comes out</t>
  </si>
  <si>
    <t>Dollars, a percentage, a date, a count; its unit and its rounding.</t>
  </si>
  <si>
    <t>COMPLETE — 163 of 163, derived by rule from the label and formula and marked as derived. Confirm rather than trust.</t>
  </si>
  <si>
    <t>S05</t>
  </si>
  <si>
    <t>What it says when it cannot be computed</t>
  </si>
  <si>
    <t>The exact refusal — where wrong numbers get invented.</t>
  </si>
  <si>
    <t>PARTIAL — 126 of 163 written; 37 read NOT DETERMINED because that engine has not been read for its refusal yet.</t>
  </si>
  <si>
    <t>S06</t>
  </si>
  <si>
    <t>The grain</t>
  </si>
  <si>
    <t>One figure per holding, account, debt, goal, category, month or person.</t>
  </si>
  <si>
    <t>COMPLETE — 163 of 163, derived by rule and marked as derived.</t>
  </si>
  <si>
    <t>S07</t>
  </si>
  <si>
    <t>The period</t>
  </si>
  <si>
    <t>SECTION — WHAT PROVES IT</t>
  </si>
  <si>
    <t>S08</t>
  </si>
  <si>
    <t>Worked examples</t>
  </si>
  <si>
    <t>These inputs give this answer. Rung 2 re-runs them through the real engine on every build.</t>
  </si>
  <si>
    <t>NOT STARTED — waits on the founder's answers to the numbered questions, since an example needs the rule settled first.</t>
  </si>
  <si>
    <t>S09</t>
  </si>
  <si>
    <t>An example for every case</t>
  </si>
  <si>
    <t>One per case the grid names: missing, degraded, per institution, time-bounded, related events, account type. Rung 3.</t>
  </si>
  <si>
    <t>NOT STARTED — the biggest single piece of work, and it belongs in the per-family detail files rather than here.</t>
  </si>
  <si>
    <t>S10</t>
  </si>
  <si>
    <t>Verification level</t>
  </si>
  <si>
    <t>Which engines are marked for rung 4 and rung 5. Marked by the founder, recommended by me.</t>
  </si>
  <si>
    <t>NOT STARTED — the column does not exist yet.</t>
  </si>
  <si>
    <t>SECTION — WHAT CONNECTS IT</t>
  </si>
  <si>
    <t>S11</t>
  </si>
  <si>
    <t>Which functions a figure depends on</t>
  </si>
  <si>
    <t>Each dependency named by ITS function identifier and by the output it gives, so a chain can be followed without knowing any function by name. Every figure also carries the whole chain and every assumption made anywhere in it.</t>
  </si>
  <si>
    <t>COMPLETE — read from the code itself, not from any document.</t>
  </si>
  <si>
    <t>S12</t>
  </si>
  <si>
    <t>Where it is implemented</t>
  </si>
  <si>
    <t>The file and line that carry it, so file and code can be checked against each other on every build.</t>
  </si>
  <si>
    <t>COMPLETE for functions — the functions_from_code tab carries the file and line for all 455, read from the code. Still PARTIAL for figures: 69 of 163 name no function at all, so nothing can be pointed at.</t>
  </si>
  <si>
    <t>SECTION — GOVERNANCE</t>
  </si>
  <si>
    <t>S13</t>
  </si>
  <si>
    <t>The founder's verdict</t>
  </si>
  <si>
    <t>A row counts as documented only when he has approved it.</t>
  </si>
  <si>
    <t>NOT STARTED — the column does not exist yet, so the coverage count means nothing until it does.</t>
  </si>
  <si>
    <t>S14</t>
  </si>
  <si>
    <t>Lifecycle</t>
  </si>
  <si>
    <t>Live, cut, or superseded by another identifier.</t>
  </si>
  <si>
    <t>NOT STARTED.</t>
  </si>
  <si>
    <t>SECTION — NOT ON THE ORIGINAL LIST, STILL NEEDED</t>
  </si>
  <si>
    <t>S15</t>
  </si>
  <si>
    <t>Your name for it, from the 72-metric file</t>
  </si>
  <si>
    <t>The bridge between the founder's vocabulary and the code's.</t>
  </si>
  <si>
    <t>NOT STARTED — 0 of 163 rows.</t>
  </si>
  <si>
    <t>S18</t>
  </si>
  <si>
    <t>The reconciliation engine</t>
  </si>
  <si>
    <t>Both records kept independently and checked against each other as a build gate — an input an engine names that is on no row, an input declared that no engine names, an engine identifier that does not exist, an engine no metric reaches. Founder, 2026-08-25: never generate one list from the other; agreement by construction hides the orphan.</t>
  </si>
  <si>
    <t>COMPLETE — moneykeel_reconcile.py runs at the end of every build and STOPS it on a structural break: a duplicate identifier, a reference to an engine or input that does not exist, a fold pointing nowhere, a question number used twice. Findings that are real but unresolved — orphan and dead inputs — are counted every build rather than failing it, and must reach zero before the module is called done. Today: 0 breaks, 9 open findings.</t>
  </si>
  <si>
    <t>S19</t>
  </si>
  <si>
    <t>Duplicate calculations in the CODE</t>
  </si>
  <si>
    <t>S16 compared the figures on screens, so it could only see functions a figure names. Two functions in different files computing the same thing, named by no figure, are invisible to it — alternativesSummary and alternativesTotal both total the same holdings. A second pass is needed over the 455 functions themselves.</t>
  </si>
  <si>
    <t>S20</t>
  </si>
  <si>
    <t>Figures with no function on record</t>
  </si>
  <si>
    <t>Sixty-nine of the 163 figures name no function in the code. Most were names I assigned while reading a screen, which never had a function behind them. Until each is pointed at a real function, that figure cannot be traced, tested or trusted.</t>
  </si>
  <si>
    <t>OPEN — counted per screen on the functions_per_metric tab: Plan 23, Menu 20, Cash flow 13, Net worth 9.</t>
  </si>
  <si>
    <t>S21</t>
  </si>
  <si>
    <t>The identifier inside the code</t>
  </si>
  <si>
    <t>Every link between this file and the code still travels through a column somebody typed in the old inventory. The identifier standard says it belongs in a header inside each code file; until it does, a real function can look undocumented and a stale line can look correct.</t>
  </si>
  <si>
    <t>NOT STARTED — this is the weak link behind S12, S19 and S20.</t>
  </si>
  <si>
    <t>S16</t>
  </si>
  <si>
    <t>The duplication pass</t>
  </si>
  <si>
    <t>Figures that are the same thing under two identifiers.</t>
  </si>
  <si>
    <t>COMPLETE — every group judged one at a time. 11 figures were being shown under 24 identifiers; the 13 folded rows now name the identifier that survives and why. 18 groups were checked and are NOT duplicates — one engine legitimately producing several figures — and say so, so the question is not asked twice. Two mis-assigned engines were found and recorded as findings.</t>
  </si>
  <si>
    <t>S24</t>
  </si>
  <si>
    <t>The formula audit — figure against function</t>
  </si>
  <si>
    <t>A figure and the function that produces it must state the same rule. If they do not, one of the two is wrong and nobody knows which, which is exactly the case the objectives standard says work must stop on.</t>
  </si>
  <si>
    <t>OPEN — 94 of the 163 figures name a function and were compared; the other 69 name none and could not be. 51 rows carry a finding: 15 CLASH (the file states a rule the code does not implement), 5 MISNAMED (the formula and the function are about different things), 4 ONE FORMULA (figures that are not the same figure sharing one). 43 rows agree. Every finding was checked against the code file and line, not against the two cells alone.</t>
  </si>
  <si>
    <t>S23</t>
  </si>
  <si>
    <t>The formula on every function</t>
  </si>
  <si>
    <t>A figure can only be checked if the rule behind it can be read. The 163 figures carried a formula; the 455 functions underneath them did not, so there was no way to see HOW a number was worked out.</t>
  </si>
  <si>
    <t>PARTIAL — all 455 now carry both forms, read from the code itself. 24 read by hand and checked line by line, 161 rendered clean from the code, 221 partly rendered with some code still showing, 29 not rendered at all and saying so, 20 with no arithmetic to state. The How-it-was-read column carries the verdict per row, so no row overstates itself.</t>
  </si>
  <si>
    <t>S22</t>
  </si>
  <si>
    <t>The 2026-08-25 audit</t>
  </si>
  <si>
    <t>The last 48 hours of work read back against the three standards, so that what is wrong is on record before more is built on top of it.</t>
  </si>
  <si>
    <t>OPEN — 51 findings, A01 to A51. The ones that land on a figure are in the last column of each screen tab; the ones that belong to the whole file are at the bottom of the Reference tab. A06, A07, A08 and A09 say that the status lines of S01, S02, S20 and S12 above do not match what the file holds — those four are left as they were written rather than quietly re-graded, because changing a status is the founder's call.</t>
  </si>
  <si>
    <t>S17</t>
  </si>
  <si>
    <t>Which screens are the 55-70 core</t>
  </si>
  <si>
    <t>The agreed first scope has never been written down.</t>
  </si>
  <si>
    <t>READY FOR THE FOUNDER — the core_screens tab lists all 49 screens with my recommendation (39 in, 5 out, 5 borderline) and a column for his decision.</t>
  </si>
  <si>
    <t>Metric ID</t>
  </si>
  <si>
    <t>Parent Screen Name</t>
  </si>
  <si>
    <t>Secondary Screen Name</t>
  </si>
  <si>
    <t>Name on Screen</t>
  </si>
  <si>
    <t>Name of Underlying Metric</t>
  </si>
  <si>
    <t>Function that produces it</t>
  </si>
  <si>
    <t>Function ID</t>
  </si>
  <si>
    <t>Formula (mathematical)</t>
  </si>
  <si>
    <t>Formula (in words)</t>
  </si>
  <si>
    <t>Inputs it needs</t>
  </si>
  <si>
    <t>What comes out — unit and rounding</t>
  </si>
  <si>
    <t>Grain — one figure per what</t>
  </si>
  <si>
    <t>Period — as of when, over what window</t>
  </si>
  <si>
    <t>Dependency — function ID → the output it uses</t>
  </si>
  <si>
    <t>The chain of functions behind it</t>
  </si>
  <si>
    <t>Assumptions made anywhere in that chain</t>
  </si>
  <si>
    <t>Secondary calculations and decisions the engine makes</t>
  </si>
  <si>
    <t>Errors or findings to address</t>
  </si>
  <si>
    <t>Decisions made</t>
  </si>
  <si>
    <t>Same figure as (S16)</t>
  </si>
  <si>
    <t>Questions for you (numbered)</t>
  </si>
  <si>
    <t>YOUR ANSWER — use the same number</t>
  </si>
  <si>
    <t>Your name for it (72-metric file)</t>
  </si>
  <si>
    <t>Core screen?</t>
  </si>
  <si>
    <t>Row status</t>
  </si>
  <si>
    <t>Audit finding — 2026-08-25 review</t>
  </si>
  <si>
    <t>Formula audit — metric vs the function it names (2026-08-26)</t>
  </si>
  <si>
    <t>MK-XS-M-001</t>
  </si>
  <si>
    <t>Home · Networth</t>
  </si>
  <si>
    <t>NA</t>
  </si>
  <si>
    <t>Net worth · YOUR NET WORTH</t>
  </si>
  <si>
    <t>nw.net_worth</t>
  </si>
  <si>
    <t>buildNetWorth</t>
  </si>
  <si>
    <t>MK-NW-F-065</t>
  </si>
  <si>
    <t>net worth = Σ(all asset balances) − Σ(all debt balances)</t>
  </si>
  <si>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t>
  </si>
  <si>
    <t>1. everything owned → grossAssets  [MK-XS-I-001]
2. everything owed → grossDebt  [MK-XS-I-014]</t>
  </si>
  <si>
    <t>US dollars · held to the cent · shown as whole dollars  [derived by rule — confirm]</t>
  </si>
  <si>
    <t>Adds up to $0 when there is nothing to add. Zero and "nothing recorded yet" look identical on screen — worth a decision.</t>
  </si>
  <si>
    <t>One figure per person — or per household when two people share one record  [derived by rule — confirm]</t>
  </si>
  <si>
    <t>As of today, from the latest figures held  [derived by rule — confirm]</t>
  </si>
  <si>
    <t>None — this engine reads raw inputs only</t>
  </si>
  <si>
    <t>MK-ST-F-055 round2 → MK-NW-F-065 buildNetWorth</t>
  </si>
  <si>
    <t>1. MK-ST-F-055 — Multiplies by 100 — a percentage, or an option contract treated as 100 shares. Worth checking which.
2. MK-ST-F-055 — Rounds the answer to a whole number.</t>
  </si>
  <si>
    <t>[Founder] Assets minus debts, computed each time and never stored as a third number that could disagree with its own halves. A genuine negative is shown, never floored at zero.</t>
  </si>
  <si>
    <t>THE SURVIVING IDENTIFIER for this figure. Folded in: MK-NW-M-016. Net worth. "Net worth so far" during setup is the same figure as the headline, mid-way through entry.</t>
  </si>
  <si>
    <t>NOT DETERMINED</t>
  </si>
  <si>
    <t>VERIFIED 2026-08-22</t>
  </si>
  <si>
    <t>1. A23 — MK-ST-F-055 (round2) is filed under "1 · ACTION — does something and displays nothing; it cannot put a wrong number in front of a person", while it rounds net worth.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</si>
  <si>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AGREES — the figure's arithmetic and the arithmetic of the function it names say the same thing. Checked 2026-08-26.</t>
  </si>
  <si>
    <t>MK-XS-M-002</t>
  </si>
  <si>
    <t>Home · Plan · Cashflow</t>
  </si>
  <si>
    <t>Will my money last / Is my money lasting (odds)</t>
  </si>
  <si>
    <t>wil.chance</t>
  </si>
  <si>
    <t>selectWillItLast</t>
  </si>
  <si>
    <t>MK-PL-F-068</t>
  </si>
  <si>
    <t>run 1,000 futures; in each year: balance ← balance × (1 + random return) − (spending − guaranteed income);  odds = futures that never run out ÷ 1,000</t>
  </si>
  <si>
    <t>If age, spending and a pot are all known, run the simulation and report the chance. Otherwise report that it could not be answered — NOT a confident zero.
The best-to-worst range re-runs the same plan at a lower and a higher return, so it reads as a range rather than a promise. It always contains the headline figure, and it is repeatable.</t>
  </si>
  <si>
    <t>1. everything → WILL_IT_LAST_INPUTS  [NOT AN INPUT — another engine’s answer; see the dependency column]
2. is a range wanted → withBand  [NOT AN INPUT — a setting or a filter, not data anyone supplies]</t>
  </si>
  <si>
    <t>Percent · rounded to the nearest 5 · a real 100 or 0 shown literally  [derived by rule — confirm]</t>
  </si>
  <si>
    <t>No odds at all until the three facts are answered. A sample is shown in their place, labelled as a sample, never as the person's own number.</t>
  </si>
  <si>
    <t>1. MK-XS-E-002 (NEST_EGG) → What is my retirement pot worth?
2. MK-XS-E-003 (ODDS_DISPLAY) → The retirement odds a person actually sees. Answers: 0, 5, 10 … 100 — the exact simulation
3. MK-XS-E-004 (RETIREMENT_SPENDING) → What will be spent each month in retirement?
4. MK-XS-E-005 (WILL_IT_LAST) → Will my money last?
5. MK-XS-E-006 (WILL_IT_LAST_INPUTS) → What goes into working out the odds?</t>
  </si>
  <si>
    <t>1. MK-PL-F-066 displayOdds → MK-PL-F-068 selectWillItLast
2. MK-NW-F-008 incomeBearingClassOf → MK-NW-F-011 assetClassOf → MK-NW-F-030 earmarkDefault → MK-NW-F-032 earmarkedAmount → MK-NW-F-033 retirementEarmarkedValue → MK-PL-F-068 selectWillItLast
3. MK-NW-F-013 realEstateUseOf → MK-NW-F-030 earmarkDefault → MK-NW-F-032 earmarkedAmount → MK-NW-F-033 retirementEarmarkedValue → MK-PL-F-068 selectWillItLast
4. MK-ST-F-055 round2 → MK-NW-F-032 earmarkedAmount → MK-NW-F-033 retirementEarmarkedValue → MK-PL-F-068 selectWillItLast
5. MK-ST-F-010 nameEvidence → MK-NW-F-008 incomeBearingClassOf → MK-NW-F-011 assetClassOf → MK-NW-F-031 primaryCarIdOf → MK-NW-F-033 retirementEarmarkedValue → MK-PL-F-068 selectWillItLast
6. MK-ST-F-055 round2 → MK-NW-F-033 retirementEarmarkedValue → MK-PL-F-068 selectWillItLast
7. MK-PL-F-047 colFactor → MK-PL-F-049 retirementSpendMonthly → MK-PL-F-068 selectWillItLast
8. MK-ST-F-055 round2 → MK-PL-F-049 retirementSpendMonthly → MK-PL-F-068 selectWillItLast
9. … and 52 more paths</t>
  </si>
  <si>
    <t>1. MK-PL-F-066 — Rounds the answer to a whole number.
2. MK-PL-F-049 — Treats a year as twelve equal months.
3. MK-PL-F-049 — Rounds the answer to a whole number.
4. MK-PL-F-050 — If paths is missing it uses 500.
5. MK-PL-F-050 — If seed is missing it uses 12345.
6. MK-PL-F-050 — If now year is missing it uses 2026.
7. MK-PL-F-050 — If contribution growth is missing it uses 0.
8. MK-PL-F-050 — If pre tax share is missing it uses 0.
9. MK-PL-F-050 — If required withdrawal tax rate is missing it uses 22%.
10. MK-PL-F-050 — If monthly is missing it counts as zero, so nothing recorded and a real zero look the same.
11. MK-PL-F-050 — If one off by year[off] is missing it counts as zero, so nothing recorded and a real zero look the same.
12. MK-PL-F-050 — If recurring by year[y] is missing it counts as zero, so nothing recorded and a real zero look the same.
13. MK-PL-F-050 — If contrib by year[y] is missing it counts as zero, so nothing recorded and a real zero look the same.
14. MK-PL-F-050 — Uses a built-in y of 1.
15. MK-PL-F-050 — Uses a built-in successes of 0.
16. MK-PL-F-050 — Uses a built-in p of 0.
17. MK-PL-F-050 — Uses a built-in y of 0.
18. MK-PL-F-050 — Treats a year as twelve equal months.
19. MK-PL-F-050 — Turns a monthly figure into a year by multiplying by twelve.
20. MK-PL-F-050 — Multiplies by 100 — a percentage, or an option contract treated as 100 shares. Worth checking which.
21. MK-PL-F-050 — Rounds the answer to a whole number.
22. MK-PL-F-067 — If inflation rate is missing it uses 2.5.
23. MK-PL-F-067 — If social security claim age is missing it uses 67.
24. MK-PL-F-067 — If monthly is missing it uses 0.
25. MK-PL-F-067 — If salary growth is missing it uses 0.
… and 40 more, on the functions tab</t>
  </si>
  <si>
    <t>The odds shown on Home, Plan and Cash flow are rounded to the nearest 5, while the compare tables still show them exact. One figure, two precisions — founder's open question.</t>
  </si>
  <si>
    <t>[Founder] One thousand futures, and the odds are rounded to the nearest 5. A genuine 100 or 0 is shown literally; 98 shows as 95, never as 100 (fix B6). The best-to-worst band was removed.
[Built in] The assumed rate of return, which the person can change on the cockpit.</t>
  </si>
  <si>
    <t>Q19 — The odds are rounded to the nearest 5 on screen but shown exact in the compare tables. Round everywhere, or show exact everywhere?</t>
  </si>
  <si>
    <t>1. A28 — Three contradictions on one row. The maths says 1,000 futures; the assumptions say the code falls back to 500 when the path count is missing. The words describe a best-to-worst range; the decision says that band was removed. The maths shows no rounding, the decision says nearest 5, the assumption says whole number.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A18 — "Treats a year as twelve equal months" fires on any division by 12, a month index included; "Treats a month as 30 days" fires on any multiplication by 30. Neither is read as arithmetic, so both carry false positives.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</si>
  <si>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B13 [MISNAMED] — The figure is the thousand-futures simulation. The function it names, MK-PL-F-068 selectWillItLast, is the GATE that decides whether the question can be answered at all — it checks an age, a spending figure and a nest egg are present. The simulation is a different function and is named on no row of this file.</t>
  </si>
  <si>
    <t>MK-XS-M-003</t>
  </si>
  <si>
    <t>Home · Performance · Networth</t>
  </si>
  <si>
    <t>YOUR INVESTMENTS · 📈 INVESTMENTS</t>
  </si>
  <si>
    <t>investTotal</t>
  </si>
  <si>
    <t>investmentsTotal</t>
  </si>
  <si>
    <t>MK-NW-F-021</t>
  </si>
  <si>
    <t>investments = Σ(balance of each account whose class ∈ {brokerage, retirement, other investments})</t>
  </si>
  <si>
    <t>Add up the balances of every account whose class is Stocks / Funds, Bonds &amp; CDs, Alternatives or Unclassified. Excludes cash, the house and the car.</t>
  </si>
  <si>
    <t>1. each account's class → assetClassOf  [MK-XS-I-048]
2. each account's money → balance  [MK-XS-I-001]</t>
  </si>
  <si>
    <t>MK-XS-E-008 (ASSET_CLASS_OF_ACCOUNT) → What kind of thing is this account — cash, a bond, shares, or something else?</t>
  </si>
  <si>
    <t>MK-ST-F-010 nameEvidence → MK-NW-F-008 incomeBearingClassOf → MK-NW-F-011 assetClassOf → MK-NW-F-021 investmentsTotal</t>
  </si>
  <si>
    <t>None found anywhere in this chain</t>
  </si>
  <si>
    <t>[The person] The retirement age in their plan.</t>
  </si>
  <si>
    <t>1. A29 — The maths names the classes {brokerage, retirement, other investments}. The words name Stocks / Funds, Bonds &amp; CDs, Alternatives and Unclassified. Different lists, and Unclassified appearing in one of them decides whether an unclassified account is counted as an investment.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</si>
  <si>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B07 [CLASH] — Three different lists of what counts as an investment for one figure. The arithmetic says {brokerage, retirement, other investments}. The code (investmentsTotal) says {stocks_etf, bonds, alternatives, MIXED}. The plain-English column says {Stocks / Funds, Bonds &amp; CDs, Alternatives, UNCLASSIFIED}. Whether an unclassified account is counted as an investment depends on which of the three a person reads. Also finding A29.</t>
  </si>
  <si>
    <t>MK-XS-M-004</t>
  </si>
  <si>
    <t>Home · Performance</t>
  </si>
  <si>
    <t>▲ up/▼ down $X (Y%) this month · Return · YOUR RETURN</t>
  </si>
  <si>
    <t>youReturn / shownReturn</t>
  </si>
  <si>
    <t>portfolioPeriodReturn</t>
  </si>
  <si>
    <t>MK-PF-F-019</t>
  </si>
  <si>
    <t>return = (ending − beginning − net money in) ÷ (beginning + net money in weighted by when it arrived)</t>
  </si>
  <si>
    <t>Weight each holding's return by how much money is in it, and add: Σ(return × value) ÷ Σ(value).
Money-weighted, not an equal average: $90,000 up 10% and $10,000 flat is +9%, where averaging the two would say +5% and be badly wrong.
A holding with no return is dropped from BOTH the top and the bottom of the sum, so it neither drags the answer down nor distorts the weights.
Nothing usable → nothing, never 0%.
This is a PRICE-based return. It does not know when you added money, which is what PERSONAL_RETURN answers — the two will differ, and both are right about different questions.</t>
  </si>
  <si>
    <t>1. each holding's return → rows[].periodReturn  [NOT AN INPUT — another engine’s answer; see the dependency column]
2. its value → rows[].marketValue  [NOT AN INPUT — another engine’s answer; see the dependency column]</t>
  </si>
  <si>
    <t>Percent · one decimal shown  [derived by rule — confirm]</t>
  </si>
  <si>
    <t>A division: with nothing on the bottom there is no answer, and the line must not appear as zero. NOT YET CONFIRMED against the engine.</t>
  </si>
  <si>
    <t>One figure per month  [derived by rule — confirm]</t>
  </si>
  <si>
    <t>This calendar month, to today  [derived by rule — confirm]</t>
  </si>
  <si>
    <t>No dependent function — it reads its inputs and answers</t>
  </si>
  <si>
    <t>1. MK-PF-F-019 — Rounds the answer to a whole number.
2. MK-PF-F-019 — Leaves some rows out of the answer — check which.</t>
  </si>
  <si>
    <t>NOT DETERMINED — no assumption recorded for this figure yet.</t>
  </si>
  <si>
    <t>1. A27 — The maths column states Modified Dietz — (ending - beginning - net money in) over (beginning + flows weighted by when they arrived). The words column states something else entirely — Sum(return x value) / Sum(value), a value-weighted average of holding returns. Two different formulas for one figure, and the second is not a money-weighted return whatever the words call it.
2. A14 — This file states three different formulas for what it calls a return: Sum(return x value) / Sum(value), Modified Dietz, and earned / average value held. Three methods give three answers. One of them has to be the definition.
3. A12 — moneyWeightedReturn is defined twice and the two are different methods: src/domain/performance/moneyWeighted.ts:80 solves an internal rate of return by bisection; Calculation Module code/engines/window-return.ts:69 is Modified Dietz. Both are called the money-weighted return. Only the first has a row in this file; the sweep keeps whichever folder it walks first and drops the other in silence.
4.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5.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</si>
  <si>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B06 [CLASH] — Two different return methods. The file states Modified Dietz — (ending − beginning − net money in) ÷ (beginning + flows weighted by when they arrived). The code (portfolioPeriodReturn) is Σ(each holding's return × its value) ÷ Σ(value), a value-weighted AVERAGE of holding returns. Different methods give different answers, and neither is what the other says. Also finding A27.</t>
  </si>
  <si>
    <t>MK-XS-M-005</t>
  </si>
  <si>
    <t>Home · Cashflow</t>
  </si>
  <si>
    <t>Spent so far · Spent $X of $Y left to spend this month</t>
  </si>
  <si>
    <t>bva.spent_total</t>
  </si>
  <si>
    <t>budgetVsActual</t>
  </si>
  <si>
    <t>MK-CF-F-014</t>
  </si>
  <si>
    <t>spent(bucket) = Σ(expenses dated in this month in that bucket, debt payments excluded);  remaining = planned − spent</t>
  </si>
  <si>
    <t>Adds up this month’s logged expenses by bucket and sets each against what was planned. Debt payments are deliberately left out, because debt is tracked on its own.</t>
  </si>
  <si>
    <t>NOT DETERMINED — no input list on record for this engine</t>
  </si>
  <si>
    <t>1. MK-ST-F-055 round2 → MK-CF-F-014 budgetVsActual
2. MK-ST-F-052 toNum → MK-CF-F-003 categoryMonthly → MK-CF-F-004 spendBuckets → MK-CF-F-014 budgetVsActual
3. MK-ST-F-055 round2 → MK-CF-F-004 spendBuckets → MK-CF-F-014 budgetVsActual
4. MK-ST-F-052 toNum → MK-CF-F-004 spendBuckets → MK-CF-F-014 budgetVsActual
5. MK-ST-F-052 toNum → MK-CF-F-014 budgetVsActual</t>
  </si>
  <si>
    <t>1. MK-CF-F-014 — Uses today's date from the device clock, so the answer changes by itself overnight.
2. MK-CF-F-014 — Leaves some rows out of the answer — check which.
3. MK-ST-F-055 — Multiplies by 100 — a percentage, or an option contract treated as 100 shares. Worth checking which.
4. MK-ST-F-055 — Rounds the answer to a whole number.
5. MK-CF-F-003 — Treats a year as twelve equal months.
6. MK-CF-F-003 — Turns a monthly figure into a year by multiplying by twelve.</t>
  </si>
  <si>
    <t>1.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A18 — "Treats a year as twelve equal months" fires on any division by 12, a month index included; "Treats a month as 30 days" fires on any multiplication by 30. Neither is read as arithmetic, so both carry false positives.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</si>
  <si>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MK-XS-M-006</t>
  </si>
  <si>
    <t>Income · In (received) · In (take-home)</t>
  </si>
  <si>
    <t>thisMonthNet</t>
  </si>
  <si>
    <t>incomeMonthlyGrid</t>
  </si>
  <si>
    <t>MK-CF-F-092</t>
  </si>
  <si>
    <t>money in month m = salary(m) + tips(m) + rental ÷ 12 + bonus(m) + equity vesting(m) − withholding(m) − pre-tax contributions(m)</t>
  </si>
  <si>
    <t>Builds twelve months of money in, one month at a time. Salary comes from the per-month table, equity lands in the months it vests, the bonus lands in its own month, and each month has its own withholding rate.</t>
  </si>
  <si>
    <t>1. MK-CF-F-069 benefitActiveMonths → MK-CF-F-092 incomeMonthlyGrid
2. MK-ST-F-052 toNum → MK-CF-F-075 retirementIncomeMonthly → MK-CF-F-072 currentRetirementIncomeMonthly → MK-CF-F-092 incomeMonthlyGrid
3. MK-ST-F-052 toNum → MK-CF-F-062 equityRowValue → MK-CF-F-065 equityVestWeights → MK-CF-F-092 incomeMonthlyGrid
4. MK-CF-F-069 benefitActiveMonths → MK-CF-F-070 benefitAnnual → MK-CF-F-071 extraIncome → MK-CF-F-092 incomeMonthlyGrid
5. MK-ST-F-052 toNum → MK-CF-F-070 benefitAnnual → MK-CF-F-071 extraIncome → MK-CF-F-092 incomeMonthlyGrid
6. MK-ST-F-055 round2 → MK-CF-F-071 extraIncome → MK-CF-F-092 incomeMonthlyGrid
7. MK-ST-F-052 toNum → MK-CF-F-071 extraIncome → MK-CF-F-092 incomeMonthlyGrid
8. MK-CF-F-100 taxableIncomeFor → MK-CF-F-101 taxOwedFor → MK-CF-F-102 effectiveRateOnGrossFor → MK-CF-F-090 effectiveRate → MK-CF-F-087 monthlyTaxRates → MK-CF-F-092 incomeMonthlyGrid
9. … and 47 more paths</t>
  </si>
  <si>
    <t>1. MK-CF-F-092 — Treats a year as twelve equal months.
2. MK-CF-F-092 — Uses today's date from the device clock, so the answer changes by itself overnight.
3. MK-CF-F-069 — Leaves some rows out of the answer — check which.
4. MK-CF-F-065 — Uses a built-in total v of 0.
5. MK-CF-F-071 — Treats a year as twelve equal months.
6. MK-CF-F-087 — Uses today's date from the device clock, so the answer changes by itself overnight.
7. MK-CF-F-068 — Turns a monthly figure into a year by multiplying by twelve.
8. MK-ST-F-055 — Multiplies by 100 — a percentage, or an option contract treated as 100 shares. Worth checking which.
9. MK-ST-F-055 — Rounds the answer to a whole number.
10. MK-CF-F-066 — Leaves some rows out of the answer — check which.
11. MK-CF-F-077 — Uses a built-in i of 0.
12. MK-CF-F-077 — Treats a year as twelve equal months.
13. MK-CF-F-089 — Uses today's date from the device clock, so the answer changes by itself overnight.
14. MK-CF-F-088 — Treats a year as twelve equal months.
15. MK-CF-F-088 — Uses today's date from the device clock, so the answer changes by itself overnight.
16. MK-CF-F-067 — Leaves some rows out of the answer — check which.
17. MK-CF-F-063 — Uses today's date from the device clock, so the answer changes by itself overnight.
18. MK-CF-F-097 — Uses a built-in i of 0.
19. MK-CF-F-097 — Rounds the answer to a whole number.
20. MK-CF-F-084 — Turns a monthly figure into a year by multiplying by twelve.
21. MK-CF-F-084 — Uses today's date from the device clock, so the answer changes by itself overnight.
22. MK-CF-F-082 — Uses today's date from the device clock, so the answer changes by itself overnight.
23. MK-CF-F-074 — Uses today's date from the device clock, so the answer changes by itself overnight.
24. MK-CF-F-081 — Uses today's date from the device clock, so the answer changes by itself overnight.
25. MK-CF-F-081 — Leaves some rows out of the answer — check which.</t>
  </si>
  <si>
    <t>THE SURVIVING IDENTIFIER for this figure. Folded in: MK-CF-M-018. Money in this month. "In (take-home)" on Cash flow is the same figure as "Income" on Home.</t>
  </si>
  <si>
    <t>1.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A17 — "Uses a built-in i of 0", on 11 functions, is the loop counter — let i = 0.
4. A18 — "Treats a year as twelve equal months" fires on any division by 12, a month index included; "Treats a month as 30 days" fires on any multiplication by 30. Neither is read as arithmetic, so both carry false positives.
5.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</si>
  <si>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B25 [CLASH] — The money-in formula lists salary, tips, rental ÷ 12, bonus and equity vesting. The code (incomeMonthlyGrid) also adds a SIGNING BONUS. A whole income source is missing from the file's arithmetic.</t>
  </si>
  <si>
    <t>MK-XS-M-007</t>
  </si>
  <si>
    <t>Left / Over · left to spend this month</t>
  </si>
  <si>
    <t>left</t>
  </si>
  <si>
    <t>Worked out on the screen itself — no function behind it</t>
  </si>
  <si>
    <t>left to spend = money in this month − spent so far</t>
  </si>
  <si>
    <t>Worked out on the screen itself, with no engine behind it — a place a second definition can appear.</t>
  </si>
  <si>
    <t>Inherits the refusal of the figures it is built from: if either side is missing, this line is not shown.</t>
  </si>
  <si>
    <t>No function on record — nothing to chain</t>
  </si>
  <si>
    <t>No function on record — assumptions unknown</t>
  </si>
  <si>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</si>
  <si>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B24 [NOT COMPARABLE] — This figure names no function, so its formula cannot be checked against anything. 69 of the 163 figures are in this position — the audit covers the 94 that name one.</t>
  </si>
  <si>
    <t>MK-HM-M-001</t>
  </si>
  <si>
    <t>Home</t>
  </si>
  <si>
    <t>prices updated &lt;when&gt;</t>
  </si>
  <si>
    <t>freshness</t>
  </si>
  <si>
    <t>priceFreshness</t>
  </si>
  <si>
    <t>MK-XS-F-082</t>
  </si>
  <si>
    <t>age = now − the moment prices were last fetched;  stale when age &gt; the freshness limit</t>
  </si>
  <si>
    <t>Time since the last successful fetch, in words. Four days or more → stale. Four, because a long weekend or a holiday can put three days between two perfectly normal updates, and a false alarm teaches people to ignore the real one.
Never fetched, unreadable, or dated in the future → STALE. Silence is not good news.</t>
  </si>
  <si>
    <t>1. when it was fetched → fetchedAt  [MK-XS-I-006]
2. now → now  [NOT AN INPUT — a setting or a filter, not data anyone supplies]</t>
  </si>
  <si>
    <t>US dollars per unit · held to 8 decimal places · decimals shown  [derived by rule — confirm]</t>
  </si>
  <si>
    <t>With no priced holdings there is no freshness to report and the line does not appear.</t>
  </si>
  <si>
    <t>MK-XS-E-013 (FETCH_PRICES) → What are these holdings worth?</t>
  </si>
  <si>
    <t>DECIDES the moment a price stops being current.</t>
  </si>
  <si>
    <t>Prices are never synced, so freshness is per device. Two devices can legitimately disagree about how current a value is.</t>
  </si>
  <si>
    <t>Q22 — How old is too old for a price before the screen warns? Today it is a fixed limit in the code; you have never set it.</t>
  </si>
  <si>
    <t>MK-HM-M-002</t>
  </si>
  <si>
    <t>Your net worth just crossed X</t>
  </si>
  <si>
    <t>milestone</t>
  </si>
  <si>
    <t>milestoneCrossed</t>
  </si>
  <si>
    <t>MK-HM-F-004</t>
  </si>
  <si>
    <t>crossed when net worth ≥ the next round mark above the highest mark already seen</t>
  </si>
  <si>
    <t>Notices when net worth passes a round number for the first time, and remembers the highest one already shown so the same milestone is never announced twice.</t>
  </si>
  <si>
    <t>NOT DETERMINED — this engine has not been read for its refusal yet.</t>
  </si>
  <si>
    <t>MK-HM-F-003 milestoneFloor → MK-HM-F-004 milestoneCrossed</t>
  </si>
  <si>
    <t>MK-HM-F-003 — Uses a built-in floor of 0.</t>
  </si>
  <si>
    <t>MK-HM-M-003</t>
  </si>
  <si>
    <t>Needs your attention (1, 2, 3)</t>
  </si>
  <si>
    <t>topInsights</t>
  </si>
  <si>
    <t>NOT ON RECORD — no function is recorded for this figure</t>
  </si>
  <si>
    <t>each insight scores its own dollars at stake; the list = the highest few, ranked</t>
  </si>
  <si>
    <t>Works out what is worth saying today, puts a dollar amount against each, and shows the few that matter most.</t>
  </si>
  <si>
    <t>THE SAME FIGURE AS MK-MN-M-015 — The insights list. Home shows the top three of the same list the Insights screen shows in full.</t>
  </si>
  <si>
    <t>MK-HM-M-004</t>
  </si>
  <si>
    <t>&lt;n&gt;% spent · day n of m</t>
  </si>
  <si>
    <t>pctSpent</t>
  </si>
  <si>
    <t>share spent = spent so far ÷ money in this month</t>
  </si>
  <si>
    <t>/add-account</t>
  </si>
  <si>
    <t>—</t>
  </si>
  <si>
    <t>READ 2026-08-22 — no calculated figure on this screen</t>
  </si>
  <si>
    <t>/connect</t>
  </si>
  <si>
    <t>/import-holdings</t>
  </si>
  <si>
    <t>/onboarding</t>
  </si>
  <si>
    <t>/performance</t>
  </si>
  <si>
    <t>READ 2026-08-22 — the same screen as /invest, reached by a second route</t>
  </si>
  <si>
    <t>MK-NW-M-001</t>
  </si>
  <si>
    <t>Networth</t>
  </si>
  <si>
    <t>Change in net worth +$X</t>
  </si>
  <si>
    <t>changeThisYear</t>
  </si>
  <si>
    <t>trendPoints</t>
  </si>
  <si>
    <t>MK-XS-F-005</t>
  </si>
  <si>
    <t>the line is the recorded net worth at each point;  change over the year = net worth today − net worth at the first point of the year</t>
  </si>
  <si>
    <t>Monthly snapshots and daily points merged into one series and sorted by their date text. A month ("2026-07") sorts before its own days ("2026-07-04"), which is what makes plain text sorting safe.
A daily value that is not a real date or not a real number is ignored rather than drawn as zero.
No history → an empty series, NOT a flat line at zero.
THE LIMIT THAT MATTERS, and it is the mechanism behind the founder's F15: a daily point is ONE NUMBER — total net worth. There is no per-account daily history anywhere in the app, so "what was my Vanguard account worth in April" has no answer to read, and a beginning value gets BACK-SOLVED from today minus whatever the ledger claims happened. It also only ever starts the day the app was first opened: an account connected today has no yesterday, whatever the market did before that.</t>
  </si>
  <si>
    <t>1. monthly snapshots → monthly  [MK-XS-I-031]
2. daily points → daily  [MK-XS-I-031]</t>
  </si>
  <si>
    <t>A line needs at least two points; with one, the point is shown and the line is not drawn.</t>
  </si>
  <si>
    <t>MK-XS-E-014 (SNAPSHOT_READ_ALL) → What history do we hold?</t>
  </si>
  <si>
    <t>1. MK-ST-F-055 round2 → MK-XS-F-008 normalizeSnapshot → MK-XS-F-009 readHistory → MK-XS-F-005 trendPoints
2. MK-ST-F-055 round2 → MK-XS-F-005 trendPoints</t>
  </si>
  <si>
    <t>1. MK-XS-F-009 — Leaves some rows out of the answer — check which.
2. MK-ST-F-055 — Multiplies by 100 — a percentage, or an option contract treated as 100 shares. Worth checking which.
3. MK-ST-F-055 — Rounds the answer to a whole number.</t>
  </si>
  <si>
    <t>The daily and monthly points are synced, but the DAILY RECORD they are checked against is not. On a second device the trend survives and the walk behind it does not.</t>
  </si>
  <si>
    <t>Q32 — The trend survives on a new device but the walk behind it does not. Should the trend say so, or show quietly?</t>
  </si>
  <si>
    <t>1.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</si>
  <si>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B23 [MISNAMED] — The formula has two halves: the series, and the change over the year. The function it names (trendPoints) only builds and sorts the series. The subtraction that makes the headline change is done somewhere with no function on record.</t>
  </si>
  <si>
    <t>MK-NW-M-002</t>
  </si>
  <si>
    <t>Return on cash + investments ±X%</t>
  </si>
  <si>
    <t>invPct</t>
  </si>
  <si>
    <t>investableChangePct</t>
  </si>
  <si>
    <t>MK-XS-F-010</t>
  </si>
  <si>
    <t>return = (investable now − investable then) ÷ investable then — money paid in or taken out is NOT removed, so a deposit shows up as a gain</t>
  </si>
  <si>
    <t>(today's investable − the baseline value) ÷ the baseline value.
The baseline is the EARLIEST stored daily point on or after the baseline date. The house is left out because it only moves when someone retypes it, which would otherwise read as a market gain.
No history → NO percentage. It is never back-guessed, which is right.
THE DEFECT IS WHAT THE BASELINE IS. It is whatever day the app happened to be opened, not a date a person chose. If the only stored point was written after a fall, the fall is invisible and the small recovery since reads as a gain — which is exactly how a −4.2% year showed as +2.0%.</t>
  </si>
  <si>
    <t>1. stored history → daily  [MK-XS-I-031]
2. today's value → currentInvestable  [NOT AN INPUT — another engine’s answer; see the dependency column]
3. baseline date → sinceKey  [MK-XS-I-031]</t>
  </si>
  <si>
    <t>No baseline, or nothing invested, means the line is simply absent rather than shown as zero.</t>
  </si>
  <si>
    <t>The window the person chose on screen  [derived by rule — confirm]</t>
  </si>
  <si>
    <t>1. MK-XS-F-010 — Rounds the answer to a whole number.
2. MK-XS-F-010 — Leaves some rows out of the answer — check which.</t>
  </si>
  <si>
    <t>The line is labelled "Return on cash + investments" but is computed as (now − then) ÷ then with NO adjustment for money paid in or taken out. Move $50,000 in and it reports a gain. Either the label is wrong or the formula is — founder's call.</t>
  </si>
  <si>
    <t>Q17 — "Return on cash + investments" counts money you paid in as a gain. Is the LABEL wrong, or the FORMULA? Fixing the formula means removing deposits and withdrawals before measuring.</t>
  </si>
  <si>
    <t>1.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</si>
  <si>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MK-NW-M-003</t>
  </si>
  <si>
    <t>the trend line</t>
  </si>
  <si>
    <t>series</t>
  </si>
  <si>
    <t>MK-NW-M-004</t>
  </si>
  <si>
    <t>WHAT YOU OWN</t>
  </si>
  <si>
    <t>totalAssets</t>
  </si>
  <si>
    <t>buildAssetsState</t>
  </si>
  <si>
    <t>MK-NW-F-039</t>
  </si>
  <si>
    <t>assets = Σ(balance of every account);  share of an account = balance ÷ assets</t>
  </si>
  <si>
    <t>Each account's share = its balance ÷ the total, so the shares add to 100. The blended return is weighted by money, not an average of the rates.
No money at all → every share is 0 and a stated default return is used, rather than dividing by nothing.</t>
  </si>
  <si>
    <t>1. each balance → balance  [MK-XS-I-001]
2. each assumed return → target_return  [MK-XS-I-028]</t>
  </si>
  <si>
    <t>One figure per account  [derived by rule — confirm]</t>
  </si>
  <si>
    <t>MK-ST-F-055 round2 → MK-NW-F-039 buildAssetsState</t>
  </si>
  <si>
    <t>1. MK-NW-F-039 — Multiplies by 100 — a percentage, or an option contract treated as 100 shares. Worth checking which.
2. MK-NW-F-039 — Rounds the answer to a whole number.
3. MK-ST-F-055 — Multiplies by 100 — a percentage, or an option contract treated as 100 shares. Worth checking which.
4. MK-ST-F-055 — Rounds the answer to a whole number.</t>
  </si>
  <si>
    <t>MK-NW-M-005</t>
  </si>
  <si>
    <t>💵 CASH</t>
  </si>
  <si>
    <t>cashOnHand</t>
  </si>
  <si>
    <t>cashTotal</t>
  </si>
  <si>
    <t>MK-NW-F-016</t>
  </si>
  <si>
    <t>cash = Σ(balance of each account whose class = Cash)</t>
  </si>
  <si>
    <t>Add up the balances of every account whose class is Cash. Under the founder's 2026-08-04 rule that means checking, savings, high-yield savings and the uninvested sweep at a broker — and NOT money-market funds, which pay dividends and are measured with the investments.</t>
  </si>
  <si>
    <t>1. MK-XS-E-015 (ACCOUNT_SPLIT) → This one brokerage account holds several different things — how much of it is each?
2. MK-XS-E-008 (ASSET_CLASS_OF_ACCOUNT) → What kind of thing is this account — cash, a bond, shares, or something else?</t>
  </si>
  <si>
    <t>1. MK-ST-F-010 nameEvidence → MK-NW-F-008 incomeBearingClassOf → MK-NW-F-011 assetClassOf → MK-NW-F-027 accountClassBreakdown → MK-NW-F-016 cashTotal
2. MK-ST-F-010 nameEvidence → MK-NW-F-008 incomeBearingClassOf → MK-NW-F-027 accountClassBreakdown → MK-NW-F-016 cashTotal
3. MK-ST-F-055 round2 → MK-NW-F-027 accountClassBreakdown → MK-NW-F-016 cashTotal
4. MK-ST-F-010 nameEvidence → MK-NW-F-008 incomeBearingClassOf → MK-NW-F-011 assetClassOf → MK-NW-F-016 cashTotal
5. MK-ST-F-055 round2 → MK-NW-F-016 cashTotal</t>
  </si>
  <si>
    <t>1. MK-NW-F-016 — If balance is missing it counts as zero, so nothing recorded and a real zero look the same.
2. MK-NW-F-027 — If cash balance is missing it uses 0.
3. MK-NW-F-027 — If shares is missing it counts as zero, so nothing recorded and a real zero look the same.
4. MK-NW-F-027 — If value is missing it counts as zero, so nothing recorded and a real zero look the same.
5. MK-NW-F-027 — If balance is missing it counts as zero, so nothing recorded and a real zero look the same.
6. MK-ST-F-055 — Multiplies by 100 — a percentage, or an option contract treated as 100 shares. Worth checking which.
7. MK-ST-F-055 — Rounds the answer to a whole number.</t>
  </si>
  <si>
    <t>DECIDES what counts as cash — and deliberately excludes money-market funds.</t>
  </si>
  <si>
    <t>Money-market funds are deliberately NOT counted as cash. Any institution that reports a sweep as a fund will therefore land in investments — worth watching per provider.</t>
  </si>
  <si>
    <t>[Founder] Cash means checking, savings, high-yield savings and the uninvested sweep at a broker. Money-market funds are investments, because they pay dividends and are measured with the investments (founder, 2026-08-04).</t>
  </si>
  <si>
    <t>Q16 — Does foreign-currency cash count towards Cash, or sit apart until it is converted?</t>
  </si>
  <si>
    <t>1. B21 [CLASH] — The file says cash is the balance of every account whose class is Cash. The code (cashTotal) also adds the CASH PORTION of a connected account's class breakdown — a brokerage that is 10% cash contributes that 10%. The file's formula misses that path entirely, so it understates cash for anyone with a connected account.</t>
  </si>
  <si>
    <t>MK-NW-M-006</t>
  </si>
  <si>
    <t>🏠 PERSONAL PROPERTY</t>
  </si>
  <si>
    <t>sectionTotals</t>
  </si>
  <si>
    <t>CORRECTED 2026-08-25 — this row used to name ACCOUNT_SHARE_OF_TOTAL. Personal property is its own total, worked out on the screen, not a share of a total.</t>
  </si>
  <si>
    <t>1. A06 — S01 says COMPLETE, 163 of 163 carry both forms of the formula. MK-NW-M-006 carries neither. It is 162 of 163.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</si>
  <si>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MK-NW-M-007</t>
  </si>
  <si>
    <t>class rows — by class, institution or type</t>
  </si>
  <si>
    <t>classRows</t>
  </si>
  <si>
    <t>assetAllocation</t>
  </si>
  <si>
    <t>MK-NW-F-029</t>
  </si>
  <si>
    <t>value in class k = Σ(balance of accounts in class k);  share(k) = value(k) ÷ Σ value</t>
  </si>
  <si>
    <t>For every account: if it has its own breakdown (an account holding several classes at once), add each piece to its own class. Otherwise put the WHOLE balance in the one class the account resolves to. Round each total to the cent at the end, never during.
The totals must add to total assets — this is what the donut draws, so any leak shows as a wrong slice.</t>
  </si>
  <si>
    <t>1. each account's class → assetClassOf  [MK-XS-I-048]
2. each account's money → balance  [MK-XS-I-001]
3. any split → accountClassBreakdown  [NOT AN INPUT — another engine’s answer; see the dependency column]</t>
  </si>
  <si>
    <t>One figure per category  [derived by rule — confirm]</t>
  </si>
  <si>
    <t>1. MK-ST-F-010 nameEvidence → MK-NW-F-008 incomeBearingClassOf → MK-NW-F-011 assetClassOf → MK-NW-F-027 accountClassBreakdown → MK-NW-F-029 assetAllocation
2. MK-ST-F-010 nameEvidence → MK-NW-F-008 incomeBearingClassOf → MK-NW-F-027 accountClassBreakdown → MK-NW-F-029 assetAllocation
3. MK-ST-F-055 round2 → MK-NW-F-027 accountClassBreakdown → MK-NW-F-029 assetAllocation
4. MK-ST-F-010 nameEvidence → MK-NW-F-008 incomeBearingClassOf → MK-NW-F-011 assetClassOf → MK-NW-F-029 assetAllocation
5. MK-ST-F-055 round2 → MK-NW-F-029 assetAllocation</t>
  </si>
  <si>
    <t>1. MK-NW-F-029 — If balance is missing it counts as zero, so nothing recorded and a real zero look the same.
2. MK-NW-F-027 — If cash balance is missing it uses 0.
3. MK-NW-F-027 — If shares is missing it counts as zero, so nothing recorded and a real zero look the same.
4. MK-NW-F-027 — If value is missing it counts as zero, so nothing recorded and a real zero look the same.
5. MK-NW-F-027 — If balance is missing it counts as zero, so nothing recorded and a real zero look the same.
6. MK-ST-F-055 — Multiplies by 100 — a percentage, or an option contract treated as 100 shares. Worth checking which.
7. MK-ST-F-055 — Rounds the answer to a whole number.</t>
  </si>
  <si>
    <t>DECIDES the class of every asset before it can group them, and DECIDES the words shown for each class. The classifying rule itself is engine MK-ST-E-xxx — see the asset-classification standard.</t>
  </si>
  <si>
    <t>Q10 — What order of evidence decides an asset's class? Draft: the institution's own class field, then the shape of the identifier (option symbols, nine-character bond numbers, currency codes), then words in the name, then ask you.
Q11 — When nothing matches: refuse the line and ask, or park it as unclassified? Parking keeps the totals right and hides a gap; refusing is honest and stops the import.
Q12 — Does the person's own answer always win and stick, even when the next sync disagrees? That is today's rule for holdings — confirm it holds for every class.
Q13 — Commodities: is a fund that tracks gold (GLD) simply a fund with a "commodity" label for allocation, and do you want PHYSICAL metal — weight, unit, purity, storage, spot price — supported at launch?</t>
  </si>
  <si>
    <t>1. A50 — The import road calls the classification engine without the institution type, the institution sub-type or the person's own answer, and hard-codes hasSecurityIdentity to true (src/domain/import/holdingsImport.ts:137). So the engine's first two rules — the person's own answer outranks the institution, and a fund the institution itself declares to be money-market — cannot fire on an imported holding, which is the road most holdings arrive by.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</si>
  <si>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MK-NW-M-008</t>
  </si>
  <si>
    <t>each account and its balance</t>
  </si>
  <si>
    <t>a.balance</t>
  </si>
  <si>
    <t>accountClassBreakdown</t>
  </si>
  <si>
    <t>MK-NW-F-027</t>
  </si>
  <si>
    <t>for one account: value in class k = balance × weight(k), where Σ weight(k) = 1</t>
  </si>
  <si>
    <t>WHY IT EXISTS. Your Vanguard account is not one thing. It might hold a CD, a money-market fund, some shares, and a little uninvested cash. Showing it as one lump under a single heading would be wrong four ways at once.
HOW IT SPLITS. Start with the uninvested cash. Then place each holding by reading its NAME first — a money-market fund goes with the shares, a CD goes with the bonds — and only fall back to the broker's own label when the name tells us nothing.
THE LEFTOVER. Add the pieces up and they rarely match the broker's total to the penny. What to do with the difference matters more than it sounds.
A WORKED EXAMPLE, AND IT IS YOUR OWN FINDING. Say the account totals $10,100 and holds one CD worth $10,000. There is $100 unaccounted for. The app used to add it to the biggest holding — so your $100 of spare cash was reported as MORE CD. You asked "why is cash added to CD and not cash?", and you were right: it is money sitting there, not another certificate you own. A small positive leftover is now cash.
(If the pieces come to MORE than the broker's total, that is a pricing quirk rather than money, and it goes to the largest holding — putting it in cash would show you a negative cash balance, which reads worse than a rounding nudge.)</t>
  </si>
  <si>
    <t>1. the account → a  [MK-XS-I-001]
2. its total → balance  [MK-XS-I-001]
3. uninvested → cash_balance  [MK-XS-I-001]
4. holdings → positions[]  [MK-XS-I-004]
5. options → option_holdings[]  [MK-XS-I-034]</t>
  </si>
  <si>
    <t>A count · whole units, except crypto which keeps its fractions  [derived by rule — confirm]</t>
  </si>
  <si>
    <t>1. MK-XS-E-008 (ASSET_CLASS_OF_ACCOUNT) → What kind of thing is this account — cash, a bond, shares, or something else?
2. MK-XS-E-016 (CLASS_FROM_NAME_TEXT) → Reading the NAME alone, is this cash, a money-market fund, or a CD / T-bill?</t>
  </si>
  <si>
    <t>1. MK-ST-F-010 nameEvidence → MK-NW-F-008 incomeBearingClassOf → MK-NW-F-011 assetClassOf → MK-NW-F-027 accountClassBreakdown
2. MK-ST-F-010 nameEvidence → MK-NW-F-008 incomeBearingClassOf → MK-NW-F-027 accountClassBreakdown
3. MK-ST-F-055 round2 → MK-NW-F-027 accountClassBreakdown</t>
  </si>
  <si>
    <t>1. MK-NW-F-027 — If cash balance is missing it uses 0.
2. MK-NW-F-027 — If shares is missing it counts as zero, so nothing recorded and a real zero look the same.
3. MK-NW-F-027 — If value is missing it counts as zero, so nothing recorded and a real zero look the same.
4. MK-NW-F-027 — If balance is missing it counts as zero, so nothing recorded and a real zero look the same.
5. MK-ST-F-055 — Multiplies by 100 — a percentage, or an option contract treated as 100 shares. Worth checking which.
6. MK-ST-F-055 — Rounds the answer to a whole number.</t>
  </si>
  <si>
    <t>DECIDES which class each holding inside one account belongs to, then how much of the account total sits in each.</t>
  </si>
  <si>
    <t>Reported by the 54-item audit as one of the places a total and its parts can disagree; the reconciliation assertion now catches it, but the screen has no way to say so yet.</t>
  </si>
  <si>
    <t>Q14 — What should a MIXED account be called on screen, when it holds several classes at once?</t>
  </si>
  <si>
    <t>1. B15 [MISNAMED] — The formula claims to split ANY account into its classes — value in class k = balance × weight(k). The first line of the function it names (accountClassBreakdown) is "nothing when the account is not CONNECTED". For a typed or imported account it answers nothing, and the formula does not say so.</t>
  </si>
  <si>
    <t>MK-NW-M-009</t>
  </si>
  <si>
    <t>WHAT YOU OWE · 💳 DEBTS</t>
  </si>
  <si>
    <t>dState.total_debt_balance</t>
  </si>
  <si>
    <t>buildDebtState</t>
  </si>
  <si>
    <t>MK-CF-F-036</t>
  </si>
  <si>
    <t>owed = Σ(remaining balance);  monthly debt payments = Σ(required payment of each debt)</t>
  </si>
  <si>
    <t>Total the balances. Find the highest-rate debt. Add up separately the balances above the rate we treat as dangerous.
TWO MONTHLY FIGURES ARE KEPT DELIBERATELY: the minimum that must be paid to stay current, and what is actually going out. Confusing them misstates affordability in one direction or the other.
No debts gives zero and nothing to point at.</t>
  </si>
  <si>
    <t>1. every debt → debts  [MK-XS-I-014]
2. rates → interest_rate_apr  [MK-XS-I-015]
3. payments → the minimum and chosen payments  [MK-XS-I-016]</t>
  </si>
  <si>
    <t>One figure per debt, and one total per person  [derived by rule — confirm]</t>
  </si>
  <si>
    <t>1. MK-XS-E-017 (DEBT_MINIMUM_TOTAL) → What must I pay across all debts to stay current?
2. MK-XS-E-018 (DEBT_PAYMENTS_ACTUAL) → What is actually going out on debt each month?</t>
  </si>
  <si>
    <t>1. MK-ST-F-055 round2 → MK-CF-F-026 actualDebtPayment → MK-CF-F-036 buildDebtState
2. MK-CF-F-021 defaultPaymentType → MK-CF-F-022 paymentShape → MK-CF-F-023 requiredPayment → MK-CF-F-024 totalDebtMonthly → MK-CF-F-026 actualDebtPayment → MK-CF-F-036 buildDebtState
3. MK-CF-F-021 defaultPaymentType → MK-CF-F-022 paymentShape → MK-CF-F-025 minimumDebtService → MK-CF-F-036 buildDebtState
4. MK-ST-F-055 round2 → MK-CF-F-025 minimumDebtService → MK-CF-F-036 buildDebtState
5. MK-ST-F-055 round2 → MK-CF-F-036 buildDebtState</t>
  </si>
  <si>
    <t>1. MK-CF-F-036 — Leaves some rows out of the answer — check which.
2. MK-CF-F-025 — If minimum monthly payment is missing it counts as zero, so nothing recorded and a real zero look the same.
3. MK-ST-F-055 — Multiplies by 100 — a percentage, or an option contract treated as 100 shares. Worth checking which.
4. MK-ST-F-055 — Rounds the answer to a whole number.
5. MK-CF-F-023 — If monthly payment is missing it uses 0.</t>
  </si>
  <si>
    <t>1. B19 [ONE FORMULA] — Four figures share one formula naming buildDebtState — what is owed, each debt's balance, the MONTHLY DEBT PAYMENT, and net worth. buildDebtState returns the total owed; the monthly payment comes from a different function (requiredPayment, summed), and net worth is a different figure again.</t>
  </si>
  <si>
    <t>MK-NW-M-010</t>
  </si>
  <si>
    <t>each debt and what is left on it</t>
  </si>
  <si>
    <t>d.remaining_balance</t>
  </si>
  <si>
    <t>MK-NW-M-011</t>
  </si>
  <si>
    <t>minimum monthly payment on a debt</t>
  </si>
  <si>
    <t>d.minimum_monthly_payment</t>
  </si>
  <si>
    <t>requiredPayment</t>
  </si>
  <si>
    <t>MK-CF-F-023</t>
  </si>
  <si>
    <t>required payment = the stated minimum, or interest + 1% of balance when none is stated</t>
  </si>
  <si>
    <t>Due in full → 0. It is a dated bill, and calling it a monthly payment overstates what a person is committed to. Otherwise the LARGER of the minimum and whatever payment they have chosen, so overpaying on purpose shows up.</t>
  </si>
  <si>
    <t>1. shape → paymentShape  [MK-XS-I-042]
2. minimum → minimum_monthly_payment  [MK-XS-I-016]
3. chosen → monthly_payment  [MK-XS-I-041]</t>
  </si>
  <si>
    <t>MK-XS-E-019 (DEBT_SHAPE) → How is THIS debt repaid?</t>
  </si>
  <si>
    <t>MK-CF-F-021 defaultPaymentType → MK-CF-F-022 paymentShape → MK-CF-F-023 requiredPayment</t>
  </si>
  <si>
    <t>MK-CF-F-023 — If monthly payment is missing it uses 0.</t>
  </si>
  <si>
    <t>1. A51 — When a debt states no minimum payment the required payment is taken as the interest plus one percent of the balance. Where the one percent comes from is not said, it is not marked as anyone's decision, and it sets both the payoff date and the monthly debt figure on the cash-flow screen.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</si>
  <si>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B01 [CLASH] — The file says the required payment is "the stated minimum, or interest + 1% of balance when none is stated". The code (requiredPayment, src/domain/debt/index.ts:44) is the LARGER of the stated minimum and the payment the person chose, falling back to the stated minimum — and ZERO for a debt due in full as a lump. There is no interest term and no 1% anywhere in the debt code. The file describes a rule that was never built.</t>
  </si>
  <si>
    <t>MK-NW-M-012</t>
  </si>
  <si>
    <t>Monthly debt payments $X/mo</t>
  </si>
  <si>
    <t>dState.total_monthly_debt_service</t>
  </si>
  <si>
    <t>MK-NW-M-013</t>
  </si>
  <si>
    <t>EMERGENCY CUSHION — X.X months</t>
  </si>
  <si>
    <t>runwayMonths</t>
  </si>
  <si>
    <t>cushion in months = cash ÷ essentials a month</t>
  </si>
  <si>
    <t>Months · one decimal  [derived by rule — confirm]</t>
  </si>
  <si>
    <t>MK-NW-M-014</t>
  </si>
  <si>
    <t>of essentials covered by your cash — $X cash ÷ $Y/mo essentials</t>
  </si>
  <si>
    <t>cashOnHand / monthlySpend</t>
  </si>
  <si>
    <t>1. cashTotal
2. plannedMonthlySpend</t>
  </si>
  <si>
    <t>1. MK-NW-F-016
2. MK-CF-F-002</t>
  </si>
  <si>
    <t>months of cushion = cash ÷ essentials a month</t>
  </si>
  <si>
    <t>Add up the balances of every account whose class is Cash. Under the founder's 2026-08-04 rule that means checking, savings, high-yield savings and the uninvested sweep at a broker — and NOT money-market funds, which pay dividends and are measured with the investments. · The LARGER of two answers: the categories added up, or the single monthly figure they typed.
The larger wins deliberately. Someone may answer both and the two rarely agree, and understating spending is the direction that FLATTERS a plan — it makes the odds look better than they are. Taking the larger errs toward the cautious side.</t>
  </si>
  <si>
    <t>1. each account's class → assetClassOf  [MK-XS-I-048]
2. each account's money → balance  [MK-XS-I-001]
3. the categories → SPENDING_BY_KIND  [MK-XS-I-032]
4. the single figure → monthlySpending  [MK-XS-I-024, MK-XS-I-030]</t>
  </si>
  <si>
    <t>1. MK-XS-E-015 (ACCOUNT_SPLIT) → This one brokerage account holds several different things — how much of it is each?
2. MK-XS-E-008 (ASSET_CLASS_OF_ACCOUNT) → What kind of thing is this account — cash, a bond, shares, or something else?
3. MK-XS-E-020 (READ_A_NUMBER) → What number did the person actually type?
4. MK-XS-E-021 (SPENDING_BY_KIND) → What is spent each month, split by kind?</t>
  </si>
  <si>
    <t>1. MK-ST-F-010 nameEvidence → MK-NW-F-008 incomeBearingClassOf → MK-NW-F-011 assetClassOf → MK-NW-F-027 accountClassBreakdown → MK-NW-F-016 cashTotal
2. MK-ST-F-010 nameEvidence → MK-NW-F-008 incomeBearingClassOf → MK-NW-F-027 accountClassBreakdown → MK-NW-F-016 cashTotal
3. MK-ST-F-055 round2 → MK-NW-F-027 accountClassBreakdown → MK-NW-F-016 cashTotal
4. MK-ST-F-010 nameEvidence → MK-NW-F-008 incomeBearingClassOf → MK-NW-F-011 assetClassOf → MK-NW-F-016 cashTotal
5. MK-ST-F-055 round2 → MK-NW-F-016 cashTotal
6. MK-CF-F-069 benefitActiveMonths → MK-CF-F-092 incomeMonthlyGrid → MK-CF-F-002 plannedMonthlySpend
7. MK-ST-F-052 toNum → MK-CF-F-075 retirementIncomeMonthly → MK-CF-F-072 currentRetirementIncomeMonthly → MK-CF-F-092 incomeMonthlyGrid → MK-CF-F-002 plannedMonthlySpend
8. MK-ST-F-052 toNum → MK-CF-F-062 equityRowValue → MK-CF-F-065 equityVestWeights → MK-CF-F-092 incomeMonthlyGrid → MK-CF-F-002 plannedMonthlySpend
9. MK-CF-F-069 benefitActiveMonths → MK-CF-F-070 benefitAnnual → MK-CF-F-071 extraIncome → MK-CF-F-092 incomeMonthlyGrid → MK-CF-F-002 plannedMonthlySpend
10. MK-ST-F-052 toNum → MK-CF-F-070 benefitAnnual → MK-CF-F-071 extraIncome → MK-CF-F-092 incomeMonthlyGrid → MK-CF-F-002 plannedMonthlySpend
11. MK-ST-F-055 round2 → MK-CF-F-071 extraIncome → MK-CF-F-092 incomeMonthlyGrid → MK-CF-F-002 plannedMonthlySpend
12. MK-ST-F-052 toNum → MK-CF-F-071 extraIncome → MK-CF-F-092 incomeMonthlyGrid → MK-CF-F-002 plannedMonthlySpend
13. MK-CF-F-101 taxOwedFor → MK-CF-F-102 effectiveRateOnGrossFor → MK-CF-F-090 effectiveRate → MK-CF-F-087 monthlyTaxRates → MK-CF-F-092 incomeMonthlyGrid → MK-CF-F-002 plannedMonthlySpend
14. … and 45 more paths</t>
  </si>
  <si>
    <t>1. MK-NW-F-016 — If balance is missing it counts as zero, so nothing recorded and a real zero look the same.
2. MK-NW-F-027 — If cash balance is missing it uses 0.
3. MK-NW-F-027 — If shares is missing it counts as zero, so nothing recorded and a real zero look the same.
4. MK-NW-F-027 — If value is missing it counts as zero, so nothing recorded and a real zero look the same.
5. MK-NW-F-027 — If balance is missing it counts as zero, so nothing recorded and a real zero look the same.
6. MK-ST-F-055 — Multiplies by 100 — a percentage, or an option contract treated as 100 shares. Worth checking which.
7. MK-ST-F-055 — Rounds the answer to a whole number.
8. MK-CF-F-002 — Treats a year as twelve equal months.
9. MK-CF-F-092 — Treats a year as twelve equal months.
10. MK-CF-F-092 — Uses today's date from the device clock, so the answer changes by itself overnight.
11. MK-CF-F-069 — Leaves some rows out of the answer — check which.
12. MK-CF-F-065 — Uses a built-in total v of 0.
13. MK-CF-F-071 — Treats a year as twelve equal months.
14. MK-CF-F-087 — Uses today's date from the device clock, so the answer changes by itself overnight.
15. MK-CF-F-068 — Turns a monthly figure into a year by multiplying by twelve.
16. MK-CF-F-066 — Leaves some rows out of the answer — check which.
17. MK-CF-F-077 — Uses a built-in i of 0.
18. MK-CF-F-077 — Treats a year as twelve equal months.
19. MK-CF-F-003 — Treats a year as twelve equal months.
20. MK-CF-F-003 — Turns a monthly figure into a year by multiplying by twelve.
21. MK-CF-F-089 — Uses today's date from the device clock, so the answer changes by itself overnight.
22. MK-CF-F-088 — Treats a year as twelve equal months.
23. MK-CF-F-088 — Uses today's date from the device clock, so the answer changes by itself overnight.
24. MK-CF-F-067 — Leaves some rows out of the answer — check which.
25. MK-CF-F-063 — Uses today's date from the device clock, so the answer changes by itself overnight.
… and 8 more, on the functions tab</t>
  </si>
  <si>
    <t>1. B03 [CLASH] — The file says "months of cushion = cash ÷ ESSENTIALS a month". The figure routes through plannedMonthlySpend (src/domain/budget/index.ts:45), which is the larger of every planned category added up and the stated total — ALL spending, wants included. A monthlyEssentials function exists three screens away (line 158) and separates needs from wants; this figure does not call it. Dividing by a bigger number makes the cushion read SHORTER than it is, which is the safe direction but is still not what the label says.</t>
  </si>
  <si>
    <t>MK-NW-M-015</t>
  </si>
  <si>
    <t>YOUR RETIREMENT PLAN — on track for $X by age Y</t>
  </si>
  <si>
    <t>pathAhead</t>
  </si>
  <si>
    <t>projectNestEgg</t>
  </si>
  <si>
    <t>MK-PL-F-055</t>
  </si>
  <si>
    <t>pot = balance × (1 + r)^n + Σ(contribution × (1 + r)^(n − year)),  n = years to retirement</t>
  </si>
  <si>
    <t>TWO FIGURES, no random runs anywhere in this one — it is the straight-line check beside the 1,000-run odds.
WHAT YOU WILL HAVE. Today's pot grown at your expected return for the years until you retire, plus every year's saving grown for however many years it has left. Worked at 6%: $600,000 today over 7 years becomes $902,000; $24,000 saved each of those years adds about $201,000; $1,103,000 in all.
WHAT YOU WILL NEED — the target pot. Walk every retirement year one at a time, from the year you retire to the age you plan to. In each year: take that year's spending, take off the guaranteed income you receive that year, and that difference is what the pot must hand you. Bring each of those amounts back to a retirement-year value by dividing by your expected return once for every year you have to wait for it. Add them all up. That total is the pot that pays for the whole plan.
Two rules ride along: spending rises with inflation every year, and so does Social Security, but a pension stays flat.
WHY THE NUMBER IS SMALLER THAN THE SUM OF THE SPENDING. Money you do not need until year fifteen keeps earning until then, so you need less than fifteen years' spending set aside today.
MONEY IS NEEDED AT THE START OF ITS YEAR. The first retirement year's spending is not discounted at all — January's groceries cannot be paid out of December's growth. Some published calculators charge each year at its END, which gives every year one more year of growth and reports a target about (1 + return) / (1 + inflation) smaller — roughly 3% lower at a 6% return and 2.5% inflation. Neither is wrong; ours is the cautious side, and the difference is a timing convention, not a disagreement about the arithmetic.
HOW IT DIFFERS FROM THE 25 x YARDSTICK reported by the odds engine: this one knows how long you plan for and what your money earns; the yardstick knows neither.</t>
  </si>
  <si>
    <t>the same inputs → inp  [MK-XS-I-001]</t>
  </si>
  <si>
    <t>Age in whole years  [derived by rule — confirm]</t>
  </si>
  <si>
    <t>No figure when there is nothing to grow, or when retirement is not ahead of the person.</t>
  </si>
  <si>
    <t>From today to the retirement age in the plan  [derived by rule — confirm]</t>
  </si>
  <si>
    <t>MK-XS-E-005 (WILL_IT_LAST) → Will my money last?</t>
  </si>
  <si>
    <t>1. MK-ST-F-055 round2 → MK-PL-F-055 projectNestEgg
2. MK-ST-F-024 rmdStartAge → MK-ST-F-025 rmdStartAgeFromAge → MK-PL-F-050 simulate → MK-PL-F-055 projectNestEgg
3. MK-ST-F-055 round2 → MK-PL-F-050 simulate → MK-PL-F-055 projectNestEgg</t>
  </si>
  <si>
    <t>1. MK-PL-F-055 — If contribution growth is missing it uses 0.
2. MK-PL-F-055 — If monthly is missing it counts as zero, so nothing recorded and a real zero look the same.
3. MK-PL-F-055 — Uses a built-in y of 0.
4. MK-PL-F-055 — Uses a built-in need of 0.
5. MK-PL-F-055 — Turns a monthly figure into a year by multiplying by twelve.
6. MK-ST-F-055 — Multiplies by 100 — a percentage, or an option contract treated as 100 shares. Worth checking which.
7. MK-ST-F-055 — Rounds the answer to a whole number.
8. MK-PL-F-050 — If paths is missing it uses 500.
9. MK-PL-F-050 — If seed is missing it uses 12345.
10. MK-PL-F-050 — If now year is missing it uses 2026.
11. MK-PL-F-050 — If contribution growth is missing it uses 0.
12. MK-PL-F-050 — If pre tax share is missing it uses 0.
13. MK-PL-F-050 — If required withdrawal tax rate is missing it uses 22%.
14. MK-PL-F-050 — If monthly is missing it counts as zero, so nothing recorded and a real zero look the same.
15. MK-PL-F-050 — If one off by year[off] is missing it counts as zero, so nothing recorded and a real zero look the same.
16. MK-PL-F-050 — If recurring by year[y] is missing it counts as zero, so nothing recorded and a real zero look the same.
17. MK-PL-F-050 — If contrib by year[y] is missing it counts as zero, so nothing recorded and a real zero look the same.
18. MK-PL-F-050 — Uses a built-in y of 1.
19. MK-PL-F-050 — Uses a built-in successes of 0.
20. MK-PL-F-050 — Uses a built-in p of 0.
21. MK-PL-F-050 — Uses a built-in y of 0.
22. MK-PL-F-050 — Treats a year as twelve equal months.
23. MK-PL-F-050 — Turns a monthly figure into a year by multiplying by twelve.
24. MK-PL-F-050 — Multiplies by 100 — a percentage, or an option contract treated as 100 shares. Worth checking which.
25. MK-PL-F-050 — Rounds the answer to a whole number.</t>
  </si>
  <si>
    <t>The Net worth screen builds this projection WITHOUT the person's big costs, while Cash flow, Budget, Goals and Social Security timing all include them. Same person, same day, two different nest eggs. Seen in the code; not yet confirmed on screen.</t>
  </si>
  <si>
    <t>[Founder] The recommended nest egg is 25× the yearly spending not covered by guaranteed income, counted from the start of the retirement year — which is why it differs from an outside calculator.
[Built in] The assumed rate of return, which the person can change on the cockpit.
[The person] The retirement age in their plan.</t>
  </si>
  <si>
    <t>THE SAME FIGURE AS MK-PL-M-033 — The projected pot at retirement, shown on Net worth as "on track for $X by age Y" and on the cockpit as "your $X grows to $Y". One figure, two screens — the founder spotted this one himself.</t>
  </si>
  <si>
    <t>Q18 — Net worth projects the pot WITHOUT your big costs; Cash flow, Budget, Goals and Social Security timing all include them. Which is right for the Net worth screen?</t>
  </si>
  <si>
    <t>1. A44 — Retirement pot: the file writes pot = balance × (1+r)^n + Σ(contribution × (1+r)^(n−year)) and stops there. Three things the code settles and the file does not: a contribution is treated as arriving at the END of its year, which changes the answer by a factor of (1+r) against the other reading; contributions grow at their own rate, which DEFAULTS TO ZERO when nobody sets one; and r is a nominal return, with inflation applied to the spending side rather than here — so whether the headline is in today's money depends on a convention stated nowhere. (projectNestEgg, src/domain/retirement/index.ts:324.)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A18 — "Treats a year as twelve equal months" fires on any division by 12, a month index included; "Treats a month as 30 days" fires on any multiplication by 30. Neither is read as arithmetic, so both carry false positives.
5.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</si>
  <si>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B11 [CLASH] — The file writes the pot as balance × (1+r)^n + Σ(contribution × (1+r)^(n−year)). The code (projectNestEgg) also grows each year's contribution at its own rate, (1+g)^y, and compounds it for (n − y − 1) years — an END-of-year contribution. Neither the growth rate nor the year convention is in the file, and the convention alone moves the answer by a factor of (1+r). Also finding A44.</t>
  </si>
  <si>
    <t>MK-NW-M-016</t>
  </si>
  <si>
    <t>Net worth so far (setup)</t>
  </si>
  <si>
    <t>THE SAME FIGURE AS MK-XS-M-001 — Net worth. "Net worth so far" during setup is the same figure as the headline, mid-way through entry.</t>
  </si>
  <si>
    <t>MK-NW-M-017</t>
  </si>
  <si>
    <t>Assets $X − Debts $Y = Net worth $Z</t>
  </si>
  <si>
    <t>totalAssets / dState.total_debt_balance</t>
  </si>
  <si>
    <t>1. buildNetWorth
2. buildDebtState</t>
  </si>
  <si>
    <t>1. MK-NW-F-065
2. MK-CF-F-036</t>
  </si>
  <si>
    <t>net worth = Σ(assets) − Σ(debts);  debts = Σ(remaining balance of each debt)</t>
  </si>
  <si>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 · Total the balances. Find the highest-rate debt. Add up separately the balances above the rate we treat as dangerous.
TWO MONTHLY FIGURES ARE KEPT DELIBERATELY: the minimum that must be paid to stay current, and what is actually going out. Confusing them misstates affordability in one direction or the other.
No debts gives zero and nothing to point at.</t>
  </si>
  <si>
    <t>1. everything owned → grossAssets  [MK-XS-I-001]
2. everything owed → grossDebt  [MK-XS-I-014]
3. every debt → debts  [MK-XS-I-014]
4. rates → interest_rate_apr  [MK-XS-I-015]
5. payments → the minimum and chosen payments  [MK-XS-I-016]</t>
  </si>
  <si>
    <t>1. MK-ST-F-055 round2 → MK-NW-F-065 buildNetWorth
2. MK-ST-F-055 round2 → MK-CF-F-026 actualDebtPayment → MK-CF-F-036 buildDebtState
3. MK-CF-F-021 defaultPaymentType → MK-CF-F-022 paymentShape → MK-CF-F-023 requiredPayment → MK-CF-F-024 totalDebtMonthly → MK-CF-F-026 actualDebtPayment → MK-CF-F-036 buildDebtState
4. MK-CF-F-021 defaultPaymentType → MK-CF-F-022 paymentShape → MK-CF-F-025 minimumDebtService → MK-CF-F-036 buildDebtState
5. MK-ST-F-055 round2 → MK-CF-F-025 minimumDebtService → MK-CF-F-036 buildDebtState
6. MK-ST-F-055 round2 → MK-CF-F-036 buildDebtState</t>
  </si>
  <si>
    <t>1. MK-ST-F-055 — Multiplies by 100 — a percentage, or an option contract treated as 100 shares. Worth checking which.
2. MK-ST-F-055 — Rounds the answer to a whole number.
3. MK-CF-F-036 — Leaves some rows out of the answer — check which.
4. MK-CF-F-025 — If minimum monthly payment is missing it counts as zero, so nothing recorded and a real zero look the same.
5. MK-CF-F-023 — If monthly payment is missing it uses 0.</t>
  </si>
  <si>
    <t>MK-NW-M-018</t>
  </si>
  <si>
    <t>/account-detail</t>
  </si>
  <si>
    <t>Market value</t>
  </si>
  <si>
    <t>account.balance</t>
  </si>
  <si>
    <t>valueFreshness</t>
  </si>
  <si>
    <t>MK-NW-F-003</t>
  </si>
  <si>
    <t>value = the balance last recorded;  age = today − date it was recorded</t>
  </si>
  <si>
    <t>Months between the date the value was set and today. Six months or more → stale.
A LIVE-PRICED account returns nothing: its value comes from today's prices, so staleness is not a question that applies to it. A value with no date recorded also returns nothing rather than being assumed fresh.</t>
  </si>
  <si>
    <t>1. the account → a  [MK-XS-I-001]
2. when the value was set → value_as_of  [MK-XS-I-033]
3. today → now  [NOT AN INPUT — a setting or a filter, not data anyone supplies]</t>
  </si>
  <si>
    <t>Always answers, but carries the age of the figure and warns once it is stale.</t>
  </si>
  <si>
    <t>1. MK-NW-F-003 — Turns a monthly figure into a year by multiplying by twelve.
2. MK-NW-F-003 — Uses today's date from the device clock, so the answer changes by itself overnight.</t>
  </si>
  <si>
    <t>DECIDES whether a stated value is fresh enough to show without a warning.</t>
  </si>
  <si>
    <t>THE SURVIVING IDENTIFIER for this figure. Folded in: MK-PL-M-016. An account's value. The balance listed under required withdrawals is the same figure as Market value on account detail.</t>
  </si>
  <si>
    <t>Q23 — Same question for a value you typed by hand: after how long should the app ask you to check it?</t>
  </si>
  <si>
    <t>1. B14 [MISNAMED] — The figure is "the balance last recorded". The function it names, MK-NW-F-003 valueFreshness, answers HOW OLD that balance is — and answers nothing at all for a live-priced account. It does not produce the value. The age half of the formula matches; the value half has no function behind it.</t>
  </si>
  <si>
    <t>MK-NW-M-019</t>
  </si>
  <si>
    <t>Income</t>
  </si>
  <si>
    <t>acctIncome</t>
  </si>
  <si>
    <t>income = Σ(interest + dividends recorded on this account in the period)</t>
  </si>
  <si>
    <t>Adds the income lines the ledger holds for this account over the period shown.</t>
  </si>
  <si>
    <t>Q15 — An institution word we do not recognise: refuse the line and ask you, or book it as unclassified with no direction? The old sign-guess is what minted the $1.4 million.</t>
  </si>
  <si>
    <t>MK-NW-M-020</t>
  </si>
  <si>
    <t>each asset class inside the account</t>
  </si>
  <si>
    <t>breakdown[k]</t>
  </si>
  <si>
    <t>MK-NW-M-021</t>
  </si>
  <si>
    <t>Income: &lt;amount&gt; on a holding row</t>
  </si>
  <si>
    <t>incomeOf(rw)</t>
  </si>
  <si>
    <t>income = Σ(income lines recorded against this holding)</t>
  </si>
  <si>
    <t>Adds the income the ledger holds for that one holding.</t>
  </si>
  <si>
    <t>One figure per holding  [derived by rule — confirm]</t>
  </si>
  <si>
    <t>MK-NW-M-022</t>
  </si>
  <si>
    <t>ACTIVITY — n records</t>
  </si>
  <si>
    <t>txns.length</t>
  </si>
  <si>
    <t>mergeHistoryFrom</t>
  </si>
  <si>
    <t>MK-XS-F-111</t>
  </si>
  <si>
    <t>records = count(transactions held for this account)</t>
  </si>
  <si>
    <t>Take the earliest valid date in this sync and keep whichever is earlier — it or what we already had. Depth only ever grows; a shallower sync never shortens it. Unreadable dates are ignored, and a sync with no activity leaves the answer untouched.
It exists because brokers back-fill DIFFERENT depths — one sends a year, the next ninety days. Without knowing the depth, a "past year" income figure silently understates, so year-scale figures label themselves with this date.</t>
  </si>
  <si>
    <t>1. what we knew → existing  [NOT AN INPUT — another engine’s answer; see the dependency column]
2. the dates in this sync → activityDates  [NOT AN INPUT — another engine’s answer; see the dependency column]</t>
  </si>
  <si>
    <t>MK-XS-F-111 — Leaves some rows out of the answer — check which.</t>
  </si>
  <si>
    <t>1. B12 [MISNAMED] — The figure is a COUNT of records. The function it names, MK-XS-F-111 mergeHistoryFrom, returns the earlier of two dates. The two have nothing to do with each other, so the figure has no function on record and does not know it.</t>
  </si>
  <si>
    <t>MK-NW-M-023</t>
  </si>
  <si>
    <t>Face value</t>
  </si>
  <si>
    <t>b.face</t>
  </si>
  <si>
    <t>bondInfo</t>
  </si>
  <si>
    <t>MK-NW-F-056</t>
  </si>
  <si>
    <t>face, coupon rate and maturity as recorded;  bonds total = Σ(value of each bond),  face total = Σ(face)</t>
  </si>
  <si>
    <t>Reads the stored bond fields off the holding and computes its yields. A holding with none of them is not a bond and returns nothing.</t>
  </si>
  <si>
    <t>the holding → position/account  [MK-XS-I-004]</t>
  </si>
  <si>
    <t>One figure per bond  [derived by rule — confirm]</t>
  </si>
  <si>
    <t>1. MK-NW-F-056 — If face value is missing it counts as zero, so nothing recorded and a real zero look the same.
2. MK-NW-F-056 — If coupon rate is missing it counts as zero, so nothing recorded and a real zero look the same.
3. MK-NW-F-056 — If balance is missing it counts as zero, so nothing recorded and a real zero look the same.</t>
  </si>
  <si>
    <t>DECIDES how a bond is NAMED on screen — issuer, or the identifying number, or a plain description; and DECIDES whether a line is a bond at all.</t>
  </si>
  <si>
    <t>Q01 — Is Quantity for a bond the FACE amount (e.g. 227,000) with the price quoted per $100 of face, or the number of bonds? It decides how value and gain are worked out.
Q02 — How should a bond be NAMED on screen? Draft: "US Treasury 4.25% Nov 2029", with the identifying number shown as a detail rather than the headline. Approve or rewrite.
Q03 — Certificates of deposit: under Fixed Income, or their own class? They carry a term, a rate and an early-withdrawal penalty that a bond does not.</t>
  </si>
  <si>
    <t>MK-NW-M-024</t>
  </si>
  <si>
    <t>Interest payments — X%/yr · $Y/yr</t>
  </si>
  <si>
    <t>annualCoupon(b)</t>
  </si>
  <si>
    <t>annualCoupon</t>
  </si>
  <si>
    <t>MK-NW-F-057</t>
  </si>
  <si>
    <t>annual coupon = face × coupon rate</t>
  </si>
  <si>
    <t>face value × coupon rate. NOT what the bond is worth today × the rate — a $10,000 bond paying 4% pays $400 whether it is trading at $9,800 or $11,000.</t>
  </si>
  <si>
    <t>1. face value → face  [MK-XS-I-011]
2. coupon rate → couponRate  [MK-XS-I-012]</t>
  </si>
  <si>
    <t>The last twelve months  [derived by rule — confirm]</t>
  </si>
  <si>
    <t>MK-ST-F-055 round2 → MK-NW-F-057 annualCoupon</t>
  </si>
  <si>
    <t>THE SURVIVING IDENTIFIER for this figure. Folded in: MK-NW-M-043. The coupon a bond pays in a year. "Interest payments" on account detail and "COUPON / YR" on the bonds screen.</t>
  </si>
  <si>
    <t>Q04 — "Annual income" on a bond: the last twelve months actually received, or the forward estimate from today's coupon? Both are defensible and they differ.</t>
  </si>
  <si>
    <t>1. A46 — Interest income falls back to a built-in 0.042 — described in the code as roughly the US Aggregate Bond yield — when a bond fund carries no rate of its own. No source, no year, and no re-check when the year rolls.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</si>
  <si>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MK-NW-M-025</t>
  </si>
  <si>
    <t>Matures — &lt;date&gt; (n years away)</t>
  </si>
  <si>
    <t>years</t>
  </si>
  <si>
    <t>yearsToMaturity</t>
  </si>
  <si>
    <t>MK-NW-F-058</t>
  </si>
  <si>
    <t>years to maturity = (maturity date − today) ÷ 365</t>
  </si>
  <si>
    <t>maturity date − today, in years. Anything already past → 0. No maturity date → 0, treated as due now rather than as never.</t>
  </si>
  <si>
    <t>1. maturity → maturity  [MK-XS-I-013]
2. today → now  [NOT AN INPUT — a setting or a filter, not data anyone supplies]</t>
  </si>
  <si>
    <t>A date  [derived by rule — confirm]</t>
  </si>
  <si>
    <t>This calendar year, to today  [derived by rule — confirm]</t>
  </si>
  <si>
    <t>MK-NW-F-058 — Uses today's date from the device clock, so the answer changes by itself overnight.</t>
  </si>
  <si>
    <t>1. A31 — This file says years to maturity is the gap divided by 365, and repeats it in the assumptions as "treats a year as 365 days". The code divides by 365.25.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</si>
  <si>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B08 [CLASH] — The file divides by 365 days; the code (yearsToMaturity) divides by 365.25. Also finding A31.</t>
  </si>
  <si>
    <t>MK-NW-M-026</t>
  </si>
  <si>
    <t>Yield if held to maturity</t>
  </si>
  <si>
    <t>ytm</t>
  </si>
  <si>
    <t>approxYTM</t>
  </si>
  <si>
    <t>MK-NW-F-060</t>
  </si>
  <si>
    <t>y solves: value = Σ(coupon ÷ (1+y)ᵗ) + face ÷ (1+y)ⁿ,  t = 1…n years to maturity</t>
  </si>
  <si>
    <t>Adds the pull back to face value to the running income:
(annual coupon + (face − value) ÷ years left) ÷ ((face + value) ÷ 2).
A bond bought below face gains as it matures, so this comes out above the current yield. Already matured, or no value → no answer, never zero.</t>
  </si>
  <si>
    <t>1. coupon → annualCoupon  [MK-XS-I-012]
2. face → face  [MK-XS-I-011]
3. value → value  [MK-XS-I-001]
4. years left → yearsToMaturity  [MK-XS-I-013]</t>
  </si>
  <si>
    <t>No answer once the bond has matured, and none without a price.</t>
  </si>
  <si>
    <t>1. MK-NW-E-016 (BOND_COUPON) → How much income does this bond pay in a year?
2. MK-NW-E-017 (BOND_YEARS_LEFT) → How long until this bond pays back?</t>
  </si>
  <si>
    <t>1. MK-ST-F-055 round2 → MK-NW-F-057 annualCoupon → MK-NW-F-060 approxYTM
2. MK-NW-F-058 yearsToMaturity → MK-NW-F-060 approxYTM</t>
  </si>
  <si>
    <t>1. MK-NW-F-060 — Uses today's date from the device clock, so the answer changes by itself overnight.
2. MK-NW-F-060 — Rounds the answer to a whole number.
3. MK-NW-F-058 — Uses today's date from the device clock, so the answer changes by itself overnight.
4. MK-ST-F-055 — Multiplies by 100 — a percentage, or an option contract treated as 100 shares. Worth checking which.
5. MK-ST-F-055 — Rounds the answer to a whole number.</t>
  </si>
  <si>
    <t>Q05 — Accrued interest: do we work it out ourselves — which needs a day-count rule per bond type — or only show what the institution gives us?</t>
  </si>
  <si>
    <t>1. A30 — Yield to maturity: this file states the root solve — value = Sum(coupon/(1+y)^t) + face/(1+y)^n. The code (src/domain/bonds/index.ts:37) is approxYTM, the straight-line approximation (coupon + (face-value)/n) / ((face+value)/2). Measured gap 4 to 27 basis points, widening with the discount and the maturity: a 25-year 2% bond priced at 60 reads 4.50% where the stated formula gives 4.77%. This is a figure the founder can check against a broker statement, so it is a kind-B reconciliation that will fail.
2. A33 — Yield to maturity is computed with annual compounding over whole-year periods. US bonds pay semi-annually and yield is quoted bond-equivalent (semi-annual, doubled). Neither the file nor the code says which convention it means, and the two do not agree.
3. A31 — This file says years to maturity is the gap divided by 365, and repeats it in the assumptions as "treats a year as 365 days". The code divides by 365.25.
4.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5.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6.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</si>
  <si>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B09 [CLASH] — The file states the root solve — the rate that discounts every coupon and the face value back to the price. The code (approxYTM) is the straight-line approximation, 4 to 27 basis points away. Also finding A30.</t>
  </si>
  <si>
    <t>MK-NW-M-027</t>
  </si>
  <si>
    <t>Yield on today's value</t>
  </si>
  <si>
    <t>cy</t>
  </si>
  <si>
    <t>currentYield</t>
  </si>
  <si>
    <t>MK-NW-F-059</t>
  </si>
  <si>
    <t>current yield = annual coupon ÷ current value</t>
  </si>
  <si>
    <t>annual coupon ÷ current value. A bond bought at a discount yields MORE than its stated coupon; one bought at a premium yields less. No value → no answer, never a division by zero.</t>
  </si>
  <si>
    <t>1. coupon → annualCoupon  [MK-XS-I-012]
2. what it is worth → value  [MK-XS-I-001]</t>
  </si>
  <si>
    <t>No value means no answer — never a division by zero.</t>
  </si>
  <si>
    <t>MK-NW-E-016 (BOND_COUPON) → How much income does this bond pay in a year?</t>
  </si>
  <si>
    <t>MK-ST-F-055 round2 → MK-NW-F-057 annualCoupon → MK-NW-F-059 currentYield</t>
  </si>
  <si>
    <t>1. MK-NW-F-059 — Rounds the answer to a whole number.
2. MK-ST-F-055 — Multiplies by 100 — a percentage, or an option contract treated as 100 shares. Worth checking which.
3. MK-ST-F-055 — Rounds the answer to a whole number.</t>
  </si>
  <si>
    <t>1. A47 — Current yield is the annual coupon over the recorded value. If that value is a dirty price it carries accrued interest and the yield is understated. Nowhere does the file say which of the two it is.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</si>
  <si>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MK-NW-M-028</t>
  </si>
  <si>
    <t>Rates rise 1% → value roughly $X–$Y</t>
  </si>
  <si>
    <t>sens.ratesUp</t>
  </si>
  <si>
    <t>change in value ≈ − duration × change in rate × value</t>
  </si>
  <si>
    <t>Shows roughly what a one percent move in interest rates would do to the bond's value. Longer to maturity means a bigger swing. An illustration, not a forecast.</t>
  </si>
  <si>
    <t>1. A32 — Rate sensitivity: this file states change in value = -duration x change in rate x value. The code computes no duration at all — it reprices every cash flow at the yield plus and minus one percent. It also rounds the remaining life to whole years and prices from the APPROXIMATE yield, so pricing the bond at its own current yield does not reproduce its own value; the delta is measured from a number the model cannot reproduce.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</si>
  <si>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MK-NW-M-029</t>
  </si>
  <si>
    <t>/holding-detail</t>
  </si>
  <si>
    <t>CURRENT PRICE · LIVE</t>
  </si>
  <si>
    <t>price</t>
  </si>
  <si>
    <t>price = the latest close from the feed, with the time it was fetched</t>
  </si>
  <si>
    <t>The most recent price the feed gave, carrying the moment it was fetched so staleness can be shown.</t>
  </si>
  <si>
    <t>MK-NW-M-030</t>
  </si>
  <si>
    <t>Current value</t>
  </si>
  <si>
    <t>value</t>
  </si>
  <si>
    <t>marketValue</t>
  </si>
  <si>
    <t>MK-PF-F-004</t>
  </si>
  <si>
    <t>value = quantity × latest price</t>
  </si>
  <si>
    <t>shares × latest price.
NO PRICE MEANS ZERO, NOT A GUESS. An unpriced holding contributes nothing and the screen says the price is missing — it is never valued at what it cost, which would silently report a gain of exactly zero.</t>
  </si>
  <si>
    <t>1. shares → totalShares  [MK-XS-I-004]
2. price → the latest close  [MK-XS-I-005]</t>
  </si>
  <si>
    <t>MK-XS-E-022 (HOLDING_SHARES) → How many shares of this do I own?</t>
  </si>
  <si>
    <t>1. MK-ST-F-055 round2 → MK-PF-F-004 marketValue
2. MK-PF-F-001 totalShares → MK-PF-F-004 marketValue</t>
  </si>
  <si>
    <t>1. MK-ST-F-055 — Multiplies by 100 — a percentage, or an option contract treated as 100 shares. Worth checking which.
2. MK-ST-F-055 — Rounds the answer to a whole number.
3. MK-PF-F-001 — If shares is missing it counts as zero, so nothing recorded and a real zero look the same.</t>
  </si>
  <si>
    <t>DECIDES whether a line is a share, a bond, an option, a crypto amount or a currency, because the units differ; and DECIDES the price to use when the feed has none.</t>
  </si>
  <si>
    <t>OPTIONS: value is quantity × price with no contract multiplier. An option is 100 shares per contract unless the broker states otherwise, so an option position may be reported at one hundredth of its real value. The ledger normalises a TRADE so units × price equals the broker's cash figure, but the holdings path does not. TO VERIFY AND FIX.</t>
  </si>
  <si>
    <t>[Founder] A price is a ratio, not money: it keeps eight decimal places and is never rounded to cents. Rounding a Treasury bill price of $0.9888 to $0.99 invented $276 of gain on one row.</t>
  </si>
  <si>
    <t>THE SURVIVING IDENTIFIER for this figure. Folded in: MK-NW-M-040. A holding's current value, on holding detail and again while itemising an account.</t>
  </si>
  <si>
    <t>Q06 — Options: is quantity held in CONTRACTS with the price per share (so value = contracts x 100 x price), or is the price already per contract? Today neither is applied and the value may be a hundredth of the truth.
Q07 — Crypto: how many decimal places should a quantity keep? Some coins are held in very small fractions.
Q08 — Foreign currency: is this cash held at an institution, or currency trading? And should that tab's "Dividend" row be "Interest"?</t>
  </si>
  <si>
    <t>MK-NW-M-031</t>
  </si>
  <si>
    <t>Quantity — n shares</t>
  </si>
  <si>
    <t>shares</t>
  </si>
  <si>
    <t>totalShares</t>
  </si>
  <si>
    <t>MK-PF-F-001</t>
  </si>
  <si>
    <t>quantity = Σ(shares bought) − Σ(shares sold)</t>
  </si>
  <si>
    <t>Add the shares across every purchase lot. A position is the SUM OF ITS LOTS, never one stored figure — that is what makes gain-since-purchase possible.</t>
  </si>
  <si>
    <t>each lot's shares → lots[].shares  [MK-XS-I-004, MK-XS-I-007]</t>
  </si>
  <si>
    <t>MK-PF-F-001 — If shares is missing it counts as zero, so nothing recorded and a real zero look the same.</t>
  </si>
  <si>
    <t>OPTIONS: quantity is held in contracts for options and in shares for stock, in the same field, with nothing marking which. Anything multiplying quantity by price inherits the ambiguity.</t>
  </si>
  <si>
    <t>Q09 — Should the app store the UNIT beside every quantity — shares, contracts, coins, units of face, currency units — so nothing can be multiplied by the wrong price? Today one field holds all of them with nothing marking which.</t>
  </si>
  <si>
    <t>1. B22 [CLASH] — The file says "quantity = Σ(shares bought) − Σ(shares sold)". The code (totalShares) is Σ(shares on each lot). Whether selling reduces a lot or adds a negative one is stated nowhere; if it does neither, the two answers part company the first time anything is sold.</t>
  </si>
  <si>
    <t>MK-NW-M-032</t>
  </si>
  <si>
    <t>Price paid (average)</t>
  </si>
  <si>
    <t>rawAvg</t>
  </si>
  <si>
    <t>costBasis</t>
  </si>
  <si>
    <t>MK-PF-F-002</t>
  </si>
  <si>
    <t>total paid = Σ(shares in each lot × price paid in that lot);  average = total paid ÷ quantity</t>
  </si>
  <si>
    <t>Add shares × cost per share across every lot. A lot with no cost recorded contributes nothing, but its shares still count as owned.</t>
  </si>
  <si>
    <t>each lot's shares and cost → lots[].shares, lots[].cost_per_share  [MK-XS-I-004, MK-XS-I-007]</t>
  </si>
  <si>
    <t>MK-ST-F-055 round2 → MK-PF-F-002 costBasis</t>
  </si>
  <si>
    <t>1. MK-PF-F-002 — If shares is missing it counts as zero, so nothing recorded and a real zero look the same.
2. MK-PF-F-002 — If cost per share is missing it counts as zero, so nothing recorded and a real zero look the same.
3. MK-ST-F-055 — Multiplies by 100 — a percentage, or an option contract treated as 100 shares. Worth checking which.
4. MK-ST-F-055 — Rounds the answer to a whole number.</t>
  </si>
  <si>
    <t>OPTIONS: same contract-multiplier question as market value — cost per share × shares, with no ×100 for a contract. TO VERIFY.</t>
  </si>
  <si>
    <t>[Founder] Cost basis comes from recorded lots. A lot with no cost is skipped rather than treated as free shares, because free shares would report the whole value as gain and tax it.</t>
  </si>
  <si>
    <t>1. B16 [ONE FORMULA] — "Price paid (average)" and "Total paid" carry the SAME formula and name the SAME function, costBasis — which returns the total only. The average is a separate function (avgCost = cost basis ÷ shares) and is named on no row, so one of these two figures is documented as something it is not.</t>
  </si>
  <si>
    <t>MK-NW-M-033</t>
  </si>
  <si>
    <t>Total paid</t>
  </si>
  <si>
    <t>basis</t>
  </si>
  <si>
    <t>MK-NW-M-034</t>
  </si>
  <si>
    <t>Dividends received (12 mo)</t>
  </si>
  <si>
    <t>dividends.trailing12</t>
  </si>
  <si>
    <t>dividends = Σ(dividend lines in the last 12 months)</t>
  </si>
  <si>
    <t>Adds the dividends recorded for this holding over the last twelve months.</t>
  </si>
  <si>
    <t>MK-NW-M-035</t>
  </si>
  <si>
    <t>Realized gain from your buys and sells</t>
  </si>
  <si>
    <t>realized</t>
  </si>
  <si>
    <t>realizedFromLedger</t>
  </si>
  <si>
    <t>MK-PF-F-028</t>
  </si>
  <si>
    <t>realised gain = Σ over sales of (proceeds − cost of the shares sold, oldest first)</t>
  </si>
  <si>
    <t>Walk buys and sells in date order. Each sale consumes the OLDEST buy lots first, and the gain is proceeds minus the cost of the shares it consumed.
Lots are kept separately per account AND per ticker, so a Schwab holding never covers a Robinhood sale of the same share.
A SALE WITH NO RECORDED BUY CONTRIBUTES NOTHING and is counted separately, so the screen can say how much it could not see. A cost is never invented — inventing one would report the entire sale as profit.</t>
  </si>
  <si>
    <t>1. the ledger → txns  [MK-XS-I-008]
2. optionally one ticker → opts.ticker  [NOT AN INPUT — a setting or a filter, not data anyone supplies]
3. optionally one account → opts.accountId  [NOT AN INPUT — a setting or a filter, not data anyone supplies]
4. today → opts.now  [NOT AN INPUT — a setting or a filter, not data anyone supplies]</t>
  </si>
  <si>
    <t>Sales with no recorded purchase are counted separately and named on screen: "N sales had no recorded purchase, so their gain isn't counted."</t>
  </si>
  <si>
    <t>1. MK-PF-F-028 — If shares is missing it uses 0.
2. MK-PF-F-028 — Uses today's date from the device clock, so the answer changes by itself overnight.
3. MK-PF-F-028 — Multiplies by 100 — a percentage, or an option contract treated as 100 shares. Worth checking which.
4. MK-PF-F-028 — Rounds the answer to a whole number.
5. MK-PF-F-028 — Leaves some rows out of the answer — check which.</t>
  </si>
  <si>
    <t>Reads the transaction ledger, which is device-only. On a second device it reports nothing — not because nothing was sold, but because the record is elsewhere.</t>
  </si>
  <si>
    <t>Q21 — On a second device the ledger is absent, so this reads nothing. Until history syncs, should it refuse in words rather than show a figure that looks like zero?</t>
  </si>
  <si>
    <t>MK-NW-M-036</t>
  </si>
  <si>
    <t>Gain — long-term (held over 1 yr)</t>
  </si>
  <si>
    <t>cg.longGain</t>
  </si>
  <si>
    <t>capGains</t>
  </si>
  <si>
    <t>MK-PF-F-006</t>
  </si>
  <si>
    <t>per lot: gain = shares × (price − cost per share);  long-term if the lot was held ≥ 365 whole days, otherwise short-term;  a lot with no cost recorded is skipped</t>
  </si>
  <si>
    <t>Each LOT is judged on its OWN purchase date, not the position's: held twelve whole months or more → long-term, otherwise short-term. Gain per lot = shares × (price − cost per share).
A lot with no cost recorded is SKIPPED, not treated as free shares — treating it as free would report the entire value as gain and tax it.
An unreadable purchase date is treated as SHORT-term: the cautious side, since understating a tax bill is the worse mistake.</t>
  </si>
  <si>
    <t>1. each lot → lots[]  [MK-XS-I-007]
2. price → the latest close  [MK-XS-I-005]
3. today → now  [NOT AN INPUT — a setting or a filter, not data anyone supplies]</t>
  </si>
  <si>
    <t>A lot with no recorded purchase price is SKIPPED. Today the screen does not say so, which is finding Q20.</t>
  </si>
  <si>
    <t>MK-ST-F-055 round2 → MK-PF-F-006 capGains</t>
  </si>
  <si>
    <t>1. MK-PF-F-006 — Uses today's date from the device clock, so the answer changes by itself overnight.
2. MK-ST-F-055 — Multiplies by 100 — a percentage, or an option contract treated as 100 shares. Worth checking which.
3. MK-ST-F-055 — Rounds the answer to a whole number.</t>
  </si>
  <si>
    <t>OPTIONS: gain per lot = shares × (price − cost), again with no contract multiplier. TO VERIFY. Separately: a lot with no recorded cost is skipped, so a position of skipped lots reports no gain at all rather than saying it cannot tell.</t>
  </si>
  <si>
    <t>[Founder] Long-term is decided by DAYS, not calendar months (correction E7): 335 days used to count as long-term and be taxed at the lower rate.</t>
  </si>
  <si>
    <t>Q20 — A lot with no recorded purchase price is skipped, so its gain is simply absent. Should the screen SAY so — "gain not counted for N shares, no purchase price on record" — rather than quietly reporting less?</t>
  </si>
  <si>
    <t>1. A34 — Long-term or short-term: this file says the lot must be held 365 whole days. The IRS test is MORE than one year — a lot bought on 1 January and sold on 1 January the next year is short-term. The rule as written is one day early and mislabels the tax character of a gain at exactly the boundary.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</si>
  <si>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B10 [CLASH] — The file says a lot is long-term when held "≥ 365 whole days". The code (capGains) says long-term begins the day AFTER the first anniversary — exactly one year is still short term, which is the IRS rule. The file is one day early and mislabels the tax on a gain at the boundary. Also finding A34.</t>
  </si>
  <si>
    <t>MK-NW-M-037</t>
  </si>
  <si>
    <t>Gain — short-term (under 1 yr)</t>
  </si>
  <si>
    <t>cg.shortGain</t>
  </si>
  <si>
    <t>MK-NW-M-038</t>
  </si>
  <si>
    <t>/itemize</t>
  </si>
  <si>
    <t>We keep the total at $X</t>
  </si>
  <si>
    <t>lump.balance</t>
  </si>
  <si>
    <t>the balance of the account being broken into holdings</t>
  </si>
  <si>
    <t>The single account total that the holdings entered must add up to.</t>
  </si>
  <si>
    <t>MK-NW-M-039</t>
  </si>
  <si>
    <t>$X of $Y itemized · remainder</t>
  </si>
  <si>
    <t>allocated / remainder</t>
  </si>
  <si>
    <t>left to itemise = the account total − Σ(holdings entered)</t>
  </si>
  <si>
    <t>MK-NW-M-040</t>
  </si>
  <si>
    <t>each holding and its value</t>
  </si>
  <si>
    <t>h.value</t>
  </si>
  <si>
    <t>THE SAME FIGURE AS MK-NW-M-030 — A holding's current value, on holding detail and again while itemising an account.</t>
  </si>
  <si>
    <t>MK-NW-M-041</t>
  </si>
  <si>
    <t>/bonds</t>
  </si>
  <si>
    <t>total value of your bonds</t>
  </si>
  <si>
    <t>summary.totalValue</t>
  </si>
  <si>
    <t>MK-NW-M-042</t>
  </si>
  <si>
    <t>n bonds · face $X</t>
  </si>
  <si>
    <t>summary.totalFace</t>
  </si>
  <si>
    <t>MK-NW-M-043</t>
  </si>
  <si>
    <t>COUPON / YR</t>
  </si>
  <si>
    <t>summary.coupon</t>
  </si>
  <si>
    <t>THE SAME FIGURE AS MK-NW-M-024 — The coupon a bond pays in a year. "Interest payments" on account detail and "COUPON / YR" on the bonds screen.</t>
  </si>
  <si>
    <t>MK-NW-M-044</t>
  </si>
  <si>
    <t>AVG YIELD</t>
  </si>
  <si>
    <t>summary.yield</t>
  </si>
  <si>
    <t>MK-NW-M-045</t>
  </si>
  <si>
    <t>each bond — face, coupon, yield</t>
  </si>
  <si>
    <t>bi</t>
  </si>
  <si>
    <t>1. bondInfo
2. annualCoupon</t>
  </si>
  <si>
    <t>1. MK-NW-F-056
2. MK-NW-F-057</t>
  </si>
  <si>
    <t>Reads the stored bond fields off the holding and computes its yields. A holding with none of them is not a bond and returns nothing. · face value × coupon rate. NOT what the bond is worth today × the rate — a $10,000 bond paying 4% pays $400 whether it is trading at $9,800 or $11,000.</t>
  </si>
  <si>
    <t>1. the holding → position/account  [MK-XS-I-004]
2. face value → face  [MK-XS-I-011]
3. coupon rate → couponRate  [MK-XS-I-012]</t>
  </si>
  <si>
    <t>1. No dependent function — it reads its inputs and answers
2. MK-ST-F-055 round2 → MK-NW-F-057 annualCoupon</t>
  </si>
  <si>
    <t>1. MK-NW-F-056 — If face value is missing it counts as zero, so nothing recorded and a real zero look the same.
2. MK-NW-F-056 — If coupon rate is missing it counts as zero, so nothing recorded and a real zero look the same.
3. MK-NW-F-056 — If balance is missing it counts as zero, so nothing recorded and a real zero look the same.
4. MK-ST-F-055 — Multiplies by 100 — a percentage, or an option contract treated as 100 shares. Worth checking which.
5. MK-ST-F-055 — Rounds the answer to a whole number.</t>
  </si>
  <si>
    <t>MK-PF-M-001</t>
  </si>
  <si>
    <t>Performance</t>
  </si>
  <si>
    <t>Ending value</t>
  </si>
  <si>
    <t>walk.ending</t>
  </si>
  <si>
    <t>buildChangeWalk</t>
  </si>
  <si>
    <t>MK-XS-F-011</t>
  </si>
  <si>
    <t>ending = beginning + money in − money out + income − costs + market change  (the identity that must close)</t>
  </si>
  <si>
    <t>WHAT IT IS TRYING TO DO. If you were worth $500,000 last month and $520,000 today, you gained $20,000 — but you want to know why. Did you save it? Did the market give it to you? Did you pay down a loan? Those feel completely different, and only one of them is luck.
HOW IT WORKS OUT EACH LINE. Everything except the last one is a real record: your deposits, your withdrawals, dividends paid, interest received, loan payments made.
THE PROBLEM IS THE LAST LINE. "How your investments moved" is not measured against a single share price. It is simply what is left over after everything else is accounted for. Whatever the app cannot explain lands there — wearing the label of a market movement.
A WORKED EXAMPLE OF THE FAULT. You were worth $939,089. You are still worth $939,089. Nothing moved. But the app thinks you deposited $500. Now the sums must balance: you put in $500 and ended level, so the investments must have LOST $500. The screen tells you the market took $500 from you. It did not. The deposit was wrong.
And a real $500 loss produces exactly the same line. You cannot tell them apart, which is why a wrong deposit anywhere becomes a market movement that never happened.</t>
  </si>
  <si>
    <t>1. starting value → beginning  [MK-XS-I-031]
2. ending value → ending  [NOT AN INPUT — another engine’s answer; see the dependency column]
3. money in → contributions  [NOT AN INPUT — another engine’s answer; see the dependency column]
4. money out → withdrawals  [NOT AN INPUT — another engine’s answer; see the dependency column]
5. dividends → dividends  [NOT AN INPUT — another engine’s answer; see the dependency column]
6. interest → interest  [NOT AN INPUT — another engine’s answer; see the dependency column]
7. debt paid down → debtPrincipal  [NOT AN INPUT — another engine’s answer; see the dependency column]</t>
  </si>
  <si>
    <t>Where the record does not reach back far enough, the beginning is back-solved and the walk says so. With neither record nor flows it refuses.</t>
  </si>
  <si>
    <t>MK-ST-F-055 round2 → MK-XS-F-011 buildChangeWalk</t>
  </si>
  <si>
    <t>1. MK-XS-F-011 — If contributions is missing it uses 0.
2. MK-XS-F-011 — If withdrawals is missing it uses 0.
3. MK-XS-F-011 — If dividends is missing it uses 0.
4. MK-XS-F-011 — If interest is missing it uses 0.
5. MK-XS-F-011 — If debt principal is missing it uses 0.
6. MK-ST-F-055 — Multiplies by 100 — a percentage, or an option contract treated as 100 shares. Worth checking which.
7. MK-ST-F-055 — Rounds the answer to a whole number.</t>
  </si>
  <si>
    <t>Beginning values are read from the daily record, which never leaves the phone. On a new device there is no beginning, so the walk back-solves one or refuses.</t>
  </si>
  <si>
    <t>[Founder] The identity must close: ending = beginning + money in − money out + income − costs + market change. A direction stated by the institution never overrides a contradicting sign — a −$500 line marked IN is a reversal.</t>
  </si>
  <si>
    <t>THE SURVIVING IDENTIFIER for this figure. Folded in: MK-PF-M-003. The ending value, shown as its own line and again inside the heading "HOW $X BECAME $Y". Same screen, same figure, twice.</t>
  </si>
  <si>
    <t>1. B18 [ONE FORMULA] — Four figures share the change-walk identity — "Ending value", "Wealth generated", "HOW $X BECAME $Y", "Ending market value (per account)". The identity is the frame they all sit in, not the arithmetic of any one of them. Wealth generated is not ending value, and one of the four is per account while the others are for everything.</t>
  </si>
  <si>
    <t>MK-PF-M-002</t>
  </si>
  <si>
    <t>Wealth generated</t>
  </si>
  <si>
    <t>walk.wealthGenerated</t>
  </si>
  <si>
    <t>MK-PF-M-003</t>
  </si>
  <si>
    <t>HOW $X BECAME $Y · ALL ACCOUNTS</t>
  </si>
  <si>
    <t>walk.beginning / walk.ending</t>
  </si>
  <si>
    <t>THE SAME FIGURE AS MK-PF-M-001 — The ending value, shown as its own line and again inside the heading "HOW $X BECAME $Y". Same screen, same figure, twice.</t>
  </si>
  <si>
    <t>MK-PF-M-004</t>
  </si>
  <si>
    <t>Ending market value (per account)</t>
  </si>
  <si>
    <t>w.ending</t>
  </si>
  <si>
    <t>MK-PF-M-005</t>
  </si>
  <si>
    <t>each account and its ending value</t>
  </si>
  <si>
    <t>a.ending</t>
  </si>
  <si>
    <t>buildPerformance</t>
  </si>
  <si>
    <t>MK-PF-F-014</t>
  </si>
  <si>
    <t>per account: ending;  per category: earned = Σ(ending − beginning − net money in);  return = earned ÷ average value held</t>
  </si>
  <si>
    <t>For each holding: fetch its price series; work out value, cost and gain from its lots; then choose HOW to measure its period return —
• bought BEFORE the period started → the ordinary period return from the price series
• bought DURING the period → return since purchase instead, and the row is marked as shortened, because measuring a full year on something owned for a month would be nonsense
The benchmark is measured over THE SAME window, shortened the same way, so the comparison is like for like. Beat-by is simply one minus the other, and is left blank when either side is missing.</t>
  </si>
  <si>
    <t>1. the holdings → positions  [MK-XS-I-004]
2. prices → priceOf(ticker)  [MK-XS-I-005]
3. the chosen chip → period  [NOT AN INPUT — a setting or a filter, not data anyone supplies]
4. today → now  [NOT AN INPUT — a setting or a filter, not data anyone supplies]</t>
  </si>
  <si>
    <t>1. MK-XS-E-023 (BENCHMARK_FOR_KIND) → What should this holding be compared against?
2. MK-NW-E-023 (HOLDING_COST_BASIS) → What did I pay for this in total?
3. MK-XS-E-024 (HOLDING_FIRST_BOUGHT) → When did I first buy this?
4. MK-NW-E-022 (HOLDING_MARKET_VALUE) → What is this holding worth right now?
5. MK-XS-E-025 (HOLDING_TOTAL_ROI) → How much am I up on this in percentage terms, since I bought it?
6. MK-XS-E-026 (HOLDING_UNREALISED_GAIN) → How much am I up or down on this?
7. MK-XS-E-027 (PERIOD_RETURN) → What did this holding do over the chosen period?
8. MK-XS-E-028 (PERIOD_START_DATE) → Which date does the chosen period start from?
9. MK-XS-E-029 (PRICE_LATEST) → What is the most recent price we hold for this?
10. MK-XS-E-030 (RETURN_SINCE_A_DATE) → What did this do between a given date and today?</t>
  </si>
  <si>
    <t>1. MK-ST-F-047 activeCurrency → MK-ST-F-048 currencySymbol → MK-ST-F-049 formatMoney → MK-ST-F-053 money → MK-PF-F-013 benchmarkTicker → MK-PF-F-014 buildPerformance
2. MK-ST-F-055 round2 → MK-PF-F-002 costBasis → MK-PF-F-014 buildPerformance
3. MK-PF-F-012 earliestPurchaseDate → MK-PF-F-014 buildPerformance
4. MK-PF-F-009 latestClose → MK-PF-F-014 buildPerformance
5. MK-ST-F-055 round2 → MK-PF-F-004 marketValue → MK-PF-F-014 buildPerformance
6. MK-PF-F-001 totalShares → MK-PF-F-004 marketValue → MK-PF-F-014 buildPerformance
7. MK-PF-F-009 latestClose → MK-PF-F-010 periodReturn → MK-PF-F-014 buildPerformance
8. MK-PF-F-008 startDateFor → MK-PF-F-010 periodReturn → MK-PF-F-014 buildPerformance
9. … and 11 more paths</t>
  </si>
  <si>
    <t>1. MK-PF-F-014 — Uses today's date from the device clock, so the answer changes by itself overnight.
2. MK-PF-F-014 — Rounds the answer to a whole number.
3. MK-PF-F-002 — If shares is missing it counts as zero, so nothing recorded and a real zero look the same.
4. MK-PF-F-002 — If cost per share is missing it counts as zero, so nothing recorded and a real zero look the same.
5. MK-PF-F-012 — Leaves some rows out of the answer — check which.
6. MK-PF-F-010 — Uses today's date from the device clock, so the answer changes by itself overnight.
7. MK-PF-F-010 — Rounds the answer to a whole number.
8. MK-PF-F-011 — Uses today's date from the device clock, so the answer changes by itself overnight.
9. MK-PF-F-011 — Rounds the answer to a whole number.
10. MK-PF-F-007 — Rounds the answer to a whole number.
11. MK-ST-F-055 — Multiplies by 100 — a percentage, or an option contract treated as 100 shares. Worth checking which.
12. MK-ST-F-055 — Rounds the answer to a whole number.
13. MK-PF-F-001 — If shares is missing it counts as zero, so nothing recorded and a real zero look the same.
14. MK-ST-F-049 — Rounds the answer to a whole number.</t>
  </si>
  <si>
    <t>MK-PF-M-006</t>
  </si>
  <si>
    <t>WHAT EACH CATEGORY EARNED — RETURN</t>
  </si>
  <si>
    <t>b.earned / b.ret</t>
  </si>
  <si>
    <t>1. A14 — This file states three different formulas for what it calls a return: Sum(return x value) / Sum(value), Modified Dietz, and earned / average value held. Three methods give three answers. One of them has to be the definition.
2. A15 — 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
3.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</si>
  <si>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MK-PF-M-007</t>
  </si>
  <si>
    <t>All categories</t>
  </si>
  <si>
    <t>total</t>
  </si>
  <si>
    <t>MK-PF-M-008</t>
  </si>
  <si>
    <t>HONEST COMPARISON</t>
  </si>
  <si>
    <t>benchPort</t>
  </si>
  <si>
    <t>portfolioBenchReturn</t>
  </si>
  <si>
    <t>MK-PF-F-020</t>
  </si>
  <si>
    <t>benchmark return = Σ(weight of each class × that class’s index return over the same window)</t>
  </si>
  <si>
    <t>The same money-weighted blend, over each holding's own benchmark rather than the holding itself. Blending the benchmarks the same way is what makes "you beat it by" a fair statement rather than a comparison against a single index nobody holds.</t>
  </si>
  <si>
    <t>1. each holding's benchmark return → rows[].benchReturn  [NOT AN INPUT — another engine’s answer; see the dependency column]
2. its value → rows[].marketValue  [NOT AN INPUT — another engine’s answer; see the dependency column]</t>
  </si>
  <si>
    <t>MK-PF-F-020 — Leaves some rows out of the answer — check which.</t>
  </si>
  <si>
    <t>Q33 — Which index should each asset class be compared against, and should the person be able to change it?</t>
  </si>
  <si>
    <t>MK-PF-M-009</t>
  </si>
  <si>
    <t>Return (money-weighted, when the record covers it)</t>
  </si>
  <si>
    <t>mw.rate</t>
  </si>
  <si>
    <t>r = (EMV − BMV − F) ÷ (BMV + Σ(Fᵢ × wᵢ)),  wᵢ = (days in window − days before flow i) ÷ days in window</t>
  </si>
  <si>
    <t>A return that accounts for WHEN money moved in or out: each flow is weighted by how much of the window it was invested for. Refused, with the dollar walk shown instead, when the timing matters too much for one percentage to be honest.</t>
  </si>
  <si>
    <t>REFUSES when the timing of money moving in or out drives the percentage more than the investments do, and shows the dollar walk instead. Also refuses when the starting value is zero or negative.</t>
  </si>
  <si>
    <t>[Founder] When the timing of money moving in or out drives the percentage more than the investments do, the figure is REFUSED and the dollar walk is shown instead.</t>
  </si>
  <si>
    <t>1. A14 — This file states three different formulas for what it calls a return: Sum(return x value) / Sum(value), Modified Dietz, and earned / average value held. Three methods give three answers. One of them has to be the definition.
2. A12 — moneyWeightedReturn is defined twice and the two are different methods: src/domain/performance/moneyWeighted.ts:80 solves an internal rate of return by bisection; Calculation Module code/engines/window-return.ts:69 is Modified Dietz. Both are called the money-weighted return. Only the first has a row in this file; the sweep keeps whichever folder it walks first and drops the other in silence.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</si>
  <si>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MK-PF-M-010</t>
  </si>
  <si>
    <t>/look-back</t>
  </si>
  <si>
    <t>Left in &lt;fund&gt; it became $X (up/down $Y, Z%)</t>
  </si>
  <si>
    <t>result.stayed</t>
  </si>
  <si>
    <t>lookBack</t>
  </si>
  <si>
    <t>MK-PF-F-023</t>
  </si>
  <si>
    <t>stayed = value × (1 + return of what is held);  moved = value × (1 + return of the alternative);  difference = moved − stayed</t>
  </si>
  <si>
    <t>Grow the amount by each holding's real price movement over the window, and subtract one from the other. Every figure comes from ACTUAL PAST PRICES.
A move that would have lost money returns a real negative — it never quietly reports zero.
Nothing to compare, or a history too short on either side → nothing at all.
It is explicitly BACKWARD-looking: a fact about what did happen, never a suggestion about what to do next.</t>
  </si>
  <si>
    <t>1. the amount → amount  [MK-XS-I-008]
2. where it sat → fromSeries  [NOT AN INPUT — another engine’s answer; see the dependency column]
3. where it might have gone → toSeries  [NOT AN INPUT — another engine’s answer; see the dependency column]
4. how far back → months  [NOT AN INPUT — a setting or a filter, not data anyone supplies]</t>
  </si>
  <si>
    <t>Without enough price history for both sides it declines the comparison rather than compare unequal periods.</t>
  </si>
  <si>
    <t>MK-XS-E-031 (PRICE_FACTOR_OVER_WINDOW) → By what multiple did this price move over the last N months?</t>
  </si>
  <si>
    <t>1. MK-PF-F-022 factorOverMonths → MK-PF-F-023 lookBack
2. MK-ST-F-055 round2 → MK-PF-F-023 lookBack</t>
  </si>
  <si>
    <t>1. MK-PF-F-023 — Uses today's date from the device clock, so the answer changes by itself overnight.
2. MK-PF-F-023 — Rounds the answer to a whole number.
3. MK-PF-F-022 — Uses today's date from the device clock, so the answer changes by itself overnight.
4. MK-ST-F-055 — Multiplies by 100 — a percentage, or an option contract treated as 100 shares. Worth checking which.
5. MK-ST-F-055 — Rounds the answer to a whole number.</t>
  </si>
  <si>
    <t>MK-PF-M-011</t>
  </si>
  <si>
    <t>Moved to &lt;fund&gt; it would be $X</t>
  </si>
  <si>
    <t>result.moved</t>
  </si>
  <si>
    <t>MK-PF-M-012</t>
  </si>
  <si>
    <t>Difference: $X more/less if you had moved</t>
  </si>
  <si>
    <t>result.difference</t>
  </si>
  <si>
    <t>MK-PL-M-001</t>
  </si>
  <si>
    <t>Plan</t>
  </si>
  <si>
    <t>✓ What you have — already in: N accounts, $X counted</t>
  </si>
  <si>
    <t>door.credit.total</t>
  </si>
  <si>
    <t>planDoor</t>
  </si>
  <si>
    <t>MK-PL-F-026</t>
  </si>
  <si>
    <t>missing = the inputs with no answer;  counted = Σ(balances already in)</t>
  </si>
  <si>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</si>
  <si>
    <t>1. their age → birthYear or age  [MK-XS-I-017]
2. what they spend → monthlySpending  [MK-XS-I-024]
3. money that counts toward retirement → NEST_EGG  [NOT AN INPUT — another engine’s answer; see the dependency column]</t>
  </si>
  <si>
    <t>This engine IS the refusal: it names what is missing and what is already counted.</t>
  </si>
  <si>
    <t>MK-XS-E-002 (NEST_EGG) → What is my retirement pot worth?</t>
  </si>
  <si>
    <t>1. MK-NW-F-008 incomeBearingClassOf → MK-NW-F-011 assetClassOf → MK-NW-F-030 earmarkDefault → MK-NW-F-032 earmarkedAmount → MK-NW-F-033 retirementEarmarkedValue → MK-PL-F-026 planDoor
2. MK-NW-F-013 realEstateUseOf → MK-NW-F-030 earmarkDefault → MK-NW-F-032 earmarkedAmount → MK-NW-F-033 retirementEarmarkedValue → MK-PL-F-026 planDoor
3. MK-ST-F-055 round2 → MK-NW-F-032 earmarkedAmount → MK-NW-F-033 retirementEarmarkedValue → MK-PL-F-026 planDoor
4. MK-ST-F-010 nameEvidence → MK-NW-F-008 incomeBearingClassOf → MK-NW-F-011 assetClassOf → MK-NW-F-031 primaryCarIdOf → MK-NW-F-033 retirementEarmarkedValue → MK-PL-F-026 planDoor
5. MK-ST-F-055 round2 → MK-NW-F-033 retirementEarmarkedValue → MK-PL-F-026 planDoor
6. MK-ST-F-055 round2 → MK-PL-F-026 planDoor</t>
  </si>
  <si>
    <t>1. MK-PL-F-026 — If balance is missing it counts as zero, so nothing recorded and a real zero look the same.
2. MK-ST-F-055 — Multiplies by 100 — a percentage, or an option contract treated as 100 shares. Worth checking which.
3. MK-ST-F-055 — Rounds the answer to a whole number.
4. MK-NW-F-032 — If balance is missing it counts as zero, so nothing recorded and a real zero look the same.
5. MK-NW-F-031 — If balance is missing it counts as zero, so nothing recorded and a real zero look the same.
6. MK-NW-F-031 — Leaves some rows out of the answer — check which.</t>
  </si>
  <si>
    <t>MK-PL-M-002</t>
  </si>
  <si>
    <t>Your odds — can't work them out yet. Add &lt;what&gt; below.</t>
  </si>
  <si>
    <t>door.missing</t>
  </si>
  <si>
    <t>MK-PL-M-003</t>
  </si>
  <si>
    <t>YOUR RETIREMENT PAYCHECK — each guaranteed source</t>
  </si>
  <si>
    <t>g.amount</t>
  </si>
  <si>
    <t>for each month: guaranteed total = Σ(streams live that month);  paycheck = guaranteed total + safe draw</t>
  </si>
  <si>
    <t>Builds the retirement paycheck month by month: what is guaranteed that month, plus what can safely be drawn from savings.</t>
  </si>
  <si>
    <t>MK-PL-M-004</t>
  </si>
  <si>
    <t>payMonth.guaranteedTotal</t>
  </si>
  <si>
    <t>1. A49 — This row carries no name on screen, on a tab whose stated rule is that the label is copied exactly as it is worded on screen.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</si>
  <si>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MK-PL-M-005</t>
  </si>
  <si>
    <t>+ Draw from savings</t>
  </si>
  <si>
    <t>payMonth.safeDraw</t>
  </si>
  <si>
    <t>MK-PL-M-006</t>
  </si>
  <si>
    <t>Your paycheck $X/mo</t>
  </si>
  <si>
    <t>paycheckTotal</t>
  </si>
  <si>
    <t>paycheck = guaranteed income + draw from savings</t>
  </si>
  <si>
    <t>MK-PL-M-007</t>
  </si>
  <si>
    <t>SAVED SCENARIOS (n)</t>
  </si>
  <si>
    <t>scenarios.length</t>
  </si>
  <si>
    <t>count of scenarios saved</t>
  </si>
  <si>
    <t>How many what-if scenarios have been saved.</t>
  </si>
  <si>
    <t>MK-PL-M-008</t>
  </si>
  <si>
    <t>/will-it-last</t>
  </si>
  <si>
    <t>What you have (nest egg)</t>
  </si>
  <si>
    <t>inp.start_balance</t>
  </si>
  <si>
    <t>willItLastInputs</t>
  </si>
  <si>
    <t>MK-PL-F-067</t>
  </si>
  <si>
    <t>the inputs one plan is built from: what is held, what will be spent, what is guaranteed, and what is still being saved</t>
  </si>
  <si>
    <t>Gather everything the odds need. The person's own choices override every default, one by one.
NO AGE MEANS NO ANSWER — the odds are never computed from a guessed age.
SOCIAL SECURITY USES THE CHEQUE THE CHOSEN CLAIM AGE ACTUALLY PAYS. The figure on a statement is the age-67 amount; claiming at 62 pays about 70% of it. Using the statement figure regardless would overstate guaranteed income for everyone claiming early.
Not eligible means ZERO guaranteed income, not a default.
A LEGACY TARGET — money someone means to leave behind — is taken off the pot, but ONLY once they are retired. See the defect note.</t>
  </si>
  <si>
    <t>1. their age → birthYear  [MK-XS-I-017]
2. the pot → NEST_EGG  [NOT AN INPUT — another engine’s answer; see the dependency column]
3. return and swing → EXPECTED_RETURN_BLENDED, EXPECTED_SWING_BLENDED  [NOT AN INPUT — another engine’s answer; see the dependency column]
4. spending → RETIREMENT_SPENDING  [MK-XS-I-024]
5. guaranteed income → RETIREMENT_INCOME, SS_BENEFIT_AT_AGE  [NOT AN INPUT — another engine’s answer; see the dependency column]
6. money to leave behind → legacyTarget  [MK-XS-I-047]
7. their own overrides → the Plan screen  [MK-XS-I-044]</t>
  </si>
  <si>
    <t>1. MK-XS-E-032 (EFFECTIVE_TAX_RATE) → What share of my income actually goes in tax?
2. MK-XS-E-033 (EXPECTED_RETURN_BLENDED) → What return should I expect on everything I hold together?
3. MK-XS-E-034 (EXPECTED_SWING_BLENDED) → How much does a year's return typically swing around that average?
4. MK-XS-E-035 (FILING_STATUS) → How does this person file?
5. MK-XS-E-036 (GUARANTEED_OUTSIDE_STREAMS) → The plan's guaranteed-income input as separate streams of OUTSIDE money only. Answers: zer
6. MK-XS-E-037 (MONTHLY_SAVING) → How much goes in each month?
7. MK-XS-E-002 (NEST_EGG) → What is my retirement pot worth?
8. MK-XS-E-038 (REPORTED_RETURN) → What return did the person say they actually earned over the past year?
9. MK-XS-E-004 (RETIREMENT_SPENDING) → What will be spent each month in retirement?
10. MK-XS-E-039 (SPLIT_BY_HOW_IT_IS_TAXED) → How is the retirement money split by the tax that will be owed on it?
11. MK-XS-E-040 (SS_BENEFIT_AT_AGE) → The monthly Social Security check at a chosen claim age, in today's dollars. Answers: a wh
12. MK-XS-E-041 (STATE_TAX_RATE) → What state tax rate applies?
13. MK-XS-E-042 (SWING_FROM_RETURN) → How much might a year's return swing, judged from the return alone?
14. MK-XS-E-043 (TAX_OVER65_COUNT) → How many people on the tax return are 65 or older — the input the over-65 deduction needs
15. MK-XS-E-044 (TOTAL_INCOME) → What is the whole household income for the year, before tax?</t>
  </si>
  <si>
    <t>1. MK-NW-F-008 incomeBearingClassOf → MK-NW-F-011 assetClassOf → MK-NW-F-007 assetKind → MK-NW-F-034 benchmarkReturn → MK-NW-F-037 blendedReturn → MK-PL-F-067 willItLastInputs
2. MK-NW-F-008 incomeBearingClassOf → MK-NW-F-011 assetClassOf → MK-NW-F-030 earmarkDefault → MK-NW-F-032 earmarkedAmount → MK-NW-F-037 blendedReturn → MK-PL-F-067 willItLastInputs
3. MK-NW-F-013 realEstateUseOf → MK-NW-F-030 earmarkDefault → MK-NW-F-032 earmarkedAmount → MK-NW-F-037 blendedReturn → MK-PL-F-067 willItLastInputs
4. MK-ST-F-055 round2 → MK-NW-F-032 earmarkedAmount → MK-NW-F-037 blendedReturn → MK-PL-F-067 willItLastInputs
5. MK-ST-F-010 nameEvidence → MK-NW-F-008 incomeBearingClassOf → MK-NW-F-011 assetClassOf → MK-NW-F-031 primaryCarIdOf → MK-NW-F-037 blendedReturn → MK-PL-F-067 willItLastInputs
6. MK-NW-F-008 incomeBearingClassOf → MK-NW-F-011 assetClassOf → MK-NW-F-030 earmarkDefault → MK-NW-F-032 earmarkedAmount → MK-NW-F-035 blendedVolatility → MK-PL-F-067 willItLastInputs
7. MK-NW-F-013 realEstateUseOf → MK-NW-F-030 earmarkDefault → MK-NW-F-032 earmarkedAmount → MK-NW-F-035 blendedVolatility → MK-PL-F-067 willItLastInputs
8. MK-ST-F-055 round2 → MK-NW-F-032 earmarkedAmount → MK-NW-F-035 blendedVolatility → MK-PL-F-067 willItLastInputs
9. … and 43 more paths</t>
  </si>
  <si>
    <t>1. MK-PL-F-067 — If inflation rate is missing it uses 2.5.
2. MK-PL-F-067 — If social security claim age is missing it uses 67.
3. MK-PL-F-067 — If monthly is missing it uses 0.
4. MK-PL-F-067 — If salary growth is missing it uses 0.
5. MK-PL-F-067 — Turns a monthly figure into a year by multiplying by twelve.
6. MK-PL-F-067 — Uses today's date from the device clock, so the answer changes by itself overnight.
7. MK-PL-F-067 — Rounds the answer to a whole number.
8. MK-PL-F-067 — Leaves some rows out of the answer — check which.
9. MK-NW-F-037 — Rounds the answer to a whole number.
10. MK-NW-F-037 — Leaves some rows out of the answer — check which.
11. MK-NW-F-035 — If v is missing it uses 12%.
12. MK-NW-F-035 — Rounds the answer to a whole number.
13. MK-NW-F-035 — Leaves some rows out of the answer — check which.
14. MK-CF-F-076 — Leaves some rows out of the answer — check which.
15. MK-CF-F-089 — Uses today's date from the device clock, so the answer changes by itself overnight.
16. MK-NW-F-004 — Rounds the answer to a whole number.
17. MK-NW-F-004 — Leaves some rows out of the answer — check which.
18. MK-PL-F-049 — Treats a year as twelve equal months.
19. MK-PL-F-049 — Rounds the answer to a whole number.
20. MK-PL-F-060 — If statement monthly is missing it counts as zero, so nothing recorded and a real zero look the same.
21. MK-PL-F-060 — Rounds the answer to a whole number.
22. MK-CF-F-083 — Turns a monthly figure into a year by multiplying by twelve.
23. MK-CF-F-083 — Uses today's date from the device clock, so the answer changes by itself overnight.
24. MK-PL-F-065 — Never lets the answer fall below 5% or rise above 20%.
25. MK-NW-F-034 — If return is missing it uses 6%.
… and 39 more, on the functions tab</t>
  </si>
  <si>
    <t>1.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2. A18 — "Treats a year as twelve equal months" fires on any division by 12, a month index included; "Treats a month as 30 days" fires on any multiplication by 30. Neither is read as arithmetic, so both carry false positives.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</si>
  <si>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MK-PL-M-009</t>
  </si>
  <si>
    <t>Monthly spending in retirement</t>
  </si>
  <si>
    <t>inp.retire_monthly_spend_today</t>
  </si>
  <si>
    <t>retirementSpendMonthly</t>
  </si>
  <si>
    <t>MK-PL-F-049</t>
  </si>
  <si>
    <t>spending in retirement a month = what is spent today × the share expected to continue</t>
  </si>
  <si>
    <t>What the person said they expect to spend, adjusted for where they plan to live. Stated in TODAY'S dollars — the simulation inflates it to each future year, so inflating it here as well would count inflation twice.</t>
  </si>
  <si>
    <t>1. the answer → the retirement-spending question  [MK-XS-I-024]
2. where they will live → the location answer  [MK-XS-I-045]</t>
  </si>
  <si>
    <t>1. MK-XS-E-045 (COST_OF_LIVING) → How much more or less does life cost where they plan to live?
2. MK-XS-E-020 (READ_A_NUMBER) → What number did the person actually type?</t>
  </si>
  <si>
    <t>1. MK-PL-F-047 colFactor → MK-PL-F-049 retirementSpendMonthly
2. MK-ST-F-055 round2 → MK-PL-F-049 retirementSpendMonthly
3. MK-ST-F-052 toNum → MK-PL-F-049 retirementSpendMonthly</t>
  </si>
  <si>
    <t>1. MK-PL-F-049 — Treats a year as twelve equal months.
2. MK-PL-F-049 — Rounds the answer to a whole number.
3. MK-ST-F-055 — Multiplies by 100 — a percentage, or an option contract treated as 100 shares. Worth checking which.
4. MK-ST-F-055 — Rounds the answer to a whole number.</t>
  </si>
  <si>
    <t>MK-PL-M-010</t>
  </si>
  <si>
    <t>Guaranteed income — $X/mo from age Y</t>
  </si>
  <si>
    <t>inp.guaranteed_monthly_income</t>
  </si>
  <si>
    <t>each stream grows on its own rule: Social Security rises with inflation, a fixed pension does not</t>
  </si>
  <si>
    <t>Each guaranteed stream grows on its own rule: Social Security rises with inflation, a fixed pension stays flat. They are never grown together.</t>
  </si>
  <si>
    <t>[Founder] Each stream grows on its own rule: Social Security rises with inflation, a fixed pension stays flat. They are never inflated together (fix B1).
[Built in] Inflation comes from a published feed, with a fallback figure when the feed is silent.</t>
  </si>
  <si>
    <t>MK-PL-M-011</t>
  </si>
  <si>
    <t>Monthly saving until then</t>
  </si>
  <si>
    <t>inp.annual_contrib</t>
  </si>
  <si>
    <t>THE SURVIVING IDENTIFIER for this figure. Folded in: MK-PL-M-029. What is being saved each month towards retirement — "Monthly saving until then" and "Retirement saving $X/mo now".</t>
  </si>
  <si>
    <t>MK-PL-M-012</t>
  </si>
  <si>
    <t>/required-withdrawals</t>
  </si>
  <si>
    <t>Yours starts in &lt;year&gt; (age N)</t>
  </si>
  <si>
    <t>rmdStartAgeFor(age)</t>
  </si>
  <si>
    <t>start age = 73 for those born 1951–1959, 75 for those born 1960 or later;  Roth 401(k) is exempt</t>
  </si>
  <si>
    <t>The age required withdrawals begin, from one dated table: 73 for those born 1951 to 1959, 75 for those born in 1960 or later. A Roth 401(k) is exempt.</t>
  </si>
  <si>
    <t>[Founder] The same one dated table, after both earlier copies were deleted.</t>
  </si>
  <si>
    <t>1. A36 — Required-withdrawal start age: this file says 73 for those born 1951-1959 and 75 for 1960 or later. The code returns 73 for EVERY birth year below 1960, and 73 again when the birth year is missing. Neither side names the age 72 (and 70 and a half) start ages that apply to earlier birth years, and neither says what should happen when the birth year is unknown rather than quietly assuming one.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</si>
  <si>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MK-PL-M-013</t>
  </si>
  <si>
    <t>Required $X</t>
  </si>
  <si>
    <t>required</t>
  </si>
  <si>
    <t>required = balance on 31 December last year ÷ the life-expectancy factor for this age</t>
  </si>
  <si>
    <t>The amount the law requires to be taken out this year: last 31 December's balance divided by the life-expectancy factor for the person's age.</t>
  </si>
  <si>
    <t>Nothing before the start age for that birth year. A Roth 401(k) is exempt and says so.</t>
  </si>
  <si>
    <t>[Founder] One dated table. Start age is 73 for those born 1951–1959 and 75 for those born 1960 or later; a Roth 401(k) is exempt (fix B4).</t>
  </si>
  <si>
    <t>Q31 — Required withdrawals are estimated from balances we hold. When an institution states its own required figure, does theirs win?</t>
  </si>
  <si>
    <t>1. A35 — The required-withdrawal divisor table lists ages 73-90, 92, 95 and 100 and interpolates the rest. Ages 93, 94, 97, 98 and 99 do not equal the published IRS Uniform Lifetime divisors. On a $500,000 pre-tax balance the required amount comes out short by $184 at 94, $811 at 97, $926 at 98 and $1,066 at 99. Taking less than the required amount is penalised by the IRS, so this errs in the direction that costs the person money.
2. A37 — The required withdrawal uses the Uniform Lifetime table for everybody. The Joint Life and Last Survivor table applies when the sole beneficiary is a spouse more than ten years younger, and gives a smaller required amount. Not named anywhere in the file.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</si>
  <si>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MK-PL-M-014</t>
  </si>
  <si>
    <t>Taken so far $X · still to take</t>
  </si>
  <si>
    <t>taken / still</t>
  </si>
  <si>
    <t>still to take = required this year − taken so far</t>
  </si>
  <si>
    <t>MK-PL-M-015</t>
  </si>
  <si>
    <t>YEAR BY YEAR (ESTIMATES) — each year and amount</t>
  </si>
  <si>
    <t>r.amount</t>
  </si>
  <si>
    <t>MK-PL-M-016</t>
  </si>
  <si>
    <t>BASED ON THESE ACCOUNTS — each balance</t>
  </si>
  <si>
    <t>THE SAME FIGURE AS MK-NW-M-018 — An account's value. The balance listed under required withdrawals is the same figure as Market value on account detail.</t>
  </si>
  <si>
    <t>MK-PL-M-017</t>
  </si>
  <si>
    <t>/ss-timing</t>
  </si>
  <si>
    <t>Monthly check (today's dollars)</t>
  </si>
  <si>
    <t>A.guaranteedMonthly</t>
  </si>
  <si>
    <t>ssBenefitAt</t>
  </si>
  <si>
    <t>MK-PL-F-060</t>
  </si>
  <si>
    <t>benefit at claim age = the statement amount at full retirement age × the claim factor for that age</t>
  </si>
  <si>
    <t>Statement monthly amount × the claim factor for (claim age, birth year), rounded to whole dollars.</t>
  </si>
  <si>
    <t>1. statement amount at their full retirement age (typed from their ssa.gov statement) → statement monthly  [MK-XS-I-008, MK-XS-I-018, MK-XS-I-020]
2. claim age (the slider) → the factor's input  [MK-XS-I-021]
3. birth year (setup) → the anchor  [MK-XS-I-017]</t>
  </si>
  <si>
    <t>Without a statement amount a worked example is shown, labelled as an example throughout.</t>
  </si>
  <si>
    <t>MK-XS-E-046 (SS_CLAIM_FACTOR) → How much of the statement amount a claim age actually pays, anchored at the person's OWN f</t>
  </si>
  <si>
    <t>MK-PL-F-057 fullRetirementAge → MK-PL-F-058 ssClaimFactorFor → MK-PL-F-060 ssBenefitAt</t>
  </si>
  <si>
    <t>1. MK-PL-F-060 — If statement monthly is missing it counts as zero, so nothing recorded and a real zero look the same.
2. MK-PL-F-060 — Rounds the answer to a whole number.
3. MK-PL-F-058 — Treats a year as twelve equal months.
4. MK-PL-F-058 — Turns a monthly figure into a year by multiplying by twelve.
5. MK-PL-F-058 — Rounds the answer to a whole number.
6. MK-PL-F-057 — Treats a year as twelve equal months.</t>
  </si>
  <si>
    <t>[Founder] The amount a person types from their statement is the amount at THEIR full retirement age, not at 62 and not at 70 (fix B2). The full-retirement age itself comes from a birth-year table, to the month.
[The person] The claim age they set, and the statement amount they typed.
[The person] The retirement age in their plan.</t>
  </si>
  <si>
    <t>1. A38 — Social Security claim factor: this file's rule is stated per month. The code rounds the claim age to a whole year before counting months, so claiming at 62 and six months is priced as 63 — 3.3% of the benefit, about $83 a month for life on a $2,500 benefit. The code's own note above the function says "month-precise".
2. A39 — Full retirement age: the code returns 66 for every birth year at or below 1954. The published ages are 65 for 1937 and earlier and 65 plus two to ten months for 1938-1942. Outside the 55-70 group, but it is a silent wrong answer rather than a refusal.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A18 — "Treats a year as twelve equal months" fires on any division by 12, a month index included; "Treats a month as 30 days" fires on any multiplication by 30. Neither is read as arithmetic, so both carry false positives.
5.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</si>
  <si>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MK-PL-M-018</t>
  </si>
  <si>
    <t>You receive $X/mo ✓</t>
  </si>
  <si>
    <t>op.ri_ss</t>
  </si>
  <si>
    <t>currentRetirementIncomeMonthly</t>
  </si>
  <si>
    <t>MK-CF-F-072</t>
  </si>
  <si>
    <t>guaranteed income now = Σ(streams already being received)</t>
  </si>
  <si>
    <t>Zero unless the person said retirement income is one of their current sources; otherwise the same total as above.
The distinction stops a future pension being counted as money arriving now — which would overstate today's income and flatter every current figure built on it.</t>
  </si>
  <si>
    <t>1. do they receive it now → incomeSources  [MK-XS-I-040]
2. the amounts → retirementIncomeMonthly  [MK-XS-I-008]</t>
  </si>
  <si>
    <t>MK-XS-E-047 (RETIREMENT_INCOME) → How much retirement income arrives monthly?</t>
  </si>
  <si>
    <t>MK-ST-F-052 toNum → MK-CF-F-075 retirementIncomeMonthly → MK-CF-F-072 currentRetirementIncomeMonthly</t>
  </si>
  <si>
    <t>THE SAME FIGURE AS MK-CF-M-011 — Guaranteed income being received now. Shown four ways: "You receive $X/mo" on Social Security timing, "incl. Social Security $X/mo" on the cockpit, as a source on Cash flow, and as a list on Monthly income. One figure, four identifiers.</t>
  </si>
  <si>
    <t>MK-PL-M-019</t>
  </si>
  <si>
    <t>Claiming at N pays $X a month</t>
  </si>
  <si>
    <t>r.monthly</t>
  </si>
  <si>
    <t>1. ssClaimFactorFor
2. ssBenefitAt</t>
  </si>
  <si>
    <t>1. MK-PL-F-058
2. MK-PL-F-060</t>
  </si>
  <si>
    <t>factor = 1 − 5/9% per month for the first 36 months early, − 5/12% per month beyond that; + 2/3% per month for each month claimed late up to 70</t>
  </si>
  <si>
    <t>Months between the claim age and the full retirement age. Early: minus 5/9 of 1% per month for the first 36 months, minus 5/12 of 1% per month beyond. Late: plus 2/3 of 1% per month (8% a year) to 70. At the full retirement age exactly: 100%. · Statement monthly amount × the claim factor for (claim age, birth year), rounded to whole dollars.</t>
  </si>
  <si>
    <t>1. claim age (the slider, 62–70) → months early or late vs their full retirement age  [MK-XS-I-018, MK-XS-I-021]
2. birth year (their setup answer) → the full retirement age it anchors to  [MK-XS-I-017, MK-XS-I-018]
3. statement amount at their full retirement age (typed from their ssa.gov statement) → statement monthly  [MK-XS-I-008, MK-XS-I-018, MK-XS-I-020]
4. claim age (the slider) → the factor's input  [MK-XS-I-021]
5. birth year (setup) → the anchor  [MK-XS-I-017]</t>
  </si>
  <si>
    <t>1. MK-XS-E-048 (SS_FULL_RETIREMENT_AGE) → The person's own Social Security full retirement age. Answers: 66 (born through 1954) · 66
2. MK-XS-E-046 (SS_CLAIM_FACTOR) → How much of the statement amount a claim age actually pays, anchored at the person's OWN f</t>
  </si>
  <si>
    <t>1. MK-PL-F-057 fullRetirementAge → MK-PL-F-058 ssClaimFactorFor
2. MK-PL-F-057 fullRetirementAge → MK-PL-F-058 ssClaimFactorFor → MK-PL-F-060 ssBenefitAt</t>
  </si>
  <si>
    <t>1. MK-PL-F-058 — Treats a year as twelve equal months.
2. MK-PL-F-058 — Turns a monthly figure into a year by multiplying by twelve.
3. MK-PL-F-058 — Rounds the answer to a whole number.
4. MK-PL-F-057 — Treats a year as twelve equal months.
5. MK-PL-F-060 — If statement monthly is missing it counts as zero, so nothing recorded and a real zero look the same.
6. MK-PL-F-060 — Rounds the answer to a whole number.</t>
  </si>
  <si>
    <t>[Founder] The amount a person types from their statement is the amount at THEIR full retirement age, not at 62 and not at 70 (fix B2). The full-retirement age itself comes from a birth-year table, to the month.
[The person] The claim age they set, and the statement amount they typed.</t>
  </si>
  <si>
    <t>MK-PL-M-020</t>
  </si>
  <si>
    <t>about $X in total by age N</t>
  </si>
  <si>
    <t>r.lifetime</t>
  </si>
  <si>
    <t>lifetime total = monthly benefit × 12 × (life expectancy − claim age)</t>
  </si>
  <si>
    <t>The monthly Social Security check multiplied out to a life expectancy, so claiming early and claiming late can be compared in total dollars.</t>
  </si>
  <si>
    <t>[Built in] A life-expectancy figure the person never chose.
[The person] The claim age they set, and the statement amount they typed.</t>
  </si>
  <si>
    <t>1. A40 — Lifetime Social Security = monthly x 12 x (life expectancy - claim age): no inflation and no discounting, while the retirement paycheck on another screen grows Social Security with inflation. Two assumptions about one stream, and this is the figure people use to choose a claim age.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</si>
  <si>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MK-PL-M-021</t>
  </si>
  <si>
    <t>Showing example numbers (a $X/mo statement)</t>
  </si>
  <si>
    <t>exampleStmt</t>
  </si>
  <si>
    <t>a stated example amount, shown labelled as an example</t>
  </si>
  <si>
    <t>A worked example shown in place of a real Social Security statement, always labelled as such.</t>
  </si>
  <si>
    <t>MK-PL-M-022</t>
  </si>
  <si>
    <t>/roth</t>
  </si>
  <si>
    <t>Convert to Roth this year (&lt;year&gt;)</t>
  </si>
  <si>
    <t>A.rothConversionThisYear</t>
  </si>
  <si>
    <t>Typed by the person — no function behind it</t>
  </si>
  <si>
    <t>the value typed by the person</t>
  </si>
  <si>
    <t>A number the person entered; no calculation.</t>
  </si>
  <si>
    <t>Nothing to compute — the person either entered it or has not, and the screen shows it only when they have.</t>
  </si>
  <si>
    <t>MK-PL-M-023</t>
  </si>
  <si>
    <t>Extra tax next April (estimate) — about $X</t>
  </si>
  <si>
    <t>taxCost</t>
  </si>
  <si>
    <t>extra tax ≈ Σ over bands of (amount converted falling in that band × its rate)</t>
  </si>
  <si>
    <t>The extra tax a Roth conversion would cause: the converted amount is stacked on top of this year's income and taxed band by band.</t>
  </si>
  <si>
    <t>1. A42 — Roth conversion tax is stated as approximately the sum over bands. Three things that decide whether a conversion is worth doing for someone aged 55-70 are named nowhere: that the conversion stacks on top of existing ordinary income, the IRMAA surcharge on Medicare premiums two years later, and the share of Social Security that becomes taxable as a result.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</si>
  <si>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MK-PL-M-024</t>
  </si>
  <si>
    <t>from your pre-tax $X</t>
  </si>
  <si>
    <t>preTax</t>
  </si>
  <si>
    <t>pre-tax balance = Σ(balance of accounts whose tax type = pre-tax)</t>
  </si>
  <si>
    <t>Adds the balances of accounts whose money has not been taxed yet — the pot a Roth move would come from.</t>
  </si>
  <si>
    <t>MK-PL-M-025</t>
  </si>
  <si>
    <t>/what-if</t>
  </si>
  <si>
    <t>+$X/mo (the saving dial)</t>
  </si>
  <si>
    <t>addMonthly</t>
  </si>
  <si>
    <t>MK-PL-M-026</t>
  </si>
  <si>
    <t>$X → $Y (nest egg before and after)</t>
  </si>
  <si>
    <t>result.before.egg / result.after.egg</t>
  </si>
  <si>
    <t>MK-PL-M-027</t>
  </si>
  <si>
    <t>the difference the change makes</t>
  </si>
  <si>
    <t>result.after.egg - result.before.egg</t>
  </si>
  <si>
    <t>difference = pot after the change − pot before it</t>
  </si>
  <si>
    <t>MK-PL-M-028</t>
  </si>
  <si>
    <t>/multi-goal</t>
  </si>
  <si>
    <t>each goal and its monthly amount</t>
  </si>
  <si>
    <t>d.monthlyAmount</t>
  </si>
  <si>
    <t>the values typed by the person</t>
  </si>
  <si>
    <t>Amounts the person entered; no calculation.</t>
  </si>
  <si>
    <t>One figure per goal  [derived by rule — confirm]</t>
  </si>
  <si>
    <t>MK-PL-M-029</t>
  </si>
  <si>
    <t>Retirement saving — $X/mo now → $Y/mo</t>
  </si>
  <si>
    <t>A.contribMonthly / retirementMo</t>
  </si>
  <si>
    <t>THE SAME FIGURE AS MK-PL-M-011 — What is being saved each month towards retirement — "Monthly saving until then" and "Retirement saving $X/mo now".</t>
  </si>
  <si>
    <t>MK-PL-M-030</t>
  </si>
  <si>
    <t>Extra on debt $X/mo</t>
  </si>
  <si>
    <t>extraDebt</t>
  </si>
  <si>
    <t>CORRECTED 2026-08-25 — this row used to name DEBT_PICTURE. "Extra on debt $X/mo" is an amount the person chose on a dial, not a figure that engine produces.</t>
  </si>
  <si>
    <t>MK-PL-M-031</t>
  </si>
  <si>
    <t>paid off &lt;month&gt; · saves $X</t>
  </si>
  <si>
    <t>weighed.debtPayoff</t>
  </si>
  <si>
    <t>each month: balance ← balance × (1 + rate ÷ 12) − payment, until balance ≤ 0;  payoff month = the first month it does</t>
  </si>
  <si>
    <t>Runs the debt forward month by month: interest is added, the payment is taken off, and the month the balance reaches zero is the payoff date.</t>
  </si>
  <si>
    <t>1. A43 — Debt payoff: this file's formula is one balance rolled forward at the rate over twelve until it clears. The code (src/domain/debt/index.ts:140) also orders debts by avalanche or snowball, rolls a cleared debt's payment into the next, defers loans whose first payment has not arrived, settles due-in-full debts as dated lumps, clears at a one-cent tolerance and gives up at 600 months with a never-pays-off flag. None of that is in the file, and the roll-over is what makes the answer right.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</si>
  <si>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MK-PL-M-032</t>
  </si>
  <si>
    <t>/retirement</t>
  </si>
  <si>
    <t>incl. Social Security $X/mo from age N</t>
  </si>
  <si>
    <t>ssIncome</t>
  </si>
  <si>
    <t>MK-PL-M-033</t>
  </si>
  <si>
    <t>your $X grows to $Y by age N at Z%/yr</t>
  </si>
  <si>
    <t>nestEgg / scProjected</t>
  </si>
  <si>
    <t>THE SURVIVING IDENTIFIER for this figure. Folded in: MK-NW-M-015. The projected pot at retirement, shown on Net worth as "on track for $X by age Y" and on the cockpit as "your $X grows to $Y". One figure, two screens — the founder spotted this one himself.</t>
  </si>
  <si>
    <t>MK-PL-M-034</t>
  </si>
  <si>
    <t>At Z% return, your money lasts past age N</t>
  </si>
  <si>
    <t>scDeplete</t>
  </si>
  <si>
    <t>MK-PL-M-035</t>
  </si>
  <si>
    <t>Retire at age (the dial)</t>
  </si>
  <si>
    <t>rAge</t>
  </si>
  <si>
    <t>the age set by the person</t>
  </si>
  <si>
    <t>An age the person set on a dial; no calculation.</t>
  </si>
  <si>
    <t>MK-PL-M-036</t>
  </si>
  <si>
    <t>/education</t>
  </si>
  <si>
    <t>the future total cost of school</t>
  </si>
  <si>
    <t>plan.futureTotalCost</t>
  </si>
  <si>
    <t>future cost = today’s cost × (1 + education inflation)^years;  monthly needed = gap ÷ months until school starts</t>
  </si>
  <si>
    <t>Grows today's cost of school by education inflation to the year it starts, then divides what is still missing by the months until then.</t>
  </si>
  <si>
    <t>[Built in] Inflation comes from a published feed, with a fallback figure when the feed is silent.</t>
  </si>
  <si>
    <t>Q26 — What education inflation rate should the college projection use, and should it be visible and editable on the screen?</t>
  </si>
  <si>
    <t>1. A45 — Education saving: monthly needed = gap over months assumes no return whatever on money saved between now and the first term, while the retirement pot on another screen compounds its contributions. Two treatments of the same idea, and this one overstates what the person must put aside.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</si>
  <si>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MK-PL-M-037</t>
  </si>
  <si>
    <t>$X/mo set aside closes the $Y gap</t>
  </si>
  <si>
    <t>plan.monthlyNeeded / plan.gap</t>
  </si>
  <si>
    <t>/sharpen</t>
  </si>
  <si>
    <t>MK-CF-M-001</t>
  </si>
  <si>
    <t>Cashflow</t>
  </si>
  <si>
    <t>Expected in</t>
  </si>
  <si>
    <t>cell.inflow</t>
  </si>
  <si>
    <t>for month m: expected in = Σ(income landing in m);  planned out = Σ(bills and planned spending dated in m);  planned surplus = expected in − planned out</t>
  </si>
  <si>
    <t>Lays the year out month by month so a month with a big bill in it can be seen before it arrives.</t>
  </si>
  <si>
    <t>MK-CF-M-002</t>
  </si>
  <si>
    <t>Planned out · incl. &lt;big bill&gt;</t>
  </si>
  <si>
    <t>cell.outflow</t>
  </si>
  <si>
    <t>MK-CF-M-003</t>
  </si>
  <si>
    <t>cell.net</t>
  </si>
  <si>
    <t>planned surplus = expected in − planned out</t>
  </si>
  <si>
    <t>MK-CF-M-004</t>
  </si>
  <si>
    <t>Out (spent + debt)</t>
  </si>
  <si>
    <t>out</t>
  </si>
  <si>
    <t>MK-CF-M-005</t>
  </si>
  <si>
    <t>inn - out</t>
  </si>
  <si>
    <t>surplus = money in − money out</t>
  </si>
  <si>
    <t>MK-CF-M-006</t>
  </si>
  <si>
    <t>YOUR SOURCES — Base salary</t>
  </si>
  <si>
    <t>op.baseSalary</t>
  </si>
  <si>
    <t>totalGrossAnnual</t>
  </si>
  <si>
    <t>MK-CF-F-083</t>
  </si>
  <si>
    <t>gross a year = salary + self-employment + bonus + equity vesting + rental + other;  net a month = (gross − tax withheld − pre-tax contributions) ÷ 12</t>
  </si>
  <si>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</si>
  <si>
    <t>each part → its own engine above  [NOT AN INPUT — another engine’s answer; see the dependency column]</t>
  </si>
  <si>
    <t>1. MK-XS-E-049 (EQUITY_THIS_YEAR) → How much equity vests this year?
2. MK-XS-E-050 (OTHER_INCOME) → What else comes in?
3. MK-XS-E-020 (READ_A_NUMBER) → What number did the person actually type?
4. MK-XS-E-051 (RENTAL_INCOME_A_YEAR) → What do the rentals net over a year?
5. MK-PL-E-007 (RETIREMENT_INCOME_NOW) → How much retirement income is arriving TODAY?
6. MK-XS-E-052 (SALARY_A_YEAR) → What is the salary for the year?
7. MK-XS-E-053 (TIPS_A_YEAR) → What do tips come to over the year?</t>
  </si>
  <si>
    <t>1. MK-ST-F-052 toNum → MK-CF-F-075 retirementIncomeMonthly → MK-CF-F-072 currentRetirementIncomeMonthly → MK-CF-F-083 totalGrossAnnual
2. MK-CF-F-069 benefitActiveMonths → MK-CF-F-070 benefitAnnual → MK-CF-F-071 extraIncome → MK-CF-F-083 totalGrossAnnual
3. MK-ST-F-052 toNum → MK-CF-F-070 benefitAnnual → MK-CF-F-071 extraIncome → MK-CF-F-083 totalGrossAnnual
4. MK-ST-F-055 round2 → MK-CF-F-071 extraIncome → MK-CF-F-083 totalGrossAnnual
5. MK-ST-F-052 toNum → MK-CF-F-071 extraIncome → MK-CF-F-083 totalGrossAnnual
6. MK-ST-F-052 toNum → MK-CF-F-067 rentalList → MK-CF-F-068 rentalNetAnnual → MK-CF-F-083 totalGrossAnnual
7. MK-ST-F-052 toNum → MK-CF-F-062 equityRowValue → MK-CF-F-066 rsuAnnual → MK-CF-F-083 totalGrossAnnual
8. MK-CF-F-063 rowVestYear → MK-CF-F-066 rsuAnnual → MK-CF-F-083 totalGrossAnnual
9. … and 9 more paths</t>
  </si>
  <si>
    <t>1. MK-CF-F-083 — Turns a monthly figure into a year by multiplying by twelve.
2. MK-CF-F-083 — Uses today's date from the device clock, so the answer changes by itself overnight.
3. MK-CF-F-071 — Treats a year as twelve equal months.
4. MK-CF-F-068 — Turns a monthly figure into a year by multiplying by twelve.
5. MK-CF-F-066 — Leaves some rows out of the answer — check which.
6. MK-CF-F-082 — Uses today's date from the device clock, so the answer changes by itself overnight.
7. MK-CF-F-074 — Uses today's date from the device clock, so the answer changes by itself overnight.
8. MK-ST-F-055 — Multiplies by 100 — a percentage, or an option contract treated as 100 shares. Worth checking which.
9. MK-ST-F-055 — Rounds the answer to a whole number.
10. MK-CF-F-067 — Leaves some rows out of the answer — check which.
11. MK-CF-F-063 — Uses today's date from the device clock, so the answer changes by itself overnight.
12. MK-CF-F-081 — Uses today's date from the device clock, so the answer changes by itself overnight.
13. MK-CF-F-081 — Leaves some rows out of the answer — check which.
14. MK-CF-F-069 — Leaves some rows out of the answer — check which.
15. MK-CF-F-097 — Uses a built-in i of 0.
16. MK-CF-F-097 — Rounds the answer to a whole number.</t>
  </si>
  <si>
    <t>1. B17 [ONE FORMULA] — Seven figures share one formula and one function, totalGrossAnnual, which returns GROSS A YEAR and nothing else: "net a year", "Gross / year", "Net / month", and the four per-source rows (Base salary, Self-employment, Bonus, each income source). Neither net figure is what the function returns, and a single source is not the total. Six of the seven need their own formula.</t>
  </si>
  <si>
    <t>MK-CF-M-007</t>
  </si>
  <si>
    <t>YOUR SOURCES — Self-employment</t>
  </si>
  <si>
    <t>op.seAmount</t>
  </si>
  <si>
    <t>MK-CF-M-008</t>
  </si>
  <si>
    <t>YOUR SOURCES — Bonus</t>
  </si>
  <si>
    <t>op.bonusAnnual</t>
  </si>
  <si>
    <t>MK-CF-M-009</t>
  </si>
  <si>
    <t>YOUR SOURCES — Stock vesting (equity)</t>
  </si>
  <si>
    <t>rsuTotal</t>
  </si>
  <si>
    <t>equity a year ÷ the vest months it lands in, by the stated weights</t>
  </si>
  <si>
    <t>Spreads stock that vests across the months it actually vests in, rather than smoothing it over the year.</t>
  </si>
  <si>
    <t>MK-CF-M-010</t>
  </si>
  <si>
    <t>YOUR SOURCES — Rental property</t>
  </si>
  <si>
    <t>rentalTotal</t>
  </si>
  <si>
    <t>rentalNetAnnual</t>
  </si>
  <si>
    <t>MK-CF-F-068</t>
  </si>
  <si>
    <t>rental net a year = rent received − running costs</t>
  </si>
  <si>
    <t>(income − costs) each month, added across properties, × 12.
A property that costs more than it earns REDUCES income rather than being floored at zero — a loss-making rental is a real fact about a plan.</t>
  </si>
  <si>
    <t>each rental → rentalList  [MK-XS-I-023]</t>
  </si>
  <si>
    <t>MK-XS-E-054 (RENTALS) → What rental properties are there, and what does each bring in?</t>
  </si>
  <si>
    <t>MK-ST-F-052 toNum → MK-CF-F-067 rentalList → MK-CF-F-068 rentalNetAnnual</t>
  </si>
  <si>
    <t>1. MK-CF-F-068 — Turns a monthly figure into a year by multiplying by twelve.
2. MK-CF-F-067 — Leaves some rows out of the answer — check which.</t>
  </si>
  <si>
    <t>1. B20 [CLASH] — The file says "rental net a year = rent received − running costs". The code (rentalNetAnnual) is Σ(income − expenses) × 12 — the inputs are MONTHLY and the twelve is what makes it a year. As written, the file's formula gives a month and calls it a year.</t>
  </si>
  <si>
    <t>MK-CF-M-011</t>
  </si>
  <si>
    <t>YOUR SOURCES — Social Security · pension</t>
  </si>
  <si>
    <t>guaranteed</t>
  </si>
  <si>
    <t>THE SURVIVING IDENTIFIER for this figure. Folded in: MK-PL-M-018, MK-PL-M-032, MK-CF-M-024. Guaranteed income being received now. Shown four ways: "You receive $X/mo" on Social Security timing, "incl. Social Security $X/mo" on the cockpit, as a source on Cash flow, and as a list on Monthly income. One figure, four identifiers.</t>
  </si>
  <si>
    <t>MK-CF-M-012</t>
  </si>
  <si>
    <t>RECEIVED · &lt;month&gt; — each payment</t>
  </si>
  <si>
    <t>i.amount</t>
  </si>
  <si>
    <t>each payment recorded this month, with its date and source</t>
  </si>
  <si>
    <t>Lists what has actually been received this month, rather than what was expected.</t>
  </si>
  <si>
    <t>MK-CF-M-013</t>
  </si>
  <si>
    <t>&lt;MONTH&gt; · $X SPENT</t>
  </si>
  <si>
    <t>spent</t>
  </si>
  <si>
    <t>spendBuckets</t>
  </si>
  <si>
    <t>MK-CF-F-004</t>
  </si>
  <si>
    <t>spent in a bucket = Σ(expenses this month in that bucket);  debt payments are excluded</t>
  </si>
  <si>
    <t>If the person answered category by category, total each category into its bucket. If they gave three summary figures instead, use those. Nothing answered is zero — never a guessed household average, which would put a number in their plan that nobody chose.</t>
  </si>
  <si>
    <t>1. the categories → spendCats  [MK-XS-I-032]
2. or the three summary figures → b_fixed, b_nonmonthly, b_flexible  [NOT AN INPUT — another engine’s answer; see the dependency column]</t>
  </si>
  <si>
    <t>MK-XS-E-020 (READ_A_NUMBER) → What number did the person actually type?</t>
  </si>
  <si>
    <t>1. MK-ST-F-052 toNum → MK-CF-F-003 categoryMonthly → MK-CF-F-004 spendBuckets
2. MK-ST-F-055 round2 → MK-CF-F-004 spendBuckets
3. MK-ST-F-052 toNum → MK-CF-F-004 spendBuckets</t>
  </si>
  <si>
    <t>1. MK-CF-F-003 — Treats a year as twelve equal months.
2. MK-CF-F-003 — Turns a monthly figure into a year by multiplying by twelve.
3. MK-ST-F-055 — Multiplies by 100 — a percentage, or an option contract treated as 100 shares. Worth checking which.
4. MK-ST-F-055 — Rounds the answer to a whole number.</t>
  </si>
  <si>
    <t>1. B02 [CLASH] — The file says "spent in a bucket = Σ(expenses this month in that bucket)". The code (spendBuckets, src/domain/budget/index.ts:72) reads the PLANNED categories the person set up, or the older planned fields — it never looks at a logged expense at all. Planned is being shown where spent is promised. One of these figures is labelled "Using $X/mo from your LOGGED spending" on screen, which makes it a wrong word in front of the person as well as a wrong number. This is the same class as bug B-24.</t>
  </si>
  <si>
    <t>MK-CF-M-014</t>
  </si>
  <si>
    <t>each expense and its amount</t>
  </si>
  <si>
    <t>e.amount</t>
  </si>
  <si>
    <t>MK-CF-M-015</t>
  </si>
  <si>
    <t>BY CATEGORY VS PLAN — $X of $Y</t>
  </si>
  <si>
    <t>b.spent / b.planned</t>
  </si>
  <si>
    <t>plannedMonthlySpend</t>
  </si>
  <si>
    <t>MK-CF-F-002</t>
  </si>
  <si>
    <t>planned a month = Σ(each category’s planned amount);  remaining = planned − spent</t>
  </si>
  <si>
    <t>The LARGER of two answers: the categories added up, or the single monthly figure they typed.
The larger wins deliberately. Someone may answer both and the two rarely agree, and understating spending is the direction that FLATTERS a plan — it makes the odds look better than they are. Taking the larger errs toward the cautious side.</t>
  </si>
  <si>
    <t>1. the categories → SPENDING_BY_KIND  [MK-XS-I-032]
2. the single figure → monthlySpending  [MK-XS-I-024, MK-XS-I-030]</t>
  </si>
  <si>
    <t>1. MK-XS-E-020 (READ_A_NUMBER) → What number did the person actually type?
2. MK-XS-E-021 (SPENDING_BY_KIND) → What is spent each month, split by kind?</t>
  </si>
  <si>
    <t>1. MK-CF-F-069 benefitActiveMonths → MK-CF-F-092 incomeMonthlyGrid → MK-CF-F-002 plannedMonthlySpend
2. MK-ST-F-052 toNum → MK-CF-F-075 retirementIncomeMonthly → MK-CF-F-072 currentRetirementIncomeMonthly → MK-CF-F-092 incomeMonthlyGrid → MK-CF-F-002 plannedMonthlySpend
3. MK-ST-F-052 toNum → MK-CF-F-062 equityRowValue → MK-CF-F-065 equityVestWeights → MK-CF-F-092 incomeMonthlyGrid → MK-CF-F-002 plannedMonthlySpend
4. MK-CF-F-069 benefitActiveMonths → MK-CF-F-070 benefitAnnual → MK-CF-F-071 extraIncome → MK-CF-F-092 incomeMonthlyGrid → MK-CF-F-002 plannedMonthlySpend
5. MK-ST-F-052 toNum → MK-CF-F-070 benefitAnnual → MK-CF-F-071 extraIncome → MK-CF-F-092 incomeMonthlyGrid → MK-CF-F-002 plannedMonthlySpend
6. MK-ST-F-055 round2 → MK-CF-F-071 extraIncome → MK-CF-F-092 incomeMonthlyGrid → MK-CF-F-002 plannedMonthlySpend
7. MK-ST-F-052 toNum → MK-CF-F-071 extraIncome → MK-CF-F-092 incomeMonthlyGrid → MK-CF-F-002 plannedMonthlySpend
8. MK-CF-F-101 taxOwedFor → MK-CF-F-102 effectiveRateOnGrossFor → MK-CF-F-090 effectiveRate → MK-CF-F-087 monthlyTaxRates → MK-CF-F-092 incomeMonthlyGrid → MK-CF-F-002 plannedMonthlySpend
9. … and 45 more paths</t>
  </si>
  <si>
    <t>1. MK-CF-F-002 — Treats a year as twelve equal months.
2. MK-CF-F-092 — Treats a year as twelve equal months.
3. MK-CF-F-092 — Uses today's date from the device clock, so the answer changes by itself overnight.
4. MK-CF-F-069 — Leaves some rows out of the answer — check which.
5. MK-CF-F-065 — Uses a built-in total v of 0.
6. MK-CF-F-071 — Treats a year as twelve equal months.
7. MK-CF-F-087 — Uses today's date from the device clock, so the answer changes by itself overnight.
8. MK-CF-F-068 — Turns a monthly figure into a year by multiplying by twelve.
9. MK-ST-F-055 — Multiplies by 100 — a percentage, or an option contract treated as 100 shares. Worth checking which.
10. MK-ST-F-055 — Rounds the answer to a whole number.
11. MK-CF-F-066 — Leaves some rows out of the answer — check which.
12. MK-CF-F-077 — Uses a built-in i of 0.
13. MK-CF-F-077 — Treats a year as twelve equal months.
14. MK-CF-F-003 — Treats a year as twelve equal months.
15. MK-CF-F-003 — Turns a monthly figure into a year by multiplying by twelve.
16. MK-CF-F-089 — Uses today's date from the device clock, so the answer changes by itself overnight.
17. MK-CF-F-088 — Treats a year as twelve equal months.
18. MK-CF-F-088 — Uses today's date from the device clock, so the answer changes by itself overnight.
19. MK-CF-F-067 — Leaves some rows out of the answer — check which.
20. MK-CF-F-063 — Uses today's date from the device clock, so the answer changes by itself overnight.
21. MK-CF-F-097 — Uses a built-in i of 0.
22. MK-CF-F-097 — Rounds the answer to a whole number.
23. MK-CF-F-084 — Turns a monthly figure into a year by multiplying by twelve.
24. MK-CF-F-084 — Uses today's date from the device clock, so the answer changes by itself overnight.
25. MK-CF-F-082 — Uses today's date from the device clock, so the answer changes by itself overnight.
… and 3 more, on the functions tab</t>
  </si>
  <si>
    <t>THE SURVIVING IDENTIFIER for this figure. Folded in: MK-MN-M-007. Spending against plan for a category — the same comparison on Cash flow and on the expense screen. CONFIRM: the expense screen adds the amount being typed, which may make it a different figure.</t>
  </si>
  <si>
    <t>MK-CF-M-016</t>
  </si>
  <si>
    <t>BIG-TICKET RADAR — &lt;bill&gt; · due &lt;month&gt;</t>
  </si>
  <si>
    <t>b.amount</t>
  </si>
  <si>
    <t>a bill is flagged when its amount is large relative to a typical month and it falls within the horizon shown</t>
  </si>
  <si>
    <t>Points out the big one-off bills coming up, so they are not a surprise.</t>
  </si>
  <si>
    <t>MK-CF-M-017</t>
  </si>
  <si>
    <t>well above your usual &lt;category&gt;</t>
  </si>
  <si>
    <t>flagged when an expense is well above the usual amount for its category</t>
  </si>
  <si>
    <t>Marks a single expense that sits well above what that category normally costs.</t>
  </si>
  <si>
    <t>MK-CF-M-018</t>
  </si>
  <si>
    <t>THIS MONTH — In (take-home)</t>
  </si>
  <si>
    <t>inflow</t>
  </si>
  <si>
    <t>THE SAME FIGURE AS MK-XS-M-006 — Money in this month. "In (take-home)" on Cash flow is the same figure as "Income" on Home.</t>
  </si>
  <si>
    <t>MK-CF-M-019</t>
  </si>
  <si>
    <t>THIS MONTH — Out (bills + debt)</t>
  </si>
  <si>
    <t>outflow</t>
  </si>
  <si>
    <t>1. spendBuckets
2. requiredPayment</t>
  </si>
  <si>
    <t>1. MK-CF-F-004
2. MK-CF-F-023</t>
  </si>
  <si>
    <t>money out = Σ(expenses this month) + Σ(required debt payments)</t>
  </si>
  <si>
    <t>If the person answered category by category, total each category into its bucket. If they gave three summary figures instead, use those. Nothing answered is zero — never a guessed household average, which would put a number in their plan that nobody chose. · Due in full → 0. It is a dated bill, and calling it a monthly payment overstates what a person is committed to. Otherwise the LARGER of the minimum and whatever payment they have chosen, so overpaying on purpose shows up.</t>
  </si>
  <si>
    <t>1. the categories → spendCats  [MK-XS-I-032]
2. or the three summary figures → b_fixed, b_nonmonthly, b_flexible  [NOT AN INPUT — another engine’s answer; see the dependency column]
3. shape → paymentShape  [MK-XS-I-042]
4. minimum → minimum_monthly_payment  [MK-XS-I-016]
5. chosen → monthly_payment  [MK-XS-I-041]</t>
  </si>
  <si>
    <t>1. MK-XS-E-020 (READ_A_NUMBER) → What number did the person actually type?
2. MK-XS-E-019 (DEBT_SHAPE) → How is THIS debt repaid?</t>
  </si>
  <si>
    <t>1. MK-ST-F-052 toNum → MK-CF-F-003 categoryMonthly → MK-CF-F-004 spendBuckets
2. MK-ST-F-055 round2 → MK-CF-F-004 spendBuckets
3. MK-ST-F-052 toNum → MK-CF-F-004 spendBuckets
4. MK-CF-F-021 defaultPaymentType → MK-CF-F-022 paymentShape → MK-CF-F-023 requiredPayment</t>
  </si>
  <si>
    <t>1. MK-CF-F-003 — Treats a year as twelve equal months.
2. MK-CF-F-003 — Turns a monthly figure into a year by multiplying by twelve.
3. MK-ST-F-055 — Multiplies by 100 — a percentage, or an option contract treated as 100 shares. Worth checking which.
4. MK-ST-F-055 — Rounds the answer to a whole number.
5. MK-CF-F-023 — If monthly payment is missing it uses 0.</t>
  </si>
  <si>
    <t>1. B01 [CLASH] — The file says the required payment is "the stated minimum, or interest + 1% of balance when none is stated". The code (requiredPayment, src/domain/debt/index.ts:44) is the LARGER of the stated minimum and the payment the person chose, falling back to the stated minimum — and ZERO for a debt due in full as a lump. There is no interest term and no 1% anywhere in the debt code. The file describes a rule that was never built.
2. B02 [CLASH] — The file says "spent in a bucket = Σ(expenses this month in that bucket)". The code (spendBuckets, src/domain/budget/index.ts:72) reads the PLANNED categories the person set up, or the older planned fields — it never looks at a logged expense at all. Planned is being shown where spent is promised. One of these figures is labelled "Using $X/mo from your LOGGED spending" on screen, which makes it a wrong word in front of the person as well as a wrong number. This is the same class as bug B-24.</t>
  </si>
  <si>
    <t>MK-CF-M-020</t>
  </si>
  <si>
    <t>THIS MONTH — free to use</t>
  </si>
  <si>
    <t>free</t>
  </si>
  <si>
    <t>free to use = money in − money out − Σ(monthly amounts the Plan committed)</t>
  </si>
  <si>
    <t>MK-CF-M-021</t>
  </si>
  <si>
    <t>&lt;goal&gt; · from your Plan</t>
  </si>
  <si>
    <t>c.monthlyAmount</t>
  </si>
  <si>
    <t>Σ(monthly amount of each goal the Plan has committed to)</t>
  </si>
  <si>
    <t>The monthly amounts the Plan has already promised to goals, so cash flow can show what is genuinely free.</t>
  </si>
  <si>
    <t>MK-CF-M-022</t>
  </si>
  <si>
    <t>YOUR FUTURE PAYCHECK — At &lt;age&gt;: ~$X / mo</t>
  </si>
  <si>
    <t>projection.monthly</t>
  </si>
  <si>
    <t>MK-CF-M-023</t>
  </si>
  <si>
    <t>YOUR FUTURE PAYCHECK — Social Security · pension</t>
  </si>
  <si>
    <t>projection.guaranteed</t>
  </si>
  <si>
    <t>retirementIncomeMonthly</t>
  </si>
  <si>
    <t>MK-CF-F-075</t>
  </si>
  <si>
    <t>guaranteed income a month = Social Security + pension + annuity + any other stated stream</t>
  </si>
  <si>
    <t>Add Social Security, pension, withdrawals, required minimum distributions, annuities and other — each converted to a monthly figure from however it was entered (yearly, quarterly, monthly).</t>
  </si>
  <si>
    <t>1. each source → ri_ss  [MK-XS-I-020]
2. ri_pension  [MK-XS-I-022]
3. ri_withdrawals  [MK-XS-I-038]
4. ri_rmd  [MK-XS-I-037]
5. ri_annuities  [MK-XS-I-035]
6. ri_other  [MK-XS-I-036]
7. and how often each arrives → the matching frequency  [MK-XS-I-039]</t>
  </si>
  <si>
    <t>MK-ST-F-052 toNum → MK-CF-F-075 retirementIncomeMonthly</t>
  </si>
  <si>
    <t>MK-CF-M-024</t>
  </si>
  <si>
    <t>/monthly-income</t>
  </si>
  <si>
    <t>each source of guaranteed income</t>
  </si>
  <si>
    <t>MK-CF-M-025</t>
  </si>
  <si>
    <t>/month-detail</t>
  </si>
  <si>
    <t>what came in and went out that month</t>
  </si>
  <si>
    <t>cell</t>
  </si>
  <si>
    <t>see the by-month grid</t>
  </si>
  <si>
    <t>The month-by-month view of money in and money out.</t>
  </si>
  <si>
    <t>MK-CF-M-026</t>
  </si>
  <si>
    <t>/paycheck-months</t>
  </si>
  <si>
    <t>the months a paycheck lands</t>
  </si>
  <si>
    <t>payYear</t>
  </si>
  <si>
    <t>paycheck a month = guaranteed income + the draw from savings</t>
  </si>
  <si>
    <t>Builds the monthly paycheck in retirement: what is guaranteed that month, plus what can be drawn from savings without breaking the plan.</t>
  </si>
  <si>
    <t>[Founder] Withdrawals, including required ones, are NOT counted as guaranteed income — counting money coming out of the pot as income would count the same dollars twice (fix B5).</t>
  </si>
  <si>
    <t>Q30 — The draw from savings is shown as one figure a month. Should it hold steady in today's dollars, or rise with inflation each year?</t>
  </si>
  <si>
    <t>MK-CF-M-027</t>
  </si>
  <si>
    <t>/income-manager</t>
  </si>
  <si>
    <t>each income source and its amount</t>
  </si>
  <si>
    <t>sources</t>
  </si>
  <si>
    <t>MK-CF-M-028</t>
  </si>
  <si>
    <t>/bill-calendar</t>
  </si>
  <si>
    <t>each bill and the day it falls</t>
  </si>
  <si>
    <t>bills</t>
  </si>
  <si>
    <t>each bill falls on its stated day;  the month’s bills = Σ(amounts due in that month)</t>
  </si>
  <si>
    <t>Places each recurring bill on the day of the month it falls, so the shape of the month can be seen.</t>
  </si>
  <si>
    <t>MK-MN-M-001</t>
  </si>
  <si>
    <t>Menu</t>
  </si>
  <si>
    <t>/big-costs</t>
  </si>
  <si>
    <t>each big cost and its year</t>
  </si>
  <si>
    <t>c.amount</t>
  </si>
  <si>
    <t>total = Σ(each big cost);  each one lands in the year it is dated</t>
  </si>
  <si>
    <t>Adds up the one-off costs the person has told us about, each sitting in the year it is expected.</t>
  </si>
  <si>
    <t>MK-MN-M-002</t>
  </si>
  <si>
    <t>the total of your big costs</t>
  </si>
  <si>
    <t>MK-MN-M-003</t>
  </si>
  <si>
    <t>/contribution-room</t>
  </si>
  <si>
    <t>$X left / up to $Y</t>
  </si>
  <si>
    <t>room / limit</t>
  </si>
  <si>
    <t>room left = the year’s limit − what has already gone in;  per month = room left ÷ months left in the year</t>
  </si>
  <si>
    <t>Takes the year's legal limit for the account, subtracts what has already gone in, and divides what is left by the months remaining.</t>
  </si>
  <si>
    <t>MK-MN-M-004</t>
  </si>
  <si>
    <t>about $X of the $Y limit</t>
  </si>
  <si>
    <t>used / limit</t>
  </si>
  <si>
    <t>MK-MN-M-005</t>
  </si>
  <si>
    <t>about $X/mo for the rest of the year</t>
  </si>
  <si>
    <t>perMonth</t>
  </si>
  <si>
    <t>per month = room left ÷ months left in the year</t>
  </si>
  <si>
    <t>MK-MN-M-006</t>
  </si>
  <si>
    <t>/credit</t>
  </si>
  <si>
    <t>$X of $Y used — the line marks 30%</t>
  </si>
  <si>
    <t>bal / lim</t>
  </si>
  <si>
    <t>use = balance ÷ credit limit</t>
  </si>
  <si>
    <t>The balance on the card against its limit — the share of the line being used.</t>
  </si>
  <si>
    <t>MK-MN-M-007</t>
  </si>
  <si>
    <t>/expense</t>
  </si>
  <si>
    <t>$X of $Y this month · over by $Z</t>
  </si>
  <si>
    <t>catSpend / catBudget</t>
  </si>
  <si>
    <t>THE SAME FIGURE AS MK-CF-M-015 — Spending against plan for a category — the same comparison on Cash flow and on the expense screen. CONFIRM: the expense screen adds the amount being typed, which may make it a different figure.</t>
  </si>
  <si>
    <t>MK-MN-M-008</t>
  </si>
  <si>
    <t>/goals</t>
  </si>
  <si>
    <t>typical free cash to save $X/mo</t>
  </si>
  <si>
    <t>capacity.avg</t>
  </si>
  <si>
    <t>typical free cash a month = median over recent months of (money in − money out)</t>
  </si>
  <si>
    <t>Looks at recent months and takes the typical amount left after money in and money out — what could realistically be saved, not the best month.</t>
  </si>
  <si>
    <t>Needs recent months to speak. With too few it says so rather than offering a figure from one month.</t>
  </si>
  <si>
    <t>Q27 — "Typical free cash to save" uses the middle of recent months. How many months should it look back, and should a one-off windfall be excluded?</t>
  </si>
  <si>
    <t>MK-MN-M-009</t>
  </si>
  <si>
    <t>each goal — $X of $Y · $Z to go</t>
  </si>
  <si>
    <t>g.saved / g.target</t>
  </si>
  <si>
    <t>to go = target − saved;  progress = saved ÷ target</t>
  </si>
  <si>
    <t>What has been put aside against the target, and what is still to go.</t>
  </si>
  <si>
    <t>MK-MN-M-010</t>
  </si>
  <si>
    <t>your non-monthly budget</t>
  </si>
  <si>
    <t>sinkBasis</t>
  </si>
  <si>
    <t>set aside a month = Σ(each non-monthly cost ÷ months until it falls due)</t>
  </si>
  <si>
    <t>Takes the costs that do not arrive monthly and spreads each one across the months until it falls due.</t>
  </si>
  <si>
    <t>MK-MN-M-011</t>
  </si>
  <si>
    <t>/income-detail</t>
  </si>
  <si>
    <t>net a year</t>
  </si>
  <si>
    <t>state.total_net_annual</t>
  </si>
  <si>
    <t>MK-MN-M-012</t>
  </si>
  <si>
    <t>Gross / year</t>
  </si>
  <si>
    <t>state.total_gross_annual</t>
  </si>
  <si>
    <t>MK-MN-M-013</t>
  </si>
  <si>
    <t>Net / month</t>
  </si>
  <si>
    <t>state.net_monthly_income</t>
  </si>
  <si>
    <t>MK-MN-M-014</t>
  </si>
  <si>
    <t>Employer 401(k) match</t>
  </si>
  <si>
    <t>state.employer_match_annual</t>
  </si>
  <si>
    <t>employerMatchMonthly</t>
  </si>
  <si>
    <t>MK-CF-F-078</t>
  </si>
  <si>
    <t>match a year = the employer’s stated rate × pay, capped at the stated limit</t>
  </si>
  <si>
    <t>Either a percentage of what the person contributes to their 401(k), or a flat monthly amount — whichever way they described it.</t>
  </si>
  <si>
    <t>1. the match → employerMatchValue  [NOT AN INPUT — another engine’s answer; see the dependency column]
2. percent or dollars → employerMatchMode  [MK-XS-I-046]
3. their own contribution → c_401k  [MK-XS-I-043]</t>
  </si>
  <si>
    <t>MK-ST-F-052 toNum → MK-CF-F-078 employerMatchMonthly</t>
  </si>
  <si>
    <t>1. B04 [CLASH] — The file says "match a year = the employer's stated rate × PAY, capped at the stated limit". The code (employerMatchMonthly, src/domain/income/onboarding.ts:263) is the rate applied to the person's OWN 401(k) contribution, not to pay; it is a MONTH, not a year; and there is NO CAP in it at all. Three differences on one row, and the missing cap is the one that overstates the match.</t>
  </si>
  <si>
    <t>MK-MN-M-015</t>
  </si>
  <si>
    <t>/insights</t>
  </si>
  <si>
    <t>each insight and the dollars behind it</t>
  </si>
  <si>
    <t>shareOf(v)</t>
  </si>
  <si>
    <t>THE SURVIVING IDENTIFIER for this figure. Folded in: MK-HM-M-003. The insights list. Home shows the top three of the same list the Insights screen shows in full.</t>
  </si>
  <si>
    <t>MK-MN-M-016</t>
  </si>
  <si>
    <t>Total invested · Cash total · Investable total</t>
  </si>
  <si>
    <t>investable / cash</t>
  </si>
  <si>
    <t>1. investableAssets
2. cashTotal</t>
  </si>
  <si>
    <t>1. MK-NW-F-022
2. MK-NW-F-016</t>
  </si>
  <si>
    <t>investable = cash + investments  (excludes home and belongings)</t>
  </si>
  <si>
    <t>Cash + investments — everything except the house and the car. Selling the roof you live under is not a plan, so physical assets are excluded by CLASS, not by tax type. · Add up the balances of every account whose class is Cash. Under the founder's 2026-08-04 rule that means checking, savings, high-yield savings and the uninvested sweep at a broker — and NOT money-market funds, which pay dividends and are measured with the investments.</t>
  </si>
  <si>
    <t>1. each account's class → assetClassOf  [MK-XS-I-048]
2. each account's money → balance  [MK-XS-I-001]
3. each account's class → assetClassOf  [MK-XS-I-048]
4. each account's money → balance  [MK-XS-I-001]</t>
  </si>
  <si>
    <t>1. MK-XS-E-055 (IS_PHYSICAL_ASSET) → Is this something physical you own rather than money you could spend?
2. MK-XS-E-015 (ACCOUNT_SPLIT) → This one brokerage account holds several different things — how much of it is each?
3. MK-XS-E-008 (ASSET_CLASS_OF_ACCOUNT) → What kind of thing is this account — cash, a bond, shares, or something else?</t>
  </si>
  <si>
    <t>1. MK-ST-F-010 nameEvidence → MK-NW-F-008 incomeBearingClassOf → MK-NW-F-011 assetClassOf → MK-NW-F-014 isRealAsset → MK-NW-F-022 investableAssets
2. MK-ST-F-055 round2 → MK-NW-F-014 isRealAsset → MK-NW-F-022 investableAssets
3. MK-ST-F-055 round2 → MK-NW-F-015 totalAssets → MK-NW-F-022 investableAssets
4. MK-ST-F-010 nameEvidence → MK-NW-F-008 incomeBearingClassOf → MK-NW-F-011 assetClassOf → MK-NW-F-027 accountClassBreakdown → MK-NW-F-016 cashTotal
5. MK-ST-F-010 nameEvidence → MK-NW-F-008 incomeBearingClassOf → MK-NW-F-027 accountClassBreakdown → MK-NW-F-016 cashTotal
6. MK-ST-F-055 round2 → MK-NW-F-027 accountClassBreakdown → MK-NW-F-016 cashTotal
7. MK-ST-F-010 nameEvidence → MK-NW-F-008 incomeBearingClassOf → MK-NW-F-011 assetClassOf → MK-NW-F-016 cashTotal
8. MK-ST-F-055 round2 → MK-NW-F-016 cashTotal</t>
  </si>
  <si>
    <t>1. MK-NW-F-014 — If balance is missing it counts as zero, so nothing recorded and a real zero look the same.
2. MK-NW-F-014 — Leaves some rows out of the answer — check which.
3. MK-NW-F-015 — If balance is missing it counts as zero, so nothing recorded and a real zero look the same.
4. MK-ST-F-055 — Multiplies by 100 — a percentage, or an option contract treated as 100 shares. Worth checking which.
5. MK-ST-F-055 — Rounds the answer to a whole number.
6. MK-NW-F-016 — If balance is missing it counts as zero, so nothing recorded and a real zero look the same.
7. MK-NW-F-027 — If cash balance is missing it uses 0.
8. MK-NW-F-027 — If shares is missing it counts as zero, so nothing recorded and a real zero look the same.
9. MK-NW-F-027 — If value is missing it counts as zero, so nothing recorded and a real zero look the same.
10. MK-NW-F-027 — If balance is missing it counts as zero, so nothing recorded and a real zero look the same.</t>
  </si>
  <si>
    <t>MK-MN-M-017</t>
  </si>
  <si>
    <t>/insurance</t>
  </si>
  <si>
    <t>the life-cover gap</t>
  </si>
  <si>
    <t>need.gap</t>
  </si>
  <si>
    <t>need = income to replace × years + debts + goals + final expenses;  gap = need − cover already held</t>
  </si>
  <si>
    <t>Adds the income that would need replacing for the chosen number of years to debts, goals and final expenses, then subtracts cover already held.</t>
  </si>
  <si>
    <t>Q25 — How many years of income should the default life-cover estimate replace, and does it assume the mortgage is cleared?</t>
  </si>
  <si>
    <t>MK-MN-M-018</t>
  </si>
  <si>
    <t>Income replacement (N yrs)</t>
  </si>
  <si>
    <t>need.incomeReplacement</t>
  </si>
  <si>
    <t>MK-MN-M-019</t>
  </si>
  <si>
    <t>+ Debts, goals &amp; final expenses · Total need</t>
  </si>
  <si>
    <t>need.total</t>
  </si>
  <si>
    <t>MK-MN-M-020</t>
  </si>
  <si>
    <t>/jobsafety</t>
  </si>
  <si>
    <t>N months of essentials is $X ($Y/mo)</t>
  </si>
  <si>
    <t>target / ess</t>
  </si>
  <si>
    <t>runway in months = cash ÷ essentials a month;  target = months wanted × essentials a month</t>
  </si>
  <si>
    <t>How many months of essential bills the cash on hand would cover with no pay coming in.</t>
  </si>
  <si>
    <t>Q28 — How many months of essentials should the app treat as safe by default — and is that number yours to set per person, or one figure for everyone?</t>
  </si>
  <si>
    <t>MK-MN-M-021</t>
  </si>
  <si>
    <t>Using $X/mo from your logged spending</t>
  </si>
  <si>
    <t>monthSpend</t>
  </si>
  <si>
    <t>MK-MN-M-022</t>
  </si>
  <si>
    <t>/other-investments</t>
  </si>
  <si>
    <t>the total value of these investments</t>
  </si>
  <si>
    <t>total = Σ(recorded value of each alternative holding)</t>
  </si>
  <si>
    <t>Adds up the recorded value of every alternative holding — the things with no market price of their own.</t>
  </si>
  <si>
    <t>MK-MN-M-023</t>
  </si>
  <si>
    <t>EST. GROWTH / YR</t>
  </si>
  <si>
    <t>summary.growth</t>
  </si>
  <si>
    <t>estimated growth a year = Σ(value × its stated growth rate)</t>
  </si>
  <si>
    <t>Applies each alternative holding's own stated growth rate to its value and adds the results. An estimate, and labelled as one.</t>
  </si>
  <si>
    <t>MK-MN-M-024</t>
  </si>
  <si>
    <t>/stress-test</t>
  </si>
  <si>
    <t>You could cover a $X hit</t>
  </si>
  <si>
    <t>shock</t>
  </si>
  <si>
    <t>cash after = cash − the shock;  runway after = cash after ÷ essentials a month</t>
  </si>
  <si>
    <t>Takes a one-off hit out of the cash on hand and shows what would be left and how many months of essentials it would cover.</t>
  </si>
  <si>
    <t>Q29 — What size of shock should the test use by default, and should it be a fixed dollar figure or a share of the person's spending?</t>
  </si>
  <si>
    <t>MK-MN-M-025</t>
  </si>
  <si>
    <t>You'd have $X left — about N months of essentials</t>
  </si>
  <si>
    <t>r.cashAfter / r.runwayAfter</t>
  </si>
  <si>
    <t>MK-MN-M-026</t>
  </si>
  <si>
    <t>your $X/mo of must-pay bills</t>
  </si>
  <si>
    <t>ess</t>
  </si>
  <si>
    <t>MK-MN-M-027</t>
  </si>
  <si>
    <t>/tax-organizer</t>
  </si>
  <si>
    <t>each taxable line and its amount</t>
  </si>
  <si>
    <t>l.amount</t>
  </si>
  <si>
    <t>taxableIncomeFor</t>
  </si>
  <si>
    <t>MK-CF-F-100</t>
  </si>
  <si>
    <t>taxable income = gross income − pre-tax contributions − the deduction for the filing status and age</t>
  </si>
  <si>
    <t>gross − the deduction for that filing status: $16,100 single · $32,200 married · $24,150 head of household.</t>
  </si>
  <si>
    <t>1. gross → gross  [MK-XS-I-023]
2. how they file → status  [MK-XS-I-030]</t>
  </si>
  <si>
    <t>MK-XS-E-056 (TAX_DEDUCTION) → What amount of income is tax-free before the brackets start. Answers: $16,100 single · $32</t>
  </si>
  <si>
    <t>MK-CF-F-099 deductionFor → MK-CF-F-100 taxableIncomeFor</t>
  </si>
  <si>
    <t>[Founder] Explicit tables per filing status. A married band is not twice the single band — the 37% band starts at $768,700, not at double the single figure.</t>
  </si>
  <si>
    <t>Q24 — State tax is applied to taxable accounts only. Do you want a state rate captured per person, or to keep the single blended figure we use now?</t>
  </si>
  <si>
    <t>1. B05 [CLASH] — The file says "taxable income = gross − PRE-TAX CONTRIBUTIONS − the deduction for the filing status and age". The code (taxableIncomeFor, src/domain/income/tax.ts:110) is max(0, gross − the deduction). The pre-tax subtraction is not in it. If it happens it happens before the call, and nothing in the file names where.</t>
  </si>
  <si>
    <t>MK-MN-M-028</t>
  </si>
  <si>
    <t>Taxable income · Non-taxable</t>
  </si>
  <si>
    <t>org.taxableTotal</t>
  </si>
  <si>
    <t>MK-MN-M-029</t>
  </si>
  <si>
    <t>each contribution and its amount</t>
  </si>
  <si>
    <t>MK-MN-M-030</t>
  </si>
  <si>
    <t>/worth-a-look</t>
  </si>
  <si>
    <t>$X left &lt;account&gt; on &lt;date&gt;</t>
  </si>
  <si>
    <t>f.amount</t>
  </si>
  <si>
    <t>flagged when money left an account and has not arrived anywhere else</t>
  </si>
  <si>
    <t>Notices money leaving an account so it can be asked about rather than quietly lost.</t>
  </si>
  <si>
    <t>/auth</t>
  </si>
  <si>
    <t>/estate</t>
  </si>
  <si>
    <t>/first-run</t>
  </si>
  <si>
    <t>/income</t>
  </si>
  <si>
    <t>/rewards</t>
  </si>
  <si>
    <t>/settings</t>
  </si>
  <si>
    <t>/tips</t>
  </si>
  <si>
    <t>Input ID</t>
  </si>
  <si>
    <t>Variable name</t>
  </si>
  <si>
    <t>Source</t>
  </si>
  <si>
    <t>Which metric uses it</t>
  </si>
  <si>
    <t>Which engine uses it</t>
  </si>
  <si>
    <t>Engine ID</t>
  </si>
  <si>
    <t>MK-XS-I-001</t>
  </si>
  <si>
    <t>account balance</t>
  </si>
  <si>
    <t>the institution download, a connection, or typed by hand</t>
  </si>
  <si>
    <t>net worth · what you own · cushion · required withdrawal</t>
  </si>
  <si>
    <t>NET_WORTH · TOTAL_CASH · TOTAL_INVESTMENTS · REQUIRED_WITHDRAWAL</t>
  </si>
  <si>
    <t>MK-XS-E-001 · MK-XS-E-009 · MK-NW-E-004 · MK-PL-E-006</t>
  </si>
  <si>
    <t>MK-XS-I-002</t>
  </si>
  <si>
    <t>account type (taxable, pre-tax, Roth)</t>
  </si>
  <si>
    <t>typed at setup, or guessed from the account name</t>
  </si>
  <si>
    <t>how this account is taxed · required withdrawal · Roth move</t>
  </si>
  <si>
    <t>TAX_TREATMENT · REQUIRED_WITHDRAWAL</t>
  </si>
  <si>
    <t>MK-PL-E-006</t>
  </si>
  <si>
    <t>MK-XS-I-003</t>
  </si>
  <si>
    <t>institution name</t>
  </si>
  <si>
    <t>the download or the connection</t>
  </si>
  <si>
    <t>net worth by institution · account rows</t>
  </si>
  <si>
    <t>ACCOUNT_SPLIT</t>
  </si>
  <si>
    <t>MK-XS-E-015</t>
  </si>
  <si>
    <t>MK-XS-I-004</t>
  </si>
  <si>
    <t>holding quantity (shares)</t>
  </si>
  <si>
    <t>the download, a connection, or typed</t>
  </si>
  <si>
    <t>current value · cost basis · gains</t>
  </si>
  <si>
    <t>HOLDING_SHARES · HOLDING_MARKET_VALUE</t>
  </si>
  <si>
    <t>MK-XS-E-022 · MK-NW-E-022</t>
  </si>
  <si>
    <t>MK-XS-I-005</t>
  </si>
  <si>
    <t>holding price</t>
  </si>
  <si>
    <t>the price feed</t>
  </si>
  <si>
    <t>current value · today's market value · freshness</t>
  </si>
  <si>
    <t>HOLDING_MARKET_VALUE · PRICE_FRESHNESS</t>
  </si>
  <si>
    <t>MK-HM-E-001 · MK-NW-E-022</t>
  </si>
  <si>
    <t>MK-XS-I-006</t>
  </si>
  <si>
    <t>price fetched at</t>
  </si>
  <si>
    <t>the app, when it last asked for prices</t>
  </si>
  <si>
    <t>PRICE_FRESHNESS</t>
  </si>
  <si>
    <t>MK-HM-E-001</t>
  </si>
  <si>
    <t>MK-XS-I-007</t>
  </si>
  <si>
    <t>purchase price and date (per lot)</t>
  </si>
  <si>
    <t>the download or typed</t>
  </si>
  <si>
    <t>price paid · total paid · long or short-term gain</t>
  </si>
  <si>
    <t>HOLDING_COST_BASIS · HOLDING_CAP_GAINS</t>
  </si>
  <si>
    <t>MK-NW-E-023 · MK-NW-E-026</t>
  </si>
  <si>
    <t>MK-XS-I-008</t>
  </si>
  <si>
    <t>transaction amount</t>
  </si>
  <si>
    <t>the institution download</t>
  </si>
  <si>
    <t>contributions · withdrawals · income · the change walk</t>
  </si>
  <si>
    <t>LEDGER · NW_CHANGE_WALK</t>
  </si>
  <si>
    <t>MK-PF-E-001</t>
  </si>
  <si>
    <t>MK-XS-I-009</t>
  </si>
  <si>
    <t>transaction date</t>
  </si>
  <si>
    <t>the period a figure covers · the change walk</t>
  </si>
  <si>
    <t>MK-XS-I-010</t>
  </si>
  <si>
    <t>transaction words (the institution's own wording)</t>
  </si>
  <si>
    <t>what each line means: money in, money out, income, cost</t>
  </si>
  <si>
    <t>LEDGER · the institution-words table</t>
  </si>
  <si>
    <t>MK-XS-I-011</t>
  </si>
  <si>
    <t>bond face value</t>
  </si>
  <si>
    <t>typed, or the download</t>
  </si>
  <si>
    <t>face value · what comes back at maturity</t>
  </si>
  <si>
    <t>BOND_FACTS</t>
  </si>
  <si>
    <t>MK-NW-E-015</t>
  </si>
  <si>
    <t>MK-XS-I-012</t>
  </si>
  <si>
    <t>bond coupon rate</t>
  </si>
  <si>
    <t>interest payments a year · yield</t>
  </si>
  <si>
    <t>BOND_COUPON · BOND_CURRENT_YIELD</t>
  </si>
  <si>
    <t>MK-NW-E-016 · MK-NW-E-019</t>
  </si>
  <si>
    <t>MK-XS-I-013</t>
  </si>
  <si>
    <t>bond maturity date</t>
  </si>
  <si>
    <t>years away · yield if held to maturity</t>
  </si>
  <si>
    <t>BOND_YEARS_LEFT · BOND_YIELD_TO_MATURITY</t>
  </si>
  <si>
    <t>MK-NW-E-017 · MK-NW-E-018</t>
  </si>
  <si>
    <t>MK-XS-I-014</t>
  </si>
  <si>
    <t>debt balance</t>
  </si>
  <si>
    <t>typed, or a connection</t>
  </si>
  <si>
    <t>what you owe · net worth · payoff</t>
  </si>
  <si>
    <t>DEBT_PICTURE</t>
  </si>
  <si>
    <t>MK-NW-E-006</t>
  </si>
  <si>
    <t>MK-XS-I-015</t>
  </si>
  <si>
    <t>debt interest rate</t>
  </si>
  <si>
    <t>typed</t>
  </si>
  <si>
    <t>payoff date · what extra payments save</t>
  </si>
  <si>
    <t>DEBT_PAYOFF</t>
  </si>
  <si>
    <t>MK-PL-E-015</t>
  </si>
  <si>
    <t>MK-XS-I-016</t>
  </si>
  <si>
    <t>debt minimum payment</t>
  </si>
  <si>
    <t>monthly debt payments · money out</t>
  </si>
  <si>
    <t>DEBT_REQUIRED_PAYMENT</t>
  </si>
  <si>
    <t>MK-NW-E-007</t>
  </si>
  <si>
    <t>MK-XS-I-017</t>
  </si>
  <si>
    <t>birth year</t>
  </si>
  <si>
    <t>typed at setup</t>
  </si>
  <si>
    <t>current age · retirement age · Social Security · required withdrawal</t>
  </si>
  <si>
    <t>SS_BENEFIT_AT_AGE · RMD_START_AGE</t>
  </si>
  <si>
    <t>MK-XS-E-040</t>
  </si>
  <si>
    <t>MK-XS-I-018</t>
  </si>
  <si>
    <t>retirement age</t>
  </si>
  <si>
    <t>typed, or the dial on Plan</t>
  </si>
  <si>
    <t>the odds · projected pot · the paycheck</t>
  </si>
  <si>
    <t>WILL_IT_LAST_RESULT · POT_AT_RETIREMENT</t>
  </si>
  <si>
    <t>MK-XS-E-007 · MK-NW-E-009</t>
  </si>
  <si>
    <t>MK-XS-I-019</t>
  </si>
  <si>
    <t>monthly spending in retirement</t>
  </si>
  <si>
    <t>the odds · the draw from savings</t>
  </si>
  <si>
    <t>WILL_IT_LAST_INPUTS</t>
  </si>
  <si>
    <t>MK-XS-E-006</t>
  </si>
  <si>
    <t>MK-XS-I-020</t>
  </si>
  <si>
    <t>Social Security monthly amount</t>
  </si>
  <si>
    <t>typed from the statement, or a worked example</t>
  </si>
  <si>
    <t>guaranteed income · the paycheck · claim timing</t>
  </si>
  <si>
    <t>SS_BENEFIT_AT_AGE · RETIREMENT_INCOME_NOW</t>
  </si>
  <si>
    <t>MK-XS-E-040 · MK-PL-E-007</t>
  </si>
  <si>
    <t>MK-XS-I-021</t>
  </si>
  <si>
    <t>Social Security claim age</t>
  </si>
  <si>
    <t>how much the check is · lifetime total</t>
  </si>
  <si>
    <t>SS_CLAIM_FACTOR</t>
  </si>
  <si>
    <t>MK-XS-E-046</t>
  </si>
  <si>
    <t>MK-XS-I-022</t>
  </si>
  <si>
    <t>pension monthly amount</t>
  </si>
  <si>
    <t>guaranteed income · the paycheck</t>
  </si>
  <si>
    <t>RETIREMENT_INCOME_NOW</t>
  </si>
  <si>
    <t>MK-PL-E-007</t>
  </si>
  <si>
    <t>MK-XS-I-023</t>
  </si>
  <si>
    <t>salary and other income</t>
  </si>
  <si>
    <t>money in · take-home · savings capacity</t>
  </si>
  <si>
    <t>TOTAL_INCOME</t>
  </si>
  <si>
    <t>MK-XS-E-044</t>
  </si>
  <si>
    <t>MK-XS-I-024</t>
  </si>
  <si>
    <t>logged spending</t>
  </si>
  <si>
    <t>typed, or read from a download</t>
  </si>
  <si>
    <t>spent so far · by category · essentials</t>
  </si>
  <si>
    <t>SPENDING_BY_KIND · PLANNED_SPENDING</t>
  </si>
  <si>
    <t>MK-XS-E-021 · MK-CF-E-004</t>
  </si>
  <si>
    <t>MK-XS-I-025</t>
  </si>
  <si>
    <t>typical monthly essentials</t>
  </si>
  <si>
    <t>the cushion · job-safety runway · stress test</t>
  </si>
  <si>
    <t>PLANNED_SPENDING · JOB_SAFETY_RUNWAY</t>
  </si>
  <si>
    <t>MK-CF-E-004 · MK-MN-E-010</t>
  </si>
  <si>
    <t>MK-XS-I-026</t>
  </si>
  <si>
    <t>big costs (amount and year)</t>
  </si>
  <si>
    <t>the odds · the plan · the radar</t>
  </si>
  <si>
    <t>BIG_COSTS</t>
  </si>
  <si>
    <t>MK-MN-E-001</t>
  </si>
  <si>
    <t>MK-XS-I-027</t>
  </si>
  <si>
    <t>goals (target, saved, date)</t>
  </si>
  <si>
    <t>goal progress · what you can afford together</t>
  </si>
  <si>
    <t>GOAL_PROGRESS</t>
  </si>
  <si>
    <t>MK-MN-E-005</t>
  </si>
  <si>
    <t>MK-XS-I-028</t>
  </si>
  <si>
    <t>assumed return</t>
  </si>
  <si>
    <t>built in, and adjustable on the cockpit</t>
  </si>
  <si>
    <t>projected pot · the odds</t>
  </si>
  <si>
    <t>POT_AT_RETIREMENT · WILL_IT_LAST_RESULT</t>
  </si>
  <si>
    <t>MK-XS-I-029</t>
  </si>
  <si>
    <t>inflation rate</t>
  </si>
  <si>
    <t>a published feed, with a built-in fallback</t>
  </si>
  <si>
    <t>tomorrow's dollars · the odds</t>
  </si>
  <si>
    <t>MK-XS-I-030</t>
  </si>
  <si>
    <t>tax filing status and age</t>
  </si>
  <si>
    <t>tax bands · the deduction · tax on a Roth move</t>
  </si>
  <si>
    <t>TAXABLE_INCOME · TAX_ON_CONVERSION</t>
  </si>
  <si>
    <t>MK-PL-E-012 · MK-MN-E-014</t>
  </si>
  <si>
    <t>MK-XS-I-031</t>
  </si>
  <si>
    <t>daily and monthly snapshots</t>
  </si>
  <si>
    <t>the app itself, once a day</t>
  </si>
  <si>
    <t>the trend line · change in net worth · beginning values</t>
  </si>
  <si>
    <t>TREND_SERIES · NW_CHANGE_WALK</t>
  </si>
  <si>
    <t>MK-NW-E-001 · MK-PF-E-001</t>
  </si>
  <si>
    <t>MK-XS-I-032</t>
  </si>
  <si>
    <t>spending categories the person set up</t>
  </si>
  <si>
    <t>Typed by the person when they set up their budget</t>
  </si>
  <si>
    <t>planned spending · spending by kind</t>
  </si>
  <si>
    <t>PLANNED_SPENDING · SPENDING_BY_KIND</t>
  </si>
  <si>
    <t>MK-XS-I-033</t>
  </si>
  <si>
    <t>the date a hand-typed value was set</t>
  </si>
  <si>
    <t>Typed by the person, stamped when they save it</t>
  </si>
  <si>
    <t>account value and its freshness</t>
  </si>
  <si>
    <t>HAND_VALUE_AGE</t>
  </si>
  <si>
    <t>MK-NW-E-011</t>
  </si>
  <si>
    <t>MK-XS-I-034</t>
  </si>
  <si>
    <t>option positions — contracts, strike, expiry, put or call</t>
  </si>
  <si>
    <t>An institution download, a connection, or typed</t>
  </si>
  <si>
    <t>a holding’s value and gain when it is an option</t>
  </si>
  <si>
    <t>HOLDING_MARKET_VALUE · HOLDING_CAP_GAINS</t>
  </si>
  <si>
    <t>MK-NW-E-022 · MK-NW-E-026</t>
  </si>
  <si>
    <t>MK-XS-I-035</t>
  </si>
  <si>
    <t>annuity income</t>
  </si>
  <si>
    <t>Typed by the person</t>
  </si>
  <si>
    <t>guaranteed income · the retirement paycheck</t>
  </si>
  <si>
    <t>RETIREMENT_INCOME · RETIREMENT_INCOME_NOW</t>
  </si>
  <si>
    <t>MK-XS-E-047 · MK-PL-E-007</t>
  </si>
  <si>
    <t>MK-XS-I-036</t>
  </si>
  <si>
    <t>other guaranteed income</t>
  </si>
  <si>
    <t>RETIREMENT_INCOME</t>
  </si>
  <si>
    <t>MK-XS-E-047</t>
  </si>
  <si>
    <t>MK-XS-I-037</t>
  </si>
  <si>
    <t>required-withdrawal income stream (ri_rmd)</t>
  </si>
  <si>
    <t>Worked out from balances, not typed</t>
  </si>
  <si>
    <t>the retirement paycheck. RULE B5: it must NOT count as guaranteed income — money coming OUT of the pot cannot fund the pot</t>
  </si>
  <si>
    <t>MK-XS-I-038</t>
  </si>
  <si>
    <t>withdrawal income stream (ri_withdrawals)</t>
  </si>
  <si>
    <t>Worked out from the plan, not typed</t>
  </si>
  <si>
    <t>the retirement paycheck. RULE B5: excluded from guaranteed income for the same reason</t>
  </si>
  <si>
    <t>MK-XS-I-039</t>
  </si>
  <si>
    <t>how often each income arrives</t>
  </si>
  <si>
    <t>which months an income lands in</t>
  </si>
  <si>
    <t>RETIREMENT_INCOME · TOTAL_INCOME</t>
  </si>
  <si>
    <t>MK-XS-E-044 · MK-XS-E-047</t>
  </si>
  <si>
    <t>MK-XS-I-040</t>
  </si>
  <si>
    <t>whether a stream is already being received</t>
  </si>
  <si>
    <t>guaranteed income now, as against guaranteed income later</t>
  </si>
  <si>
    <t>MK-XS-I-041</t>
  </si>
  <si>
    <t>the payment the person chose to make on a debt</t>
  </si>
  <si>
    <t>Typed by the person, and it can exceed the minimum</t>
  </si>
  <si>
    <t>payoff date · money out</t>
  </si>
  <si>
    <t>DEBT_PAYOFF · DEBT_REQUIRED_PAYMENT</t>
  </si>
  <si>
    <t>MK-NW-E-007 · MK-PL-E-015</t>
  </si>
  <si>
    <t>MK-XS-I-042</t>
  </si>
  <si>
    <t>how a stream is paid — monthly, yearly or one lump</t>
  </si>
  <si>
    <t>how an income is spread across the year</t>
  </si>
  <si>
    <t>MK-XS-I-043</t>
  </si>
  <si>
    <t>their own retirement contribution</t>
  </si>
  <si>
    <t>take-home pay · the pot at retirement</t>
  </si>
  <si>
    <t>TOTAL_INCOME · POT_AT_RETIREMENT</t>
  </si>
  <si>
    <t>MK-NW-E-009 · MK-XS-E-044</t>
  </si>
  <si>
    <t>MK-XS-I-044</t>
  </si>
  <si>
    <t>the person’s own plan overrides</t>
  </si>
  <si>
    <t>Set by the person on the Plan screen</t>
  </si>
  <si>
    <t>every plan figure they have overridden</t>
  </si>
  <si>
    <t>MK-XS-I-045</t>
  </si>
  <si>
    <t>where they will live in retirement</t>
  </si>
  <si>
    <t>cost of living where they retire</t>
  </si>
  <si>
    <t>RETIREMENT_SPENDING</t>
  </si>
  <si>
    <t>MK-XS-E-004</t>
  </si>
  <si>
    <t>MK-XS-I-046</t>
  </si>
  <si>
    <t>how the employer match is expressed — percent or dollars</t>
  </si>
  <si>
    <t>the employer match</t>
  </si>
  <si>
    <t>EMPLOYER_MATCH</t>
  </si>
  <si>
    <t>MK-MN-E-007</t>
  </si>
  <si>
    <t>MK-XS-I-047</t>
  </si>
  <si>
    <t>money to leave behind</t>
  </si>
  <si>
    <t>the odds — the pot may not be run to zero</t>
  </si>
  <si>
    <t>WILL_IT_LAST_INPUTS · WILL_IT_LAST_RESULT</t>
  </si>
  <si>
    <t>MK-XS-E-006 · MK-XS-E-007</t>
  </si>
  <si>
    <t>MK-XS-I-048</t>
  </si>
  <si>
    <t>the person’s own asset-class answer</t>
  </si>
  <si>
    <t>Typed by the person, and it outranks the institution</t>
  </si>
  <si>
    <t>what class a holding is counted as</t>
  </si>
  <si>
    <t>ALLOCATION_BY_CLASS · ASSET_CLASS_OF_ACCOUNT</t>
  </si>
  <si>
    <t>MK-XS-E-008 · MK-NW-E-005</t>
  </si>
  <si>
    <t>Where it is stored</t>
  </si>
  <si>
    <t>Field name in the database</t>
  </si>
  <si>
    <t>What it holds</t>
  </si>
  <si>
    <t>Metric or input it serves</t>
  </si>
  <si>
    <t>How often it is written</t>
  </si>
  <si>
    <t>Grain — one row per what</t>
  </si>
  <si>
    <t>Encrypted?</t>
  </si>
  <si>
    <t>users/{uid}</t>
  </si>
  <si>
    <t>appStateEnc</t>
  </si>
  <si>
    <t>THE WHOLE app state, encrypted on the device before it leaves it. Everything below lives inside this one field.</t>
  </si>
  <si>
    <t>every metric in this file, through the inputs tab</t>
  </si>
  <si>
    <t>2 seconds after any change in the app, the whole payload rewritten</t>
  </si>
  <si>
    <t>ONE document per person — or per household when two people share</t>
  </si>
  <si>
    <t>Yes — the server cannot read it</t>
  </si>
  <si>
    <t>keyEnvelope</t>
  </si>
  <si>
    <t>The encryption key, wrapped by the password and by the recovery code.</t>
  </si>
  <si>
    <t>when the password or recovery code is set or changed</t>
  </si>
  <si>
    <t>one per person</t>
  </si>
  <si>
    <t>the key itself is wrapped, never stored bare</t>
  </si>
  <si>
    <t>appState</t>
  </si>
  <si>
    <t>The old plaintext copy from before encryption. Deleted on the first save by an updated app.</t>
  </si>
  <si>
    <t>never written now; removed on first save</t>
  </si>
  <si>
    <t>No — which is why it is being removed</t>
  </si>
  <si>
    <t>householdId</t>
  </si>
  <si>
    <t>Whose document this person reads and writes — their own, or the partner who invited them.</t>
  </si>
  <si>
    <t>when an invite is redeemed</t>
  </si>
  <si>
    <t>No</t>
  </si>
  <si>
    <t>households/{owner}/members/{member}</t>
  </si>
  <si>
    <t>code, householdId</t>
  </si>
  <si>
    <t>The record that a partner joined a household, bound to a real invite.</t>
  </si>
  <si>
    <t>once, when the invite is redeemed</t>
  </si>
  <si>
    <t>one per member</t>
  </si>
  <si>
    <t>invites/{code}</t>
  </si>
  <si>
    <t>An invite code and the household it points at.</t>
  </si>
  <si>
    <t>when an invite is created</t>
  </si>
  <si>
    <t>one per invite</t>
  </si>
  <si>
    <t>feedback/{doc}</t>
  </si>
  <si>
    <t>the message</t>
  </si>
  <si>
    <t>Feedback sent from inside the app.</t>
  </si>
  <si>
    <t>when feedback is sent</t>
  </si>
  <si>
    <t>one per message</t>
  </si>
  <si>
    <t>snaptrade_users/{uid}</t>
  </si>
  <si>
    <t>the connection record</t>
  </si>
  <si>
    <t>The link to the brokerage connection service.</t>
  </si>
  <si>
    <t>when an account is connected</t>
  </si>
  <si>
    <t>inside appStateEnc</t>
  </si>
  <si>
    <t>assetAccounts</t>
  </si>
  <si>
    <t>Every account: its name, institution, balance, class and where the figure came from.</t>
  </si>
  <si>
    <t>account balance · account type · institution</t>
  </si>
  <si>
    <t>with every save</t>
  </si>
  <si>
    <t>one entry per account</t>
  </si>
  <si>
    <t>inside the encrypted blob</t>
  </si>
  <si>
    <t>liabilities</t>
  </si>
  <si>
    <t>Every debt: balance, rate, minimum payment, due day.</t>
  </si>
  <si>
    <t>debt balance · debt interest rate · debt minimum payment</t>
  </si>
  <si>
    <t>one entry per debt</t>
  </si>
  <si>
    <t>investments</t>
  </si>
  <si>
    <t>Holdings: ticker, quantity, price paid, lots.</t>
  </si>
  <si>
    <t>holding quantity · purchase price and date</t>
  </si>
  <si>
    <t>one entry per holding</t>
  </si>
  <si>
    <t>expenses</t>
  </si>
  <si>
    <t>Logged spending: date, amount, category, store.</t>
  </si>
  <si>
    <t>one entry per expense</t>
  </si>
  <si>
    <t>incomes · recurringIncomes</t>
  </si>
  <si>
    <t>Money received and the sources that repeat.</t>
  </si>
  <si>
    <t>one entry per payment or source</t>
  </si>
  <si>
    <t>recurringExpenses</t>
  </si>
  <si>
    <t>Bills that repeat, and the day they fall.</t>
  </si>
  <si>
    <t>logged spending · the bill calendar</t>
  </si>
  <si>
    <t>one entry per bill</t>
  </si>
  <si>
    <t>monthlySnapshots</t>
  </si>
  <si>
    <t>Net worth as it stood at each month end.</t>
  </si>
  <si>
    <t>the trend line · beginning values</t>
  </si>
  <si>
    <t>once a month, on the first open of a new month</t>
  </si>
  <si>
    <t>one entry per month</t>
  </si>
  <si>
    <t>nwDaily</t>
  </si>
  <si>
    <t>Net worth captured when the app is opened.</t>
  </si>
  <si>
    <t>the trend line · change in net worth</t>
  </si>
  <si>
    <t>once a day, on the first open</t>
  </si>
  <si>
    <t>one entry per day</t>
  </si>
  <si>
    <t>onboardingProfile</t>
  </si>
  <si>
    <t>What the person told us at setup: birth year, retirement age, spending, Social Security, pension, filing status.</t>
  </si>
  <si>
    <t>birth year · retirement age · monthly spending · Social Security · pension · filing status</t>
  </si>
  <si>
    <t>retirementAssumptions</t>
  </si>
  <si>
    <t>The plan's settings: return, claim age, contributions, draw.</t>
  </si>
  <si>
    <t>assumed return · Social Security claim age</t>
  </si>
  <si>
    <t>retirementScenarios</t>
  </si>
  <si>
    <t>Saved what-ifs.</t>
  </si>
  <si>
    <t>the saved scenarios count</t>
  </si>
  <si>
    <t>when a scenario is saved</t>
  </si>
  <si>
    <t>one entry per scenario</t>
  </si>
  <si>
    <t>bigCosts</t>
  </si>
  <si>
    <t>One-off costs ahead, with the year each falls.</t>
  </si>
  <si>
    <t>big costs</t>
  </si>
  <si>
    <t>one entry per cost</t>
  </si>
  <si>
    <t>goals · selectedGoals</t>
  </si>
  <si>
    <t>Goals: target, saved so far, date.</t>
  </si>
  <si>
    <t>goals</t>
  </si>
  <si>
    <t>one entry per goal</t>
  </si>
  <si>
    <t>budgetCategories · monthlyBudgetTarget · allocatedByMonth</t>
  </si>
  <si>
    <t>The plan for spending, by category and by month.</t>
  </si>
  <si>
    <t>typical monthly essentials · planned spending</t>
  </si>
  <si>
    <t>one entry per category or month</t>
  </si>
  <si>
    <t>benchmarkReturns</t>
  </si>
  <si>
    <t>The index returns the comparison uses.</t>
  </si>
  <si>
    <t>benchmark return</t>
  </si>
  <si>
    <t>when they are fetched</t>
  </si>
  <si>
    <t>one entry per index and period</t>
  </si>
  <si>
    <t>snaptradeConnections</t>
  </si>
  <si>
    <t>Which brokerages are connected.</t>
  </si>
  <si>
    <t>when a connection changes</t>
  </si>
  <si>
    <t>one entry per connection</t>
  </si>
  <si>
    <t>estatePlan · badges · xp · streak · lastCheckIn</t>
  </si>
  <si>
    <t>Estate notes and the encouragement counters.</t>
  </si>
  <si>
    <t>NOT SAVED — DEVICE ONLY</t>
  </si>
  <si>
    <t>snapshotDays</t>
  </si>
  <si>
    <t>THE DAILY RECORD: for each day, every account and every holding — units, price and value kept apart. This is what a beginning value is READ from instead of being back-solved.</t>
  </si>
  <si>
    <t>beginning value · change in account value · the performance walk</t>
  </si>
  <si>
    <t>one entry per day, per account, per holding</t>
  </si>
  <si>
    <t>not sent at all</t>
  </si>
  <si>
    <t>invDaily</t>
  </si>
  <si>
    <t>Cash + investments captured daily — the baseline the Net worth return line is measured from.</t>
  </si>
  <si>
    <t>Return on cash + investments</t>
  </si>
  <si>
    <t>transactions</t>
  </si>
  <si>
    <t>The append-only ledger read from institution downloads: every buy, sell, contribution, withdrawal, dividend and interest line. Read by 32 places in the app.</t>
  </si>
  <si>
    <t>contributions · withdrawals · income · realised gain · the change walk</t>
  </si>
  <si>
    <t>when a file is imported or a connection syncs</t>
  </si>
  <si>
    <t>one entry per transaction</t>
  </si>
  <si>
    <t>NOT SAVED</t>
  </si>
  <si>
    <t>prices</t>
  </si>
  <si>
    <t>Prices are fetched fresh and held only on the device.</t>
  </si>
  <si>
    <t>holding price · price fetched at</t>
  </si>
  <si>
    <t>never written to the cloud</t>
  </si>
  <si>
    <t>economic figures (inflation, the 10-year yield)</t>
  </si>
  <si>
    <t>Fetched from a feed each time; deliberately left out of the sync.</t>
  </si>
  <si>
    <t>Screen name</t>
  </si>
  <si>
    <t>Parent screen</t>
  </si>
  <si>
    <t>Core or not — my recommendation</t>
  </si>
  <si>
    <t>JJ — Decision (Y/N)</t>
  </si>
  <si>
    <t>Cashflow · Home · Networth · Performance · Plan</t>
  </si>
  <si>
    <t>Yes — where a wrong balance is chased</t>
  </si>
  <si>
    <t>Yes</t>
  </si>
  <si>
    <t>/analytics</t>
  </si>
  <si>
    <t>Yes — Net worth</t>
  </si>
  <si>
    <t>Yes — the way in</t>
  </si>
  <si>
    <t>Yes — the costs that break a plan</t>
  </si>
  <si>
    <t>Cashflow · Home</t>
  </si>
  <si>
    <t>Yes — this age group holds them</t>
  </si>
  <si>
    <t>/cashflow</t>
  </si>
  <si>
    <t>Yes — Cash flow</t>
  </si>
  <si>
    <t>Yes — still relevant while working</t>
  </si>
  <si>
    <t>No — a working-age worry</t>
  </si>
  <si>
    <t>No — college costs belong to the younger group</t>
  </si>
  <si>
    <t>Yes — squarely a 55-70 concern</t>
  </si>
  <si>
    <t>Yes — where a wrong gain is chased</t>
  </si>
  <si>
    <t>/home</t>
  </si>
  <si>
    <t>Yes — the first screen</t>
  </si>
  <si>
    <t>Yes — the way real data gets in</t>
  </si>
  <si>
    <t>Yes — what needs you today</t>
  </si>
  <si>
    <t>Borderline — matters at 55, less at 70</t>
  </si>
  <si>
    <t>/invest</t>
  </si>
  <si>
    <t>Yes — Performance</t>
  </si>
  <si>
    <t>Yes — splitting one lump into holdings</t>
  </si>
  <si>
    <t>Borderline — interesting, not needed to trust a number</t>
  </si>
  <si>
    <t>Cashflow · Home · Plan</t>
  </si>
  <si>
    <t>Yes — the things with no market price</t>
  </si>
  <si>
    <t>Yes — a second route to Performance</t>
  </si>
  <si>
    <t>/plan</t>
  </si>
  <si>
    <t>Yes — Plan</t>
  </si>
  <si>
    <t>Yes — a 73+ obligation</t>
  </si>
  <si>
    <t>Yes — the cockpit</t>
  </si>
  <si>
    <t>No — encouragement, not a number</t>
  </si>
  <si>
    <t>Yes — a 55-70 decision</t>
  </si>
  <si>
    <t>Yes — carries hide-balances and the lock</t>
  </si>
  <si>
    <t>Borderline — a way in, not a figure</t>
  </si>
  <si>
    <t>Borderline</t>
  </si>
  <si>
    <t>Cashflow · Home · Performance · Plan</t>
  </si>
  <si>
    <t>Yes — the question the whole plan answers</t>
  </si>
  <si>
    <t>Input</t>
  </si>
  <si>
    <t>Engines the inputs tab says use it</t>
  </si>
  <si>
    <t>Engines that actually name it in their own input list</t>
  </si>
  <si>
    <t>Verdict</t>
  </si>
  <si>
    <t>NET_WORTH · REQUIRED_WITHDRAWAL · TOTAL_CASH · TOTAL_INVESTMENTS</t>
  </si>
  <si>
    <t>ACCOUNT_SHARE_OF_TOTAL · ACCOUNT_SPLIT · ALLOCATION_BY_CLASS · BOND_CURRENT_YIELD · BOND_YIELD_TO_MATURITY · DEBT_PICTURE · HAND_VALUE_AGE · NET_WORTH · PLANNED_SPENDING · POT_AT_RETIREMENT · TOTAL_CASH · TOTAL_INVESTABLE · TOTAL_INVESTMENTS</t>
  </si>
  <si>
    <t>PARTLY AGREES — declared but not naming it: REQUIRED_WITHDRAWAL  |  naming it but not declared: ACCOUNT_SHARE_OF_TOTAL, ACCOUNT_SPLIT, ALLOCATION_BY_CLASS, BOND_CURRENT_YIELD, BOND_YIELD_TO_MATURITY, DEBT_PICTURE, HAND_VALUE_AGE, PLANNED_SPENDING, POT_AT_RETIREMENT, TOTAL_INVESTABLE</t>
  </si>
  <si>
    <t>REQUIRED_WITHDRAWAL · TAX_TREATMENT</t>
  </si>
  <si>
    <t>DECLARED BUT NEVER NAMED — the inputs tab says these engines use it, but no engine names it in its own input list. Unproved in one direction.</t>
  </si>
  <si>
    <t>HOLDING_MARKET_VALUE · HOLDING_SHARES</t>
  </si>
  <si>
    <t>ACCOUNT_SPLIT · BOND_COUPON · BOND_FACTS · HOLDING_COST_BASIS · HOLDING_MARKET_VALUE · HOLDING_SHARES · PERFORMANCE_TABLE</t>
  </si>
  <si>
    <t>PARTLY AGREES — naming it but not declared: ACCOUNT_SPLIT, BOND_COUPON, BOND_FACTS, HOLDING_COST_BASIS, PERFORMANCE_TABLE</t>
  </si>
  <si>
    <t>HOLDING_CAP_GAINS · HOLDING_MARKET_VALUE · PERFORMANCE_TABLE</t>
  </si>
  <si>
    <t>PARTLY AGREES — declared but not naming it: PRICE_FRESHNESS  |  naming it but not declared: HOLDING_CAP_GAINS, PERFORMANCE_TABLE</t>
  </si>
  <si>
    <t>AGREES — both directions name the same engines.</t>
  </si>
  <si>
    <t>HOLDING_CAP_GAINS · HOLDING_COST_BASIS</t>
  </si>
  <si>
    <t>HOLDING_CAP_GAINS · HOLDING_COST_BASIS · HOLDING_SHARES</t>
  </si>
  <si>
    <t>PARTLY AGREES — naming it but not declared: HOLDING_SHARES</t>
  </si>
  <si>
    <t>LOOK_BACK · REALISED_GAIN · RETIREMENT_INCOME_NOW · SS_BENEFIT_AT_AGE · SS_CLAIM_FACTOR</t>
  </si>
  <si>
    <t>PARTLY AGREES — declared but not naming it: LEDGER, NW_CHANGE_WALK  |  naming it but not declared: LOOK_BACK, REALISED_GAIN, RETIREMENT_INCOME_NOW, SS_BENEFIT_AT_AGE, SS_CLAIM_FACTOR</t>
  </si>
  <si>
    <t>BOND_COUPON · BOND_FACTS · BOND_YIELD_TO_MATURITY</t>
  </si>
  <si>
    <t>PARTLY AGREES — naming it but not declared: BOND_COUPON, BOND_YIELD_TO_MATURITY</t>
  </si>
  <si>
    <t>BOND_COUPON · BOND_CURRENT_YIELD · BOND_FACTS · BOND_YIELD_TO_MATURITY</t>
  </si>
  <si>
    <t>PARTLY AGREES — naming it but not declared: BOND_FACTS, BOND_YIELD_TO_MATURITY</t>
  </si>
  <si>
    <t>DEBT_PICTURE · NET_WORTH</t>
  </si>
  <si>
    <t>PARTLY AGREES — naming it but not declared: NET_WORTH</t>
  </si>
  <si>
    <t>PARTLY AGREES — declared but not naming it: DEBT_PAYOFF  |  naming it but not declared: DEBT_PICTURE, NET_WORTH</t>
  </si>
  <si>
    <t>DEBT_PICTURE · DEBT_REQUIRED_PAYMENT · NET_WORTH · SPENDING_BY_KIND</t>
  </si>
  <si>
    <t>PARTLY AGREES — naming it but not declared: DEBT_PICTURE, NET_WORTH, SPENDING_BY_KIND</t>
  </si>
  <si>
    <t>RMD_START_AGE · SS_BENEFIT_AT_AGE</t>
  </si>
  <si>
    <t>SS_BENEFIT_AT_AGE · SS_CLAIM_FACTOR · WHAT_THE_PLAN_STILL_NEEDS · WILL_IT_LAST_INPUTS</t>
  </si>
  <si>
    <t>PARTLY AGREES — declared but not naming it: RMD_START_AGE  |  naming it but not declared: SS_CLAIM_FACTOR, WHAT_THE_PLAN_STILL_NEEDS, WILL_IT_LAST_INPUTS</t>
  </si>
  <si>
    <t>SS_BENEFIT_AT_AGE · SS_CLAIM_FACTOR</t>
  </si>
  <si>
    <t>PARTLY AGREES — declared but not naming it: POT_AT_RETIREMENT, WILL_IT_LAST_RESULT  |  naming it but not declared: SS_BENEFIT_AT_AGE, SS_CLAIM_FACTOR</t>
  </si>
  <si>
    <t>RETIREMENT_INCOME_NOW · SS_BENEFIT_AT_AGE</t>
  </si>
  <si>
    <t>RETIREMENT_INCOME · SS_BENEFIT_AT_AGE · SS_CLAIM_FACTOR</t>
  </si>
  <si>
    <t>PARTLY AGREES — declared but not naming it: RETIREMENT_INCOME_NOW  |  naming it but not declared: RETIREMENT_INCOME, SS_CLAIM_FACTOR</t>
  </si>
  <si>
    <t>PARTLY AGREES — naming it but not declared: SS_BENEFIT_AT_AGE</t>
  </si>
  <si>
    <t>PARTLY AGREES — declared but not naming it: RETIREMENT_INCOME_NOW  |  naming it but not declared: RETIREMENT_INCOME</t>
  </si>
  <si>
    <t>RENTAL_INCOME_A_YEAR · TAXABLE_INCOME</t>
  </si>
  <si>
    <t>PARTLY AGREES — declared but not naming it: TOTAL_INCOME  |  naming it but not declared: RENTAL_INCOME_A_YEAR, TAXABLE_INCOME</t>
  </si>
  <si>
    <t>PLANNED_SPENDING · RETIREMENT_SPENDING · TOTAL_CASH · WHAT_THE_PLAN_STILL_NEEDS · WILL_IT_LAST_INPUTS</t>
  </si>
  <si>
    <t>PARTLY AGREES — declared but not naming it: SPENDING_BY_KIND  |  naming it but not declared: RETIREMENT_SPENDING, TOTAL_CASH, WHAT_THE_PLAN_STILL_NEEDS, WILL_IT_LAST_INPUTS</t>
  </si>
  <si>
    <t>JOB_SAFETY_RUNWAY · PLANNED_SPENDING</t>
  </si>
  <si>
    <t>ACCOUNT_SHARE_OF_TOTAL</t>
  </si>
  <si>
    <t>PARTLY AGREES — declared but not naming it: POT_AT_RETIREMENT, WILL_IT_LAST_RESULT  |  naming it but not declared: ACCOUNT_SHARE_OF_TOTAL</t>
  </si>
  <si>
    <t>PLANNED_SPENDING · TAXABLE_INCOME · TOTAL_CASH</t>
  </si>
  <si>
    <t>PARTLY AGREES — declared but not naming it: TAX_ON_CONVERSION  |  naming it but not declared: PLANNED_SPENDING, TOTAL_CASH</t>
  </si>
  <si>
    <t>NW_CHANGE_WALK · TREND_SERIES</t>
  </si>
  <si>
    <t>NW_CHANGE_PCT · NW_CHANGE_WALK · TREND_SERIES</t>
  </si>
  <si>
    <t>PARTLY AGREES — naming it but not declared: NW_CHANGE_PCT</t>
  </si>
  <si>
    <t>DEBT_REQUIRED_PAYMENT · PLANNED_SPENDING · SPENDING_BY_KIND · TOTAL_CASH</t>
  </si>
  <si>
    <t>PARTLY AGREES — naming it but not declared: DEBT_REQUIRED_PAYMENT, TOTAL_CASH</t>
  </si>
  <si>
    <t>HOLDING_CAP_GAINS · HOLDING_MARKET_VALUE</t>
  </si>
  <si>
    <t>PARTLY AGREES — declared but not naming it: HOLDING_CAP_GAINS, HOLDING_MARKET_VALUE  |  naming it but not declared: ACCOUNT_SPLIT</t>
  </si>
  <si>
    <t>PARTLY AGREES — declared but not naming it: RETIREMENT_INCOME_NOW</t>
  </si>
  <si>
    <t>PARTLY AGREES — declared but not naming it: TOTAL_INCOME</t>
  </si>
  <si>
    <t>DEBT_REQUIRED_PAYMENT · SPENDING_BY_KIND</t>
  </si>
  <si>
    <t>PARTLY AGREES — declared but not naming it: DEBT_PAYOFF  |  naming it but not declared: SPENDING_BY_KIND</t>
  </si>
  <si>
    <t>PARTLY AGREES — declared but not naming it: RETIREMENT_INCOME  |  naming it but not declared: DEBT_REQUIRED_PAYMENT, SPENDING_BY_KIND</t>
  </si>
  <si>
    <t>POT_AT_RETIREMENT · TOTAL_INCOME</t>
  </si>
  <si>
    <t>PARTLY AGREES — declared but not naming it: POT_AT_RETIREMENT, TOTAL_INCOME  |  naming it but not declared: EMPLOYER_MATCH</t>
  </si>
  <si>
    <t>PARTLY AGREES — declared but not naming it: WILL_IT_LAST_RESULT</t>
  </si>
  <si>
    <t>ALLOCATION_BY_CLASS · PLANNED_SPENDING · TOTAL_CASH · TOTAL_INVESTABLE · TOTAL_INVESTMENTS</t>
  </si>
  <si>
    <t>PARTLY AGREES — declared but not naming it: ASSET_CLASS_OF_ACCOUNT  |  naming it but not declared: PLANNED_SPENDING, TOTAL_CASH, TOTAL_INVESTABLE, TOTAL_INVESTMENTS</t>
  </si>
  <si>
    <t>GAPS — inputs an engine names that are on NO row of the inputs tab.</t>
  </si>
  <si>
    <t>Each one is either a missing input, or the same input under another name.</t>
  </si>
  <si>
    <t>Engine name</t>
  </si>
  <si>
    <t>Where it is implemented (S12)</t>
  </si>
  <si>
    <t>What it answers</t>
  </si>
  <si>
    <t>Metric identifiers that reach it</t>
  </si>
  <si>
    <t>How it is reached</t>
  </si>
  <si>
    <t>MK-CF-E-001</t>
  </si>
  <si>
    <t>NOT IN OLD MASTER — the by-month grid, src/domain/cashflow</t>
  </si>
  <si>
    <t>NOT DETERMINED — no source line on record</t>
  </si>
  <si>
    <t>MK-CF-M-001 · MK-CF-M-002</t>
  </si>
  <si>
    <t>Named by 2 figure(s)</t>
  </si>
  <si>
    <t>MK-CF-E-002</t>
  </si>
  <si>
    <t>NOT IN OLD MASTER — the equity schedule, src/domain/income</t>
  </si>
  <si>
    <t>Named by 1 figure(s)</t>
  </si>
  <si>
    <t>MK-CF-E-003</t>
  </si>
  <si>
    <t>NOT IN OLD MASTER — the received list, src/domain/income</t>
  </si>
  <si>
    <t>MK-CF-E-004</t>
  </si>
  <si>
    <t>PLANNED_SPENDING</t>
  </si>
  <si>
    <t>src/domain/budget/index.ts:45</t>
  </si>
  <si>
    <t>What does this person plan to spend each month?</t>
  </si>
  <si>
    <t>MK-CF-M-015 · MK-MN-M-007 · MK-MN-M-026</t>
  </si>
  <si>
    <t>Named by 3 figure(s)</t>
  </si>
  <si>
    <t>MK-CF-E-005</t>
  </si>
  <si>
    <t>NOT IN OLD MASTER — the big-bill radar, src/domain/cashflow</t>
  </si>
  <si>
    <t>MK-CF-E-006</t>
  </si>
  <si>
    <t>NOT IN OLD MASTER — the unusual-spend check, src/domain/budget</t>
  </si>
  <si>
    <t>MK-CF-E-007</t>
  </si>
  <si>
    <t>SPENDING_BY_KIND · DEBT_REQUIRED_PAYMENT</t>
  </si>
  <si>
    <t>MK-CF-E-008</t>
  </si>
  <si>
    <t>NOT IN OLD MASTER — plan commitments, src/domain/planning</t>
  </si>
  <si>
    <t>MK-CF-E-009</t>
  </si>
  <si>
    <t>the by-month grid</t>
  </si>
  <si>
    <t>MK-CF-E-010</t>
  </si>
  <si>
    <t>RETIREMENT_PAYCHECK</t>
  </si>
  <si>
    <t>MK-CF-E-011</t>
  </si>
  <si>
    <t>THE_BILL_CALENDAR</t>
  </si>
  <si>
    <t>src/services/marketData.ts:60</t>
  </si>
  <si>
    <t>How old is the price we are showing?</t>
  </si>
  <si>
    <t>MK-HM-E-002</t>
  </si>
  <si>
    <t>NOT IN OLD MASTER — milestoneCrossed, src/domain/milestones.ts</t>
  </si>
  <si>
    <t>MK-HM-E-003</t>
  </si>
  <si>
    <t>NOT IN OLD MASTER — useInsights, src/domain/insights</t>
  </si>
  <si>
    <t>MK-HM-M-003 · MK-MN-M-015</t>
  </si>
  <si>
    <t>MK-MN-M-001 · MK-MN-M-002</t>
  </si>
  <si>
    <t>MK-MN-E-002</t>
  </si>
  <si>
    <t>CONTRIBUTION_ROOM</t>
  </si>
  <si>
    <t>MK-MN-M-003 · MK-MN-M-004 · MK-MN-M-029</t>
  </si>
  <si>
    <t>MK-MN-E-003</t>
  </si>
  <si>
    <t>CREDIT_USE</t>
  </si>
  <si>
    <t>MK-MN-E-004</t>
  </si>
  <si>
    <t>GOAL_CAPACITY</t>
  </si>
  <si>
    <t>MK-MN-E-006</t>
  </si>
  <si>
    <t>SINKING_FUNDS</t>
  </si>
  <si>
    <t>src/domain/income/onboarding.ts:263</t>
  </si>
  <si>
    <t>How much does the employer add each month?</t>
  </si>
  <si>
    <t>MK-MN-E-008</t>
  </si>
  <si>
    <t>TOTAL_INVESTABLE · TOTAL_CASH</t>
  </si>
  <si>
    <t>MK-MN-E-009</t>
  </si>
  <si>
    <t>INSURANCE_NEED</t>
  </si>
  <si>
    <t>MK-MN-M-017 · MK-MN-M-018 · MK-MN-M-019</t>
  </si>
  <si>
    <t>MK-MN-E-010</t>
  </si>
  <si>
    <t>JOB_SAFETY_RUNWAY</t>
  </si>
  <si>
    <t>MK-MN-E-011</t>
  </si>
  <si>
    <t>ALTERNATIVES_TOTAL</t>
  </si>
  <si>
    <t>MK-MN-E-012</t>
  </si>
  <si>
    <t>ALTERNATIVES_GROWTH</t>
  </si>
  <si>
    <t>MK-MN-E-013</t>
  </si>
  <si>
    <t>STRESS_TEST</t>
  </si>
  <si>
    <t>MK-MN-M-024 · MK-MN-M-025</t>
  </si>
  <si>
    <t>MK-MN-E-014</t>
  </si>
  <si>
    <t>TAXABLE_INCOME</t>
  </si>
  <si>
    <t>src/domain/income/tax.ts:110</t>
  </si>
  <si>
    <t>What income is taxed, given how this person files?</t>
  </si>
  <si>
    <t>MK-MN-M-027 · MK-MN-M-028</t>
  </si>
  <si>
    <t>MK-MN-E-015</t>
  </si>
  <si>
    <t>NOT IN OLD MASTER — the outflow watch, src/domain/insights</t>
  </si>
  <si>
    <t>MK-NW-E-001</t>
  </si>
  <si>
    <t>TREND_SERIES</t>
  </si>
  <si>
    <t>src/domain/history.ts:43</t>
  </si>
  <si>
    <t>What points does the net-worth graph draw?</t>
  </si>
  <si>
    <t>MK-NW-M-001 · MK-NW-M-003</t>
  </si>
  <si>
    <t>MK-NW-E-002</t>
  </si>
  <si>
    <t>NW_CHANGE_PCT</t>
  </si>
  <si>
    <t>src/domain/history.ts:118</t>
  </si>
  <si>
    <t>What is my return on cash and investments since the baseline?</t>
  </si>
  <si>
    <t>MK-NW-E-003</t>
  </si>
  <si>
    <t>src/domain/assets/index.ts:663</t>
  </si>
  <si>
    <t>How much of everything sits in each account, and what return do they blend to?</t>
  </si>
  <si>
    <t>MK-NW-E-004</t>
  </si>
  <si>
    <t>TOTAL_CASH</t>
  </si>
  <si>
    <t>src/domain/assets/index.ts:271</t>
  </si>
  <si>
    <t>How much actual cash do I have?</t>
  </si>
  <si>
    <t>MK-NW-E-005</t>
  </si>
  <si>
    <t>ALLOCATION_BY_CLASS</t>
  </si>
  <si>
    <t>src/domain/assets/index.ts:502</t>
  </si>
  <si>
    <t>How much money sits in each of the seven classes?</t>
  </si>
  <si>
    <t>src/domain/debt/index.ts:214</t>
  </si>
  <si>
    <t>What is the whole debt picture?</t>
  </si>
  <si>
    <t>MK-NW-M-009 · MK-NW-M-010 · MK-NW-M-012</t>
  </si>
  <si>
    <t>src/domain/debt/index.ts:44</t>
  </si>
  <si>
    <t>What must I pay on this each month?</t>
  </si>
  <si>
    <t>MK-NW-E-008</t>
  </si>
  <si>
    <t>TOTAL_CASH · PLANNED_SPENDING</t>
  </si>
  <si>
    <t>MK-NW-E-009</t>
  </si>
  <si>
    <t>POT_AT_RETIREMENT</t>
  </si>
  <si>
    <t>src/domain/retirement/index.ts:324</t>
  </si>
  <si>
    <t>What will the pot be worth at retirement, and how big does it need to be?</t>
  </si>
  <si>
    <t>MK-CF-M-022 · MK-NW-M-015 · MK-PL-M-026 · MK-PL-M-033</t>
  </si>
  <si>
    <t>Named by 4 figure(s)</t>
  </si>
  <si>
    <t>MK-NW-E-010</t>
  </si>
  <si>
    <t>NET_WORTH · DEBT_PICTURE</t>
  </si>
  <si>
    <t>src/domain/assets/index.ts:97</t>
  </si>
  <si>
    <t>How old is this hand-entered value?</t>
  </si>
  <si>
    <t>MK-NW-M-018 · MK-PL-M-016</t>
  </si>
  <si>
    <t>MK-NW-E-012</t>
  </si>
  <si>
    <t>the ledger sum of interest and dividends for the account</t>
  </si>
  <si>
    <t>MK-NW-E-013</t>
  </si>
  <si>
    <t>the ledger sum for that holding</t>
  </si>
  <si>
    <t>MK-NW-E-014</t>
  </si>
  <si>
    <t>HISTORY_DEPTH</t>
  </si>
  <si>
    <t>src/services/sync/snaptrade.ts:284</t>
  </si>
  <si>
    <t>How far back does this source's activity history go?</t>
  </si>
  <si>
    <t>src/domain/bonds/index.ts:16</t>
  </si>
  <si>
    <t>What are this holding's bond facts?</t>
  </si>
  <si>
    <t>MK-NW-M-023 · MK-NW-M-041 · MK-NW-M-042</t>
  </si>
  <si>
    <t>MK-NW-E-016</t>
  </si>
  <si>
    <t>BOND_COUPON</t>
  </si>
  <si>
    <t>src/domain/bonds/index.ts:21</t>
  </si>
  <si>
    <t>How much income does this bond pay in a year?</t>
  </si>
  <si>
    <t>MK-NW-M-024 · MK-NW-M-043</t>
  </si>
  <si>
    <t>MK-NW-E-017</t>
  </si>
  <si>
    <t>BOND_YEARS_LEFT</t>
  </si>
  <si>
    <t>src/domain/bonds/index.ts:24</t>
  </si>
  <si>
    <t>How long until this bond pays back?</t>
  </si>
  <si>
    <t>MK-NW-E-018</t>
  </si>
  <si>
    <t>BOND_YIELD_TO_MATURITY</t>
  </si>
  <si>
    <t>src/domain/bonds/index.ts:33</t>
  </si>
  <si>
    <t>What will this bond earn me a year if I hold it to the end?</t>
  </si>
  <si>
    <t>MK-NW-E-019</t>
  </si>
  <si>
    <t>BOND_CURRENT_YIELD</t>
  </si>
  <si>
    <t>src/domain/bonds/index.ts:29</t>
  </si>
  <si>
    <t>What is this bond paying me, measured against what it is worth today?</t>
  </si>
  <si>
    <t>MK-NW-M-027 · MK-NW-M-044</t>
  </si>
  <si>
    <t>MK-NW-E-020</t>
  </si>
  <si>
    <t>BOND_RATE_SENSITIVITY</t>
  </si>
  <si>
    <t>MK-NW-E-021</t>
  </si>
  <si>
    <t>the price feed, with its freshness</t>
  </si>
  <si>
    <t>MK-NW-E-022</t>
  </si>
  <si>
    <t>HOLDING_MARKET_VALUE</t>
  </si>
  <si>
    <t>src/domain/performance/index.ts:47</t>
  </si>
  <si>
    <t>What is this holding worth right now?</t>
  </si>
  <si>
    <t>MK-NW-M-030 · MK-NW-M-040</t>
  </si>
  <si>
    <t>MK-NW-E-023</t>
  </si>
  <si>
    <t>HOLDING_COST_BASIS</t>
  </si>
  <si>
    <t>src/domain/performance/index.ts:40</t>
  </si>
  <si>
    <t>What did I pay for this in total?</t>
  </si>
  <si>
    <t>MK-NW-M-032 · MK-NW-M-033</t>
  </si>
  <si>
    <t>MK-NW-E-024</t>
  </si>
  <si>
    <t>the ledger sum of dividends over twelve months</t>
  </si>
  <si>
    <t>MK-NW-E-025</t>
  </si>
  <si>
    <t>REALISED_GAIN</t>
  </si>
  <si>
    <t>src/domain/performance/realized.ts:14</t>
  </si>
  <si>
    <t>How much profit have I actually taken?</t>
  </si>
  <si>
    <t>MK-NW-E-026</t>
  </si>
  <si>
    <t>HOLDING_CAP_GAINS</t>
  </si>
  <si>
    <t>src/domain/performance/index.ts:63</t>
  </si>
  <si>
    <t>If I sold this today, how much of the gain is long-term and how much short-term?</t>
  </si>
  <si>
    <t>MK-NW-M-036 · MK-NW-M-037</t>
  </si>
  <si>
    <t>MK-NW-E-027</t>
  </si>
  <si>
    <t>the account balance being itemised</t>
  </si>
  <si>
    <t>MK-NW-E-028</t>
  </si>
  <si>
    <t>BOND_FACTS · BOND_COUPON</t>
  </si>
  <si>
    <t>NW_CHANGE_WALK</t>
  </si>
  <si>
    <t>src/domain/history.ts:144</t>
  </si>
  <si>
    <t>My net worth changed since last time — what actually caused it?</t>
  </si>
  <si>
    <t>MK-PF-M-001 · MK-PF-M-002 · MK-PF-M-003 · MK-PF-M-004</t>
  </si>
  <si>
    <t>MK-PF-E-002</t>
  </si>
  <si>
    <t>PERFORMANCE_TABLE</t>
  </si>
  <si>
    <t>src/domain/performance/index.ts:191</t>
  </si>
  <si>
    <t>What is the full picture for every holding?</t>
  </si>
  <si>
    <t>MK-PF-M-005 · MK-PF-M-006 · MK-PF-M-007</t>
  </si>
  <si>
    <t>MK-PF-E-003</t>
  </si>
  <si>
    <t>BENCHMARK_RETURN_BLENDED</t>
  </si>
  <si>
    <t>src/domain/performance/index.ts:293</t>
  </si>
  <si>
    <t>What would the matching benchmarks have done over the same period?</t>
  </si>
  <si>
    <t>MK-PF-E-004</t>
  </si>
  <si>
    <t>MODIFIED_DIETZ (Calculation Module code/engines/window-return.ts)</t>
  </si>
  <si>
    <t>MK-PF-E-005</t>
  </si>
  <si>
    <t>LOOK_BACK</t>
  </si>
  <si>
    <t>src/domain/performance/lookBack.ts:32</t>
  </si>
  <si>
    <t>What if I had moved this money?</t>
  </si>
  <si>
    <t>MK-PF-M-010 · MK-PF-M-011 · MK-PF-M-012</t>
  </si>
  <si>
    <t>MK-PL-E-001</t>
  </si>
  <si>
    <t>WHAT_THE_PLAN_STILL_NEEDS</t>
  </si>
  <si>
    <t>src/domain/planning/hub.ts:44</t>
  </si>
  <si>
    <t>Is there enough to show this person their own odds?</t>
  </si>
  <si>
    <t>MK-PL-M-001 · MK-PL-M-002</t>
  </si>
  <si>
    <t>MK-PL-E-002</t>
  </si>
  <si>
    <t>NOT IN OLD MASTER — retirementPaycheckYear, src/domain/paycheck</t>
  </si>
  <si>
    <t>MK-PL-M-003 · MK-PL-M-004 · MK-PL-M-005</t>
  </si>
  <si>
    <t>MK-PL-E-003</t>
  </si>
  <si>
    <t>NOT IN OLD MASTER — saved scenarios, src/domain/scenarios</t>
  </si>
  <si>
    <t>MK-PL-E-004</t>
  </si>
  <si>
    <t>GUARANTEED_STREAMS (engines: B1 rebuild)</t>
  </si>
  <si>
    <t>MK-PL-E-005</t>
  </si>
  <si>
    <t>RMD_START_AGE (Calculation Module code/engines/rmd.ts)</t>
  </si>
  <si>
    <t>REQUIRED_WITHDRAWAL</t>
  </si>
  <si>
    <t>MK-PL-M-013 · MK-PL-M-015</t>
  </si>
  <si>
    <t>src/domain/income/onboarding.ts:191</t>
  </si>
  <si>
    <t>How much retirement income is arriving TODAY?</t>
  </si>
  <si>
    <t>MK-CF-M-011 · MK-CF-M-024 · MK-PL-M-018 · MK-PL-M-032</t>
  </si>
  <si>
    <t>MK-PL-E-008</t>
  </si>
  <si>
    <t>SS_CLAIM_FACTOR · SS_BENEFIT_AT_AGE</t>
  </si>
  <si>
    <t>MK-PL-E-009</t>
  </si>
  <si>
    <t>SS_LIFETIME_TOTAL</t>
  </si>
  <si>
    <t>MK-PL-E-010</t>
  </si>
  <si>
    <t>the worked example used until a real statement goes in</t>
  </si>
  <si>
    <t>MK-PL-E-011</t>
  </si>
  <si>
    <t>the amount the person chose</t>
  </si>
  <si>
    <t>On the screen itself — no engine file</t>
  </si>
  <si>
    <t>MK-PL-M-022 · MK-PL-M-025 · MK-PL-M-030</t>
  </si>
  <si>
    <t>MK-PL-E-012</t>
  </si>
  <si>
    <t>TAX_ON_CONVERSION</t>
  </si>
  <si>
    <t>MK-PL-E-013</t>
  </si>
  <si>
    <t>PRE_TAX_BALANCE</t>
  </si>
  <si>
    <t>MK-PL-E-014</t>
  </si>
  <si>
    <t>the amounts the person chose</t>
  </si>
  <si>
    <t>MK-PL-E-016</t>
  </si>
  <si>
    <t>the age the person chose</t>
  </si>
  <si>
    <t>MK-PL-E-017</t>
  </si>
  <si>
    <t>EDUCATION_COST</t>
  </si>
  <si>
    <t>MK-PL-M-036 · MK-PL-M-037</t>
  </si>
  <si>
    <t>MK-XS-E-001</t>
  </si>
  <si>
    <t>NET_WORTH</t>
  </si>
  <si>
    <t>src/domain/networth/index.ts:12</t>
  </si>
  <si>
    <t>What is this household worth?</t>
  </si>
  <si>
    <t>MK-NW-M-016 · MK-XS-M-001</t>
  </si>
  <si>
    <t>MK-XS-E-002</t>
  </si>
  <si>
    <t>NEST_EGG</t>
  </si>
  <si>
    <t>src/domain/assets/index.ts:548</t>
  </si>
  <si>
    <t>What is my retirement pot worth?</t>
  </si>
  <si>
    <t>Only as another engine’s dependency — no figure names it directly</t>
  </si>
  <si>
    <t>MK-XS-E-003</t>
  </si>
  <si>
    <t>ODDS_DISPLAY</t>
  </si>
  <si>
    <t>src/domain/retirement/willItLast.ts:55</t>
  </si>
  <si>
    <t>The retirement odds a person actually sees. Answers: 0, 5, 10 … 100 — the exact simulation</t>
  </si>
  <si>
    <t>src/domain/retirement/index.ts:49</t>
  </si>
  <si>
    <t>What will be spent each month in retirement?</t>
  </si>
  <si>
    <t>MK-XS-E-005</t>
  </si>
  <si>
    <t>WILL_IT_LAST</t>
  </si>
  <si>
    <t>src/domain/retirement/index.ts:156</t>
  </si>
  <si>
    <t>Will my money last?</t>
  </si>
  <si>
    <t>src/domain/retirement/willItLast.ts:62</t>
  </si>
  <si>
    <t>What goes into working out the odds?</t>
  </si>
  <si>
    <t>MK-PL-M-008 · MK-PL-M-011 · MK-PL-M-029</t>
  </si>
  <si>
    <t>MK-XS-E-007</t>
  </si>
  <si>
    <t>WILL_IT_LAST_RESULT</t>
  </si>
  <si>
    <t>src/domain/retirement/willItLast.ts:149</t>
  </si>
  <si>
    <t>What are the odds, and can we honestly show them?</t>
  </si>
  <si>
    <t>MK-PL-M-034 · MK-XS-M-002</t>
  </si>
  <si>
    <t>MK-XS-E-008</t>
  </si>
  <si>
    <t>ASSET_CLASS_OF_ACCOUNT</t>
  </si>
  <si>
    <t>src/domain/assets/index.ts:221</t>
  </si>
  <si>
    <t>What kind of thing is this account — cash, a bond, shares, or something else?</t>
  </si>
  <si>
    <t>MK-XS-E-009</t>
  </si>
  <si>
    <t>TOTAL_INVESTMENTS</t>
  </si>
  <si>
    <t>src/domain/assets/index.ts:291</t>
  </si>
  <si>
    <t>How much do I have invested?</t>
  </si>
  <si>
    <t>MK-XS-E-010</t>
  </si>
  <si>
    <t>VALUE_WEIGHTED_RETURN</t>
  </si>
  <si>
    <t>src/domain/performance/index.ts:283</t>
  </si>
  <si>
    <t>How did everything I hold do over the chosen period?</t>
  </si>
  <si>
    <t>MK-XS-E-011</t>
  </si>
  <si>
    <t>NOT IN OLD MASTER — budgetVsActual, src/domain/budget</t>
  </si>
  <si>
    <t>MK-CF-M-004 · MK-XS-M-005</t>
  </si>
  <si>
    <t>MK-XS-E-012</t>
  </si>
  <si>
    <t>NOT IN OLD MASTER — incomeMonthlyGrid, src/domain/income</t>
  </si>
  <si>
    <t>MK-CF-M-018 · MK-XS-M-006</t>
  </si>
  <si>
    <t>MK-XS-E-013</t>
  </si>
  <si>
    <t>FETCH_PRICES</t>
  </si>
  <si>
    <t>src/services/marketData.ts:71</t>
  </si>
  <si>
    <t>What are these holdings worth?</t>
  </si>
  <si>
    <t>MK-XS-E-014</t>
  </si>
  <si>
    <t>SNAPSHOT_READ_ALL</t>
  </si>
  <si>
    <t>src/domain/history.ts:107</t>
  </si>
  <si>
    <t>What history do we hold?</t>
  </si>
  <si>
    <t>src/domain/assets/index.ts:401</t>
  </si>
  <si>
    <t>This one brokerage account holds several different things — how much of it is each?</t>
  </si>
  <si>
    <t>MK-NW-M-008 · MK-NW-M-020</t>
  </si>
  <si>
    <t>MK-XS-E-016</t>
  </si>
  <si>
    <t>CLASS_FROM_NAME_TEXT</t>
  </si>
  <si>
    <t>src/domain/assets/index.ts:193</t>
  </si>
  <si>
    <t>Reading the NAME alone, is this cash, a money-market fund, or a CD / T-bill?</t>
  </si>
  <si>
    <t>MK-XS-E-017</t>
  </si>
  <si>
    <t>DEBT_MINIMUM_TOTAL</t>
  </si>
  <si>
    <t>src/domain/debt/index.ts:55</t>
  </si>
  <si>
    <t>What must I pay across all debts to stay current?</t>
  </si>
  <si>
    <t>MK-XS-E-018</t>
  </si>
  <si>
    <t>DEBT_PAYMENTS_ACTUAL</t>
  </si>
  <si>
    <t>src/domain/debt/index.ts:59</t>
  </si>
  <si>
    <t>What is actually going out on debt each month?</t>
  </si>
  <si>
    <t>MK-XS-E-019</t>
  </si>
  <si>
    <t>DEBT_SHAPE</t>
  </si>
  <si>
    <t>src/domain/debt/index.ts:38</t>
  </si>
  <si>
    <t>How is THIS debt repaid?</t>
  </si>
  <si>
    <t>MK-XS-E-020</t>
  </si>
  <si>
    <t>READ_A_NUMBER</t>
  </si>
  <si>
    <t>src/domain/_shared/num.ts:4</t>
  </si>
  <si>
    <t>What number did the person actually type?</t>
  </si>
  <si>
    <t>MK-XS-E-021</t>
  </si>
  <si>
    <t>SPENDING_BY_KIND</t>
  </si>
  <si>
    <t>src/domain/budget/index.ts:72</t>
  </si>
  <si>
    <t>What is spent each month, split by kind?</t>
  </si>
  <si>
    <t>MK-CF-M-013 · MK-CF-M-014 · MK-MN-M-021</t>
  </si>
  <si>
    <t>MK-XS-E-022</t>
  </si>
  <si>
    <t>HOLDING_SHARES</t>
  </si>
  <si>
    <t>src/domain/performance/index.ts:37</t>
  </si>
  <si>
    <t>How many shares of this do I own?</t>
  </si>
  <si>
    <t>MK-XS-E-023</t>
  </si>
  <si>
    <t>BENCHMARK_FOR_KIND</t>
  </si>
  <si>
    <t>src/domain/performance/index.ts:167</t>
  </si>
  <si>
    <t>What should this holding be compared against?</t>
  </si>
  <si>
    <t>MK-XS-E-024</t>
  </si>
  <si>
    <t>HOLDING_FIRST_BOUGHT</t>
  </si>
  <si>
    <t>src/domain/performance/index.ts:146</t>
  </si>
  <si>
    <t>When did I first buy this?</t>
  </si>
  <si>
    <t>MK-XS-E-025</t>
  </si>
  <si>
    <t>HOLDING_TOTAL_ROI</t>
  </si>
  <si>
    <t>src/domain/performance/index.ts:89</t>
  </si>
  <si>
    <t>How much am I up on this in percentage terms, since I bought it?</t>
  </si>
  <si>
    <t>MK-XS-E-026</t>
  </si>
  <si>
    <t>HOLDING_UNREALISED_GAIN</t>
  </si>
  <si>
    <t>src/domain/performance/index.ts:51</t>
  </si>
  <si>
    <t>How much am I up or down on this?</t>
  </si>
  <si>
    <t>MK-XS-E-027</t>
  </si>
  <si>
    <t>PERIOD_RETURN</t>
  </si>
  <si>
    <t>src/domain/performance/index.ts:122</t>
  </si>
  <si>
    <t>What did this holding do over the chosen period?</t>
  </si>
  <si>
    <t>MK-XS-E-028</t>
  </si>
  <si>
    <t>PERIOD_START_DATE</t>
  </si>
  <si>
    <t>src/domain/performance/index.ts:96</t>
  </si>
  <si>
    <t>Which date does the chosen period start from?</t>
  </si>
  <si>
    <t>MK-XS-E-029</t>
  </si>
  <si>
    <t>PRICE_LATEST</t>
  </si>
  <si>
    <t>src/domain/performance/index.ts:117</t>
  </si>
  <si>
    <t>What is the most recent price we hold for this?</t>
  </si>
  <si>
    <t>MK-XS-E-030</t>
  </si>
  <si>
    <t>RETURN_SINCE_A_DATE</t>
  </si>
  <si>
    <t>src/domain/performance/index.ts:137</t>
  </si>
  <si>
    <t>What did this do between a given date and today?</t>
  </si>
  <si>
    <t>MK-XS-E-031</t>
  </si>
  <si>
    <t>PRICE_FACTOR_OVER_WINDOW</t>
  </si>
  <si>
    <t>src/domain/performance/lookBack.ts:19</t>
  </si>
  <si>
    <t>By what multiple did this price move over the last N months?</t>
  </si>
  <si>
    <t>MK-XS-E-032</t>
  </si>
  <si>
    <t>EFFECTIVE_TAX_RATE</t>
  </si>
  <si>
    <t>src/domain/income/tax.ts:130</t>
  </si>
  <si>
    <t>What share of my income actually goes in tax?</t>
  </si>
  <si>
    <t>MK-XS-E-033</t>
  </si>
  <si>
    <t>EXPECTED_RETURN_BLENDED</t>
  </si>
  <si>
    <t>src/domain/assets/index.ts:638</t>
  </si>
  <si>
    <t>What return should I expect on everything I hold together?</t>
  </si>
  <si>
    <t>MK-XS-E-034</t>
  </si>
  <si>
    <t>EXPECTED_SWING_BLENDED</t>
  </si>
  <si>
    <t>src/domain/assets/index.ts:597</t>
  </si>
  <si>
    <t>How much does a year's return typically swing around that average?</t>
  </si>
  <si>
    <t>MK-XS-E-035</t>
  </si>
  <si>
    <t>FILING_STATUS</t>
  </si>
  <si>
    <t>src/domain/income/onboarding.ts:354</t>
  </si>
  <si>
    <t>How does this person file?</t>
  </si>
  <si>
    <t>MK-XS-E-036</t>
  </si>
  <si>
    <t>GUARANTEED_OUTSIDE_STREAMS</t>
  </si>
  <si>
    <t>src/domain/income/onboarding.ts:227</t>
  </si>
  <si>
    <t>The plan's guaranteed-income input as separate streams of OUTSIDE money only. Answers: zer</t>
  </si>
  <si>
    <t>MK-XS-E-037</t>
  </si>
  <si>
    <t>MONTHLY_SAVING</t>
  </si>
  <si>
    <t>src/domain/assets/index.ts:695</t>
  </si>
  <si>
    <t>How much goes in each month?</t>
  </si>
  <si>
    <t>MK-XS-E-038</t>
  </si>
  <si>
    <t>REPORTED_RETURN</t>
  </si>
  <si>
    <t>src/domain/assets/index.ts:108</t>
  </si>
  <si>
    <t>What return did the person say they actually earned over the past year?</t>
  </si>
  <si>
    <t>MK-XS-E-039</t>
  </si>
  <si>
    <t>SPLIT_BY_HOW_IT_IS_TAXED</t>
  </si>
  <si>
    <t>src/domain/decumulation/index.ts:11</t>
  </si>
  <si>
    <t>How is the retirement money split by the tax that will be owed on it?</t>
  </si>
  <si>
    <t>SS_BENEFIT_AT_AGE</t>
  </si>
  <si>
    <t>src/domain/retirement/ssTiming.ts:54</t>
  </si>
  <si>
    <t>The monthly Social Security check at a chosen claim age, in today's dollars. Answers: a wh</t>
  </si>
  <si>
    <t>MK-XS-E-041</t>
  </si>
  <si>
    <t>STATE_TAX_RATE</t>
  </si>
  <si>
    <t>src/domain/income/onboarding.ts:358</t>
  </si>
  <si>
    <t>What state tax rate applies?</t>
  </si>
  <si>
    <t>MK-XS-E-042</t>
  </si>
  <si>
    <t>SWING_FROM_RETURN</t>
  </si>
  <si>
    <t>src/domain/retirement/willItLast.ts:19</t>
  </si>
  <si>
    <t>How much might a year's return swing, judged from the return alone?</t>
  </si>
  <si>
    <t>MK-XS-E-043</t>
  </si>
  <si>
    <t>TAX_OVER65_COUNT</t>
  </si>
  <si>
    <t>src/domain/income/onboarding.ts:405</t>
  </si>
  <si>
    <t xml:space="preserve">How many people on the tax return are 65 or older — the input the over-65 deduction needs </t>
  </si>
  <si>
    <t>src/domain/income/onboarding.ts:337</t>
  </si>
  <si>
    <t>What is the whole household income for the year, before tax?</t>
  </si>
  <si>
    <t>MK-CF-M-006 · MK-CF-M-007 · MK-CF-M-008 · MK-CF-M-027 · MK-MN-M-011 · MK-MN-M-012 · MK-MN-M-013</t>
  </si>
  <si>
    <t>Named by 7 figure(s)</t>
  </si>
  <si>
    <t>MK-XS-E-045</t>
  </si>
  <si>
    <t>COST_OF_LIVING</t>
  </si>
  <si>
    <t>src/domain/retirement/col.ts:53</t>
  </si>
  <si>
    <t>How much more or less does life cost where they plan to live?</t>
  </si>
  <si>
    <t>src/domain/retirement/ssTiming.ts:34</t>
  </si>
  <si>
    <t>How much of the statement amount a claim age actually pays, anchored at the person's OWN f</t>
  </si>
  <si>
    <t>src/domain/income/onboarding.ts:213</t>
  </si>
  <si>
    <t>How much retirement income arrives monthly?</t>
  </si>
  <si>
    <t>MK-XS-E-048</t>
  </si>
  <si>
    <t>SS_FULL_RETIREMENT_AGE</t>
  </si>
  <si>
    <t>src/domain/retirement/ssTiming.ts:23</t>
  </si>
  <si>
    <t>The person's own Social Security full retirement age. Answers: 66 (born through 1954) · 66</t>
  </si>
  <si>
    <t>MK-XS-E-049</t>
  </si>
  <si>
    <t>EQUITY_THIS_YEAR</t>
  </si>
  <si>
    <t>src/domain/income/onboarding.ts:114</t>
  </si>
  <si>
    <t>How much equity vests this year?</t>
  </si>
  <si>
    <t>MK-XS-E-050</t>
  </si>
  <si>
    <t>OTHER_INCOME</t>
  </si>
  <si>
    <t>src/domain/income/onboarding.ts:161</t>
  </si>
  <si>
    <t>What else comes in?</t>
  </si>
  <si>
    <t>MK-XS-E-051</t>
  </si>
  <si>
    <t>RENTAL_INCOME_A_YEAR</t>
  </si>
  <si>
    <t>src/domain/income/onboarding.ts:142</t>
  </si>
  <si>
    <t>What do the rentals net over a year?</t>
  </si>
  <si>
    <t>MK-XS-E-052</t>
  </si>
  <si>
    <t>SALARY_A_YEAR</t>
  </si>
  <si>
    <t>src/domain/income/onboarding.ts:331</t>
  </si>
  <si>
    <t>What is the salary for the year?</t>
  </si>
  <si>
    <t>MK-XS-E-053</t>
  </si>
  <si>
    <t>TIPS_A_YEAR</t>
  </si>
  <si>
    <t>src/domain/income/onboarding.ts:204</t>
  </si>
  <si>
    <t>What do tips come to over the year?</t>
  </si>
  <si>
    <t>MK-XS-E-054</t>
  </si>
  <si>
    <t>RENTALS</t>
  </si>
  <si>
    <t>src/domain/income/onboarding.ts:129</t>
  </si>
  <si>
    <t>What rental properties are there, and what does each bring in?</t>
  </si>
  <si>
    <t>MK-XS-E-055</t>
  </si>
  <si>
    <t>IS_PHYSICAL_ASSET</t>
  </si>
  <si>
    <t>src/domain/assets/index.ts:253</t>
  </si>
  <si>
    <t>Is this something physical you own rather than money you could spend?</t>
  </si>
  <si>
    <t>MK-XS-E-056</t>
  </si>
  <si>
    <t>TAX_DEDUCTION</t>
  </si>
  <si>
    <t>src/domain/income/tax.ts:105</t>
  </si>
  <si>
    <t>What amount of income is tax-free before the brackets start. Answers: $16,100 single · $32</t>
  </si>
  <si>
    <t>Function</t>
  </si>
  <si>
    <t>File</t>
  </si>
  <si>
    <t>Line</t>
  </si>
  <si>
    <t>Category</t>
  </si>
  <si>
    <t>Objective — what this function is for</t>
  </si>
  <si>
    <t>How the formula was read</t>
  </si>
  <si>
    <t>What it is handed (its inputs)</t>
  </si>
  <si>
    <t>What it gives back (its output)</t>
  </si>
  <si>
    <t>Where its answer appears — the words, the screen, the section</t>
  </si>
  <si>
    <t>Assumptions it makes</t>
  </si>
  <si>
    <t>Can its answer reach a screen?</t>
  </si>
  <si>
    <t>Dependent functions — one step below</t>
  </si>
  <si>
    <t>Dependent functions — how many in total</t>
  </si>
  <si>
    <t>Dependent functions — all of them</t>
  </si>
  <si>
    <t>The chain, ending in this function</t>
  </si>
  <si>
    <t>Figures that name it</t>
  </si>
  <si>
    <t>Name in the old inventory</t>
  </si>
  <si>
    <t>READ FROM THE CODE ITSELF. Sorted by what the code does — what a function returns, whether it reaches outside for data, and who calls it — never by its name. 1 ACTION does something and displays nothing · 2 DISPLAYED lands on a screen · 3 DEPENDENT feeds a chain that ends at a screen · 4 BRINGS DATA IN fetches from outside. The chain reads left to right and ENDS in the function that shows the answer; everything feeding it comes first.</t>
  </si>
  <si>
    <t>MK-CF-F-001</t>
  </si>
  <si>
    <t>buildBudgetState</t>
  </si>
  <si>
    <t>src/domain/budget/index.ts</t>
  </si>
  <si>
    <t>3 · DEPENDENT</t>
  </si>
  <si>
    <t>projected_to_save = net monthly income − monthly spending.</t>
  </si>
  <si>
    <t>spend = doc.monthly spending (or 0 when missing or zero)
save = net monthly income − spend</t>
  </si>
  <si>
    <t>Spend is doc.monthly spending (or 0 — when missing or zero). Save is net monthly income minus spend.</t>
  </si>
  <si>
    <t>PARTLY READ — some of the code is still showing through; needs a hand pass</t>
  </si>
  <si>
    <t>1. uid: UserId
2. netMonthlyIncome: number
3. doc: BudgetDoc</t>
  </si>
  <si>
    <t>BudgetState</t>
  </si>
  <si>
    <t>· If monthly spending is missing it counts as zero, so nothing recorded and a real zero look the same.</t>
  </si>
  <si>
    <t>MK-ST-F-055 round2</t>
  </si>
  <si>
    <t>MK-ST-F-055 round2 → MK-CF-F-001 buildBudgetState</t>
  </si>
  <si>
    <t>2 · DISPLAYED</t>
  </si>
  <si>
    <t>The single canonical "planned monthly spend": the itemized buckets OR the stated total, whichever is larger (the stated total can include an uncategorized remainder the buckets don't capture).</t>
  </si>
  <si>
    <t>the answer = max(spend buckets(op).monthly total, op.monthly spending read as a number (0 when it is not one))
grid = income monthly grid(op, 'available')</t>
  </si>
  <si>
    <t>The answer: the larger of spend buckets(op).monthly total and op.monthly spending read as a number (0 — when it is one is missing). Grid is income monthly grid(op, 'available').</t>
  </si>
  <si>
    <t>op: OnboardingProfile | null</t>
  </si>
  <si>
    <t>number</t>
  </si>
  <si>
    <t>"Income (take-home)" — on the budget screen</t>
  </si>
  <si>
    <t>· Treats a year as twelve equal months.</t>
  </si>
  <si>
    <t>1. MK-CF-F-092 incomeMonthlyGrid
2. MK-CF-F-004 spendBuckets
3. MK-ST-F-052 toNum</t>
  </si>
  <si>
    <t>1. MK-CF-F-092 incomeMonthlyGrid
2. MK-CF-F-004 spendBuckets
3. MK-ST-F-052 toNum
4. MK-CF-F-069 benefitActiveMonths
5. MK-CF-F-072 currentRetirementIncomeMonthly
6. MK-CF-F-065 equityVestWeights
7. MK-CF-F-071 extraIncome
8. MK-CF-F-087 monthlyTaxRates
9. MK-CF-F-073 otherIncomeMonth
10. MK-CF-F-068 rentalNetAnnual
11. MK-ST-F-055 round2
12. MK-CF-F-066 rsuAnnual
13. MK-CF-F-060 salaryGrossByMonth
14. MK-CF-F-077 scholarshipByCalendarMonth
15. MK-CF-F-003 categoryMonthly
16. MK-CF-F-075 retirementIncomeMonthly
17. MK-CF-F-062 equityRowValue
18. MK-CF-F-070 benefitAnnual
19. MK-CF-F-090 effectiveRate
20. MK-CF-F-085 filingStatusOf
21. MK-CF-F-089 over65CountOf
22. MK-CF-F-098 progressiveMonthlyTax
23. MK-CF-F-086 stateRateOf
24. MK-CF-F-088 taxableByCalendarMonth
25. MK-CF-F-067 rentalList
26. MK-CF-F-063 rowVestYear
27. MK-CF-F-097 grossFromNet
28. MK-CF-F-102 effectiveRateOnGrossFor
29. MK-CF-F-084 taxableAnnual
30. MK-CF-F-101 taxOwedFor
31. MK-CF-F-100 taxableIncomeFor
32. MK-CF-F-095 taxOwed
33. MK-CF-F-082 salaryAnnual
34. MK-CF-F-074 tipsAnnual
35. MK-CF-F-099 deductionFor
36. MK-CF-F-093 taxableIncome
37. MK-CF-F-081 salaryActiveMonths</t>
  </si>
  <si>
    <t>MK-CF-F-003</t>
  </si>
  <si>
    <t>categoryMonthly</t>
  </si>
  <si>
    <t>Canonical per-category planned $/month — the ONE conversion the buckets AND the Budget screen share, so a category's on-screen line item ALWAYS reconciles with its bucket total (build-34 #3).</t>
  </si>
  <si>
    <t>amt = to num(amount); if (amt ≤ 0) return 0
pct = unit = 'pct'
base = pct base monthly(op)
(pct ? (amt ÷ 100) × base × 12 : amt) ÷ 12   when bucket = 'nonmonthly'
the answer:
(amt ÷ 100) × base   if pct
amt   otherwise</t>
  </si>
  <si>
    <t>Amt is to num(amount); — when (amt is at most 0) return 0. Pct is unit = 'pct'. Base is pct base monthly(op). When bucket = 'nonmonthly', it answers (pct ? (amt divided by 100) times base times 12 : amt) divided by 12. The answer is (amt divided by 100) times base — when pct; amt — otherwise.</t>
  </si>
  <si>
    <t>READ FROM THE CODE — rendered from the expressions the function runs</t>
  </si>
  <si>
    <t>1. c: { amount?: any; unit?: string; bucket?: string } | null | undefined
2. op: OnboardingProfile | null</t>
  </si>
  <si>
    <t>NOT FOUND — a screen calls it, but the words printed beside its answer could not be traced automatically. Needs reading.</t>
  </si>
  <si>
    <t>1. Treats a year as twelve equal months.
2. Turns a monthly figure into a year by multiplying by twelve.</t>
  </si>
  <si>
    <t>MK-ST-F-052 toNum</t>
  </si>
  <si>
    <t>MK-ST-F-052 toNum → MK-CF-F-003 categoryMonthly</t>
  </si>
  <si>
    <t>Roll the per-category spending up into the three monthly-normalized buckets.</t>
  </si>
  <si>
    <t>a = op (or none when missing)
cats = spend cats   if array.is array(spend cats)
nothing   otherwise
fixed = to num(b fixed), non = to num(b nonmonthly), flex = to num(b flexible)
the answer:
fixed = fixed
non monthly = non
flexible = flex
monthly total = round(fixed + non + flex, 2 dp)
fixed = 0, flex = 0, non mo = 0
m = category monthly(c, op); if (m ≤ 0) continue</t>
  </si>
  <si>
    <t>A is op (or none — when missing). Cats is spend cats — when array.is array(spend cats); no answer — otherwise. Fixed is to num(b fixed), non = to num(b nonmonthly), flex = to num(b flexible). The answer is fixed = fixed; non monthly = non; flexible = flex; monthly total = fixed plus non plus flex, to the cent. Fixed is 0, flex = 0, non mo = 0. M is category monthly(c, op); — when (m is at most 0) continue.</t>
  </si>
  <si>
    <t>NOT DECLARED — the code does not say what it gives back</t>
  </si>
  <si>
    <t>1. "Spending" — on the setup questions, which appear on more than one screen
2. "YOUR GOALS" — on the Goals screen, under "YOUR GOALS"</t>
  </si>
  <si>
    <t>None found in this function — anything it assumes comes from the functions it depends on.</t>
  </si>
  <si>
    <t>1. MK-CF-F-003 categoryMonthly
2. MK-ST-F-055 round2
3. MK-ST-F-052 toNum</t>
  </si>
  <si>
    <t>MK-CF-F-005</t>
  </si>
  <si>
    <t>actualMonthFlow</t>
  </si>
  <si>
    <t>Actual money flow for a month from LOGGED data — the exact figures behind the Home cash-flow card, so every screen (Home, Goals) shows the SAME surplus.</t>
  </si>
  <si>
    <t>grid = income monthly grid(op, 'net')   if op
[]   otherwise
base net = grid[(m or 1) − 1].amount (or 0 when missing)
extra income = Σ over incomes (or none when missing) where string(date ?? '').starts with(ym) of (amount read as a number (or 0 when missing or zero))
income = base net + extra income
spent = budget vs actual(expenses ?? [], op, new date(y or 2000, (m or 1) − 1, 15)).spent total
debt paid = Σ over expenses (or none when missing) where category = 'debt payment' and string(date ?? '').starts with(ym) of (amount read as a number (or 0 when missing or zero))
the answer:
income = income
spent = spent
debt paid = debt paid
surplus = income − spent − debt paid</t>
  </si>
  <si>
    <t>Grid is income monthly grid(op, 'net') — when op; [] — otherwise. Base net is grid[(m or 1) minus 1].amount (or 0 — when missing). Extra income: the amount read as a number (or 0 — when missing or zero) added up across incomes (or none — when missing) where string(date ?? '').starts with(ym). Income is base net plus extra income. Spent is budget vs actual(expenses ?? [], op, new date(y or 2000, (m or 1) minus 1, 15)).spent total. Debt paid: the amount read as a number (or 0 — when missing or zero) added up across expenses (or none — when missing) where category = 'debt payment' and string(date ?? '').starts with(ym). The answer is income = income; spent = spent; debt paid = debt paid; surplus = income minus spent minus debt paid.</t>
  </si>
  <si>
    <t>Nothing is handed to it</t>
  </si>
  <si>
    <t>1. If amount is missing it uses 0.
2. Leaves some rows out of the answer — check which.</t>
  </si>
  <si>
    <t>1. MK-CF-F-014 budgetVsActual
2. MK-CF-F-092 incomeMonthlyGrid</t>
  </si>
  <si>
    <t>1. MK-CF-F-014 budgetVsActual
2. MK-CF-F-092 incomeMonthlyGrid
3. MK-ST-F-055 round2
4. MK-CF-F-004 spendBuckets
5. MK-ST-F-052 toNum
6. MK-CF-F-069 benefitActiveMonths
7. MK-CF-F-072 currentRetirementIncomeMonthly
8. MK-CF-F-065 equityVestWeights
9. MK-CF-F-071 extraIncome
10. MK-CF-F-087 monthlyTaxRates
11. MK-CF-F-073 otherIncomeMonth
12. MK-CF-F-068 rentalNetAnnual
13. MK-CF-F-066 rsuAnnual
14. MK-CF-F-060 salaryGrossByMonth
15. MK-CF-F-077 scholarshipByCalendarMonth
16. MK-CF-F-003 categoryMonthly
17. MK-CF-F-075 retirementIncomeMonthly
18. MK-CF-F-062 equityRowValue
19. MK-CF-F-070 benefitAnnual
20. MK-CF-F-090 effectiveRate
21. MK-CF-F-085 filingStatusOf
22. MK-CF-F-089 over65CountOf
23. MK-CF-F-098 progressiveMonthlyTax
24. MK-CF-F-086 stateRateOf
25. MK-CF-F-088 taxableByCalendarMonth
26. MK-CF-F-067 rentalList
27. MK-CF-F-063 rowVestYear
28. MK-CF-F-097 grossFromNet
29. MK-CF-F-102 effectiveRateOnGrossFor
30. MK-CF-F-084 taxableAnnual
31. MK-CF-F-101 taxOwedFor
32. MK-CF-F-100 taxableIncomeFor
33. MK-CF-F-095 taxOwed
34. MK-CF-F-082 salaryAnnual
35. MK-CF-F-074 tipsAnnual
36. MK-CF-F-099 deductionFor
37. MK-CF-F-093 taxableIncome
38. MK-CF-F-081 salaryActiveMonths</t>
  </si>
  <si>
    <t>1. MK-ST-F-055 round2 → MK-CF-F-014 budgetVsActual → MK-CF-F-005 actualMonthFlow
2. MK-ST-F-052 toNum → MK-CF-F-003 categoryMonthly → MK-CF-F-004 spendBuckets → MK-CF-F-014 budgetVsActual → MK-CF-F-005 actualMonthFlow
3. MK-ST-F-055 round2 → MK-CF-F-004 spendBuckets → MK-CF-F-014 budgetVsActual → MK-CF-F-005 actualMonthFlow
4. MK-ST-F-052 toNum → MK-CF-F-004 spendBuckets → MK-CF-F-014 budgetVsActual → MK-CF-F-005 actualMonthFlow
5. MK-ST-F-052 toNum → MK-CF-F-014 budgetVsActual → MK-CF-F-005 actualMonthFlow
6. MK-CF-F-069 benefitActiveMonths → MK-CF-F-092 incomeMonthlyGrid → MK-CF-F-005 actualMonthFlow
7. MK-ST-F-052 toNum → MK-CF-F-075 retirementIncomeMonthly → MK-CF-F-072 currentRetirementIncomeMonthly → MK-CF-F-092 incomeMonthlyGrid → MK-CF-F-005 actualMonthFlow
8. MK-ST-F-052 toNum → MK-CF-F-062 equityRowValue → MK-CF-F-065 equityVestWeights → MK-CF-F-092 incomeMonthlyGrid → MK-CF-F-005 actualMonthFlow
9. … and 46 more paths</t>
  </si>
  <si>
    <t>MK-CF-F-006</t>
  </si>
  <si>
    <t>allocatableThisMonth</t>
  </si>
  <si>
    <t>What's LEFT of this month's surplus to put to work = surplus − already-allocated this month (never &lt; 0).</t>
  </si>
  <si>
    <t>max(0, surplus − (allocated this month or 0))</t>
  </si>
  <si>
    <t>surplus minus (allocated this month or 0, never below zero).</t>
  </si>
  <si>
    <t>1. surplus: number
2. allocatedThisMonth: number | undefined</t>
  </si>
  <si>
    <t>"Allocate to this goal ›" — on the Goals screen, under "YOUR GOALS"</t>
  </si>
  <si>
    <t>· If allocated this month is missing it counts as zero, so nothing recorded and a real zero look the same.</t>
  </si>
  <si>
    <t>None — no dependent function stands behind it</t>
  </si>
  <si>
    <t>MK-CF-F-007</t>
  </si>
  <si>
    <t>nonMonthlyBasis</t>
  </si>
  <si>
    <t>Label basis for the non-monthly bucket (e.g.</t>
  </si>
  <si>
    <t>cats = op!.spend cats!   if array.is array(op.spend cats)
[]   otherwise
nm = cats where bucket = 'nonmonthly' and to num(amount) &gt; 0
all pct = nm.length &gt; 0 and nm.every((c) =&gt; unit = 'pct')
pct = round(Σ over nm of (amount read as a number (0 when it is not one)))   if all pct
0   otherwise
the answer = { all pct, pct }</t>
  </si>
  <si>
    <t>Cats is op!.spend cats! — when array.is array(op.spend cats); [] — otherwise. Nm is cats where bucket = 'nonmonthly' and to num(amount) &gt; 0. All pct is nm.length &gt; 0 and nm.every((c) =&gt; unit = 'pct'). Pct: the amount read as a number (0 when it is one is missing added up across nm, to a whole number) — when all pct; 0 — otherwise. The answer is { all pct, pct }.</t>
  </si>
  <si>
    <t>"YOUR GOALS" — on the Goals screen, under "YOUR GOALS"</t>
  </si>
  <si>
    <t>1. Rounds the answer to a whole number.
2. Leaves some rows out of the answer — check which.</t>
  </si>
  <si>
    <t>MK-ST-F-052 toNum → MK-CF-F-007 nonMonthlyBasis</t>
  </si>
  <si>
    <t>MK-CF-F-008</t>
  </si>
  <si>
    <t>spendByMonth</t>
  </si>
  <si>
    <t>Spending placed in the calendar months it's actually due (Jan→Dec) — NOT averaged.</t>
  </si>
  <si>
    <t>a = op (or none when missing)
out = 12 slots, each 0
cats = spend cats   if array.is array(spend cats)
nothing   otherwise
net monthly = pct base monthly(op)
amt = to num(amount); if (amt ≤ 0) continue
pct = unit = 'pct'
flat = spend buckets(op).monthly total
uncategorized = max(0, to num(monthly spending) − spend buckets(op).monthly total)
the answer = for each of out: round2</t>
  </si>
  <si>
    <t>A is op (or none — when missing). Out is 12 slots, each 0. Cats is spend cats — when array.is array(spend cats); no answer — otherwise. Net monthly is pct base monthly(op). Amt is to num(amount); — when (amt is at most 0) continue. Pct is unit = 'pct'. Flat is spend buckets(op).monthly total. Uncategorized is to num(monthly spending, never below zero minus spend buckets(op).monthly total). The answer is for each of out: round2.</t>
  </si>
  <si>
    <t>number[]</t>
  </si>
  <si>
    <t>1. Uses a built-in i of 0.
2. Treats a year as twelve equal months.
3. Turns a monthly figure into a year by multiplying by twelve.</t>
  </si>
  <si>
    <t>1. MK-CF-F-004 spendBuckets
2. MK-ST-F-052 toNum</t>
  </si>
  <si>
    <t>1. MK-CF-F-004 spendBuckets
2. MK-ST-F-052 toNum
3. MK-CF-F-003 categoryMonthly
4. MK-ST-F-055 round2</t>
  </si>
  <si>
    <t>1. MK-ST-F-052 toNum → MK-CF-F-003 categoryMonthly → MK-CF-F-004 spendBuckets → MK-CF-F-008 spendByMonth
2. MK-ST-F-055 round2 → MK-CF-F-004 spendBuckets → MK-CF-F-008 spendByMonth
3. MK-ST-F-052 toNum → MK-CF-F-004 spendBuckets → MK-CF-F-008 spendByMonth
4. MK-ST-F-052 toNum → MK-CF-F-008 spendByMonth</t>
  </si>
  <si>
    <t>MK-CF-F-009</t>
  </si>
  <si>
    <t>monthlyEssentials</t>
  </si>
  <si>
    <t>Monthly money you MUST keep paying — the recurring (non-monthly excluded) Critical + Important bills.</t>
  </si>
  <si>
    <t>a = op (or none when missing)
cats = spend cats   if array.is array(spend cats)
nothing   otherwise
planned monthly spend(op)   when cats is missing
net monthly = pct base monthly(op)
ess = 0
amt = to num(amount); if (amt ≤ 0) continue
uncategorized = max(0, to num(monthly spending) − spend buckets(op).monthly total)
the answer = round(ess + uncategorized, 2 dp)</t>
  </si>
  <si>
    <t>A is op (or none — when missing). Cats is spend cats — when array.is array(spend cats); no answer — otherwise. When cats is missing, it answers planned monthly spend(op). Net monthly is pct base monthly(op). Ess is 0. Amt is to num(amount); — when (amt is at most 0) continue. Uncategorized is to num(monthly spending, never below zero minus spend buckets(op).monthly total). The answer is ess plus uncategorized, to the cent.</t>
  </si>
  <si>
    <t>"If you lost your income" — on the Stress test screen</t>
  </si>
  <si>
    <t>· Uses a built-in ess of 0.</t>
  </si>
  <si>
    <t>1. MK-CF-F-002 plannedMonthlySpend
2. MK-ST-F-055 round2
3. MK-CF-F-004 spendBuckets
4. MK-ST-F-052 toNum</t>
  </si>
  <si>
    <t>1. MK-CF-F-002 plannedMonthlySpend
2. MK-ST-F-055 round2
3. MK-CF-F-004 spendBuckets
4. MK-ST-F-052 toNum
5. MK-CF-F-092 incomeMonthlyGrid
6. MK-CF-F-003 categoryMonthly
7. MK-CF-F-069 benefitActiveMonths
8. MK-CF-F-072 currentRetirementIncomeMonthly
9. MK-CF-F-065 equityVestWeights
10. MK-CF-F-071 extraIncome
11. MK-CF-F-087 monthlyTaxRates
12. MK-CF-F-073 otherIncomeMonth
13. MK-CF-F-068 rentalNetAnnual
14. MK-CF-F-066 rsuAnnual
15. MK-CF-F-060 salaryGrossByMonth
16. MK-CF-F-077 scholarshipByCalendarMonth
17. MK-CF-F-075 retirementIncomeMonthly
18. MK-CF-F-062 equityRowValue
19. MK-CF-F-070 benefitAnnual
20. MK-CF-F-090 effectiveRate
21. MK-CF-F-085 filingStatusOf
22. MK-CF-F-089 over65CountOf
23. MK-CF-F-098 progressiveMonthlyTax
24. MK-CF-F-086 stateRateOf
25. MK-CF-F-088 taxableByCalendarMonth
26. MK-CF-F-067 rentalList
27. MK-CF-F-063 rowVestYear
28. MK-CF-F-097 grossFromNet
29. MK-CF-F-102 effectiveRateOnGrossFor
30. MK-CF-F-084 taxableAnnual
31. MK-CF-F-101 taxOwedFor
32. MK-CF-F-100 taxableIncomeFor
33. MK-CF-F-095 taxOwed
34. MK-CF-F-082 salaryAnnual
35. MK-CF-F-074 tipsAnnual
36. MK-CF-F-099 deductionFor
37. MK-CF-F-093 taxableIncome
38. MK-CF-F-081 salaryActiveMonths</t>
  </si>
  <si>
    <t>1. MK-CF-F-069 benefitActiveMonths → MK-CF-F-092 incomeMonthlyGrid → MK-CF-F-002 plannedMonthlySpend → MK-CF-F-009 monthlyEssentials
2. MK-ST-F-052 toNum → MK-CF-F-075 retirementIncomeMonthly → MK-CF-F-072 currentRetirementIncomeMonthly → MK-CF-F-092 incomeMonthlyGrid → MK-CF-F-002 plannedMonthlySpend → MK-CF-F-009 monthlyEssentials
3. MK-ST-F-052 toNum → MK-CF-F-062 equityRowValue → MK-CF-F-065 equityVestWeights → MK-CF-F-092 incomeMonthlyGrid → MK-CF-F-002 plannedMonthlySpend → MK-CF-F-009 monthlyEssentials
4. MK-CF-F-069 benefitActiveMonths → MK-CF-F-070 benefitAnnual → MK-CF-F-071 extraIncome → MK-CF-F-092 incomeMonthlyGrid → MK-CF-F-002 plannedMonthlySpend → MK-CF-F-009 monthlyEssentials
5. MK-ST-F-052 toNum → MK-CF-F-070 benefitAnnual → MK-CF-F-071 extraIncome → MK-CF-F-092 incomeMonthlyGrid → MK-CF-F-002 plannedMonthlySpend → MK-CF-F-009 monthlyEssentials
6. MK-ST-F-055 round2 → MK-CF-F-071 extraIncome → MK-CF-F-092 incomeMonthlyGrid → MK-CF-F-002 plannedMonthlySpend → MK-CF-F-009 monthlyEssentials
7. MK-ST-F-052 toNum → MK-CF-F-071 extraIncome → MK-CF-F-092 incomeMonthlyGrid → MK-CF-F-002 plannedMonthlySpend → MK-CF-F-009 monthlyEssentials
8. MK-CF-F-102 effectiveRateOnGrossFor → MK-CF-F-090 effectiveRate → MK-CF-F-087 monthlyTaxRates → MK-CF-F-092 incomeMonthlyGrid → MK-CF-F-002 plannedMonthlySpend → MK-CF-F-009 monthlyEssentials
9. … and 38 more paths</t>
  </si>
  <si>
    <t>MK-CF-F-010</t>
  </si>
  <si>
    <t>emergencyTest</t>
  </si>
  <si>
    <t>"What if a $X emergency hit right now?" — can your cash absorb it, and how long would you last.</t>
  </si>
  <si>
    <t>ess = monthly essentials(op)
cash after = round(cash − shock, 2 dp)
recommended fund = round(ess × 3, 2 dp)</t>
  </si>
  <si>
    <t>Ess is monthly essentials(op). Cash after is cash minus shock, to the cent. Recommended fund is ess times 3, to the cent.</t>
  </si>
  <si>
    <t>1. op: OnboardingProfile | null
2. cash: number
3. shock: number</t>
  </si>
  <si>
    <t>ShockResult</t>
  </si>
  <si>
    <t>1. "If you lost your income" — on the Stress test screen
2. "Your emergency fund" — on the Stress test screen</t>
  </si>
  <si>
    <t>1. MK-CF-F-009 monthlyEssentials
2. MK-ST-F-055 round2</t>
  </si>
  <si>
    <t>1. MK-CF-F-009 monthlyEssentials
2. MK-ST-F-055 round2
3. MK-CF-F-002 plannedMonthlySpend
4. MK-CF-F-004 spendBuckets
5. MK-ST-F-052 toNum
6. MK-CF-F-092 incomeMonthlyGrid
7. MK-CF-F-003 categoryMonthly
8. MK-CF-F-069 benefitActiveMonths
9. MK-CF-F-072 currentRetirementIncomeMonthly
10. MK-CF-F-065 equityVestWeights
11. MK-CF-F-071 extraIncome
12. MK-CF-F-087 monthlyTaxRates
13. MK-CF-F-073 otherIncomeMonth
14. MK-CF-F-068 rentalNetAnnual
15. MK-CF-F-066 rsuAnnual
16. MK-CF-F-060 salaryGrossByMonth
17. MK-CF-F-077 scholarshipByCalendarMonth
18. MK-CF-F-075 retirementIncomeMonthly
19. MK-CF-F-062 equityRowValue
20. MK-CF-F-070 benefitAnnual
21. MK-CF-F-090 effectiveRate
22. MK-CF-F-085 filingStatusOf
23. MK-CF-F-089 over65CountOf
24. MK-CF-F-098 progressiveMonthlyTax
25. MK-CF-F-086 stateRateOf
26. MK-CF-F-088 taxableByCalendarMonth
27. MK-CF-F-067 rentalList
28. MK-CF-F-063 rowVestYear
29. MK-CF-F-097 grossFromNet
30. MK-CF-F-102 effectiveRateOnGrossFor
31. MK-CF-F-084 taxableAnnual
32. MK-CF-F-101 taxOwedFor
33. MK-CF-F-100 taxableIncomeFor
34. MK-CF-F-095 taxOwed
35. MK-CF-F-082 salaryAnnual
36. MK-CF-F-074 tipsAnnual
37. MK-CF-F-099 deductionFor
38. MK-CF-F-093 taxableIncome
39. MK-CF-F-081 salaryActiveMonths</t>
  </si>
  <si>
    <t>1. MK-CF-F-069 benefitActiveMonths → MK-CF-F-092 incomeMonthlyGrid → MK-CF-F-002 plannedMonthlySpend → MK-CF-F-009 monthlyEssentials → MK-CF-F-010 emergencyTest
2. MK-CF-F-075 retirementIncomeMonthly → MK-CF-F-072 currentRetirementIncomeMonthly → MK-CF-F-092 incomeMonthlyGrid → MK-CF-F-002 plannedMonthlySpend → MK-CF-F-009 monthlyEssentials → MK-CF-F-010 emergencyTest
3. MK-CF-F-062 equityRowValue → MK-CF-F-065 equityVestWeights → MK-CF-F-092 incomeMonthlyGrid → MK-CF-F-002 plannedMonthlySpend → MK-CF-F-009 monthlyEssentials → MK-CF-F-010 emergencyTest
4. MK-CF-F-070 benefitAnnual → MK-CF-F-071 extraIncome → MK-CF-F-092 incomeMonthlyGrid → MK-CF-F-002 plannedMonthlySpend → MK-CF-F-009 monthlyEssentials → MK-CF-F-010 emergencyTest
5. MK-ST-F-055 round2 → MK-CF-F-071 extraIncome → MK-CF-F-092 incomeMonthlyGrid → MK-CF-F-002 plannedMonthlySpend → MK-CF-F-009 monthlyEssentials → MK-CF-F-010 emergencyTest
6. MK-ST-F-052 toNum → MK-CF-F-071 extraIncome → MK-CF-F-092 incomeMonthlyGrid → MK-CF-F-002 plannedMonthlySpend → MK-CF-F-009 monthlyEssentials → MK-CF-F-010 emergencyTest
7. MK-CF-F-090 effectiveRate → MK-CF-F-087 monthlyTaxRates → MK-CF-F-092 incomeMonthlyGrid → MK-CF-F-002 plannedMonthlySpend → MK-CF-F-009 monthlyEssentials → MK-CF-F-010 emergencyTest
8. MK-CF-F-085 filingStatusOf → MK-CF-F-087 monthlyTaxRates → MK-CF-F-092 incomeMonthlyGrid → MK-CF-F-002 plannedMonthlySpend → MK-CF-F-009 monthlyEssentials → MK-CF-F-010 emergencyTest
9. … and 25 more paths</t>
  </si>
  <si>
    <t>MK-CF-F-011</t>
  </si>
  <si>
    <t>savingsByMonth</t>
  </si>
  <si>
    <t>Discretionary amount free to save each month = take-home that month (after tax &amp; 401k) minus the spending due that month.</t>
  </si>
  <si>
    <t>avail = income monthly grid(op, 'available')
spend = spend by month(op)
the answer:
for each of avail: label = label
amount = round(amount − spend[i], 2 dp)</t>
  </si>
  <si>
    <t>Avail is income monthly grid(op, 'available'). Spend is spend by month(op). The answer is for each of avail: label = label; amount = amount minus spend[i], to the cent.</t>
  </si>
  <si>
    <t>1. MK-CF-F-092 incomeMonthlyGrid
2. MK-ST-F-055 round2
3. MK-CF-F-008 spendByMonth</t>
  </si>
  <si>
    <t>1. MK-CF-F-092 incomeMonthlyGrid
2. MK-ST-F-055 round2
3. MK-CF-F-008 spendByMonth
4. MK-CF-F-069 benefitActiveMonths
5. MK-CF-F-072 currentRetirementIncomeMonthly
6. MK-CF-F-065 equityVestWeights
7. MK-CF-F-071 extraIncome
8. MK-CF-F-087 monthlyTaxRates
9. MK-CF-F-073 otherIncomeMonth
10. MK-CF-F-068 rentalNetAnnual
11. MK-CF-F-066 rsuAnnual
12. MK-CF-F-060 salaryGrossByMonth
13. MK-CF-F-077 scholarshipByCalendarMonth
14. MK-ST-F-052 toNum
15. MK-CF-F-004 spendBuckets
16. MK-CF-F-075 retirementIncomeMonthly
17. MK-CF-F-062 equityRowValue
18. MK-CF-F-070 benefitAnnual
19. MK-CF-F-090 effectiveRate
20. MK-CF-F-085 filingStatusOf
21. MK-CF-F-089 over65CountOf
22. MK-CF-F-098 progressiveMonthlyTax
23. MK-CF-F-086 stateRateOf
24. MK-CF-F-088 taxableByCalendarMonth
25. MK-CF-F-067 rentalList
26. MK-CF-F-063 rowVestYear
27. MK-CF-F-097 grossFromNet
28. MK-CF-F-003 categoryMonthly
29. MK-CF-F-102 effectiveRateOnGrossFor
30. MK-CF-F-084 taxableAnnual
31. MK-CF-F-101 taxOwedFor
32. MK-CF-F-100 taxableIncomeFor
33. MK-CF-F-095 taxOwed
34. MK-CF-F-082 salaryAnnual
35. MK-CF-F-074 tipsAnnual
36. MK-CF-F-099 deductionFor
37. MK-CF-F-093 taxableIncome
38. MK-CF-F-081 salaryActiveMonths</t>
  </si>
  <si>
    <t>1. MK-CF-F-069 benefitActiveMonths → MK-CF-F-092 incomeMonthlyGrid → MK-CF-F-011 savingsByMonth
2. MK-ST-F-052 toNum → MK-CF-F-075 retirementIncomeMonthly → MK-CF-F-072 currentRetirementIncomeMonthly → MK-CF-F-092 incomeMonthlyGrid → MK-CF-F-011 savingsByMonth
3. MK-ST-F-052 toNum → MK-CF-F-062 equityRowValue → MK-CF-F-065 equityVestWeights → MK-CF-F-092 incomeMonthlyGrid → MK-CF-F-011 savingsByMonth
4. MK-CF-F-069 benefitActiveMonths → MK-CF-F-070 benefitAnnual → MK-CF-F-071 extraIncome → MK-CF-F-092 incomeMonthlyGrid → MK-CF-F-011 savingsByMonth
5. MK-ST-F-052 toNum → MK-CF-F-070 benefitAnnual → MK-CF-F-071 extraIncome → MK-CF-F-092 incomeMonthlyGrid → MK-CF-F-011 savingsByMonth
6. MK-ST-F-055 round2 → MK-CF-F-071 extraIncome → MK-CF-F-092 incomeMonthlyGrid → MK-CF-F-011 savingsByMonth
7. MK-ST-F-052 toNum → MK-CF-F-071 extraIncome → MK-CF-F-092 incomeMonthlyGrid → MK-CF-F-011 savingsByMonth
8. MK-CF-F-101 taxOwedFor → MK-CF-F-102 effectiveRateOnGrossFor → MK-CF-F-090 effectiveRate → MK-CF-F-087 monthlyTaxRates → MK-CF-F-092 incomeMonthlyGrid → MK-CF-F-011 savingsByMonth
9. … and 46 more paths</t>
  </si>
  <si>
    <t>MK-CF-F-012</t>
  </si>
  <si>
    <t>annualCashflow</t>
  </si>
  <si>
    <t>ONE annual cash-flow roll-up, derived entirely from the per-month income grid + spendByMonth — the SAME bases the savings-plan and budget already use.</t>
  </si>
  <si>
    <t>sum = Σ over (rows: { amount: number }[]) =&gt; rows of (amount)
gross yr = round(sum(income monthly grid(op, 'gross')), 2 dp)
net yr = round(sum(income monthly grid(op, 'net')), 2 dp)
available yr = round(sum(income monthly grid(op, 'available')), 2 dp)
spend yr = round(Σ over spend by month(op) of (each), 2 dp)</t>
  </si>
  <si>
    <t>Sum: the amount added up across (rows: { amount: number }[]) =&gt; rows. Gross yr is sum(income monthly grid(op, 'gross')), to the cent. Net yr is sum(income monthly grid(op, 'net')), to the cent. Available yr is sum(income monthly grid(op, 'available')), to the cent. Spend yr: the each added up across spend by month(op), to the cent.</t>
  </si>
  <si>
    <t>1. MK-CF-F-069 benefitActiveMonths → MK-CF-F-092 incomeMonthlyGrid → MK-CF-F-012 annualCashflow
2. MK-ST-F-052 toNum → MK-CF-F-075 retirementIncomeMonthly → MK-CF-F-072 currentRetirementIncomeMonthly → MK-CF-F-092 incomeMonthlyGrid → MK-CF-F-012 annualCashflow
3. MK-ST-F-052 toNum → MK-CF-F-062 equityRowValue → MK-CF-F-065 equityVestWeights → MK-CF-F-092 incomeMonthlyGrid → MK-CF-F-012 annualCashflow
4. MK-CF-F-069 benefitActiveMonths → MK-CF-F-070 benefitAnnual → MK-CF-F-071 extraIncome → MK-CF-F-092 incomeMonthlyGrid → MK-CF-F-012 annualCashflow
5. MK-ST-F-052 toNum → MK-CF-F-070 benefitAnnual → MK-CF-F-071 extraIncome → MK-CF-F-092 incomeMonthlyGrid → MK-CF-F-012 annualCashflow
6. MK-ST-F-055 round2 → MK-CF-F-071 extraIncome → MK-CF-F-092 incomeMonthlyGrid → MK-CF-F-012 annualCashflow
7. MK-ST-F-052 toNum → MK-CF-F-071 extraIncome → MK-CF-F-092 incomeMonthlyGrid → MK-CF-F-012 annualCashflow
8. MK-CF-F-101 taxOwedFor → MK-CF-F-102 effectiveRateOnGrossFor → MK-CF-F-090 effectiveRate → MK-CF-F-087 monthlyTaxRates → MK-CF-F-092 incomeMonthlyGrid → MK-CF-F-012 annualCashflow
9. … and 46 more paths</t>
  </si>
  <si>
    <t>MK-CF-F-013</t>
  </si>
  <si>
    <t>budgetFromOnboarding</t>
  </si>
  <si>
    <t>NOT DETERMINED — the code carries no note saying what this is for, and it has no row in the old inventory. Needs reading.</t>
  </si>
  <si>
    <t>a = op (or none when missing)
b = spend buckets(op)</t>
  </si>
  <si>
    <t>A is op (or none — when missing). B is spend buckets(op).</t>
  </si>
  <si>
    <t>1. uid: UserId
2. op: OnboardingProfile | null</t>
  </si>
  <si>
    <t>BudgetDoc</t>
  </si>
  <si>
    <t>1. MK-CF-F-002 plannedMonthlySpend
2. MK-CF-F-004 spendBuckets</t>
  </si>
  <si>
    <t>1. MK-CF-F-002 plannedMonthlySpend
2. MK-CF-F-004 spendBuckets
3. MK-CF-F-092 incomeMonthlyGrid
4. MK-ST-F-052 toNum
5. MK-CF-F-003 categoryMonthly
6. MK-ST-F-055 round2
7. MK-CF-F-069 benefitActiveMonths
8. MK-CF-F-072 currentRetirementIncomeMonthly
9. MK-CF-F-065 equityVestWeights
10. MK-CF-F-071 extraIncome
11. MK-CF-F-087 monthlyTaxRates
12. MK-CF-F-073 otherIncomeMonth
13. MK-CF-F-068 rentalNetAnnual
14. MK-CF-F-066 rsuAnnual
15. MK-CF-F-060 salaryGrossByMonth
16. MK-CF-F-077 scholarshipByCalendarMonth
17. MK-CF-F-075 retirementIncomeMonthly
18. MK-CF-F-062 equityRowValue
19. MK-CF-F-070 benefitAnnual
20. MK-CF-F-090 effectiveRate
21. MK-CF-F-085 filingStatusOf
22. MK-CF-F-089 over65CountOf
23. MK-CF-F-098 progressiveMonthlyTax
24. MK-CF-F-086 stateRateOf
25. MK-CF-F-088 taxableByCalendarMonth
26. MK-CF-F-067 rentalList
27. MK-CF-F-063 rowVestYear
28. MK-CF-F-097 grossFromNet
29. MK-CF-F-102 effectiveRateOnGrossFor
30. MK-CF-F-084 taxableAnnual
31. MK-CF-F-101 taxOwedFor
32. MK-CF-F-100 taxableIncomeFor
33. MK-CF-F-095 taxOwed
34. MK-CF-F-082 salaryAnnual
35. MK-CF-F-074 tipsAnnual
36. MK-CF-F-099 deductionFor
37. MK-CF-F-093 taxableIncome
38. MK-CF-F-081 salaryActiveMonths</t>
  </si>
  <si>
    <t>1. MK-CF-F-069 benefitActiveMonths → MK-CF-F-092 incomeMonthlyGrid → MK-CF-F-002 plannedMonthlySpend → MK-CF-F-013 budgetFromOnboarding
2. MK-ST-F-052 toNum → MK-CF-F-075 retirementIncomeMonthly → MK-CF-F-072 currentRetirementIncomeMonthly → MK-CF-F-092 incomeMonthlyGrid → MK-CF-F-002 plannedMonthlySpend → MK-CF-F-013 budgetFromOnboarding
3. MK-ST-F-052 toNum → MK-CF-F-062 equityRowValue → MK-CF-F-065 equityVestWeights → MK-CF-F-092 incomeMonthlyGrid → MK-CF-F-002 plannedMonthlySpend → MK-CF-F-013 budgetFromOnboarding
4. MK-CF-F-069 benefitActiveMonths → MK-CF-F-070 benefitAnnual → MK-CF-F-071 extraIncome → MK-CF-F-092 incomeMonthlyGrid → MK-CF-F-002 plannedMonthlySpend → MK-CF-F-013 budgetFromOnboarding
5. MK-ST-F-052 toNum → MK-CF-F-070 benefitAnnual → MK-CF-F-071 extraIncome → MK-CF-F-092 incomeMonthlyGrid → MK-CF-F-002 plannedMonthlySpend → MK-CF-F-013 budgetFromOnboarding
6. MK-ST-F-055 round2 → MK-CF-F-071 extraIncome → MK-CF-F-092 incomeMonthlyGrid → MK-CF-F-002 plannedMonthlySpend → MK-CF-F-013 budgetFromOnboarding
7. MK-ST-F-052 toNum → MK-CF-F-071 extraIncome → MK-CF-F-092 incomeMonthlyGrid → MK-CF-F-002 plannedMonthlySpend → MK-CF-F-013 budgetFromOnboarding
8. MK-CF-F-102 effectiveRateOnGrossFor → MK-CF-F-090 effectiveRate → MK-CF-F-087 monthlyTaxRates → MK-CF-F-092 incomeMonthlyGrid → MK-CF-F-002 plannedMonthlySpend → MK-CF-F-013 budgetFromOnboarding
9. … and 36 more paths</t>
  </si>
  <si>
    <t>Month-to-date actual spending vs the planned budget, bucketed.</t>
  </si>
  <si>
    <t>ym = `${now.get full year()}-${string(now.get month() + 1).pad start(2, '0')}`
planned = spend buckets(op)
spent = fixed = 0
nonmonthly = 0
flexible = 0
spent total = round(spent.fixed + spent.nonmonthly + spent.flexible, 2 dp)
the answer:
month = ym
planned total = planned.monthly total
spent total = spent total
remaining = round(planned.monthly total − spent total, 2 dp)
buckets = buckets</t>
  </si>
  <si>
    <t>Ym is `${now.get full year()}-${string(now.get month() plus 1).pad start(2, '0')}`. Planned is spend buckets(op). Spent is fixed = 0; nonmonthly = 0; flexible = 0. Spent total is spent.fixed plus spent.nonmonthly plus spent.flexible, to the cent. The answer is month = ym; planned total = planned.monthly total; spent total = spent total; remaining = planned.monthly total minus spent total, to the cent; buckets = buckets.</t>
  </si>
  <si>
    <t>1. expenses: any[]
2. op: OnboardingProfile | null
3. now: Date = new Date()</t>
  </si>
  <si>
    <t>BudgetVsActual</t>
  </si>
  <si>
    <t>1. "No regular bills recorded." — on the Month detail screen, under "REGULAR BILLS"
2. "Spent so far" — on the Home screen, under "THIS MONTH"</t>
  </si>
  <si>
    <t>1. Uses today's date from the device clock, so the answer changes by itself overnight.
2. Leaves some rows out of the answer — check which.</t>
  </si>
  <si>
    <t>1. MK-ST-F-055 round2
2. MK-CF-F-004 spendBuckets
3. MK-ST-F-052 toNum</t>
  </si>
  <si>
    <t>1. MK-ST-F-055 round2
2. MK-CF-F-004 spendBuckets
3. MK-ST-F-052 toNum
4. MK-CF-F-003 categoryMonthly</t>
  </si>
  <si>
    <t>MK-CF-F-015</t>
  </si>
  <si>
    <t>loadBudget</t>
  </si>
  <si>
    <t>3 · DEPENDENT (feeds an action only)</t>
  </si>
  <si>
    <t>It reaches outside the app for data and hands back what came back — no arithmetic of its own.</t>
  </si>
  <si>
    <t>NO ARITHMETIC — there is no formula to state</t>
  </si>
  <si>
    <t>uid: UserId</t>
  </si>
  <si>
    <t>MK-CF-F-016</t>
  </si>
  <si>
    <t>saveBudget</t>
  </si>
  <si>
    <t>1 · ACTION</t>
  </si>
  <si>
    <t>It records or announces something and returns no figure — no arithmetic of its own.</t>
  </si>
  <si>
    <t>d: BudgetDoc</t>
  </si>
  <si>
    <t>MK-ST-F-042 setUserDoc</t>
  </si>
  <si>
    <t>MK-ST-F-042 setUserDoc → MK-CF-F-016 saveBudget</t>
  </si>
  <si>
    <t>MK-CF-F-017</t>
  </si>
  <si>
    <t>publishSurplus</t>
  </si>
  <si>
    <t>Publish the authoritative surplus for Goals/Retirement to consume.</t>
  </si>
  <si>
    <t>1. uid: UserId
2. projectedToSave: number</t>
  </si>
  <si>
    <t>MK-ST-F-040 emit</t>
  </si>
  <si>
    <t>MK-ST-F-040 emit → MK-CF-F-017 publishSurplus</t>
  </si>
  <si>
    <t>MK-CF-F-018</t>
  </si>
  <si>
    <t>equityByMonth</t>
  </si>
  <si>
    <t>src/domain/cashflow/index.ts</t>
  </si>
  <si>
    <t>Level annual equity spread across the months it vests (0 for most students).</t>
  </si>
  <si>
    <t>rows = op.rsu grants   if array.is array(op.rsu grants)
[]   otherwise
type = op.equity type (or 'rsu' when missing)
weights = zero12(); let total = 0
v = equity row value(r, type, op.opt strike, op.opt market)
m = string(date ?? '').match( ÷ \d{4}-(\d{1,2}) ÷ )
idx = min(11, max(0, +m[1] − 1))   if m
11   otherwise
annual = rsu annual(op), out = zero12()
the answer = out
d0 = day   if day &gt; 0
1   otherwise
the date year, month1to12 − 1, d0   when year and year &gt; 0
d = the date now.get full year(), month1to12 − 1, d0
… the first steps only — the rest of the body needs reading by hand.</t>
  </si>
  <si>
    <t>Rows is op.rsu grants — when array.is array(op.rsu grants); [] — otherwise. Type is op.equity type (or 'rsu' — when missing). Weights is zero12(); let total = 0. V is equity row value(r, type, op.opt strike, op.opt market). M is string(date ?? '').match( divided by \d{4}-(\d{1,2}) divided by ). Idx: the smaller of 11 and +m[1] minus 1, never below zero — when m; 11 — otherwise. Annual is rsu annual(op), out = zero12(). The answer is out. D0 is day — when day &gt; 0; 1 — otherwise. When year and year &gt; 0, it answers the date year, month1to12 minus 1, d0. D: the date now.get full year(), month1to12 minus 1, d0. Only the first steps are shown; the rest of the body needs reading by hand.</t>
  </si>
  <si>
    <t>op: Record&lt;string, any&gt;</t>
  </si>
  <si>
    <t>1. Uses a built-in total of 0.
2. Uses a built-in i of 0.
3. Uses a built-in d a y m s of 86400000.
4. Rounds the answer to a whole number.</t>
  </si>
  <si>
    <t>1. MK-CF-F-062 equityRowValue
2. MK-CF-F-066 rsuAnnual</t>
  </si>
  <si>
    <t>1. MK-CF-F-062 equityRowValue
2. MK-CF-F-066 rsuAnnual
3. MK-ST-F-052 toNum
4. MK-CF-F-063 rowVestYear</t>
  </si>
  <si>
    <t>1. MK-ST-F-052 toNum → MK-CF-F-062 equityRowValue → MK-CF-F-018 equityByMonth
2. MK-ST-F-052 toNum → MK-CF-F-062 equityRowValue → MK-CF-F-066 rsuAnnual → MK-CF-F-018 equityByMonth
3. MK-CF-F-063 rowVestYear → MK-CF-F-066 rsuAnnual → MK-CF-F-018 equityByMonth
4. MK-ST-F-052 toNum → MK-CF-F-066 rsuAnnual → MK-CF-F-018 equityByMonth</t>
  </si>
  <si>
    <t>MK-CF-F-019</t>
  </si>
  <si>
    <t>upcomingBills</t>
  </si>
  <si>
    <t>a = op (or none when missing)
buffer = opts.buffer days (or 2, lead = opts.ask lead days (or 10, horizon = opts.horizon days (or 365 when missing) when missing) when missing)
rate = effective rate(op)
b = spend buckets(op)
uncategorized = max(0, to num(monthly spending) − monthly total)
steady out monthly = fixed + flexible + uncategorized
steady daily net = (steady in monthly − steady out monthly) × 12 ÷ 365
inflows = []
amt = to num(sc.amount); if (amt ≤ 0) continue
ms = sc.months   if count of array.is array(sc.months) and sc.months
[1]   otherwise
amt = to num(ln.amount); if (amt ≤ 0) continue
… the first steps only — the rest of the body needs reading by hand.</t>
  </si>
  <si>
    <t>A is op (or none — when missing). Buffer is opts.buffer days (or 2, lead = opts.ask lead days (or 10, horizon = opts.horizon days (or 365 — when missing) — when missing) — when missing). Rate is effective rate(op). B is spend buckets(op). Uncategorized is to num(monthly spending, never below zero minus monthly total). Steady out monthly is fixed plus flexible plus uncategorized. Steady daily net is (steady in monthly minus steady out monthly) times 12 divided by 365. Inflows is []. Amt is to num(sc.amount); — when (amt is at most 0) continue. Ms is sc.months — when how many array.is array(sc.months) and sc.months there are; [1] — otherwise. Amt is to num(ln.amount); — when (amt is at most 0) continue. Only the first steps are shown; the rest of the body needs reading by hand.</t>
  </si>
  <si>
    <t>1. "Bill calendar" — on the Bill calendar screen
2. "If you can't pay everything, pay these first" — on the Bill calendar screen</t>
  </si>
  <si>
    <t>1. If buffer days is missing it uses 2.
2. If ask lead days is missing it uses 10.
3. If horizon days is missing it uses 365.
4. Treats a year as twelve equal months.
5. Turns a monthly figure into a year by multiplying by twelve.
6. Treats a year as 365 days.
7. Uses today's date from the device clock, so the answer changes by itself overnight.
8. Leaves some rows out of the answer — check which.</t>
  </si>
  <si>
    <t>1. MK-CF-F-070 benefitAnnual
2. MK-CF-F-072 currentRetirementIncomeMonthly
3. MK-CF-F-090 effectiveRate
4. MK-CF-F-061 grossSalaryMonthly
5. MK-CF-F-068 rentalNetAnnual
6. MK-ST-F-055 round2
7. MK-CF-F-004 spendBuckets
8. MK-CF-F-084 taxableAnnual
9. MK-ST-F-052 toNum
10. MK-CF-F-083 totalGrossAnnual</t>
  </si>
  <si>
    <t>1. MK-CF-F-070 benefitAnnual
2. MK-CF-F-072 currentRetirementIncomeMonthly
3. MK-CF-F-090 effectiveRate
4. MK-CF-F-061 grossSalaryMonthly
5. MK-CF-F-068 rentalNetAnnual
6. MK-ST-F-055 round2
7. MK-CF-F-004 spendBuckets
8. MK-CF-F-084 taxableAnnual
9. MK-ST-F-052 toNum
10. MK-CF-F-083 totalGrossAnnual
11. MK-CF-F-069 benefitActiveMonths
12. MK-CF-F-075 retirementIncomeMonthly
13. MK-CF-F-102 effectiveRateOnGrossFor
14. MK-CF-F-085 filingStatusOf
15. MK-CF-F-089 over65CountOf
16. MK-CF-F-086 stateRateOf
17. MK-CF-F-060 salaryGrossByMonth
18. MK-CF-F-067 rentalList
19. MK-CF-F-003 categoryMonthly
20. MK-CF-F-071 extraIncome
21. MK-CF-F-066 rsuAnnual
22. MK-CF-F-082 salaryAnnual
23. MK-CF-F-074 tipsAnnual
24. MK-CF-F-101 taxOwedFor
25. MK-CF-F-097 grossFromNet
26. MK-CF-F-062 equityRowValue
27. MK-CF-F-063 rowVestYear
28. MK-CF-F-081 salaryActiveMonths
29. MK-CF-F-100 taxableIncomeFor
30. MK-CF-F-095 taxOwed
31. MK-CF-F-099 deductionFor
32. MK-CF-F-093 taxableIncome</t>
  </si>
  <si>
    <t>1. MK-CF-F-069 benefitActiveMonths → MK-CF-F-070 benefitAnnual → MK-CF-F-019 upcomingBills
2. MK-ST-F-052 toNum → MK-CF-F-070 benefitAnnual → MK-CF-F-019 upcomingBills
3. MK-ST-F-052 toNum → MK-CF-F-075 retirementIncomeMonthly → MK-CF-F-072 currentRetirementIncomeMonthly → MK-CF-F-019 upcomingBills
4. MK-CF-F-099 deductionFor → MK-CF-F-100 taxableIncomeFor → MK-CF-F-101 taxOwedFor → MK-CF-F-102 effectiveRateOnGrossFor → MK-CF-F-090 effectiveRate → MK-CF-F-019 upcomingBills
5. MK-CF-F-085 filingStatusOf → MK-CF-F-090 effectiveRate → MK-CF-F-019 upcomingBills
6. MK-ST-F-052 toNum → MK-CF-F-089 over65CountOf → MK-CF-F-090 effectiveRate → MK-CF-F-019 upcomingBills
7. MK-ST-F-052 toNum → MK-CF-F-086 stateRateOf → MK-CF-F-090 effectiveRate → MK-CF-F-019 upcomingBills
8. MK-ST-F-052 toNum → MK-CF-F-075 retirementIncomeMonthly → MK-CF-F-072 currentRetirementIncomeMonthly → MK-CF-F-084 taxableAnnual → MK-CF-F-090 effectiveRate → MK-CF-F-019 upcomingBills
9. … and 58 more paths</t>
  </si>
  <si>
    <t>MK-CF-F-020</t>
  </si>
  <si>
    <t>cashflowYear</t>
  </si>
  <si>
    <t>Build the 12-month cash-flow picture.</t>
  </si>
  <si>
    <t>a = op (or none when missing)
rate = effective rate(op)
start month = now.get month()
start year = now.get full year()
cal month = (s: number) =&gt; (start month + s) % 12
slot of = (m1to12: number) =&gt; ((m1to12 − 1) − start month + 12) % 12
now idx = start year × 12 + start month
slot of(m1to12)   when year is missing
idx = year × 12 + (m1to12 − 1) − now idx
the answer:
idx   if idx ≥ 0 and idx &lt; 12
-1   otherwise
beyond window = 0
… the first steps only — the rest of the body needs reading by hand.</t>
  </si>
  <si>
    <t>A is op (or none — when missing). Rate is effective rate(op). Start month is now.get month(). Start year is now.get full year(). Cal month is (s: number) =&gt; (start month plus s) % 12. Slot of is (m1to12: number) =&gt; ((m1to12 minus 1) minus start month plus 12) % 12. Now idx is start year times 12 plus start month. When year is missing, it answers slot of(m1to12). Idx is year times 12 plus (m1to12 minus 1) minus now idx. The answer is idx — when idx is at least 0 and idx &lt; 12; -1 — otherwise. Beyond window is 0. Only the first steps are shown; the rest of the body needs reading by hand.</t>
  </si>
  <si>
    <t>1. op: OnboardingProfile | null
2. startBalance = 0
3. now: Date = new Date()</t>
  </si>
  <si>
    <t>CashflowYear</t>
  </si>
  <si>
    <t>1. Uses a built-in beyond window of 0.
2. Uses a built-in s of 0.
3. Treats a year as twelve equal months.
4. Turns a monthly figure into a year by multiplying by twelve.
5. Uses today's date from the device clock, so the answer changes by itself overnight.
6. Leaves some rows out of the answer — check which.</t>
  </si>
  <si>
    <t>1. MK-CF-F-069 benefitActiveMonths
2. MK-CF-F-072 currentRetirementIncomeMonthly
3. MK-CF-F-090 effectiveRate
4. MK-CF-F-018 equityByMonth
5. MK-CF-F-073 otherIncomeMonth
6. MK-CF-F-068 rentalNetAnnual
7. MK-ST-F-055 round2
8. MK-CF-F-060 salaryGrossByMonth
9. MK-CF-F-008 spendByMonth
10. MK-ST-F-052 toNum</t>
  </si>
  <si>
    <t>1. MK-CF-F-069 benefitActiveMonths
2. MK-CF-F-072 currentRetirementIncomeMonthly
3. MK-CF-F-090 effectiveRate
4. MK-CF-F-018 equityByMonth
5. MK-CF-F-073 otherIncomeMonth
6. MK-CF-F-068 rentalNetAnnual
7. MK-ST-F-055 round2
8. MK-CF-F-060 salaryGrossByMonth
9. MK-CF-F-008 spendByMonth
10. MK-ST-F-052 toNum
11. MK-CF-F-075 retirementIncomeMonthly
12. MK-CF-F-102 effectiveRateOnGrossFor
13. MK-CF-F-085 filingStatusOf
14. MK-CF-F-089 over65CountOf
15. MK-CF-F-086 stateRateOf
16. MK-CF-F-084 taxableAnnual
17. MK-CF-F-062 equityRowValue
18. MK-CF-F-066 rsuAnnual
19. MK-CF-F-067 rentalList
20. MK-CF-F-097 grossFromNet
21. MK-CF-F-004 spendBuckets
22. MK-CF-F-101 taxOwedFor
23. MK-CF-F-071 extraIncome
24. MK-CF-F-082 salaryAnnual
25. MK-CF-F-074 tipsAnnual
26. MK-CF-F-063 rowVestYear
27. MK-CF-F-095 taxOwed
28. MK-CF-F-003 categoryMonthly
29. MK-CF-F-100 taxableIncomeFor
30. MK-CF-F-070 benefitAnnual
31. MK-CF-F-081 salaryActiveMonths
32. MK-CF-F-093 taxableIncome
33. MK-CF-F-099 deductionFor</t>
  </si>
  <si>
    <t>1. MK-CF-F-069 benefitActiveMonths → MK-CF-F-020 cashflowYear
2. MK-ST-F-052 toNum → MK-CF-F-075 retirementIncomeMonthly → MK-CF-F-072 currentRetirementIncomeMonthly → MK-CF-F-020 cashflowYear
3. MK-CF-F-099 deductionFor → MK-CF-F-100 taxableIncomeFor → MK-CF-F-101 taxOwedFor → MK-CF-F-102 effectiveRateOnGrossFor → MK-CF-F-090 effectiveRate → MK-CF-F-020 cashflowYear
4. MK-CF-F-085 filingStatusOf → MK-CF-F-090 effectiveRate → MK-CF-F-020 cashflowYear
5. MK-ST-F-052 toNum → MK-CF-F-089 over65CountOf → MK-CF-F-090 effectiveRate → MK-CF-F-020 cashflowYear
6. MK-ST-F-052 toNum → MK-CF-F-086 stateRateOf → MK-CF-F-090 effectiveRate → MK-CF-F-020 cashflowYear
7. MK-ST-F-052 toNum → MK-CF-F-075 retirementIncomeMonthly → MK-CF-F-072 currentRetirementIncomeMonthly → MK-CF-F-084 taxableAnnual → MK-CF-F-090 effectiveRate → MK-CF-F-020 cashflowYear
8. MK-CF-F-069 benefitActiveMonths → MK-CF-F-070 benefitAnnual → MK-CF-F-071 extraIncome → MK-CF-F-084 taxableAnnual → MK-CF-F-090 effectiveRate → MK-CF-F-020 cashflowYear
9. … and 29 more paths</t>
  </si>
  <si>
    <t>MK-CF-F-021</t>
  </si>
  <si>
    <t>defaultPaymentType</t>
  </si>
  <si>
    <t>src/domain/debt/index.ts</t>
  </si>
  <si>
    <t>B47 finding 11 — a debt's repayment SHAPE.</t>
  </si>
  <si>
    <t>'revolving'   if t = 'CREDIT_CARD' (or t = 'HELOC' when missing or zero)
'installment'   otherwise</t>
  </si>
  <si>
    <t>'revolving' — when t = 'CREDIT_CARD' (or t = 'HELOC' when missing or zero); 'installment' — otherwise.</t>
  </si>
  <si>
    <t>t: DebtType</t>
  </si>
  <si>
    <t>NonNullable&lt;Debt['payment_type']&gt;</t>
  </si>
  <si>
    <t>DEBT_SHAPE_DEFAULT</t>
  </si>
  <si>
    <t>MK-CF-F-022</t>
  </si>
  <si>
    <t>paymentShape</t>
  </si>
  <si>
    <t>payment type (or default payment type(debt type) when missing)</t>
  </si>
  <si>
    <t>payment type (or default payment type(debt type) — when missing).</t>
  </si>
  <si>
    <t>d: Debt</t>
  </si>
  <si>
    <t>MK-CF-F-021 defaultPaymentType</t>
  </si>
  <si>
    <t>MK-CF-F-021 defaultPaymentType → MK-CF-F-022 paymentShape</t>
  </si>
  <si>
    <t>The payment reserved/required each month for a debt (planned payment, else the minimum).</t>
  </si>
  <si>
    <t>0   when payment shape(d) = 'due_in_full'
max(minimum monthly payment, monthly payment (or 0 when missing)) (or minimum monthly payment when missing or zero)</t>
  </si>
  <si>
    <t>When payment shape(d) = 'due_in_full', it answers 0. the larger of minimum monthly payment and monthly payment (or 0 — when missing) (or minimum monthly payment — when missing or zero).</t>
  </si>
  <si>
    <t>· If monthly payment is missing it uses 0.</t>
  </si>
  <si>
    <t>MK-CF-F-022 paymentShape</t>
  </si>
  <si>
    <t>1. MK-CF-F-022 paymentShape
2. MK-CF-F-021 defaultPaymentType</t>
  </si>
  <si>
    <t>MK-CF-F-024</t>
  </si>
  <si>
    <t>totalDebtMonthly</t>
  </si>
  <si>
    <t>Total monthly debt obligation across all debts (override-aware).</t>
  </si>
  <si>
    <t>Σ over debts of (required payment(each))</t>
  </si>
  <si>
    <t>the required payment(each) added up across debts.</t>
  </si>
  <si>
    <t>debts: Debt[]</t>
  </si>
  <si>
    <t>1. "DEBT-TO-INCOME" — on the Goals screen, under "DEBT-TO-INCOME"
2. "Income (take-home)" — on the budget screen</t>
  </si>
  <si>
    <t>MK-CF-F-023 requiredPayment</t>
  </si>
  <si>
    <t>1. MK-CF-F-023 requiredPayment
2. MK-CF-F-022 paymentShape
3. MK-CF-F-021 defaultPaymentType</t>
  </si>
  <si>
    <t>MK-CF-F-021 defaultPaymentType → MK-CF-F-022 paymentShape → MK-CF-F-023 requiredPayment → MK-CF-F-024 totalDebtMonthly</t>
  </si>
  <si>
    <t>DEBT_ACTUAL_TOTAL</t>
  </si>
  <si>
    <t>MK-CF-F-025</t>
  </si>
  <si>
    <t>minimumDebtService</t>
  </si>
  <si>
    <t>Term #9 — TWO clearly-named monthly-debt numbers (they're different concepts, not a bug to pick one): Σ MINIMUM required payments — the contractual obligation.</t>
  </si>
  <si>
    <t>round(Σ over debts (or none when missing) of (0   if payment shape(each) = 'due_in_full'
minimum monthly payment (or 0 when missing or zero)   otherwise), 2 dp)</t>
  </si>
  <si>
    <t>the 0 — when payment shape(each added up across debts (or none when missing, to a whole number = 'due_in_full'; minimum monthly payment (or 0 — when missing or zero) — otherwise), 2 dp).</t>
  </si>
  <si>
    <t>"Total debt" — on the budget screen</t>
  </si>
  <si>
    <t>· If minimum monthly payment is missing it counts as zero, so nothing recorded and a real zero look the same.</t>
  </si>
  <si>
    <t>1. MK-CF-F-022 paymentShape
2. MK-ST-F-055 round2</t>
  </si>
  <si>
    <t>1. MK-CF-F-022 paymentShape
2. MK-ST-F-055 round2
3. MK-CF-F-021 defaultPaymentType</t>
  </si>
  <si>
    <t>1. MK-CF-F-021 defaultPaymentType → MK-CF-F-022 paymentShape → MK-CF-F-025 minimumDebtService
2. MK-ST-F-055 round2 → MK-CF-F-025 minimumDebtService</t>
  </si>
  <si>
    <t>MK-CF-F-026</t>
  </si>
  <si>
    <t>actualDebtPayment</t>
  </si>
  <si>
    <t>Σ ACTUAL payments (override ≥ minimum) — what actually leaves your account.</t>
  </si>
  <si>
    <t>round(total debt monthly(debts ?? []), 2 dp)</t>
  </si>
  <si>
    <t>total debt monthly(debts ?? []), to the cent.</t>
  </si>
  <si>
    <t>"In (take-home)" — on the Cash flow screen, under "THIS MONTH"</t>
  </si>
  <si>
    <t>1. MK-ST-F-055 round2
2. MK-CF-F-024 totalDebtMonthly</t>
  </si>
  <si>
    <t>1. MK-ST-F-055 round2
2. MK-CF-F-024 totalDebtMonthly
3. MK-CF-F-023 requiredPayment
4. MK-CF-F-022 paymentShape
5. MK-CF-F-021 defaultPaymentType</t>
  </si>
  <si>
    <t>1. MK-ST-F-055 round2 → MK-CF-F-026 actualDebtPayment
2. MK-CF-F-021 defaultPaymentType → MK-CF-F-022 paymentShape → MK-CF-F-023 requiredPayment → MK-CF-F-024 totalDebtMonthly → MK-CF-F-026 actualDebtPayment</t>
  </si>
  <si>
    <t>MK-CF-F-027</t>
  </si>
  <si>
    <t>totalDebtBalance</t>
  </si>
  <si>
    <t>Σ outstanding debt BALANCE — what you still owe (not a monthly payment).</t>
  </si>
  <si>
    <t>round(Σ over debts (or none when missing) of (remaining balance (or 0 when missing or zero)), 2 dp)</t>
  </si>
  <si>
    <t>the remaining balance (or 0 — when missing or zero added up across debts (or none — when missing)), to the cent.</t>
  </si>
  <si>
    <t>· If remaining balance is missing it counts as zero, so nothing recorded and a real zero look the same.</t>
  </si>
  <si>
    <t>MK-ST-F-055 round2 → MK-CF-F-027 totalDebtBalance</t>
  </si>
  <si>
    <t>MK-CF-F-028</t>
  </si>
  <si>
    <t>loanPayment</t>
  </si>
  <si>
    <t>UNIT LANDMINE (P0): `aprPct` is a PERCENT (7 = 7%), unlike Debt.interest_rate_apr which is a DECIMAL (0.07).</t>
  </si>
  <si>
    <t>dev = __DEV__   if __DEV__ is not a undefined
process.env.NODE_ENV ! = 'production'   otherwise
n = round(term years × 12), r = apr pct ÷ 100 ÷ 12
monthly = 0
total interest = 0
total paid = 0   when principal ≤ 0 (or n ≤ 0 when missing or zero)
monthly = (principal × r) ÷ (1 − math.pow(1 + r, -n))   if r &gt; 0
principal ÷ n   otherwise
total paid = monthly × n
the answer:
monthly = round(monthly, 2 dp)
total interest = round(total paid − principal, 2 dp)
total paid = round(total paid, 2 dp)</t>
  </si>
  <si>
    <t>Dev is __DEV__ — when __DEV__ is a is missing undefined; process.env.NODE_ENV ! = 'production' — otherwise. N is term years times 12, to a whole number, r = apr pct divided by 100 divided by 12. When principal is at most 0 (or n is at most 0 — when missing or zero), it answers monthly = 0; total interest = 0; total paid = 0. Monthly is (principal times r) divided by (1 minus math.pow(1 plus r, -n)) — when r &gt; 0; principal divided by n — otherwise. Total paid is monthly times n. The answer is monthly = monthly, to the cent; total interest = total paid minus principal, to the cent; total paid = total paid, to the cent.</t>
  </si>
  <si>
    <t>1. principal: number
2. aprPct: number
3. termYears: number</t>
  </si>
  <si>
    <t>LoanPlan</t>
  </si>
  <si>
    <t>"Pay off over (years)" — on the setup questions, which appear on more than one screen</t>
  </si>
  <si>
    <t>1. Treats a year as twelve equal months.
2. Turns a monthly figure into a year by multiplying by twelve.
3. Rounds the answer to a whole number.</t>
  </si>
  <si>
    <t>MK-ST-F-055 round2 → MK-CF-F-028 loanPayment</t>
  </si>
  <si>
    <t>MK-CF-F-029</t>
  </si>
  <si>
    <t>monthsToClear</t>
  </si>
  <si>
    <t>── B47 finding 11: the installment two-way math — enter the payment OR the end date, the app computes the other.</t>
  </si>
  <si>
    <t>0   when principal ≤ 0
nothing   when payment ≤ 0
r = apr decimal ÷ 12
round up(principal ÷ payment)   when r ≤ 0
nothing   when payment ≤ principal × r
the answer = round up(math.log(payment ÷ (payment − principal × r)) ÷ math.log(1 + r))</t>
  </si>
  <si>
    <t>When principal is at most 0, it answers 0. When payment is at most 0, it answers no answer. R is apr decimal divided by 12. When r is at most 0, it answers principal divided by payment, rounded up. When payment is at most principal times r, it answers no answer. The answer is math.log(payment divided by (payment minus principal times r, rounded up) divided by math.log(1 plus r)).</t>
  </si>
  <si>
    <t>1. principal: number
2. aprDecimal: number
3. payment: number</t>
  </si>
  <si>
    <t>number | null</t>
  </si>
  <si>
    <t>"You pay /mo" — on a card used on more than one screen (DebtEditorSheet)</t>
  </si>
  <si>
    <t>MK-CF-F-030</t>
  </si>
  <si>
    <t>paymentToClearBy</t>
  </si>
  <si>
    <t>Monthly payment that clears `principal` in `months` at decimal APR (amortization).</t>
  </si>
  <si>
    <t>0   when principal ≤ 0 (or months ≤ 0 when missing or zero)
r = apr decimal ÷ 12
monthly = (principal × r) ÷ (1 − math.pow(1 + r, -months))   if r &gt; 0
principal ÷ months   otherwise
the answer = round up(monthly × 100) ÷ 100</t>
  </si>
  <si>
    <t>When principal is at most 0 (or months is at most 0 — when missing or zero), it answers 0. R is apr decimal divided by 12. Monthly is (principal times r) divided by (1 minus math.pow(1 plus r, -months)) — when r &gt; 0; principal divided by months — otherwise. The answer is monthly times 100, rounded up divided by 100.</t>
  </si>
  <si>
    <t>1. principal: number
2. aprDecimal: number
3. months: number</t>
  </si>
  <si>
    <t>1. Treats a year as twelve equal months.
2. Multiplies by 100 — a percentage, or an option contract treated as 100 shares. Worth checking which.</t>
  </si>
  <si>
    <t>MK-CF-F-031</t>
  </si>
  <si>
    <t>creditUtilization</t>
  </si>
  <si>
    <t>ratio = balance ÷ limit   if limit &gt; 0
0   otherwise
status = 'good'   if ratio ≤ 0.30
'caution'   if ratio ≤ 0.50
'high'   otherwise   otherwise
the answer:
ratio = round(ratio, 3 dp)
status = status</t>
  </si>
  <si>
    <t>Ratio is balance divided by limit — when limit &gt; 0; 0 — otherwise. Status is 'good' — when ratio is at most 0.30; 'caution' — when ratio is at most 0.50; 'high' — otherwise — otherwise. The answer is ratio = ratio, to 3 decimal places; status = status.</t>
  </si>
  <si>
    <t>1. balance: number
2. limit: number</t>
  </si>
  <si>
    <t>CreditUtil</t>
  </si>
  <si>
    <t>"Total credit limit" — on the Credit screen</t>
  </si>
  <si>
    <t>· Rounds the answer to a whole number.</t>
  </si>
  <si>
    <t>MK-CF-F-032</t>
  </si>
  <si>
    <t>creditScoreBand</t>
  </si>
  <si>
    <t>label = 'Excellent'
good = true   when score ≥ 800
label = 'very good'
good = true   when score ≥ 740
label = 'Good'
good = true   when score ≥ 670
label = 'Fair'
good = false   when score ≥ 580
label = 'Poor'
good = false</t>
  </si>
  <si>
    <t>When score is at least 800, it answers label = 'Excellent'; good = true. When score is at least 740, it answers label = 'very good'; good = true. When score is at least 670, it answers label = 'Good'; good = true. When score is at least 580, it answers label = 'Fair'; good = false. label = 'Poor'; good = false.</t>
  </si>
  <si>
    <t>score: number</t>
  </si>
  <si>
    <t>"Your credit score (optional)" — on the Credit screen</t>
  </si>
  <si>
    <t>MK-CF-F-033</t>
  </si>
  <si>
    <t>debtToIncome</t>
  </si>
  <si>
    <t>ratio = monthly debt ÷ gross monthly   if gross monthly &gt; 0
0   otherwise
guideline = 0.36   if homeowner
0.20   otherwise
status = 'good'   if ratio ≤ guideline
'caution'   if ratio ≤ guideline × 1.4
'high'   otherwise   otherwise
the answer:
ratio = round(ratio, 3 dp)
monthly debt = round(monthly debt, 2 dp)
gross monthly = round(gross monthly, 2 dp)
guideline = guideline
status = status</t>
  </si>
  <si>
    <t>Ratio is monthly debt divided by gross monthly — when gross monthly &gt; 0; 0 — otherwise. Guideline is 0.36 — when homeowner; 0.20 — otherwise. Status is 'good' — when ratio is at most guideline; 'caution' — when ratio is at most guideline times 1.4; 'high' — otherwise — otherwise. The answer is ratio = ratio, to 3 decimal places; monthly debt = monthly debt, to the cent; gross monthly = gross monthly, to the cent; guideline = guideline; status = status.</t>
  </si>
  <si>
    <t>1. monthlyDebt: number
2. grossMonthly: number
3. homeowner = false</t>
  </si>
  <si>
    <t>DTI</t>
  </si>
  <si>
    <t>"DEBT-TO-INCOME" — on the Goals screen, under "DEBT-TO-INCOME"</t>
  </si>
  <si>
    <t>MK-ST-F-055 round2 → MK-CF-F-033 debtToIncome</t>
  </si>
  <si>
    <t>MK-CF-F-034</t>
  </si>
  <si>
    <t>payoffPlan</t>
  </si>
  <si>
    <t>Simulate paying off debts with a constant monthly budget (sum of minimums + extra), rolling each cleared debt's freed-up payment into the next per the chosen method.</t>
  </si>
  <si>
    <t>each month:  balance ← balance + balance × rate ÷ 12
             pay each debt its minimum, once its first payment month has arrived
             pay everything left over to ONE debt — highest rate (avalanche)
                                              or smallest balance (snowball)
             a debt clears when its balance falls to a cent or less, and its payment
                 rolls into the budget for the next one
stops at 600 months and reports "never pays off"</t>
  </si>
  <si>
    <t>Rolls every debt forward a month at a time on one constant budget. Interest is charged before anything is paid. Debts due in full as a lump are taken out of this and settled in their own month. A loan whose first payment has not arrived still accrues interest but is not paid. The roll-over of a cleared debt's payment into the next is what makes the answer right, and none of this is in the master file — finding A43.</t>
  </si>
  <si>
    <t>READ BY HAND 2026-08-26 — checked line by line against the code</t>
  </si>
  <si>
    <t>1. debts: Debt[]
2. extraMonthly: number
3. method: PayoffMethod = 'avalanche'
4. now: Date = new Date()</t>
  </si>
  <si>
    <t>PayoffResult</t>
  </si>
  <si>
    <t>1. "Add any loans or credit cards to plan your payoff." — on the budget screen
2. "Extra / month (beyond minimums)" — on the Goals screen, under "DEBT PAYOFF PLAN"
3. "Extra / month" — on the budget screen
4. "Income (take-home)" — on the budget screen
5. "Payoff plan" — on the budget screen
6. "Tap “Set limits” to plan what you'll spend, by category." — on the budget screen</t>
  </si>
  <si>
    <t>1. Uses a built-in month of 0.
2. Treats a year as twelve equal months.
3. Turns a monthly figure into a year by multiplying by twelve.
4. Uses today's date from the device clock, so the answer changes by itself overnight.
5. Leaves some rows out of the answer — check which.</t>
  </si>
  <si>
    <t>1. MK-CF-F-021 defaultPaymentType → MK-CF-F-022 paymentShape → MK-CF-F-034 payoffPlan
2. MK-ST-F-055 round2 → MK-CF-F-034 payoffPlan</t>
  </si>
  <si>
    <t>MK-CF-F-035</t>
  </si>
  <si>
    <t>debtKind</t>
  </si>
  <si>
    <t>What do we know about this kind of debt?</t>
  </si>
  <si>
    <t>id = id); }</t>
  </si>
  <si>
    <t>id?: string</t>
  </si>
  <si>
    <t>"Add a debt →" — on the Net worth screen, under "💳  DEBTS"</t>
  </si>
  <si>
    <t>· Uses a built-in t o x i c a p r of 7%.</t>
  </si>
  <si>
    <t>DEBT_TYPE_FACTS</t>
  </si>
  <si>
    <t>total debt balance = round(Σ over every debt of (remaining balance), 2 dp)
toxic debt         = round(Σ over debts where rate &gt; 10% of (remaining balance), 2 dp)
highest rate debt  = the debt with the largest rate</t>
  </si>
  <si>
    <t>Adds up what is still owed on every debt, in full and as of today — no interest accrued since the balance was set, no maturity, no distinction between a mortgage and a card. Separately totals the debts above the toxic rate, and names the single most expensive one.</t>
  </si>
  <si>
    <t>1. uid: UserId
2. debts: Debt[]</t>
  </si>
  <si>
    <t>DebtState</t>
  </si>
  <si>
    <t>1. "Monthly debt payments" — on the Net worth screen, under "💳  DEBTS"
2. "Net worth so far" — on the Net worth screen, under "EMERGENCY CUSHION"
3. "WHAT YOU OWE" — on the Net worth screen, under "WHAT YOU OWE"</t>
  </si>
  <si>
    <t>· Leaves some rows out of the answer — check which.</t>
  </si>
  <si>
    <t>1. MK-CF-F-026 actualDebtPayment
2. MK-CF-F-025 minimumDebtService
3. MK-ST-F-055 round2</t>
  </si>
  <si>
    <t>1. MK-CF-F-026 actualDebtPayment
2. MK-CF-F-025 minimumDebtService
3. MK-ST-F-055 round2
4. MK-CF-F-024 totalDebtMonthly
5. MK-CF-F-022 paymentShape
6. MK-CF-F-023 requiredPayment
7. MK-CF-F-021 defaultPaymentType</t>
  </si>
  <si>
    <t>MK-CF-F-037</t>
  </si>
  <si>
    <t>inferDebtType</t>
  </si>
  <si>
    <t>B-30: infer the debt type from its name so a "Mortgage" is treated as a mortgage (homeowner DTI guideline), not lumped into OTHER (renter guideline).</t>
  </si>
  <si>
    <t>s = (label ?? '').to lower case()
'HELOC'   when ÷ heloc|home\s × equity ÷ .test(s)
'MORTGAGE'   when ÷ mortgage|home\s × loan ÷ .test(s)
'AUTO'   when ÷ auto|car\s × loan|vehicle ÷ .test(s)
'STUDENT_LOAN'   when ÷ student|tuition ÷ .test(s)
'CREDIT_CARD'   when ÷ credit\s × card|visa|mastercard|amex ÷ .test(s)
'MEDICAL'   when ÷ medical|hospital|dental ÷ .test(s)
'PERSONAL'   when ÷ personal ÷ .test(s)
the answer = 'OTHER'</t>
  </si>
  <si>
    <t>S is (label ?? '').to lower case(). When ÷ heloc|home\s times equity divided by .test(s), it answers 'HELOC'. When ÷ mortgage|home\s times loan divided by .test(s), it answers 'MORTGAGE'. When ÷ auto|car\s times loan|vehicle divided by .test(s), it answers 'AUTO'. When ÷ student|tuition divided by .test(s), it answers 'STUDENT_LOAN'. When ÷ credit\s times card|visa|mastercard|amex divided by .test(s), it answers 'CREDIT_CARD'. When ÷ medical|hospital|dental divided by .test(s), it answers 'MEDICAL'. When ÷ personal divided by .test(s), it answers 'PERSONAL'. The answer is 'OTHER'.</t>
  </si>
  <si>
    <t>label: string | undefined</t>
  </si>
  <si>
    <t>DebtType</t>
  </si>
  <si>
    <t>DEBT_TYPE_FROM_NAME</t>
  </si>
  <si>
    <t>MK-CF-F-038</t>
  </si>
  <si>
    <t>debtsFromOnboarding</t>
  </si>
  <si>
    <t>What debts should exist from the setup answers?</t>
  </si>
  <si>
    <t>a = op (or none when missing)
debts = []
bal = debt balance read as a number (0 when it is not one)
label = debt name (or 'Debt' when missing) (or 'Debt' when missing or zero)
the answer:
user id = uid
debts = debts</t>
  </si>
  <si>
    <t>A is op (or none — when missing). Debts is []. Bal is debt balance read as a number (0 — when it is one is missing). Label is debt name (or 'Debt' — when missing) (or 'Debt' — when missing or zero). The answer is user id = uid; debts = debts.</t>
  </si>
  <si>
    <t>1. uid: UserId
2. op: Record&lt;string, any&gt; | null</t>
  </si>
  <si>
    <t>DebtDoc</t>
  </si>
  <si>
    <t>1. MK-CF-F-037 inferDebtType
2. MK-ST-F-043 newEntityId
3. MK-ST-F-052 toNum</t>
  </si>
  <si>
    <t>1. MK-CF-F-037 inferDebtType → MK-CF-F-038 debtsFromOnboarding
2. MK-ST-F-043 newEntityId → MK-CF-F-038 debtsFromOnboarding
3. MK-ST-F-052 toNum → MK-CF-F-038 debtsFromOnboarding</t>
  </si>
  <si>
    <t>DEBTS_FROM_SETUP</t>
  </si>
  <si>
    <t>MK-CF-F-039</t>
  </si>
  <si>
    <t>loadDebt</t>
  </si>
  <si>
    <t>MK-CF-F-040</t>
  </si>
  <si>
    <t>saveDebt</t>
  </si>
  <si>
    <t>d: DebtDoc</t>
  </si>
  <si>
    <t>d.user_id }); }</t>
  </si>
  <si>
    <t>1. MK-ST-F-040 emit
2. MK-ST-F-042 setUserDoc</t>
  </si>
  <si>
    <t>1. MK-ST-F-040 emit → MK-CF-F-040 saveDebt
2. MK-ST-F-042 setUserDoc → MK-CF-F-040 saveDebt</t>
  </si>
  <si>
    <t>MK-CF-F-041</t>
  </si>
  <si>
    <t>getDebtState</t>
  </si>
  <si>
    <t>d = build debt state(uid, debts ?? [])   if await load debt(uid); return d
nothing   otherwise</t>
  </si>
  <si>
    <t>D is build debt state(uid, debts ?? []) — when await load debt(uid); return d; no answer — otherwise.</t>
  </si>
  <si>
    <t>1. MK-CF-F-036 buildDebtState
2. MK-CF-F-039 loadDebt</t>
  </si>
  <si>
    <t>1. MK-CF-F-036 buildDebtState
2. MK-CF-F-039 loadDebt
3. MK-CF-F-026 actualDebtPayment
4. MK-CF-F-025 minimumDebtService
5. MK-ST-F-055 round2
6. MK-CF-F-024 totalDebtMonthly
7. MK-CF-F-022 paymentShape
8. MK-CF-F-023 requiredPayment
9. MK-CF-F-021 defaultPaymentType</t>
  </si>
  <si>
    <t>1. MK-ST-F-055 round2 → MK-CF-F-026 actualDebtPayment → MK-CF-F-036 buildDebtState → MK-CF-F-041 getDebtState
2. MK-CF-F-022 paymentShape → MK-CF-F-023 requiredPayment → MK-CF-F-024 totalDebtMonthly → MK-CF-F-026 actualDebtPayment → MK-CF-F-036 buildDebtState → MK-CF-F-041 getDebtState
3. MK-CF-F-021 defaultPaymentType → MK-CF-F-022 paymentShape → MK-CF-F-025 minimumDebtService → MK-CF-F-036 buildDebtState → MK-CF-F-041 getDebtState
4. MK-ST-F-055 round2 → MK-CF-F-025 minimumDebtService → MK-CF-F-036 buildDebtState → MK-CF-F-041 getDebtState
5. MK-ST-F-055 round2 → MK-CF-F-036 buildDebtState → MK-CF-F-041 getDebtState
6. MK-CF-F-039 loadDebt → MK-CF-F-041 getDebtState</t>
  </si>
  <si>
    <t>MK-CF-F-042</t>
  </si>
  <si>
    <t>mortgageOddsEffect</t>
  </si>
  <si>
    <t>src/domain/debt/mortgageOdds.ts</t>
  </si>
  <si>
    <t>Run the plan twice and report both results.</t>
  </si>
  <si>
    <t>slow = months to clear(balance, annual rate, monthly payment)
fast = months to clear(balance, annual rate, monthly payment + extra monthly)
nothing   when slow = nothing (or fast = nothing (or extra monthly ≤ 0 when missing or zero) when missing or zero)
year of = (months: number) =&gt; now year + round down((months − 1) ÷ 12)
payoff year = year of(slow)
faster payoff year = year of(fast)
the answer = { before, after, payoff year, faster payoff year }</t>
  </si>
  <si>
    <t>Slow is months to clear(balance, annual rate, monthly payment). Fast is months to clear(balance, annual rate, monthly payment plus extra monthly). When slow is missing (or fast is missing (or extra monthly is at most 0 — when missing or zero) — when missing or zero), it answers no answer. Year of is (months: number) =&gt; now year plus (months minus 1, rounded down divided by 12). Payoff year is year of(slow). Faster payoff year is year of(fast). The answer is { before, after, payoff year, faster payoff year }.</t>
  </si>
  <si>
    <t>1. MK-CF-F-029 monthsToClear
2. MK-PL-F-050 simulate</t>
  </si>
  <si>
    <t>1. MK-CF-F-029 monthsToClear
2. MK-PL-F-050 simulate
3. MK-ST-F-025 rmdStartAgeFromAge
4. MK-ST-F-055 round2
5. MK-ST-F-024 rmdStartAge</t>
  </si>
  <si>
    <t>1. MK-CF-F-029 monthsToClear → MK-CF-F-042 mortgageOddsEffect
2. MK-ST-F-024 rmdStartAge → MK-ST-F-025 rmdStartAgeFromAge → MK-PL-F-050 simulate → MK-CF-F-042 mortgageOddsEffect
3. MK-ST-F-055 round2 → MK-PL-F-050 simulate → MK-CF-F-042 mortgageOddsEffect</t>
  </si>
  <si>
    <t>MK-CF-F-043</t>
  </si>
  <si>
    <t>compareMortgageToTreasury</t>
  </si>
  <si>
    <t>src/domain/debt/mortgageVsTreasury.ts</t>
  </si>
  <si>
    <t>Compare paying `extraMonthly` into the mortgage against putting the same money into Treasuries.</t>
  </si>
  <si>
    <t>nothing   when not (balance &gt; 0) or !(annual rate &gt; 0) or !(monthly payment &gt; 0)
gap points = +((annual rate − treasury yield) × 100).to fixed(2)
too close = size of(gap points) &lt; TOO_CLOSE_POINTS
base = amortise(balance, annual rate, monthly payment)
fast = amortise(balance, annual rate, monthly payment + extra monthly)
lifetime = 0
freed months = base.months − fast.months
paying down = future value(monthly payment + extra monthly, treasury yield, freed months)
treasuries = future value(extra monthly, treasury yield, base.months)</t>
  </si>
  <si>
    <t>When not (balance &gt; 0) or !(annual rate &gt; 0) or !(monthly payment &gt; 0), it answers no answer. Gap points is +((annual rate minus treasury yield) times 100).to fixed(2). Too close is size of(gap points) &lt; TOO_CLOSE_POINTS. Base is amortise(balance, annual rate, monthly payment). Fast is amortise(balance, annual rate, monthly payment plus extra monthly). Lifetime is 0. Freed months is base.months minus fast.months. Paying down is future value(monthly payment plus extra monthly, treasury yield, freed months). Treasuries is future value(extra monthly, treasury yield, base.months).</t>
  </si>
  <si>
    <t>1. Uses a built-in lifetime of 0.
2. Multiplies by 100 — a percentage, or an option contract treated as 100 shares. Worth checking which.
3. Rounds the answer to a whole number.
4. Shows 2 decimal places.</t>
  </si>
  <si>
    <t>MK-CF-F-044</t>
  </si>
  <si>
    <t>annualNet</t>
  </si>
  <si>
    <t>src/domain/income/calc.ts</t>
  </si>
  <si>
    <t>Annual NET contribution of a source: jobs use gross; rentals net out operating expenses.</t>
  </si>
  <si>
    <t>per period = gross amount − (operating expenses or 0)   if is rental(income type)
gross amount   otherwise
the answer = per period × PERIODS_PER_YEAR[frequency]</t>
  </si>
  <si>
    <t>Per period is gross amount minus (operating expenses or 0) — when is rental(income type); gross amount — otherwise. The answer is per period times PERIODS_PER_YEAR[frequency].</t>
  </si>
  <si>
    <t>s: IncomeSource</t>
  </si>
  <si>
    <t>· If operating expenses is missing it counts as zero, so nothing recorded and a real zero look the same.</t>
  </si>
  <si>
    <t>MK-CF-F-045</t>
  </si>
  <si>
    <t>grossAnnualBaseline</t>
  </si>
  <si>
    <t>Gross annual baseline = jobs (gross) + rentals (gross − expenses), all annualized.</t>
  </si>
  <si>
    <t>Σ over sources of (annual net(each))</t>
  </si>
  <si>
    <t>the annual net(each) added up across sources.</t>
  </si>
  <si>
    <t>sources: IncomeSource[]</t>
  </si>
  <si>
    <t>MK-CF-F-044 annualNet</t>
  </si>
  <si>
    <t>MK-CF-F-044 annualNet → MK-CF-F-045 grossAnnualBaseline</t>
  </si>
  <si>
    <t>MK-CF-F-046</t>
  </si>
  <si>
    <t>employerMatchAnnual</t>
  </si>
  <si>
    <t>Σ over sources of ((employer match amount or 0) × PERIODS_PER_YEAR[frequency])</t>
  </si>
  <si>
    <t>the (employer match amount or 0) times PERIODS_PER_YEAR[frequency] added up across sources.</t>
  </si>
  <si>
    <t>· If employer match amount is missing it counts as zero, so nothing recorded and a real zero look the same.</t>
  </si>
  <si>
    <t>MK-CF-F-047</t>
  </si>
  <si>
    <t>estimateEffectiveTaxRate</t>
  </si>
  <si>
    <t>effective rate on gross(gross annual)</t>
  </si>
  <si>
    <t>effective rate on gross(gross annual).</t>
  </si>
  <si>
    <t>grossAnnual: number</t>
  </si>
  <si>
    <t>MK-CF-F-096 effectiveRateOnGross</t>
  </si>
  <si>
    <t>1. MK-CF-F-096 effectiveRateOnGross
2. MK-CF-F-095 taxOwed
3. MK-CF-F-093 taxableIncome</t>
  </si>
  <si>
    <t>MK-CF-F-093 taxableIncome → MK-CF-F-095 taxOwed → MK-CF-F-096 effectiveRateOnGross → MK-CF-F-047 estimateEffectiveTaxRate</t>
  </si>
  <si>
    <t>MK-CF-F-048</t>
  </si>
  <si>
    <t>effectiveTaxRate</t>
  </si>
  <si>
    <t>the answer = min(max(tax.manual effective tax rate, 0), 1)
m = 12 slots, each 0
amt = gross amount − (operating expenses or 0)   if is rental(income type)
gross amount   otherwise</t>
  </si>
  <si>
    <t>The answer: the smaller of the larger of tax.manual effective tax rate and 0 and 1. M is 12 slots, each 0. Amt is gross amount minus (operating expenses or 0) — when is rental(income type); gross amount — otherwise.</t>
  </si>
  <si>
    <t>1. grossAnnual: number
2. tax: TaxProfile</t>
  </si>
  <si>
    <t>1. If landing month is missing it uses 12.
2. If landing month is missing it uses 1.
3. If operating expenses is missing it counts as zero, so nothing recorded and a real zero look the same.
4. Uses a built-in i of 0.
5. Treats a year as twelve equal months.
6. Never lets manual effective tax rate fall below 0.</t>
  </si>
  <si>
    <t>MK-CF-F-047 estimateEffectiveTaxRate</t>
  </si>
  <si>
    <t>1. MK-CF-F-047 estimateEffectiveTaxRate
2. MK-CF-F-096 effectiveRateOnGross
3. MK-CF-F-095 taxOwed
4. MK-CF-F-093 taxableIncome</t>
  </si>
  <si>
    <t>MK-CF-F-093 taxableIncome → MK-CF-F-095 taxOwed → MK-CF-F-096 effectiveRateOnGross → MK-CF-F-047 estimateEffectiveTaxRate → MK-CF-F-048 effectiveTaxRate</t>
  </si>
  <si>
    <t>MK-CF-F-049</t>
  </si>
  <si>
    <t>buildIncomeState</t>
  </si>
  <si>
    <t>gross = gross annual baseline(sources)
rate = effective tax rate(gross, tax)
net = gross × (1 − rate)
monthly gross = for each of 12 slots, each 0: Σ over sources of (gross by month(each)[i])
grid = []
g = monthly gross[i]</t>
  </si>
  <si>
    <t>Gross is gross annual baseline(sources). Rate is effective tax rate(gross, tax). Net is gross times (1 minus rate). Monthly gross is for each of 12 slots, each 0: the gross by month(each added up across sources[i]). Grid is []. G is monthly gross[i].</t>
  </si>
  <si>
    <t>1. userId: string
2. sources: IncomeSource[]
3. tax: TaxProfile</t>
  </si>
  <si>
    <t>IncomeState</t>
  </si>
  <si>
    <t>1. Uses a built-in i of 0.
2. Treats a year as twelve equal months.
3. Multiplies by 100 — a percentage, or an option contract treated as 100 shares. Worth checking which.
4. Rounds the answer to a whole number.</t>
  </si>
  <si>
    <t>1. MK-CF-F-048 effectiveTaxRate
2. MK-CF-F-046 employerMatchAnnual
3. MK-CF-F-045 grossAnnualBaseline
4. MK-CF-F-098 progressiveMonthlyTax
5. MK-ST-F-055 round2</t>
  </si>
  <si>
    <t>1. MK-CF-F-048 effectiveTaxRate
2. MK-CF-F-046 employerMatchAnnual
3. MK-CF-F-045 grossAnnualBaseline
4. MK-CF-F-098 progressiveMonthlyTax
5. MK-ST-F-055 round2
6. MK-CF-F-047 estimateEffectiveTaxRate
7. MK-CF-F-044 annualNet
8. MK-CF-F-101 taxOwedFor
9. MK-CF-F-100 taxableIncomeFor
10. MK-CF-F-096 effectiveRateOnGross
11. MK-CF-F-099 deductionFor
12. MK-CF-F-095 taxOwed
13. MK-CF-F-093 taxableIncome</t>
  </si>
  <si>
    <t>1. MK-CF-F-093 taxableIncome → MK-CF-F-095 taxOwed → MK-CF-F-096 effectiveRateOnGross → MK-CF-F-047 estimateEffectiveTaxRate → MK-CF-F-048 effectiveTaxRate → MK-CF-F-049 buildIncomeState
2. MK-CF-F-046 employerMatchAnnual → MK-CF-F-049 buildIncomeState
3. MK-CF-F-044 annualNet → MK-CF-F-045 grossAnnualBaseline → MK-CF-F-049 buildIncomeState
4. MK-CF-F-099 deductionFor → MK-CF-F-100 taxableIncomeFor → MK-CF-F-101 taxOwedFor → MK-CF-F-098 progressiveMonthlyTax → MK-CF-F-049 buildIncomeState
5. MK-CF-F-099 deductionFor → MK-CF-F-100 taxableIncomeFor → MK-CF-F-098 progressiveMonthlyTax → MK-CF-F-049 buildIncomeState
6. MK-ST-F-055 round2 → MK-CF-F-049 buildIncomeState</t>
  </si>
  <si>
    <t>MK-CF-F-050</t>
  </si>
  <si>
    <t>loadIncome</t>
  </si>
  <si>
    <t>src/domain/income/index.ts</t>
  </si>
  <si>
    <t>get user doc&lt;income doc&gt;(COLLECTION, uid)</t>
  </si>
  <si>
    <t>get user doc&lt;income doc&gt;(COLLECTION, uid).</t>
  </si>
  <si>
    <t>Promise&lt;IncomeDoc | null&gt;</t>
  </si>
  <si>
    <t>MK-CF-F-051</t>
  </si>
  <si>
    <t>saveIncome</t>
  </si>
  <si>
    <t>docData: IncomeDoc</t>
  </si>
  <si>
    <t>Promise&lt;void&gt;</t>
  </si>
  <si>
    <t>1. MK-ST-F-040 emit → MK-CF-F-051 saveIncome
2. MK-ST-F-042 setUserDoc → MK-CF-F-051 saveIncome</t>
  </si>
  <si>
    <t>MK-CF-F-052</t>
  </si>
  <si>
    <t>getIncomeState</t>
  </si>
  <si>
    <t>The public read-model (spec IncomeState): totals, effective rate, monthly grid.</t>
  </si>
  <si>
    <t>d = await load income(uid)
nothing   when d is missing
the answer = build income state(uid, sources ?? [], tax ?? DEFAULT_TAX)</t>
  </si>
  <si>
    <t>D is await load income(uid). When d is missing, it answers no answer. The answer is build income state(uid, sources ?? [], tax ?? DEFAULT_TAX).</t>
  </si>
  <si>
    <t>Promise&lt;IncomeState | null&gt;</t>
  </si>
  <si>
    <t>1. MK-CF-F-049 buildIncomeState
2. MK-CF-F-050 loadIncome</t>
  </si>
  <si>
    <t>1. MK-CF-F-049 buildIncomeState
2. MK-CF-F-050 loadIncome
3. MK-CF-F-048 effectiveTaxRate
4. MK-CF-F-046 employerMatchAnnual
5. MK-CF-F-045 grossAnnualBaseline
6. MK-CF-F-098 progressiveMonthlyTax
7. MK-ST-F-055 round2
8. MK-CF-F-047 estimateEffectiveTaxRate
9. MK-CF-F-044 annualNet
10. MK-CF-F-101 taxOwedFor
11. MK-CF-F-100 taxableIncomeFor
12. MK-CF-F-096 effectiveRateOnGross
13. MK-CF-F-099 deductionFor
14. MK-CF-F-095 taxOwed
15. MK-CF-F-093 taxableIncome</t>
  </si>
  <si>
    <t>1. MK-CF-F-095 taxOwed → MK-CF-F-096 effectiveRateOnGross → MK-CF-F-047 estimateEffectiveTaxRate → MK-CF-F-048 effectiveTaxRate → MK-CF-F-049 buildIncomeState → MK-CF-F-052 getIncomeState
2. MK-CF-F-046 employerMatchAnnual → MK-CF-F-049 buildIncomeState → MK-CF-F-052 getIncomeState
3. MK-CF-F-044 annualNet → MK-CF-F-045 grossAnnualBaseline → MK-CF-F-049 buildIncomeState → MK-CF-F-052 getIncomeState
4. MK-CF-F-099 deductionFor → MK-CF-F-100 taxableIncomeFor → MK-CF-F-101 taxOwedFor → MK-CF-F-098 progressiveMonthlyTax → MK-CF-F-049 buildIncomeState → MK-CF-F-052 getIncomeState
5. MK-CF-F-099 deductionFor → MK-CF-F-100 taxableIncomeFor → MK-CF-F-098 progressiveMonthlyTax → MK-CF-F-049 buildIncomeState → MK-CF-F-052 getIncomeState
6. MK-ST-F-055 round2 → MK-CF-F-049 buildIncomeState → MK-CF-F-052 getIncomeState
7. MK-CF-F-050 loadIncome → MK-CF-F-052 getIncomeState</t>
  </si>
  <si>
    <t>MK-CF-F-053</t>
  </si>
  <si>
    <t>annual401kLimit</t>
  </si>
  <si>
    <t>src/domain/income/limits.ts</t>
  </si>
  <si>
    <t>Annual employee 401(k) limit for the user's age (adds the 50+ catch-up).</t>
  </si>
  <si>
    <t>IRS_LIMITS.elective deferral 401k + (age ≠ nothing and age ≥ 50 ? IRS_LIMITS.catch up 50 : 0)</t>
  </si>
  <si>
    <t>IRS_LIMITS.elective deferral 401k plus (age is not no answer and age is at least 50 ? IRS_LIMITS.catch up 50 : 0).</t>
  </si>
  <si>
    <t>age: number | null</t>
  </si>
  <si>
    <t>"Your contribution (per month)" — on the setup questions, which appear on more than one screen</t>
  </si>
  <si>
    <t>MK-CF-F-054</t>
  </si>
  <si>
    <t>annualIraLimit</t>
  </si>
  <si>
    <t>IRS_LIMITS.ira + (age ≠ nothing and age ≥ 50 ? IRS_LIMITS.ira catch up 50 : 0)</t>
  </si>
  <si>
    <t>IRS_LIMITS.ira plus (age is not no answer and age is at least 50 ? IRS_LIMITS.ira catch up 50 : 0).</t>
  </si>
  <si>
    <t>"Tax-smart moves" — on the Retirement cockpit screen</t>
  </si>
  <si>
    <t>MK-CF-F-055</t>
  </si>
  <si>
    <t>annualHsaLimit</t>
  </si>
  <si>
    <t>(family ? IRS_LIMITS.hsa family : IRS_LIMITS.hsa self) + (age ≠ nothing and age ≥ 55 ? IRS_LIMITS.hsa catch up 55 : 0)</t>
  </si>
  <si>
    <t>(family ? IRS_LIMITS.hsa family : IRS_LIMITS.hsa self) plus (age is not no answer and age is at least 55 ? IRS_LIMITS.hsa catch up 55 : 0).</t>
  </si>
  <si>
    <t>1. age: number | null
2. family = false</t>
  </si>
  <si>
    <t>MK-CF-F-056</t>
  </si>
  <si>
    <t>k401Headroom</t>
  </si>
  <si>
    <t>How much more you can still put into your 401(k) this year (incl.</t>
  </si>
  <si>
    <t>limit = annual401k limit(age)
used = max(0, annual401k contribution)
the answer:
limit = limit
used = min(used, limit)
remaining = max(0, round(limit − used))
catch up = age ≠ nothing and age ≥ 50</t>
  </si>
  <si>
    <t>Limit is annual401k limit(age). Used is annual401k contribution, never below zero. The answer is limit = limit; used = the smaller of used and limit; remaining = limit minus used, to a whole number, never below zero; catch up = age is not no answer and age is at least 50.</t>
  </si>
  <si>
    <t>1. age: number | null
2. annual401kContribution: number</t>
  </si>
  <si>
    <t>Headroom</t>
  </si>
  <si>
    <t>MK-CF-F-053 annual401kLimit</t>
  </si>
  <si>
    <t>MK-CF-F-053 annual401kLimit → MK-CF-F-056 k401Headroom</t>
  </si>
  <si>
    <t>MK-CF-F-057</t>
  </si>
  <si>
    <t>rothVsTraditional</t>
  </si>
  <si>
    <t>Roth vs Traditional lean from current vs expected-retirement marginal rate (decimals).</t>
  </si>
  <si>
    <t>lean = 'roth'
why = "You're in a low bracket now — pay the tax now (roth) and withdraw tax − free later."   when marginal now ≤ 0.12
lean = 'traditional'
why = 'high bracket now, likely lower in retirement — deduct now (traditional), pay tax later.'   when marginal now ≥ 0.24 and marginal retire &lt; marginal now
lean = 'either'
why = 'your brackets are similar — splitting roth and traditional hedges your future tax rate.'</t>
  </si>
  <si>
    <t>When marginal now is at most 0.12, it answers lean = 'roth'; why = "You're in a low bracket now — pay the tax now (roth) and withdraw tax minus free later.". When marginal now is at least 0.24 and marginal retire &lt; marginal now, it answers lean = 'traditional'; why = 'high bracket now, likely lower in retirement — deduct now (traditional), pay tax later.'. lean = 'either'; why = 'your brackets are similar — splitting roth and traditional hedges your future tax rate.'.</t>
  </si>
  <si>
    <t>1. marginalNow: number
2. marginalRetire: number</t>
  </si>
  <si>
    <t>MK-CF-F-058</t>
  </si>
  <si>
    <t>rothConversionWindow</t>
  </si>
  <si>
    <t>Are you in the low-income "Roth conversion window" (retired, before RMDs/SS push income up)?</t>
  </si>
  <si>
    <t>age ≥ retire age and age &lt; min(rmd age, claim age (or rmd age when missing or zero))</t>
  </si>
  <si>
    <t>age is at least retire age and age &lt; the smaller of rmd age and claim age (or rmd age — when missing or zero).</t>
  </si>
  <si>
    <t>1. age: number
2. retireAge: number
3. claimAge: number
4. rmdAge = 73</t>
  </si>
  <si>
    <t>boolean</t>
  </si>
  <si>
    <t>"Roth conversion window:" — on the Retirement cockpit screen</t>
  </si>
  <si>
    <t>MK-CF-F-059</t>
  </si>
  <si>
    <t>annualizedEnteredSalary</t>
  </si>
  <si>
    <t>src/domain/income/onboarding.ts</t>
  </si>
  <si>
    <t>Annual amount of what the user ENTERED (not grossed up) — for display.</t>
  </si>
  <si>
    <t>a = op (or none when missing)
hrs = hours per week read as a number (0 when it is not one) (or DEFAULT_HOURS_PER_WEEK when missing or zero)
the answer = to num(base salary) × hrs × 52
hrs = hours per week read as a number (0 when it is not one) (or DEFAULT_HOURS_PER_WEEK when missing or zero)</t>
  </si>
  <si>
    <t>A is op (or none — when missing). Hrs is hours per week read as a number (0 — when it is one is missing) (or DEFAULT_HOURS_PER_WEEK — when missing or zero). The answer is to num(base salary) times hrs times 52. Hrs is hours per week read as a number (0 — when it is one is missing) (or DEFAULT_HOURS_PER_WEEK — when missing or zero).</t>
  </si>
  <si>
    <t>1. If salary freq] is missing it uses 12.
2. Treats a year as twelve equal months.</t>
  </si>
  <si>
    <t>MK-ST-F-052 toNum → MK-CF-F-059 annualizedEnteredSalary</t>
  </si>
  <si>
    <t>MK-CF-F-060</t>
  </si>
  <si>
    <t>salaryGrossByMonth</t>
  </si>
  <si>
    <t>Per-month GROSS base salary, Jan→Dec.</t>
  </si>
  <si>
    <t>a = op (or none when missing)
tbl = salary by month   if array.is array(salary by month) and salary by month.length = 12
nothing   otherwise
raw = for each of tbl ? tbl: x read as a number (0 when it is not one): 12 slots, each entered monthly raw(a)
net = Σ over raw of (each)
gross = gross from net(net)   if net &gt; 0
0   otherwise
scale = gross ÷ net   if net &gt; 0
1   otherwise
the answer = for each of raw: round(each × scale, 2 dp)</t>
  </si>
  <si>
    <t>A is op (or none — when missing). Tbl is salary by month — when array.is array(salary by month) and salary by month.length = 12; no answer — otherwise. Raw is for each of tbl ? tbl: x read as a number (0 — when it is one is missing): 12 slots, each entered monthly raw(a). Net: the each added up across raw. Gross is gross from net(net) — when net &gt; 0; 0 — otherwise. Scale is gross divided by net — when net &gt; 0; 1 — otherwise. The answer is for each of raw: each times scale, to the cent.</t>
  </si>
  <si>
    <t>1. MK-CF-F-097 grossFromNet
2. MK-ST-F-055 round2
3. MK-ST-F-052 toNum</t>
  </si>
  <si>
    <t>1. MK-CF-F-097 grossFromNet
2. MK-ST-F-055 round2
3. MK-ST-F-052 toNum
4. MK-CF-F-095 taxOwed
5. MK-CF-F-093 taxableIncome</t>
  </si>
  <si>
    <t>1. MK-CF-F-093 taxableIncome → MK-CF-F-095 taxOwed → MK-CF-F-097 grossFromNet → MK-CF-F-060 salaryGrossByMonth
2. MK-ST-F-055 round2 → MK-CF-F-060 salaryGrossByMonth
3. MK-ST-F-052 toNum → MK-CF-F-060 salaryGrossByMonth</t>
  </si>
  <si>
    <t>SALARY_BY_MONTH</t>
  </si>
  <si>
    <t>MK-CF-F-061</t>
  </si>
  <si>
    <t>grossSalaryMonthly</t>
  </si>
  <si>
    <t>A representative full-month GROSS salary (the highest month — undiluted by $0 gap months).</t>
  </si>
  <si>
    <t>arr = salary gross by month(op)
the answer:
max(...arr)   if count of arr
0   otherwise</t>
  </si>
  <si>
    <t>Arr is salary gross by month(op). The answer is max(...arr) — when how many arr there are; 0 — otherwise.</t>
  </si>
  <si>
    <t>MK-CF-F-060 salaryGrossByMonth</t>
  </si>
  <si>
    <t>1. MK-CF-F-060 salaryGrossByMonth
2. MK-CF-F-097 grossFromNet
3. MK-ST-F-055 round2
4. MK-ST-F-052 toNum
5. MK-CF-F-095 taxOwed
6. MK-CF-F-093 taxableIncome</t>
  </si>
  <si>
    <t>1. MK-CF-F-093 taxableIncome → MK-CF-F-095 taxOwed → MK-CF-F-097 grossFromNet → MK-CF-F-060 salaryGrossByMonth → MK-CF-F-061 grossSalaryMonthly
2. MK-ST-F-055 round2 → MK-CF-F-060 salaryGrossByMonth → MK-CF-F-061 grossSalaryMonthly
3. MK-ST-F-052 toNum → MK-CF-F-060 salaryGrossByMonth → MK-CF-F-061 grossSalaryMonthly</t>
  </si>
  <si>
    <t>MK-CF-F-062</t>
  </si>
  <si>
    <t>equityRowValue</t>
  </si>
  <si>
    <t>Value of one vesting-schedule row.</t>
  </si>
  <si>
    <t>to num(row.shares) × max(0, to num(market) − to num(strike))   when type = 'option'
to num(row.shares) × to num(row.price)</t>
  </si>
  <si>
    <t>When type = 'option', it answers to num(row.shares) times to num(market, never below zero minus to num(strike)). to num(row.shares) times to num(row.price).</t>
  </si>
  <si>
    <t>1. row: any
2. type: string
3. strike?: any
4. market?: any</t>
  </si>
  <si>
    <t>MK-ST-F-052 toNum → MK-CF-F-062 equityRowValue</t>
  </si>
  <si>
    <t>EQUITY_ROW_VALUE</t>
  </si>
  <si>
    <t>MK-CF-F-063</t>
  </si>
  <si>
    <t>rowVestYear</t>
  </si>
  <si>
    <t>Calendar year a row vests (first 4 digits of its date; this year if blank).</t>
  </si>
  <si>
    <t>m = string(row.date ?? '').match( ÷ (\d{4}) ÷ )
the answer:
parse int(m[1], 10)   if m
the date ).get full year(   otherwise</t>
  </si>
  <si>
    <t>M is string(row.date ?? '').match( divided by (\d{4}) divided by ). The answer is parse int(m[1], 10) — when m; the date ).get full year( — otherwise.</t>
  </si>
  <si>
    <t>row: any</t>
  </si>
  <si>
    <t>· Uses today's date from the device clock, so the answer changes by itself overnight.</t>
  </si>
  <si>
    <t>VESTING_YEAR</t>
  </si>
  <si>
    <t>MK-CF-F-064</t>
  </si>
  <si>
    <t>equityCashFlow</t>
  </si>
  <si>
    <t>Per-calendar-year vesting cash flow across all schedule rows — drives the chart &amp; table.</t>
  </si>
  <si>
    <t>a = op (or none when missing)
type = equity type (or 'rsu' when missing)
rows = rsu grants   if array.is array(rsu grants)
[]   otherwise
by year = new map&lt;number, number&gt;()
v = equity row value(r, type, opt strike, opt market)
the answer = for each of [...by year.entries()].sort((x, y) =&gt; x[0] − y[0]): [year, amount]) =&gt; ({ year, amount }</t>
  </si>
  <si>
    <t>A is op (or none — when missing). Type is equity type (or 'rsu' — when missing). Rows is rsu grants — when array.is array(rsu grants); [] — otherwise. By year is new map&lt;number, number&gt;(). V is equity row value(r, type, opt strike, opt market). The answer is for each of [...by year.entries()].sort((x, y) =&gt; x[0] minus y[0]): [year, amount]) =&gt; ({ year, amount }.</t>
  </si>
  <si>
    <t>1. "Annual vesting cash flow" — on the setup questions, which appear on more than one screen
2. "Monthly (retirement)" — on the setup questions, which appear on more than one screen
3. "Monthly cash flow" — on the setup questions, which appear on more than one screen</t>
  </si>
  <si>
    <t>1. MK-CF-F-062 equityRowValue
2. MK-CF-F-063 rowVestYear</t>
  </si>
  <si>
    <t>1. MK-CF-F-062 equityRowValue
2. MK-CF-F-063 rowVestYear
3. MK-ST-F-052 toNum</t>
  </si>
  <si>
    <t>1. MK-ST-F-052 toNum → MK-CF-F-062 equityRowValue → MK-CF-F-064 equityCashFlow
2. MK-CF-F-063 rowVestYear → MK-CF-F-064 equityCashFlow</t>
  </si>
  <si>
    <t>MK-CF-F-065</t>
  </si>
  <si>
    <t>equityVestWeights</t>
  </si>
  <si>
    <t>Vest-month weights (Jan→Dec, summing to 1) from the equity grant rows — THE one placement rule.</t>
  </si>
  <si>
    <t>a = op (or none when missing)
type = equity type (or 'rsu' when missing)
rows = rsu grants   if array.is array(rsu grants)
[]   otherwise
weights = 12 slots, each 0
total v = 0
v = equity row value(r, type, opt strike, opt market)
m = string(date ?? '').match( ÷ \d{4}-(\d{1,2}) ÷ )
idx = min(11, max(0, +m[1] − 1))   if m
11   otherwise
the answer = for each of total v &gt; 0 ? weights: each ÷ total v: nothing</t>
  </si>
  <si>
    <t>A is op (or none — when missing). Type is equity type (or 'rsu' — when missing). Rows is rsu grants — when array.is array(rsu grants); [] — otherwise. Weights is 12 slots, each 0. Total v is 0. V is equity row value(r, type, opt strike, opt market). M is string(date ?? '').match( divided by \d{4}-(\d{1,2}) divided by ). Idx: the smaller of 11 and +m[1] minus 1, never below zero — when m; 11 — otherwise. The answer is for each of total v &gt; 0 ? weights: each divided by total v: no answer.</t>
  </si>
  <si>
    <t>number[] | null</t>
  </si>
  <si>
    <t>· Uses a built-in total v of 0.</t>
  </si>
  <si>
    <t>MK-CF-F-062 equityRowValue</t>
  </si>
  <si>
    <t>1. MK-CF-F-062 equityRowValue
2. MK-ST-F-052 toNum</t>
  </si>
  <si>
    <t>MK-ST-F-052 toNum → MK-CF-F-062 equityRowValue → MK-CF-F-065 equityVestWeights</t>
  </si>
  <si>
    <t>MK-CF-F-066</t>
  </si>
  <si>
    <t>rsuAnnual</t>
  </si>
  <si>
    <t>Annual equity-comp run-rate: total scheduled value spread over the years it vests across (a level annual figure for the income estimate).</t>
  </si>
  <si>
    <t>a = op (or none when missing)
type = equity type (or 'rsu' when missing)
rows = rsu grants   if array.is array(rsu grants)
[]   otherwise
valued = for each of rows: v = equity row value(r, type, opt strike, opt market)
y = row vest year(r)
total = valued.reduce((t: number, x: any) =&gt; t + v, 0)
years = a list with no repeats of valued where v &gt; 0for each of : size (or 1 when missing or zero)
the answer = total ÷ years</t>
  </si>
  <si>
    <t>A is op (or none — when missing). Type is equity type (or 'rsu' — when missing). Rows is rsu grants — when array.is array(rsu grants); [] — otherwise. Valued is for each of rows: v = equity row value(r, type, opt strike, opt market); y = row vest year(r). Total is valued.reduce((t: number, x: any) =&gt; t plus v, 0). Years is a list with no repeats of valued where v &gt; 0for each of : size (or 1 — when missing or zero). The answer is total divided by years.</t>
  </si>
  <si>
    <t>1. MK-ST-F-052 toNum → MK-CF-F-062 equityRowValue → MK-CF-F-066 rsuAnnual
2. MK-CF-F-063 rowVestYear → MK-CF-F-066 rsuAnnual
3. MK-ST-F-052 toNum → MK-CF-F-066 rsuAnnual</t>
  </si>
  <si>
    <t>MK-CF-F-067</t>
  </si>
  <si>
    <t>rentalList</t>
  </si>
  <si>
    <t>Normalized list of rental properties.</t>
  </si>
  <si>
    <t>a = op (or none when missing)
norm = (t: any): 'long' | 'short' =&gt; (t = 'short' ? 'short' : 'long')
[{ type: norm(rental type), income: to num(rental income), expenses: to num(rental expenses) }]   when to num(rental income) &gt; 0
the answer = []</t>
  </si>
  <si>
    <t>A is op (or none — when missing). Norm is (t: any): 'long' | 'short' =&gt; (t = 'short' ? 'short' : 'long'). When to num(rental income) &gt; 0, it answers [{ type: norm(rental type), income: to num(rental income), expenses: to num(rental expenses) }]. The answer is [].</t>
  </si>
  <si>
    <t>MK-ST-F-052 toNum → MK-CF-F-067 rentalList</t>
  </si>
  <si>
    <t>Total net rental income per year, across all properties (income − operating expenses).</t>
  </si>
  <si>
    <t>Σ over rental list(op) of (income − expenses)× 12</t>
  </si>
  <si>
    <t>the income minus expenses added up across rental list(op)× 12.</t>
  </si>
  <si>
    <t>"Net" — on the setup questions, which appear on more than one screen</t>
  </si>
  <si>
    <t>· Turns a monthly figure into a year by multiplying by twelve.</t>
  </si>
  <si>
    <t>MK-CF-F-067 rentalList</t>
  </si>
  <si>
    <t>1. MK-CF-F-067 rentalList
2. MK-ST-F-052 toNum</t>
  </si>
  <si>
    <t>MK-CF-F-069</t>
  </si>
  <si>
    <t>benefitActiveMonths</t>
  </si>
  <si>
    <t>Calendar months (1-12) benefits are received — e.g.</t>
  </si>
  <si>
    <t>m = array.is array(op.benefit months) ? op!.benefit months! where each ≥ 1 and each ≤ 12: []
the answer:
[...m].sort((a, b) =&gt; a − b)   if count of m
[1, 2, 3, 4, 5, 6, 7, 8, 9, 10, 11, 12]   otherwise</t>
  </si>
  <si>
    <t>M is array.is array(op.benefit months) ? op!.benefit months! where each is at least 1 and each is at most 12: []. The answer is [...m].sort((a, b) =&gt; a minus b) — when how many m there are; [1, 2, 3, 4, 5, 6, 7, 8, 9, 10, 11, 12] — otherwise.</t>
  </si>
  <si>
    <t>MK-CF-F-070</t>
  </si>
  <si>
    <t>benefitAnnual</t>
  </si>
  <si>
    <t>Annual benefits = monthly amount × the months it's actually received.</t>
  </si>
  <si>
    <t>count of to num(op.benefit monthly) × benefit active months(op)</t>
  </si>
  <si>
    <t>how many to num(op.benefit monthly) times benefit active months(op) there are.</t>
  </si>
  <si>
    <t>1. MK-CF-F-069 benefitActiveMonths
2. MK-ST-F-052 toNum</t>
  </si>
  <si>
    <t>1. MK-CF-F-069 benefitActiveMonths → MK-CF-F-070 benefitAnnual
2. MK-ST-F-052 toNum → MK-CF-F-070 benefitAnnual</t>
  </si>
  <si>
    <t>MK-CF-F-071</t>
  </si>
  <si>
    <t>extraIncome</t>
  </si>
  <si>
    <t>Extra income sources beyond salary/rental/equity (self-employment, investment, benefits, support, scholarship, other), split into taxable vs non-taxable steady monthly amounts + a one-time Jan amount.</t>
  </si>
  <si>
    <t>a = op (or none when missing)
se m = to num(se amount) ÷ 12   if se freq = 'annual'
se amount read as a number (0 when it is not one)   otherwise
inv m = to num(inv annual) ÷ 12
ben m = benefit annual(a) ÷ 12
sup m = support monthly read as a number (0 when it is not one)
sch list = scholarships   if array.is array(scholarships)
nothing   otherwise
oth freq = other freq (or 'monthly' when missing)
oth m = to num(other amount) ÷ 12   if oth freq = 'annual'
other amount read as a number (0 when it is not one)   if oth freq = 'monthly'
0   otherwise   otherwise
oth once = other amount read as a number (0 when it is not one)   if oth freq = 'onetime'
0   otherwise
oth taxable = other taxable ! = 'no'</t>
  </si>
  <si>
    <t>A is op (or none — when missing). Se m is to num(se amount) divided by 12 — when se freq = 'annual'; se amount read as a number (0 — when it is one is missing) — otherwise. Inv m is to num(inv annual) divided by 12. Ben m is benefit annual(a) divided by 12. Sup m is support monthly read as a number (0 — when it is one is missing). Sch list is scholarships — when array.is array(scholarships); no answer — otherwise. Oth freq is other freq (or 'monthly' — when missing). Oth m is to num(other amount) divided by 12 — when oth freq = 'annual'; other amount read as a number (0 when it is one is missing) — when oth freq = 'monthly'; 0 — otherwise — otherwise. Oth once is other amount read as a number (0 when it is one is missing) — when oth freq = 'onetime'; 0 — otherwise. Oth taxable is other taxable ! = 'no'.</t>
  </si>
  <si>
    <t>1. MK-CF-F-070 benefitAnnual
2. MK-ST-F-055 round2
3. MK-ST-F-052 toNum</t>
  </si>
  <si>
    <t>1. MK-CF-F-070 benefitAnnual
2. MK-ST-F-055 round2
3. MK-ST-F-052 toNum
4. MK-CF-F-069 benefitActiveMonths</t>
  </si>
  <si>
    <t>1. MK-CF-F-069 benefitActiveMonths → MK-CF-F-070 benefitAnnual → MK-CF-F-071 extraIncome
2. MK-ST-F-052 toNum → MK-CF-F-070 benefitAnnual → MK-CF-F-071 extraIncome
3. MK-ST-F-055 round2 → MK-CF-F-071 extraIncome
4. MK-ST-F-052 toNum → MK-CF-F-071 extraIncome</t>
  </si>
  <si>
    <t>Retirement income (ri_*) counts as CURRENT income only when the user actually receives it now — i.e.</t>
  </si>
  <si>
    <t>srcs = op.income sources
0   when array.is array(srcs) and !srcs.includes('retirement_income')
the answer = retirement income monthly(op)</t>
  </si>
  <si>
    <t>Srcs is op.income sources. When array.is array(srcs) and !srcs.includes('retirement_income'), it answers 0. The answer is retirement income monthly(op).</t>
  </si>
  <si>
    <t>MK-CF-F-075 retirementIncomeMonthly</t>
  </si>
  <si>
    <t>1. MK-CF-F-075 retirementIncomeMonthly
2. MK-ST-F-052 toNum</t>
  </si>
  <si>
    <t>MK-CF-F-073</t>
  </si>
  <si>
    <t>otherIncomeMonth</t>
  </si>
  <si>
    <t>Calendar month (1-12) a one-time "other income" lands in (default January).</t>
  </si>
  <si>
    <t>min(12, max(1, op.other month read as a number (0 when it is not one) (or 1 when missing or zero)))</t>
  </si>
  <si>
    <t>the smaller of 12 and the larger of 1 and op.other month read as a number (0 — when it is one is missing (or 1 — when missing or zero)).</t>
  </si>
  <si>
    <t>MK-ST-F-052 toNum → MK-CF-F-073 otherIncomeMonth</t>
  </si>
  <si>
    <t>MK-CF-F-074</t>
  </si>
  <si>
    <t>tipsAnnual</t>
  </si>
  <si>
    <t>Tips are part of employment income — they only count in the months the job is active, and the annual figure is prorated like salary (a temp job that ends stops the tips too).</t>
  </si>
  <si>
    <t>to num((op ?? {}).tips monthly) × salary active months(op, now)</t>
  </si>
  <si>
    <t>to num((op ?? {}).tips monthly) times salary active months(op, now).</t>
  </si>
  <si>
    <t>1. op: OnboardingProfile | null
2. now: Date = new Date()</t>
  </si>
  <si>
    <t>1. MK-CF-F-081 salaryActiveMonths
2. MK-ST-F-052 toNum</t>
  </si>
  <si>
    <t>1. MK-CF-F-081 salaryActiveMonths
2. MK-ST-F-052 toNum
3. MK-CF-F-060 salaryGrossByMonth
4. MK-CF-F-097 grossFromNet
5. MK-ST-F-055 round2
6. MK-CF-F-095 taxOwed
7. MK-CF-F-093 taxableIncome</t>
  </si>
  <si>
    <t>1. MK-CF-F-093 taxableIncome → MK-CF-F-095 taxOwed → MK-CF-F-097 grossFromNet → MK-CF-F-060 salaryGrossByMonth → MK-CF-F-081 salaryActiveMonths → MK-CF-F-074 tipsAnnual
2. MK-ST-F-055 round2 → MK-CF-F-060 salaryGrossByMonth → MK-CF-F-081 salaryActiveMonths → MK-CF-F-074 tipsAnnual
3. MK-ST-F-052 toNum → MK-CF-F-060 salaryGrossByMonth → MK-CF-F-081 salaryActiveMonths → MK-CF-F-074 tipsAnnual
4. MK-ST-F-052 toNum → MK-CF-F-074 tipsAnnual</t>
  </si>
  <si>
    <t>Retirement income (Social Security, pension, withdrawals, RMDs, annuities) per month — taxable.</t>
  </si>
  <si>
    <t>a = op (or none when missing)</t>
  </si>
  <si>
    <t>A is op (or none — when missing).</t>
  </si>
  <si>
    <t>MK-CF-F-076</t>
  </si>
  <si>
    <t>guaranteedOutsideStreams</t>
  </si>
  <si>
    <t>a = (op ?? {}) as any
per = (k: string) =&gt; to num(a['ri_' + k]) ÷ (RI_CAD_DIV[a['ri_' + k + '_freq']] ?? 1)
flag = (k: string, dflt: boolean) =&gt; (typeof a['ri_' + k + '_inflates'] = 'boolean' ? a['ri_' + k + '_inflates'] : dflt)
the answer = rows where monthly &gt; 0</t>
  </si>
  <si>
    <t>A is (op ?? {}) as any. Per is (k: string) =&gt; to num(a['ri_' plus k]) divided by (RI_CAD_DIV[a['ri_' plus k plus '_freq']] ?? 1). Flag is (k: string, dflt: boolean) =&gt; (typeof a['ri_' plus k plus '_inflates'] = 'boolean' ? a['ri_' plus k plus '_inflates'] : dflt). The answer is rows where monthly &gt; 0.</t>
  </si>
  <si>
    <t>GuaranteedStream[]</t>
  </si>
  <si>
    <t>MK-ST-F-052 toNum → MK-CF-F-076 guaranteedOutsideStreams</t>
  </si>
  <si>
    <t>MK-CF-F-077</t>
  </si>
  <si>
    <t>scholarshipByCalendarMonth</t>
  </si>
  <si>
    <t>Scholarships/grants placed in the calendar months they actually land (Jan→Dec) — NOT averaged.</t>
  </si>
  <si>
    <t>a = op (or none when missing)
out = 12 slots, each 0
list = scholarships   if array.is array(scholarships)
nothing   otherwise
amt = to num(sc.amount); if (amt ≤ 0) continue
months = sc.months   if count of array.is array(sc.months) and sc.months
nothing   otherwise
amt = scholarship amount read as a number (0 when it is not one)
the answer = out</t>
  </si>
  <si>
    <t>A is op (or none — when missing). Out is 12 slots, each 0. List is scholarships — when array.is array(scholarships); no answer — otherwise. Amt is to num(sc.amount); — when (amt is at most 0) continue. Months is sc.months — when how many array.is array(sc.months) and sc.months there are; no answer — otherwise. Amt is scholarship amount read as a number (0 — when it is one is missing). The answer is out.</t>
  </si>
  <si>
    <t>1. Uses a built-in i of 0.
2. Treats a year as twelve equal months.</t>
  </si>
  <si>
    <t>MK-ST-F-052 toNum → MK-CF-F-077 scholarshipByCalendarMonth</t>
  </si>
  <si>
    <t>Employer match resolved to $/month.</t>
  </si>
  <si>
    <t>a = op (or none when missing)
val = employer match value read as a number (0 when it is not one)
the answer:
(to num(c 401k) × val) ÷ 100   if employer match mode = 'pct'
val   otherwise</t>
  </si>
  <si>
    <t>A is op (or none — when missing). Val is employer match value read as a number (0 — when it is one is missing). The answer is (to num(c 401k) times val) divided by 100 — when employer match mode = 'pct'; val — otherwise.</t>
  </si>
  <si>
    <t>MK-CF-F-079</t>
  </si>
  <si>
    <t>incomeFromOnboarding</t>
  </si>
  <si>
    <t>a = op (or none when missing)
who = who earns as who earns (or 'you' when missing)
sources = []
vest w = equity vest weights(op)
the answer:
user id = uid
sources = sources
tax = tax</t>
  </si>
  <si>
    <t>A is op (or none — when missing). Who is who earns as who earns (or 'you' — when missing). Sources is []. Vest w is equity vest weights(op). The answer is user id = uid; sources = sources; tax = tax.</t>
  </si>
  <si>
    <t>IncomeDoc</t>
  </si>
  <si>
    <t>1. Treats a year as twelve equal months.
2. Leaves some rows out of the answer — check which.</t>
  </si>
  <si>
    <t>1. MK-CF-F-070 benefitAnnual
2. MK-CF-F-072 currentRetirementIncomeMonthly
3. MK-CF-F-078 employerMatchMonthly
4. MK-CF-F-065 equityVestWeights
5. MK-ST-F-043 newEntityId
6. MK-CF-F-067 rentalList
7. MK-CF-F-066 rsuAnnual
8. MK-CF-F-082 salaryAnnual
9. MK-CF-F-074 tipsAnnual
10. MK-ST-F-052 toNum</t>
  </si>
  <si>
    <t>1. MK-CF-F-070 benefitAnnual
2. MK-CF-F-072 currentRetirementIncomeMonthly
3. MK-CF-F-078 employerMatchMonthly
4. MK-CF-F-065 equityVestWeights
5. MK-ST-F-043 newEntityId
6. MK-CF-F-067 rentalList
7. MK-CF-F-066 rsuAnnual
8. MK-CF-F-082 salaryAnnual
9. MK-CF-F-074 tipsAnnual
10. MK-ST-F-052 toNum
11. MK-CF-F-069 benefitActiveMonths
12. MK-CF-F-075 retirementIncomeMonthly
13. MK-CF-F-062 equityRowValue
14. MK-CF-F-063 rowVestYear
15. MK-CF-F-060 salaryGrossByMonth
16. MK-CF-F-081 salaryActiveMonths
17. MK-CF-F-097 grossFromNet
18. MK-ST-F-055 round2
19. MK-CF-F-095 taxOwed
20. MK-CF-F-093 taxableIncome</t>
  </si>
  <si>
    <t>1. MK-CF-F-069 benefitActiveMonths → MK-CF-F-070 benefitAnnual → MK-CF-F-079 incomeFromOnboarding
2. MK-ST-F-052 toNum → MK-CF-F-070 benefitAnnual → MK-CF-F-079 incomeFromOnboarding
3. MK-ST-F-052 toNum → MK-CF-F-075 retirementIncomeMonthly → MK-CF-F-072 currentRetirementIncomeMonthly → MK-CF-F-079 incomeFromOnboarding
4. MK-ST-F-052 toNum → MK-CF-F-078 employerMatchMonthly → MK-CF-F-079 incomeFromOnboarding
5. MK-ST-F-052 toNum → MK-CF-F-062 equityRowValue → MK-CF-F-065 equityVestWeights → MK-CF-F-079 incomeFromOnboarding
6. MK-ST-F-043 newEntityId → MK-CF-F-079 incomeFromOnboarding
7. MK-ST-F-052 toNum → MK-CF-F-067 rentalList → MK-CF-F-079 incomeFromOnboarding
8. MK-ST-F-052 toNum → MK-CF-F-062 equityRowValue → MK-CF-F-066 rsuAnnual → MK-CF-F-079 incomeFromOnboarding
9. … and 10 more paths</t>
  </si>
  <si>
    <t>MK-CF-F-080</t>
  </si>
  <si>
    <t>jobActiveMonth</t>
  </si>
  <si>
    <t>Is base salary present in calendar month i (0-11)?</t>
  </si>
  <si>
    <t>salary gross by month(op)[((i % 12) + 12) % 12] &gt; 0</t>
  </si>
  <si>
    <t>salary gross by month(op)[((i % 12) plus 12) % 12] &gt; 0.</t>
  </si>
  <si>
    <t>1. op: OnboardingProfile | null
2. i: number
3. _now: Date = new Date()</t>
  </si>
  <si>
    <t>1. MK-CF-F-093 taxableIncome → MK-CF-F-095 taxOwed → MK-CF-F-097 grossFromNet → MK-CF-F-060 salaryGrossByMonth → MK-CF-F-080 jobActiveMonth
2. MK-ST-F-055 round2 → MK-CF-F-060 salaryGrossByMonth → MK-CF-F-080 jobActiveMonth
3. MK-ST-F-052 toNum → MK-CF-F-060 salaryGrossByMonth → MK-CF-F-080 jobActiveMonth</t>
  </si>
  <si>
    <t>MK-CF-F-081</t>
  </si>
  <si>
    <t>salaryActiveMonths</t>
  </si>
  <si>
    <t>How many months of the year you draw a salary.</t>
  </si>
  <si>
    <t xml:space="preserve">salary gross by month(op) where each &gt; 0count of </t>
  </si>
  <si>
    <t>salary gross by month(op) where each &gt; 0count of.</t>
  </si>
  <si>
    <t>1. op: OnboardingProfile | null
2. _now: Date = new Date()</t>
  </si>
  <si>
    <t>1. MK-CF-F-093 taxableIncome → MK-CF-F-095 taxOwed → MK-CF-F-097 grossFromNet → MK-CF-F-060 salaryGrossByMonth → MK-CF-F-081 salaryActiveMonths
2. MK-ST-F-055 round2 → MK-CF-F-060 salaryGrossByMonth → MK-CF-F-081 salaryActiveMonths
3. MK-ST-F-052 toNum → MK-CF-F-060 salaryGrossByMonth → MK-CF-F-081 salaryActiveMonths</t>
  </si>
  <si>
    <t>MONTHS_WORKED</t>
  </si>
  <si>
    <t>MK-CF-F-082</t>
  </si>
  <si>
    <t>salaryAnnual</t>
  </si>
  <si>
    <t>Salary income for the year = sum of the per-month gross salary.</t>
  </si>
  <si>
    <t>Σ over salary gross by month(op) of (each)</t>
  </si>
  <si>
    <t>the each added up across salary gross by month(op).</t>
  </si>
  <si>
    <t>1. MK-CF-F-093 taxableIncome → MK-CF-F-095 taxOwed → MK-CF-F-097 grossFromNet → MK-CF-F-060 salaryGrossByMonth → MK-CF-F-082 salaryAnnual
2. MK-ST-F-055 round2 → MK-CF-F-060 salaryGrossByMonth → MK-CF-F-082 salaryAnnual
3. MK-ST-F-052 toNum → MK-CF-F-060 salaryGrossByMonth → MK-CF-F-082 salaryAnnual</t>
  </si>
  <si>
    <t>Total annual income across every inflow (salary for months worked + bonus + signing + equity + net rental + self-employment/investment/benefits/support/scholarship/other).</t>
  </si>
  <si>
    <t>a = op (or none when missing)
ex = extra income(op)</t>
  </si>
  <si>
    <t>A is op (or none — when missing). Ex is extra income(op).</t>
  </si>
  <si>
    <t>1. "Net Worth" — on the setup questions, which appear on more than one screen
2. "Operating expense / mo" — on the setup questions, which appear on more than one screen
3. "Pay off over (years)" — on the setup questions, which appear on more than one screen
4. "STUDENT LOAN OUTLOOK" — on the Goals screen, under "STUDENT LOAN OUTLOOK"
5. "Total income / yr" — on the setup questions, which appear on more than one screen
6. "Total value" — on the setup questions, which appear on more than one screen</t>
  </si>
  <si>
    <t>1. Turns a monthly figure into a year by multiplying by twelve.
2. Uses today's date from the device clock, so the answer changes by itself overnight.</t>
  </si>
  <si>
    <t>1. MK-CF-F-072 currentRetirementIncomeMonthly
2. MK-CF-F-071 extraIncome
3. MK-CF-F-068 rentalNetAnnual
4. MK-CF-F-066 rsuAnnual
5. MK-CF-F-082 salaryAnnual
6. MK-CF-F-074 tipsAnnual
7. MK-ST-F-052 toNum</t>
  </si>
  <si>
    <t>1. MK-CF-F-072 currentRetirementIncomeMonthly
2. MK-CF-F-071 extraIncome
3. MK-CF-F-068 rentalNetAnnual
4. MK-CF-F-066 rsuAnnual
5. MK-CF-F-082 salaryAnnual
6. MK-CF-F-074 tipsAnnual
7. MK-ST-F-052 toNum
8. MK-CF-F-075 retirementIncomeMonthly
9. MK-CF-F-070 benefitAnnual
10. MK-ST-F-055 round2
11. MK-CF-F-067 rentalList
12. MK-CF-F-062 equityRowValue
13. MK-CF-F-063 rowVestYear
14. MK-CF-F-060 salaryGrossByMonth
15. MK-CF-F-081 salaryActiveMonths
16. MK-CF-F-069 benefitActiveMonths
17. MK-CF-F-097 grossFromNet
18. MK-CF-F-095 taxOwed
19. MK-CF-F-093 taxableIncome</t>
  </si>
  <si>
    <t>MK-CF-F-084</t>
  </si>
  <si>
    <t>taxableAnnual</t>
  </si>
  <si>
    <t>Taxable annual income (excludes non-taxable benefits/support/scholarships) — the base for tax estimates.</t>
  </si>
  <si>
    <t>1. "Count money you receive to live on. We won't tax this." — on the setup questions, which appear on more than one screen
2. "Each month: tax
3. spending
4. savings" — on the setup questions, which appear on more than one screen
5. "How often?" — on the setup questions, which appear on more than one screen
6. "WHAT'S TAKEN OUT" — on the setup questions, which appear on more than one screen</t>
  </si>
  <si>
    <t>1. MK-ST-F-052 toNum → MK-CF-F-075 retirementIncomeMonthly → MK-CF-F-072 currentRetirementIncomeMonthly → MK-CF-F-084 taxableAnnual
2. MK-CF-F-069 benefitActiveMonths → MK-CF-F-070 benefitAnnual → MK-CF-F-071 extraIncome → MK-CF-F-084 taxableAnnual
3. MK-ST-F-052 toNum → MK-CF-F-070 benefitAnnual → MK-CF-F-071 extraIncome → MK-CF-F-084 taxableAnnual
4. MK-ST-F-055 round2 → MK-CF-F-071 extraIncome → MK-CF-F-084 taxableAnnual
5. MK-ST-F-052 toNum → MK-CF-F-071 extraIncome → MK-CF-F-084 taxableAnnual
6. MK-ST-F-052 toNum → MK-CF-F-067 rentalList → MK-CF-F-068 rentalNetAnnual → MK-CF-F-084 taxableAnnual
7. MK-ST-F-052 toNum → MK-CF-F-062 equityRowValue → MK-CF-F-066 rsuAnnual → MK-CF-F-084 taxableAnnual
8. MK-CF-F-063 rowVestYear → MK-CF-F-066 rsuAnnual → MK-CF-F-084 taxableAnnual
9. … and 9 more paths</t>
  </si>
  <si>
    <t>MK-CF-F-085</t>
  </si>
  <si>
    <t>filingStatusOf</t>
  </si>
  <si>
    <t>Effective tax rate in use: the user's manual rate, else the IRS-schedule estimate on taxable income.</t>
  </si>
  <si>
    <t>v = (op as any).filing status
the answer:
v   if v = 'married' (or v = 'hoh' when missing or zero)
'single'   otherwise</t>
  </si>
  <si>
    <t>V is (op as any).filing status. The answer is v — when v = 'married' (or v = 'hoh' when missing or zero); 'single' — otherwise.</t>
  </si>
  <si>
    <t>import('./tax').FilingStatus</t>
  </si>
  <si>
    <t>MK-CF-F-086</t>
  </si>
  <si>
    <t>stateRateOf</t>
  </si>
  <si>
    <t>min(0.15, max(0, to num((op as any).state tax rate) ÷ 100))</t>
  </si>
  <si>
    <t>the smaller of 0.15 and to num((op as any, never below zero.state tax rate divided by 100)).</t>
  </si>
  <si>
    <t>MK-ST-F-052 toNum → MK-CF-F-086 stateRateOf</t>
  </si>
  <si>
    <t>MK-CF-F-087</t>
  </si>
  <si>
    <t>monthlyTaxRates</t>
  </si>
  <si>
    <t>PRD F2#11 — the ONE per-calendar-month effective tax-rate vector (Jan→Dec).</t>
  </si>
  <si>
    <t>a = op (or none when missing)
flat = effective rate(op)
12 slots, each flat   when tax mode = 'manual'
taxable = taxable by calendar month(op, now)
total = Σ over taxable of (each)
12 slots, each flat   when total ≤ 0
tax = progressive monthly tax(taxable, filing status of(op), state rate of(op), over65 count of(op))
the answer:
for each of taxable: min(0.6, max(0, tax[i] ÷ each))   if each &gt; 0
flat   otherwise</t>
  </si>
  <si>
    <t>A is op (or none — when missing). Flat is effective rate(op). When tax mode = 'manual', it answers 12 slots, each flat. Taxable is taxable by calendar month(op, now). Total: the each added up across taxable. When total is at most 0, it answers 12 slots, each flat. Tax is progressive monthly tax(taxable, filing status of(op), state rate of(op), over65 count of(op)). The answer is for each of taxable: the smaller of 0.6 and tax[i] divided by each, never below zero — when each &gt; 0; flat — otherwise.</t>
  </si>
  <si>
    <t>1. MK-CF-F-090 effectiveRate
2. MK-CF-F-085 filingStatusOf
3. MK-CF-F-089 over65CountOf
4. MK-CF-F-098 progressiveMonthlyTax
5. MK-CF-F-086 stateRateOf
6. MK-CF-F-088 taxableByCalendarMonth</t>
  </si>
  <si>
    <t>1. MK-CF-F-090 effectiveRate
2. MK-CF-F-085 filingStatusOf
3. MK-CF-F-089 over65CountOf
4. MK-CF-F-098 progressiveMonthlyTax
5. MK-CF-F-086 stateRateOf
6. MK-CF-F-088 taxableByCalendarMonth
7. MK-CF-F-102 effectiveRateOnGrossFor
8. MK-CF-F-084 taxableAnnual
9. MK-ST-F-052 toNum
10. MK-CF-F-101 taxOwedFor
11. MK-CF-F-100 taxableIncomeFor
12. MK-CF-F-072 currentRetirementIncomeMonthly
13. MK-CF-F-065 equityVestWeights
14. MK-CF-F-071 extraIncome
15. MK-CF-F-073 otherIncomeMonth
16. MK-CF-F-068 rentalNetAnnual
17. MK-CF-F-066 rsuAnnual
18. MK-CF-F-060 salaryGrossByMonth
19. MK-CF-F-082 salaryAnnual
20. MK-CF-F-074 tipsAnnual
21. MK-CF-F-099 deductionFor
22. MK-CF-F-075 retirementIncomeMonthly
23. MK-CF-F-062 equityRowValue
24. MK-CF-F-070 benefitAnnual
25. MK-ST-F-055 round2
26. MK-CF-F-067 rentalList
27. MK-CF-F-063 rowVestYear
28. MK-CF-F-097 grossFromNet
29. MK-CF-F-081 salaryActiveMonths
30. MK-CF-F-069 benefitActiveMonths
31. MK-CF-F-095 taxOwed
32. MK-CF-F-093 taxableIncome</t>
  </si>
  <si>
    <t>1. MK-CF-F-099 deductionFor → MK-CF-F-100 taxableIncomeFor → MK-CF-F-101 taxOwedFor → MK-CF-F-102 effectiveRateOnGrossFor → MK-CF-F-090 effectiveRate → MK-CF-F-087 monthlyTaxRates
2. MK-CF-F-085 filingStatusOf → MK-CF-F-090 effectiveRate → MK-CF-F-087 monthlyTaxRates
3. MK-ST-F-052 toNum → MK-CF-F-089 over65CountOf → MK-CF-F-090 effectiveRate → MK-CF-F-087 monthlyTaxRates
4. MK-ST-F-052 toNum → MK-CF-F-086 stateRateOf → MK-CF-F-090 effectiveRate → MK-CF-F-087 monthlyTaxRates
5. MK-ST-F-052 toNum → MK-CF-F-075 retirementIncomeMonthly → MK-CF-F-072 currentRetirementIncomeMonthly → MK-CF-F-084 taxableAnnual → MK-CF-F-090 effectiveRate → MK-CF-F-087 monthlyTaxRates
6. MK-CF-F-069 benefitActiveMonths → MK-CF-F-070 benefitAnnual → MK-CF-F-071 extraIncome → MK-CF-F-084 taxableAnnual → MK-CF-F-090 effectiveRate → MK-CF-F-087 monthlyTaxRates
7. MK-ST-F-052 toNum → MK-CF-F-070 benefitAnnual → MK-CF-F-071 extraIncome → MK-CF-F-084 taxableAnnual → MK-CF-F-090 effectiveRate → MK-CF-F-087 monthlyTaxRates
8. MK-ST-F-055 round2 → MK-CF-F-071 extraIncome → MK-CF-F-084 taxableAnnual → MK-CF-F-090 effectiveRate → MK-CF-F-087 monthlyTaxRates
9. … and 32 more paths</t>
  </si>
  <si>
    <t>MK-CF-F-088</t>
  </si>
  <si>
    <t>taxableByCalendarMonth</t>
  </si>
  <si>
    <t>The calendar-year TAXABLE profile (Jan→Dec) — the same placement rules incomeMonthlyGrid uses, extracted so the rate vector and the grid can never drift apart.</t>
  </si>
  <si>
    <t>a = op (or none when missing)
sal by month = salary gross by month(op)
tips m = tips monthly read as a number (0 when it is not one)
rental m = rental net annual(op) ÷ 12
ex = extra income(op)
ret inc monthly = current retirement income monthly(op)
eq annual = rsu annual(op)
vest w = equity vest weights(op)
equity by month = for each of vest w ? vest w: eq annual × each: 12 slots, each 0
bonus idx = min(11, max(0, (to num(bonus month) or 12) − 1))
other idx = other income month(op) − 1
… the first steps only — the rest of the body needs reading by hand.</t>
  </si>
  <si>
    <t>A is op (or none — when missing). Sal by month is salary gross by month(op). Tips m is tips monthly read as a number (0 — when it is one is missing). Rental m is rental net annual(op) divided by 12. Ex is extra income(op). Ret inc monthly is current retirement income monthly(op). Eq annual is rsu annual(op). Vest w is equity vest weights(op). Equity by month is for each of vest w ? vest w: eq annual times each: 12 slots, each 0. Bonus idx: the smaller of 11 and (to num(bonus month, never below zero or 12 minus 1)). Other idx is other income month(op) minus 1. Only the first steps are shown; the rest of the body needs reading by hand.</t>
  </si>
  <si>
    <t>1. Treats a year as twelve equal months.
2. Uses today's date from the device clock, so the answer changes by itself overnight.</t>
  </si>
  <si>
    <t>1. MK-CF-F-072 currentRetirementIncomeMonthly
2. MK-CF-F-065 equityVestWeights
3. MK-CF-F-071 extraIncome
4. MK-CF-F-073 otherIncomeMonth
5. MK-CF-F-068 rentalNetAnnual
6. MK-CF-F-066 rsuAnnual
7. MK-CF-F-060 salaryGrossByMonth
8. MK-ST-F-052 toNum</t>
  </si>
  <si>
    <t>1. MK-CF-F-072 currentRetirementIncomeMonthly
2. MK-CF-F-065 equityVestWeights
3. MK-CF-F-071 extraIncome
4. MK-CF-F-073 otherIncomeMonth
5. MK-CF-F-068 rentalNetAnnual
6. MK-CF-F-066 rsuAnnual
7. MK-CF-F-060 salaryGrossByMonth
8. MK-ST-F-052 toNum
9. MK-CF-F-075 retirementIncomeMonthly
10. MK-CF-F-062 equityRowValue
11. MK-CF-F-070 benefitAnnual
12. MK-ST-F-055 round2
13. MK-CF-F-067 rentalList
14. MK-CF-F-063 rowVestYear
15. MK-CF-F-097 grossFromNet
16. MK-CF-F-069 benefitActiveMonths
17. MK-CF-F-095 taxOwed
18. MK-CF-F-093 taxableIncome</t>
  </si>
  <si>
    <t>1. MK-ST-F-052 toNum → MK-CF-F-075 retirementIncomeMonthly → MK-CF-F-072 currentRetirementIncomeMonthly → MK-CF-F-088 taxableByCalendarMonth
2. MK-ST-F-052 toNum → MK-CF-F-062 equityRowValue → MK-CF-F-065 equityVestWeights → MK-CF-F-088 taxableByCalendarMonth
3. MK-CF-F-069 benefitActiveMonths → MK-CF-F-070 benefitAnnual → MK-CF-F-071 extraIncome → MK-CF-F-088 taxableByCalendarMonth
4. MK-ST-F-052 toNum → MK-CF-F-070 benefitAnnual → MK-CF-F-071 extraIncome → MK-CF-F-088 taxableByCalendarMonth
5. MK-ST-F-055 round2 → MK-CF-F-071 extraIncome → MK-CF-F-088 taxableByCalendarMonth
6. MK-ST-F-052 toNum → MK-CF-F-071 extraIncome → MK-CF-F-088 taxableByCalendarMonth
7. MK-ST-F-052 toNum → MK-CF-F-073 otherIncomeMonth → MK-CF-F-088 taxableByCalendarMonth
8. MK-ST-F-052 toNum → MK-CF-F-067 rentalList → MK-CF-F-068 rentalNetAnnual → MK-CF-F-088 taxableByCalendarMonth
9. … and 7 more paths</t>
  </si>
  <si>
    <t>MK-CF-F-089</t>
  </si>
  <si>
    <t>over65CountOf</t>
  </si>
  <si>
    <t>E8 (founder brief 2026-08-20): how many people on the return are 65+.</t>
  </si>
  <si>
    <t>y = (op ?? ({} as any)).birth year read as a number (0 when it is not one)
0   when y is missing
the answer:
1   if new date().get full year() − y ≥ 65
0   otherwise</t>
  </si>
  <si>
    <t>Y is (op ?? ({} as any)).birth year read as a number (0 — when it is one is missing). When y is missing, it answers 0. The answer is 1 — when new date().get full year() minus y is at least 65; 0 — otherwise.</t>
  </si>
  <si>
    <t>MK-ST-F-052 toNum → MK-CF-F-089 over65CountOf</t>
  </si>
  <si>
    <t>MK-CF-F-090</t>
  </si>
  <si>
    <t>effectiveRate</t>
  </si>
  <si>
    <t>a = op (or none when missing)
min(max(to num(manual tax rate) ÷ 100, 0), 1)   when tax mode = 'manual'
the answer = effective rate on gross for(taxable annual(op), filing status of(op), state rate of(op), over65 count of(op))</t>
  </si>
  <si>
    <t>A is op (or none — when missing). When tax mode = 'manual', it answers the smaller of the larger of to num(manual tax rate) divided by 100 and 0 and 1. The answer is effective rate on gross for(taxable annual(op), filing status of(op), state rate of(op), over65 count of(op)).</t>
  </si>
  <si>
    <t>1. MK-CF-F-102 effectiveRateOnGrossFor
2. MK-CF-F-085 filingStatusOf
3. MK-CF-F-089 over65CountOf
4. MK-CF-F-086 stateRateOf
5. MK-CF-F-084 taxableAnnual
6. MK-ST-F-052 toNum</t>
  </si>
  <si>
    <t>1. MK-CF-F-102 effectiveRateOnGrossFor
2. MK-CF-F-085 filingStatusOf
3. MK-CF-F-089 over65CountOf
4. MK-CF-F-086 stateRateOf
5. MK-CF-F-084 taxableAnnual
6. MK-ST-F-052 toNum
7. MK-CF-F-101 taxOwedFor
8. MK-CF-F-072 currentRetirementIncomeMonthly
9. MK-CF-F-071 extraIncome
10. MK-CF-F-068 rentalNetAnnual
11. MK-CF-F-066 rsuAnnual
12. MK-CF-F-082 salaryAnnual
13. MK-CF-F-074 tipsAnnual
14. MK-CF-F-100 taxableIncomeFor
15. MK-CF-F-075 retirementIncomeMonthly
16. MK-CF-F-070 benefitAnnual
17. MK-ST-F-055 round2
18. MK-CF-F-067 rentalList
19. MK-CF-F-062 equityRowValue
20. MK-CF-F-063 rowVestYear
21. MK-CF-F-060 salaryGrossByMonth
22. MK-CF-F-081 salaryActiveMonths
23. MK-CF-F-099 deductionFor
24. MK-CF-F-069 benefitActiveMonths
25. MK-CF-F-097 grossFromNet
26. MK-CF-F-095 taxOwed
27. MK-CF-F-093 taxableIncome</t>
  </si>
  <si>
    <t>1. MK-CF-F-099 deductionFor → MK-CF-F-100 taxableIncomeFor → MK-CF-F-101 taxOwedFor → MK-CF-F-102 effectiveRateOnGrossFor → MK-CF-F-090 effectiveRate
2. MK-CF-F-085 filingStatusOf → MK-CF-F-090 effectiveRate
3. MK-ST-F-052 toNum → MK-CF-F-089 over65CountOf → MK-CF-F-090 effectiveRate
4. MK-ST-F-052 toNum → MK-CF-F-086 stateRateOf → MK-CF-F-090 effectiveRate
5. MK-ST-F-052 toNum → MK-CF-F-075 retirementIncomeMonthly → MK-CF-F-072 currentRetirementIncomeMonthly → MK-CF-F-084 taxableAnnual → MK-CF-F-090 effectiveRate
6. MK-CF-F-069 benefitActiveMonths → MK-CF-F-070 benefitAnnual → MK-CF-F-071 extraIncome → MK-CF-F-084 taxableAnnual → MK-CF-F-090 effectiveRate
7. MK-ST-F-052 toNum → MK-CF-F-070 benefitAnnual → MK-CF-F-071 extraIncome → MK-CF-F-084 taxableAnnual → MK-CF-F-090 effectiveRate
8. MK-ST-F-055 round2 → MK-CF-F-071 extraIncome → MK-CF-F-084 taxableAnnual → MK-CF-F-090 effectiveRate
9. … and 14 more paths</t>
  </si>
  <si>
    <t>MK-CF-F-091</t>
  </si>
  <si>
    <t>userCapGainsRates</t>
  </si>
  <si>
    <t>PRD F3#17 — the user's OWN capital-gains rates (long: 0/15/20 ladder by filing status; short: their marginal bracket), each plus the flat state rate.</t>
  </si>
  <si>
    <t>gross = total gross annual(op)
status = filing status of(op)
state = state rate of(op)
over65 = over65 count of(op)
the answer:
lt = ltcg rate for(gross, status, over65) + state
st = marginal bracket for(gross, status, over65) + state</t>
  </si>
  <si>
    <t>Gross is total gross annual(op). Status is filing status of(op). State is state rate of(op). Over65 is over65 count of(op). The answer is lt = ltcg rate for(gross, status, over65) plus state; st = marginal bracket for(gross, status, over65) plus state.</t>
  </si>
  <si>
    <t>1. MK-CF-F-085 filingStatusOf
2. MK-CF-F-104 ltcgRateFor
3. MK-CF-F-103 marginalBracketFor
4. MK-ST-F-039 on
5. MK-CF-F-089 over65CountOf
6. MK-CF-F-086 stateRateOf
7. MK-CF-F-083 totalGrossAnnual</t>
  </si>
  <si>
    <t>1. MK-CF-F-085 filingStatusOf
2. MK-CF-F-104 ltcgRateFor
3. MK-CF-F-103 marginalBracketFor
4. MK-ST-F-039 on
5. MK-CF-F-089 over65CountOf
6. MK-CF-F-086 stateRateOf
7. MK-CF-F-083 totalGrossAnnual
8. MK-CF-F-100 taxableIncomeFor
9. MK-ST-F-052 toNum
10. MK-CF-F-072 currentRetirementIncomeMonthly
11. MK-CF-F-071 extraIncome
12. MK-CF-F-068 rentalNetAnnual
13. MK-CF-F-066 rsuAnnual
14. MK-CF-F-082 salaryAnnual
15. MK-CF-F-074 tipsAnnual
16. MK-CF-F-099 deductionFor
17. MK-CF-F-075 retirementIncomeMonthly
18. MK-CF-F-070 benefitAnnual
19. MK-ST-F-055 round2
20. MK-CF-F-067 rentalList
21. MK-CF-F-062 equityRowValue
22. MK-CF-F-063 rowVestYear
23. MK-CF-F-060 salaryGrossByMonth
24. MK-CF-F-081 salaryActiveMonths
25. MK-CF-F-069 benefitActiveMonths
26. MK-CF-F-097 grossFromNet
27. MK-CF-F-095 taxOwed
28. MK-CF-F-093 taxableIncome</t>
  </si>
  <si>
    <t>1. MK-CF-F-085 filingStatusOf → MK-CF-F-091 userCapGainsRates
2. MK-CF-F-099 deductionFor → MK-CF-F-100 taxableIncomeFor → MK-CF-F-104 ltcgRateFor → MK-CF-F-091 userCapGainsRates
3. MK-CF-F-099 deductionFor → MK-CF-F-100 taxableIncomeFor → MK-CF-F-103 marginalBracketFor → MK-CF-F-091 userCapGainsRates
4. MK-ST-F-039 on → MK-CF-F-091 userCapGainsRates
5. MK-ST-F-052 toNum → MK-CF-F-089 over65CountOf → MK-CF-F-091 userCapGainsRates
6. MK-ST-F-052 toNum → MK-CF-F-086 stateRateOf → MK-CF-F-091 userCapGainsRates
7. MK-ST-F-052 toNum → MK-CF-F-075 retirementIncomeMonthly → MK-CF-F-072 currentRetirementIncomeMonthly → MK-CF-F-083 totalGrossAnnual → MK-CF-F-091 userCapGainsRates
8. MK-CF-F-069 benefitActiveMonths → MK-CF-F-070 benefitAnnual → MK-CF-F-071 extraIncome → MK-CF-F-083 totalGrossAnnual → MK-CF-F-091 userCapGainsRates
9. … and 15 more paths</t>
  </si>
  <si>
    <t>A representative 12-month cash-flow grid (Jan→Dec) that honors lumpiness: salary &amp; net rental are steady every month; the annual bonus lands in December; the signing bonus is one-time (January); equity is the level annual vesting spread across the month-of-year its vest dates fall on (so quarterly vesting shows up as quarterly spikes).</t>
  </si>
  <si>
    <t>a = op (or none when missing)
sal by month = salary gross by month(op)
tips m = tips monthly read as a number (0 when it is not one)
rental m = rental net annual(op) ÷ 12
bonus = bonus annual read as a number (0 when it is not one)
signing = signing onetime read as a number (0 when it is not one)
c401k m = c 401k read as a number (0 when it is not one)
rates = monthly tax rates(op, now)
eq annual = rsu annual(op)
vest w = equity vest weights(op)
equity by month = for each of vest w ? vest w: eq annual × each: 12 slots, each 0
… the first steps only — the rest of the body needs reading by hand.</t>
  </si>
  <si>
    <t>A is op (or none — when missing). Sal by month is salary gross by month(op). Tips m is tips monthly read as a number (0 — when it is one is missing). Rental m is rental net annual(op) divided by 12. Bonus is bonus annual read as a number (0 — when it is one is missing). Signing is signing onetime read as a number (0 — when it is one is missing). C401k m is c 401k read as a number (0 — when it is one is missing). Rates is monthly tax rates(op, now). Eq annual is rsu annual(op). Vest w is equity vest weights(op). Equity by month is for each of vest w ? vest w: eq annual times each: 12 slots, each 0. Only the first steps are shown; the rest of the body needs reading by hand.</t>
  </si>
  <si>
    <t>1. op: OnboardingProfile | null
2. mode: 'gross' | 'net' | 'available' = 'available'
3. now: Date = new Date()</t>
  </si>
  <si>
    <t>1. MK-CF-F-069 benefitActiveMonths
2. MK-CF-F-072 currentRetirementIncomeMonthly
3. MK-CF-F-065 equityVestWeights
4. MK-CF-F-071 extraIncome
5. MK-CF-F-087 monthlyTaxRates
6. MK-CF-F-073 otherIncomeMonth
7. MK-CF-F-068 rentalNetAnnual
8. MK-ST-F-055 round2
9. MK-CF-F-066 rsuAnnual
10. MK-CF-F-060 salaryGrossByMonth
11. MK-CF-F-077 scholarshipByCalendarMonth
12. MK-ST-F-052 toNum</t>
  </si>
  <si>
    <t>1. MK-CF-F-069 benefitActiveMonths
2. MK-CF-F-072 currentRetirementIncomeMonthly
3. MK-CF-F-065 equityVestWeights
4. MK-CF-F-071 extraIncome
5. MK-CF-F-087 monthlyTaxRates
6. MK-CF-F-073 otherIncomeMonth
7. MK-CF-F-068 rentalNetAnnual
8. MK-ST-F-055 round2
9. MK-CF-F-066 rsuAnnual
10. MK-CF-F-060 salaryGrossByMonth
11. MK-CF-F-077 scholarshipByCalendarMonth
12. MK-ST-F-052 toNum
13. MK-CF-F-075 retirementIncomeMonthly
14. MK-CF-F-062 equityRowValue
15. MK-CF-F-070 benefitAnnual
16. MK-CF-F-090 effectiveRate
17. MK-CF-F-085 filingStatusOf
18. MK-CF-F-089 over65CountOf
19. MK-CF-F-098 progressiveMonthlyTax
20. MK-CF-F-086 stateRateOf
21. MK-CF-F-088 taxableByCalendarMonth
22. MK-CF-F-067 rentalList
23. MK-CF-F-063 rowVestYear
24. MK-CF-F-097 grossFromNet
25. MK-CF-F-102 effectiveRateOnGrossFor
26. MK-CF-F-084 taxableAnnual
27. MK-CF-F-101 taxOwedFor
28. MK-CF-F-100 taxableIncomeFor
29. MK-CF-F-095 taxOwed
30. MK-CF-F-082 salaryAnnual
31. MK-CF-F-074 tipsAnnual
32. MK-CF-F-099 deductionFor
33. MK-CF-F-093 taxableIncome
34. MK-CF-F-081 salaryActiveMonths</t>
  </si>
  <si>
    <t>MK-CF-F-093</t>
  </si>
  <si>
    <t>taxableIncome</t>
  </si>
  <si>
    <t>src/domain/income/tax.ts</t>
  </si>
  <si>
    <t>Taxable income after the standard deduction.</t>
  </si>
  <si>
    <t>taxable income = max(0, gross − standard deduction)</t>
  </si>
  <si>
    <t>Gross income less the standard deduction, never below zero. The 2026 single-filer deduction is $16,100 (IRS Rev. Proc. 2025-32) — named in the code, and named nowhere in the master file.</t>
  </si>
  <si>
    <t>gross: number</t>
  </si>
  <si>
    <t>TAXABLE_INCOME_SINGLE</t>
  </si>
  <si>
    <t>MK-CF-F-094</t>
  </si>
  <si>
    <t>marginalBracket</t>
  </si>
  <si>
    <t>The marginal bracket rate (decimal) for an income (on taxable income, after deduction).</t>
  </si>
  <si>
    <t>ti = taxable income(gross)
the answer = TAX_BRACKETS[TAX_BRACKETS.length − 1][1]</t>
  </si>
  <si>
    <t>Ti is taxable income(gross). The answer is TAX_BRACKETS[TAX_BRACKETS.length minus 1][1].</t>
  </si>
  <si>
    <t>MK-CF-F-093 taxableIncome</t>
  </si>
  <si>
    <t>MK-CF-F-093 taxableIncome → MK-CF-F-094 marginalBracket</t>
  </si>
  <si>
    <t>MK-CF-F-095</t>
  </si>
  <si>
    <t>taxOwed</t>
  </si>
  <si>
    <t>Federal tax owed: progressive brackets applied to income after the standard deduction.</t>
  </si>
  <si>
    <t>tax owed = Σ over each band of ( the part of taxable income inside that band × its rate )</t>
  </si>
  <si>
    <t>Walks the federal bands from the bottom, taxing only the slice of income that falls inside each one. Progressive, not a flat rate on the whole amount. 2026 single-filer bands.</t>
  </si>
  <si>
    <t>MK-CF-F-093 taxableIncome → MK-CF-F-095 taxOwed</t>
  </si>
  <si>
    <t>TAX_OWED_SINGLE</t>
  </si>
  <si>
    <t>MK-CF-F-096</t>
  </si>
  <si>
    <t>effectiveRateOnGross</t>
  </si>
  <si>
    <t>Blended effective rate (total tax / gross).</t>
  </si>
  <si>
    <t>tax owed(gross) ÷ gross   if gross &gt; 0
0   otherwise</t>
  </si>
  <si>
    <t>tax owed(gross) divided by gross — when gross &gt; 0; 0 — otherwise.</t>
  </si>
  <si>
    <t>MK-CF-F-095 taxOwed</t>
  </si>
  <si>
    <t>1. MK-CF-F-095 taxOwed
2. MK-CF-F-093 taxableIncome</t>
  </si>
  <si>
    <t>MK-CF-F-093 taxableIncome → MK-CF-F-095 taxOwed → MK-CF-F-096 effectiveRateOnGross</t>
  </si>
  <si>
    <t>MK-CF-F-097</t>
  </si>
  <si>
    <t>grossFromNet</t>
  </si>
  <si>
    <t>Invert the schedule: the gross income whose take-home equals `net` (bisection).</t>
  </si>
  <si>
    <t>0   when net ≤ 0
lo = net, hi = net × 3
mid = (lo + hi) ÷ 2
the answer = round((lo + hi) ÷ 2)</t>
  </si>
  <si>
    <t>When net is at most 0, it answers 0. Lo is net, hi = net times 3. Mid is (lo plus hi) divided by 2. The answer is (lo plus hi, to a whole number divided by 2).</t>
  </si>
  <si>
    <t>net: number</t>
  </si>
  <si>
    <t>1. Uses a built-in i of 0.
2. Rounds the answer to a whole number.</t>
  </si>
  <si>
    <t>MK-CF-F-093 taxableIncome → MK-CF-F-095 taxOwed → MK-CF-F-097 grossFromNet</t>
  </si>
  <si>
    <t>GROSS_FROM_TAKE_HOME</t>
  </si>
  <si>
    <t>MK-CF-F-098</t>
  </si>
  <si>
    <t>progressiveMonthlyTax</t>
  </si>
  <si>
    <t>PRD F2#11 — progressive PER-MONTH tax: brackets fill as the year's taxable income accumulates month by month (Jan→Dec), so tax_m = taxOwed(cumulative through m) − taxOwed(cumulative through m−1).</t>
  </si>
  <si>
    <t>cum = 0, prev tax = 0, prev ti = 0
t = tax owed for(cum, status, 0, over65)
m = t − prev tax
ti = taxable income for(cum, status, over65)
state m = (ti − prev ti) × min(0.15, max(0, state rate))
the answer = m + state m</t>
  </si>
  <si>
    <t>Cum is 0, prev tax = 0, prev ti = 0. T is tax owed for(cum, status, 0, over65). M is t minus prev tax. Ti is taxable income for(cum, status, over65). State m is (ti minus prev ti) times the smaller of 0.15 and state rate, never below zero. The answer is m plus state m.</t>
  </si>
  <si>
    <t>1. taxableByMonth: number[]
2. status: FilingStatus = 'single'
3. stateRate = 0
4. over65 = 0</t>
  </si>
  <si>
    <t>1. MK-CF-F-101 taxOwedFor
2. MK-CF-F-100 taxableIncomeFor</t>
  </si>
  <si>
    <t>1. MK-CF-F-101 taxOwedFor
2. MK-CF-F-100 taxableIncomeFor
3. MK-CF-F-099 deductionFor</t>
  </si>
  <si>
    <t>1. MK-CF-F-099 deductionFor → MK-CF-F-100 taxableIncomeFor → MK-CF-F-101 taxOwedFor → MK-CF-F-098 progressiveMonthlyTax
2. MK-CF-F-099 deductionFor → MK-CF-F-100 taxableIncomeFor → MK-CF-F-098 progressiveMonthlyTax</t>
  </si>
  <si>
    <t>MK-CF-F-099</t>
  </si>
  <si>
    <t>deductionFor</t>
  </si>
  <si>
    <t>The standard deduction with the age-65 additions (E8).</t>
  </si>
  <si>
    <t>t = TAX_TABLES[status]
the answer = deduction + min(2, max(0, over65)) × over65 add</t>
  </si>
  <si>
    <t>T is TAX_TABLES[status]. The answer is deduction plus the smaller of 2 and over65, never below zero times over65 add.</t>
  </si>
  <si>
    <t>1. status: FilingStatus = 'single'
2. over65 = 0</t>
  </si>
  <si>
    <t>max(0, gross − deduction for(status, over65))</t>
  </si>
  <si>
    <t>gross minus deduction for(status, over65, never below zero).</t>
  </si>
  <si>
    <t>1. gross: number
2. status: FilingStatus = 'single'
3. over65 = 0</t>
  </si>
  <si>
    <t>MK-CF-F-099 deductionFor</t>
  </si>
  <si>
    <t>MK-CF-F-101</t>
  </si>
  <si>
    <t>taxOwedFor</t>
  </si>
  <si>
    <t>Federal tax owed under a filing status, plus an optional user-set FLAT state rate applied to TAXABLE income (E10) — states differ wildly, so one honest user-entered percent beats fifty guessed tables, and it never taxes the deduction.</t>
  </si>
  <si>
    <t>ti = taxable income for(gross, status, over65)
tax = 0, lower = 0
the answer = tax + ti × min(0.15, max(0, state rate))</t>
  </si>
  <si>
    <t>Ti is taxable income for(gross, status, over65). Tax is 0, lower = 0. The answer is tax plus ti times the smaller of 0.15 and state rate, never below zero.</t>
  </si>
  <si>
    <t>1. gross: number
2. status: FilingStatus = 'single'
3. stateRate = 0
4. over65 = 0</t>
  </si>
  <si>
    <t>MK-CF-F-100 taxableIncomeFor</t>
  </si>
  <si>
    <t>1. MK-CF-F-100 taxableIncomeFor
2. MK-CF-F-099 deductionFor</t>
  </si>
  <si>
    <t>MK-CF-F-099 deductionFor → MK-CF-F-100 taxableIncomeFor → MK-CF-F-101 taxOwedFor</t>
  </si>
  <si>
    <t>TAX_OWED</t>
  </si>
  <si>
    <t>MK-CF-F-102</t>
  </si>
  <si>
    <t>effectiveRateOnGrossFor</t>
  </si>
  <si>
    <t>tax owed for(gross, status, state rate, over65) ÷ gross   if gross &gt; 0
0   otherwise</t>
  </si>
  <si>
    <t>tax owed for(gross, status, state rate, over65) divided by gross — when gross &gt; 0; 0 — otherwise.</t>
  </si>
  <si>
    <t>MK-CF-F-101 taxOwedFor</t>
  </si>
  <si>
    <t>MK-CF-F-099 deductionFor → MK-CF-F-100 taxableIncomeFor → MK-CF-F-101 taxOwedFor → MK-CF-F-102 effectiveRateOnGrossFor</t>
  </si>
  <si>
    <t>MK-CF-F-103</t>
  </si>
  <si>
    <t>marginalBracketFor</t>
  </si>
  <si>
    <t>ti = taxable income for(gross, status, over65)
the answer = 0.37</t>
  </si>
  <si>
    <t>Ti is taxable income for(gross, status, over65). The answer is 0.37.</t>
  </si>
  <si>
    <t>MK-CF-F-099 deductionFor → MK-CF-F-100 taxableIncomeFor → MK-CF-F-103 marginalBracketFor</t>
  </si>
  <si>
    <t>MK-CF-F-104</t>
  </si>
  <si>
    <t>ltcgRateFor</t>
  </si>
  <si>
    <t>The user's own long-term capital-gains rate, from their income + filing status (federal).</t>
  </si>
  <si>
    <t>ti = taxable income for(gross, status, over65)
the answer:
0   if ti ≤ zero top
0.15   if ti ≤ fifteen top
0.20   otherwise   otherwise</t>
  </si>
  <si>
    <t>Ti is taxable income for(gross, status, over65). The answer is 0 — when ti is at most zero top; 0.15 — when ti is at most fifteen top; 0.20 — otherwise — otherwise.</t>
  </si>
  <si>
    <t>MK-CF-F-099 deductionFor → MK-CF-F-100 taxableIncomeFor → MK-CF-F-104 ltcgRateFor</t>
  </si>
  <si>
    <t>MK-CF-F-105</t>
  </si>
  <si>
    <t>guaranteedRows</t>
  </si>
  <si>
    <t>src/domain/paycheck/index.ts</t>
  </si>
  <si>
    <t>The dated guaranteed-income rows for the next 12 months (the F2 grid seam).</t>
  </si>
  <si>
    <t>a = op (or none when missing)
srcs = income sources
[]   when array.is array(srcs) and !srcs.includes('retirement_income')
start month = now.get month(), start year = now.get full year()
month at = (s: number) =&gt; ((start month + s) % 12) + 1
year at = (s: number) =&gt; start year + round down((start month + s) ÷ 12)
slot of = (m1to12: number) =&gt; ((m1to12 − 1) − start month + 12) % 12
rows = []
amt = a['ri_' + key] read as a number (0 when it is not one)
freq = a['ri_' + key + '_freq'] (or 'monthly' when missing)
day = a['ri_' + key + '_day'] read as a number (0 when it is not one) (or undefined when missing or zero)
… the first steps only — the rest of the body needs reading by hand.</t>
  </si>
  <si>
    <t>A is op (or none — when missing). Srcs is income sources. When array.is array(srcs) and !srcs.includes('retirement_income'), it answers []. Start month is now.get month(), start year = now.get full year(). Month at is (s: number) =&gt; ((start month plus s) % 12) plus 1. Year at is (s: number) =&gt; start year plus (start month plus s, rounded down divided by 12). Slot of is (m1to12: number) =&gt; ((m1to12 minus 1) minus start month plus 12) % 12. Rows is []. Amt is a['ri_' plus key] read as a number (0 — when it is one is missing). Freq is a['ri_' plus key plus '_freq'] (or 'monthly' — when missing). Day is a['ri_' plus key plus '_day'] read as a number (0 — when it is one is missing) (or undefined — when missing or zero). Only the first steps are shown; the rest of the body needs reading by hand.</t>
  </si>
  <si>
    <t>GuaranteedRow[]</t>
  </si>
  <si>
    <t>1. Uses a built-in q of 0.
2. Uses a built-in s of 0.
3. Treats a year as twelve equal months.
4. Uses today's date from the device clock, so the answer changes by itself overnight.</t>
  </si>
  <si>
    <t>MK-ST-F-052 toNum → MK-CF-F-105 guaranteedRows</t>
  </si>
  <si>
    <t>MK-CF-F-106</t>
  </si>
  <si>
    <t>solveSafeDraw</t>
  </si>
  <si>
    <t>Largest level monthly draw that keeps chance-of-success ≥ the floor.</t>
  </si>
  <si>
    <t>0   when nest egg ≤ 0
years = max(1, sim.horizon age − sim.current age)
lo = 0, hi = max(100, (nest egg ÷ years ÷ 12) × 2)
round(hi, 2 dp)   when chance at(hi) ≥ chance floor
mid = (lo + hi) ÷ 2
the answer = round(round down(lo ÷ 5) × 5, 2 dp)</t>
  </si>
  <si>
    <t>When nest egg is at most 0, it answers 0. Years: the larger of 1 and sim.horizon age minus sim.current age. Lo is 0, hi = the larger of 100 and (nest egg divided by years divided by 12 times 2). When chance at(hi) is at least chance floor, it answers hi, to the cent. Mid is (lo plus hi) divided by 2. The answer is lo divided by 5, rounded down times 5, to the cent.</t>
  </si>
  <si>
    <t>1. nestEgg: number
2. guaranteedMonthlyAvg: number
3. sim: PaycheckSimInputs
4. chanceFloor = 80</t>
  </si>
  <si>
    <t>1. If paths is missing it uses 300.
2. If seed is missing it uses 42.
3. Uses a built-in i of 0.
4. Treats a year as twelve equal months.</t>
  </si>
  <si>
    <t>1. MK-ST-F-055 round2
2. MK-PL-F-050 simulate</t>
  </si>
  <si>
    <t>1. MK-ST-F-055 round2
2. MK-PL-F-050 simulate
3. MK-ST-F-025 rmdStartAgeFromAge
4. MK-ST-F-024 rmdStartAge</t>
  </si>
  <si>
    <t>1. MK-ST-F-055 round2 → MK-CF-F-106 solveSafeDraw
2. MK-ST-F-024 rmdStartAge → MK-ST-F-025 rmdStartAgeFromAge → MK-PL-F-050 simulate → MK-CF-F-106 solveSafeDraw
3. MK-ST-F-055 round2 → MK-PL-F-050 simulate → MK-CF-F-106 solveSafeDraw</t>
  </si>
  <si>
    <t>MK-CF-F-107</t>
  </si>
  <si>
    <t>buildPaycheckYear</t>
  </si>
  <si>
    <t>Build the month-by-month paycheck.</t>
  </si>
  <si>
    <t>now = opts.now (or new date() when missing)
rows = guaranteed rows(op, now)
nest egg = round(opts.nest egg (or retirement earmarked value(opts.accounts ?? []) when missing), 2 dp)
guaranteed annual = Σ over rows of (amount)
safe draw = solve safe draw(nest egg, guaranteed annual ÷ 12, opts.sim, opts.chance floor ?? 80)
grid = build dated grid(op, { now, liabilities: opts.liabilities, guaranteed income: rows })
start month = now.get month(), start year = now.get full year()
cm = ((start month + s) % 12) + 1
yr = start year + round down((start month + s) ÷ 12)
label = MONTHS[cm − 1] + (yr &gt; start year ? ` ’${string(yr).slice(2)}` : '')
g total = Σ over g of (amount)
… the first steps only — the rest of the body needs reading by hand.</t>
  </si>
  <si>
    <t>Now is opts.now (or new date() — when missing). Rows is guaranteed rows(op, now). Nest egg is opts.nest egg (or retirement earmarked value(opts.accounts ?? []) — when missing), to the cent. Guaranteed annual: the amount added up across rows. Safe draw is solve safe draw(nest egg, guaranteed annual divided by 12, opts.sim, opts.chance floor ?? 80). Grid is build dated grid(op, { now, liabilities: opts.liabilities, guaranteed income: rows }). Start month is now.get month(), start year = now.get full year(). Cm is ((start month plus s) % 12) plus 1. Yr is start year plus (start month plus s, rounded down divided by 12). Label is MONTHS[cm minus 1] plus (yr &gt; start year ? ` ’${string(yr).slice(2)}` : ''). G total: the amount added up across g. Only the first steps are shown; the rest of the body needs reading by hand.</t>
  </si>
  <si>
    <t>1. op: OnboardingProfile | null
2. opts: PaycheckOptions</t>
  </si>
  <si>
    <t>PaycheckYear</t>
  </si>
  <si>
    <t>1. If chance floor is missing it uses 80.
2. Treats a year as twelve equal months.
3. Turns a monthly figure into a year by multiplying by twelve.
4. Uses today's date from the device clock, so the answer changes by itself overnight.
5. Leaves some rows out of the answer — check which.</t>
  </si>
  <si>
    <t>1. MK-XS-F-004 buildDatedGrid
2. MK-CF-F-105 guaranteedRows
3. MK-NW-F-033 retirementEarmarkedValue
4. MK-ST-F-055 round2
5. MK-CF-F-106 solveSafeDraw</t>
  </si>
  <si>
    <t>1. MK-XS-F-004 buildDatedGrid
2. MK-CF-F-105 guaranteedRows
3. MK-NW-F-033 retirementEarmarkedValue
4. MK-ST-F-055 round2
5. MK-CF-F-106 solveSafeDraw
6. MK-CF-F-069 benefitActiveMonths
7. MK-CF-F-072 currentRetirementIncomeMonthly
8. MK-CF-F-018 equityByMonth
9. MK-ST-F-053 money
10. MK-CF-F-087 monthlyTaxRates
11. MK-CF-F-073 otherIncomeMonth
12. MK-CF-F-022 paymentShape
13. MK-CF-F-068 rentalNetAnnual
14. MK-CF-F-023 requiredPayment
15. MK-CF-F-060 salaryGrossByMonth
16. MK-CF-F-008 spendByMonth
17. MK-ST-F-052 toNum
18. MK-NW-F-032 earmarkedAmount
19. MK-NW-F-031 primaryCarIdOf
20. MK-PL-F-050 simulate
21. MK-CF-F-075 retirementIncomeMonthly
22. MK-CF-F-062 equityRowValue
23. MK-CF-F-066 rsuAnnual
24. MK-ST-F-049 formatMoney
25. MK-CF-F-090 effectiveRate
26. MK-CF-F-085 filingStatusOf
27. MK-CF-F-089 over65CountOf
28. MK-CF-F-098 progressiveMonthlyTax
29. MK-CF-F-086 stateRateOf
30. MK-CF-F-088 taxableByCalendarMonth
31. MK-CF-F-021 defaultPaymentType
32. MK-CF-F-067 rentalList
33. MK-CF-F-097 grossFromNet
34. MK-CF-F-004 spendBuckets
35. MK-NW-F-030 earmarkDefault
36. MK-NW-F-011 assetClassOf
37. MK-ST-F-025 rmdStartAgeFromAge
38. MK-CF-F-063 rowVestYear
39. MK-ST-F-048 currencySymbol
40. MK-CF-F-102 effectiveRateOnGrossFor
41. MK-CF-F-084 taxableAnnual
42. MK-CF-F-101 taxOwedFor
43. MK-CF-F-100 taxableIncomeFor
44. MK-CF-F-065 equityVestWeights
45. MK-CF-F-071 extraIncome
46. MK-CF-F-095 taxOwed
47. MK-CF-F-003 categoryMonthly
48. MK-NW-F-013 realEstateUseOf
49. MK-NW-F-008 incomeBearingClassOf
50. MK-ST-F-024 rmdStartAge
51. MK-ST-F-047 activeCurrency
52. MK-CF-F-082 salaryAnnual
53. MK-CF-F-074 tipsAnnual
54. MK-CF-F-099 deductionFor
55. MK-CF-F-070 benefitAnnual
56. MK-CF-F-093 taxableIncome
57. MK-ST-F-010 nameEvidence
58. MK-CF-F-081 salaryActiveMonths</t>
  </si>
  <si>
    <t>1. MK-CF-F-069 benefitActiveMonths → MK-XS-F-004 buildDatedGrid → MK-CF-F-107 buildPaycheckYear
2. MK-ST-F-052 toNum → MK-CF-F-075 retirementIncomeMonthly → MK-CF-F-072 currentRetirementIncomeMonthly → MK-XS-F-004 buildDatedGrid → MK-CF-F-107 buildPaycheckYear
3. MK-ST-F-052 toNum → MK-CF-F-062 equityRowValue → MK-CF-F-018 equityByMonth → MK-XS-F-004 buildDatedGrid → MK-CF-F-107 buildPaycheckYear
4. MK-ST-F-052 toNum → MK-CF-F-062 equityRowValue → MK-CF-F-066 rsuAnnual → MK-CF-F-018 equityByMonth → MK-XS-F-004 buildDatedGrid → MK-CF-F-107 buildPaycheckYear
5. MK-CF-F-063 rowVestYear → MK-CF-F-066 rsuAnnual → MK-CF-F-018 equityByMonth → MK-XS-F-004 buildDatedGrid → MK-CF-F-107 buildPaycheckYear
6. MK-ST-F-052 toNum → MK-CF-F-066 rsuAnnual → MK-CF-F-018 equityByMonth → MK-XS-F-004 buildDatedGrid → MK-CF-F-107 buildPaycheckYear
7. MK-ST-F-047 activeCurrency → MK-ST-F-048 currencySymbol → MK-ST-F-049 formatMoney → MK-ST-F-053 money → MK-XS-F-004 buildDatedGrid → MK-CF-F-107 buildPaycheckYear
8. MK-CF-F-101 taxOwedFor → MK-CF-F-102 effectiveRateOnGrossFor → MK-CF-F-090 effectiveRate → MK-CF-F-087 monthlyTaxRates → MK-XS-F-004 buildDatedGrid → MK-CF-F-107 buildPaycheckYear
9. … and 53 more paths</t>
  </si>
  <si>
    <t>MK-CF-F-108</t>
  </si>
  <si>
    <t>isMoneyOut</t>
  </si>
  <si>
    <t>src/domain/transactions/flags.ts</t>
  </si>
  <si>
    <t>Money leaves the account: withdrawals, fees, and transfers with no recognized counter-account.</t>
  </si>
  <si>
    <t>true   when type = 'WITHDRAWAL' (or type = 'FEE' when missing or zero)
true   when type = 'TRANSFER' and !counter account id
the answer = false
0   when count of xs is missing
s = [...xs].sort((a, b) =&gt; a − b)
mid = round down(length ÷ 2)</t>
  </si>
  <si>
    <t>When type = 'WITHDRAWAL' (or type = 'FEE' — when missing or zero), it answers true. When type = 'TRANSFER' and !counter account id, it answers true. The answer is false. When how many xs is missing there are, it answers 0. S is [...xs].sort((a, b) =&gt; a minus b). Mid is length divided by 2, rounded down.</t>
  </si>
  <si>
    <t>t: Transaction</t>
  </si>
  <si>
    <t>1. Uses a built-in l a r g e m u l t i p l e of 3.
2. Uses a built-in l a r g e f l o o r of 500.
3. Uses a built-in l a r g e c o l d s t a r t of 1000.
4. Uses a built-in m i n h i s t o r y of 5.
5. Uses a built-in p a y e e f l o o r of 250.
6. Uses a built-in p a t t e r n c o u n t of 3.
7. Uses a built-in p a t t e r n t o t a l of 1000.
8. Uses a built-in h i s t o r y d a y s of 90.</t>
  </si>
  <si>
    <t>MK-CF-F-109</t>
  </si>
  <si>
    <t>reviewTransactions</t>
  </si>
  <si>
    <t>Review new transactions against an account's history.</t>
  </si>
  <si>
    <t>make id = ctx.make id (or () =&gt; `flag${math.random().to string(36).slice(2, 10)}` when missing)
now iso = (ctx.now ?? new date()).to isostring()
flags = []
flagged ids = new set&lt;string&gt;()
dup candidates = new ones where is money out(each) and (amount ?? 0) &gt; 0
acct = string(account id)
candidates = new ones where source = 'connected' and is money out(each) and (amount ?? 0) &gt; 0
acct = string(account id)
amount = amount as number
past amounts = for each of past: amount as number
typical = median(past amounts)
… the first steps only — the rest of the body needs reading by hand.</t>
  </si>
  <si>
    <t>Make id is ctx.make id (or () =&gt; `flag${math.random().to string(36).slice(2, 10)}` — when missing). Now iso is (ctx.now ?? new date()).to isostring(). Flags is []. Flagged ids is new set&lt;string&gt;(). Dup candidates is new ones where is money out(each) and (amount ?? 0) &gt; 0. Acct is string(account id). Candidates is new ones where source = 'connected' and is money out(each) and (amount ?? 0) &gt; 0. Acct is string(account id). Amount is amount as number. Past amounts is for each of past: amount as number. Typical is median(past amounts). Only the first steps are shown; the rest of the body needs reading by hand.</t>
  </si>
  <si>
    <t>1. newOnes: Transaction[]
2. ctx: ReviewContext</t>
  </si>
  <si>
    <t>TxnFlag[]</t>
  </si>
  <si>
    <t>1. If amount is missing it uses 0.
2. Uses today's date from the device clock, so the answer changes by itself overnight.
3. Leaves some rows out of the answer — check which.</t>
  </si>
  <si>
    <t>MK-CF-F-108 isMoneyOut</t>
  </si>
  <si>
    <t>MK-CF-F-108 isMoneyOut → MK-CF-F-109 reviewTransactions</t>
  </si>
  <si>
    <t>MK-CF-F-110</t>
  </si>
  <si>
    <t>flagComparisonText</t>
  </si>
  <si>
    <t>The plain-English comparison sentence for the detail view — fixed, human-reviewed templates.</t>
  </si>
  <si>
    <t>times = round(amount ÷ comparison)
the answer = `your usual withdrawal from this account is about $${math.round(comparison).to locale string()}. this one is ${times} times that.`
`first time we've seen this payee on this account.`   when reason = 'first_time_payee'
`looks like the same charge twice — same amount, same place, within two days. if one was typed by mistake, delete it; if both are real, mark it settled.`   when reason = 'possible_duplicate'</t>
  </si>
  <si>
    <t>Times is amount divided by comparison, to a whole number. The answer is `your usual withdrawal from this account is about $${math.comparison, to a whole number.to locale string()}. this one is ${times} times that.`. When reason = 'first_time_payee', it answers `first time we've seen this payee on this account.`. When reason = 'possible_duplicate', it answers `looks like the same charge twice — same amount, same place, within two days. — when one was typed by mistake, delete it; — when both are real, mark it settled.`.</t>
  </si>
  <si>
    <t>f: TxnFlag</t>
  </si>
  <si>
    <t>string</t>
  </si>
  <si>
    <t>"WHY WE'RE SHOWING THIS" — on the Worth a look screen</t>
  </si>
  <si>
    <t>MK-CF-F-111</t>
  </si>
  <si>
    <t>applyTransaction</t>
  </si>
  <si>
    <t>src/domain/transactions/index.ts</t>
  </si>
  <si>
    <t>Apply one transaction to the accounts (pure).</t>
  </si>
  <si>
    <t>the answer = accounts
amt = amount (or 0 when missing or zero)
out = map(accounts, account id, (a) =&gt; bump cash(a, -amt))
src = accounts.find((a) =&gt; asset id = account id)
pos = src and find pos(src, t)
accounts   when src is missing (or pos is missing (or counter account id is missing when missing or zero) when missing or zero)
out = map(accounts, account id, (a) =&gt; ({ ...a, positions: (positions ?? []).filter((p) =&gt; p ! = pos) }))
map(accounts, account id, (a) =&gt; (find pos(a, t) ? add lot(a, t, shares!, price!) : a))   when reinvested and shares and price</t>
  </si>
  <si>
    <t>The answer is accounts. Amt is amount (or 0 — when missing or zero). Out is map(accounts, account id, (a) =&gt; bump cash(a, -amt)). Src is accounts.find((a) =&gt; asset id = account id). Pos is src and find pos(src, t). When src is missing (or pos is missing (or counter account id is missing — when missing or zero) — when missing or zero), it answers accounts. Out is map(accounts, account id, (a) =&gt; ({ ...a, positions: (positions ?? []).filter((p) =&gt; p ! = pos) })). When reinvested and shares and price, it answers map(accounts, account id, (a) =&gt; (find pos(a, t) ? add lot(a, t, shares!, price!) : a)).</t>
  </si>
  <si>
    <t>1. accounts: AssetAccount[]
2. t: Transaction</t>
  </si>
  <si>
    <t>AssetAccount[]</t>
  </si>
  <si>
    <t>1. If shares is missing it counts as zero, so nothing recorded and a real zero look the same.
2. If price is missing it counts as zero, so nothing recorded and a real zero look the same.
3. If amount is missing it counts as zero, so nothing recorded and a real zero look the same.
4. If balance is missing it counts as zero, so nothing recorded and a real zero look the same.
5. Leaves some rows out of the answer — check which.</t>
  </si>
  <si>
    <t>1. MK-ST-F-055 round2
2. MK-PF-F-001 totalShares</t>
  </si>
  <si>
    <t>1. MK-ST-F-055 round2 → MK-CF-F-111 applyTransaction
2. MK-PF-F-001 totalShares → MK-CF-F-111 applyTransaction</t>
  </si>
  <si>
    <t>MK-CF-F-112</t>
  </si>
  <si>
    <t>makeTransaction</t>
  </si>
  <si>
    <t>Build a full transaction (id + created_at) from a partial.</t>
  </si>
  <si>
    <t>...p = ...p
ticker = ticker.to upper case()
id = new entity id('txn')
created at = the date ).to isostring(</t>
  </si>
  <si>
    <t>...p = ...p; ticker = ticker.to upper case(); id = new entity id('txn'); created at = the date ).to isostring(.</t>
  </si>
  <si>
    <t>p: Omit&lt;Transaction, 'id' | 'created_at'&gt;</t>
  </si>
  <si>
    <t>Transaction</t>
  </si>
  <si>
    <t>MK-ST-F-043 newEntityId</t>
  </si>
  <si>
    <t>MK-ST-F-043 newEntityId → MK-CF-F-112 makeTransaction</t>
  </si>
  <si>
    <t>MK-CF-F-113</t>
  </si>
  <si>
    <t>affectedAccountIds</t>
  </si>
  <si>
    <t>The account ids a transaction can touch.</t>
  </si>
  <si>
    <t>[account id, counter account id]   if counter account id
[account id]   otherwise</t>
  </si>
  <si>
    <t>[account id, counter account id] — when counter account id; [account id] — otherwise.</t>
  </si>
  <si>
    <t>EntityId[]</t>
  </si>
  <si>
    <t>MK-CF-F-114</t>
  </si>
  <si>
    <t>undoSnapshot</t>
  </si>
  <si>
    <t>Deep copies of the affected accounts, taken BEFORE applyTransaction.</t>
  </si>
  <si>
    <t>ids = a list with no repeats of affected account ids(t)
the answer = accounts where ids.has(asset id)for each of : JSON.parse(JSON.stringify(each))</t>
  </si>
  <si>
    <t>Ids is a list with no repeats of affected account ids(t). The answer is accounts where ids.has(asset id)for each of : JSON.parse(JSON.stringify(each)).</t>
  </si>
  <si>
    <t>MK-CF-F-113 affectedAccountIds</t>
  </si>
  <si>
    <t>MK-CF-F-113 affectedAccountIds → MK-CF-F-114 undoSnapshot</t>
  </si>
  <si>
    <t>MK-CF-F-115</t>
  </si>
  <si>
    <t>restoreUndo</t>
  </si>
  <si>
    <t>Restore the affected accounts to the transaction's pre-apply copies (pure).</t>
  </si>
  <si>
    <t>by id = a lookup of for each of undo prev (or none when missing): [asset id, each]
the answer:
for each of accounts: JSON.parse(JSON.stringify(by id.get(asset id)))   if by id.has(asset id)
each   otherwise</t>
  </si>
  <si>
    <t>By id is a lookup of for each of undo prev (or none — when missing): [asset id, each]. The answer is for each of accounts: JSON.parse(JSON.stringify(by id.get(asset id))) — when by id.has(asset id); each — otherwise.</t>
  </si>
  <si>
    <t>MK-CF-F-116</t>
  </si>
  <si>
    <t>inverseOf</t>
  </si>
  <si>
    <t>Legacy fallback for rows recorded before undo_prev: a synthetic opposite transaction.</t>
  </si>
  <si>
    <t>base = ...t = ...t
id = new entity id('txn')
note = `reversal of ${id}`
the answer:
nothing   if reinvested
...base = ...base
type = 'WITHDRAWAL'   otherwise</t>
  </si>
  <si>
    <t>Base is ...t = ...t; id = new entity id('txn'); note = `reversal of ${id}`. The answer is no answer — when reinvested; ...base = ...base; type = 'WITHDRAWAL' — otherwise.</t>
  </si>
  <si>
    <t>Transaction | null</t>
  </si>
  <si>
    <t>MK-ST-F-043 newEntityId → MK-CF-F-116 inverseOf</t>
  </si>
  <si>
    <t>MK-CF-F-117</t>
  </si>
  <si>
    <t>txnLabel</t>
  </si>
  <si>
    <t>What do we call this kind of row on screen?</t>
  </si>
  <si>
    <t>NOT READ YET — the body is not a shape this can render faithfully, so nothing is claimed rather than something being guessed. It needs reading by hand.</t>
  </si>
  <si>
    <t>NOT READ — nothing is claimed rather than something guessed</t>
  </si>
  <si>
    <t>t: TxnType</t>
  </si>
  <si>
    <t>"Date" — on the Performance screen</t>
  </si>
  <si>
    <t>LEDGER_ROW_NAME</t>
  </si>
  <si>
    <t>MK-CF-F-118</t>
  </si>
  <si>
    <t>cashEffect</t>
  </si>
  <si>
    <t>Signed cash effect on the primary account (for display).</t>
  </si>
  <si>
    <t>1. If shares is missing it counts as zero, so nothing recorded and a real zero look the same.
2. If price is missing it counts as zero, so nothing recorded and a real zero look the same.
3. If amount is missing it counts as zero, so nothing recorded and a real zero look the same.</t>
  </si>
  <si>
    <t>CASH_EFFECT_OF_A_ROW</t>
  </si>
  <si>
    <t>MK-CF-F-119</t>
  </si>
  <si>
    <t>investmentIncomeAnnual</t>
  </si>
  <si>
    <t>Investment income (cash dividends/interest/coupons, not reinvested) over the trailing window — feeds the Income module.</t>
  </si>
  <si>
    <t>cutoff = the date now); cutoff.set full year(cutoff.get full year() − 1</t>
  </si>
  <si>
    <t>Cutoff: the date now); cutoff.set full year(cutoff.get full year() minus 1.</t>
  </si>
  <si>
    <t>1. txns: Transaction[]
2. now: Date = new Date()</t>
  </si>
  <si>
    <t>"Dividends, interest &amp; coupons" — on the Income manager screen, under "INVESTMENT INCOME"</t>
  </si>
  <si>
    <t>1. If amount is missing it counts as zero, so nothing recorded and a real zero look the same.
2. Uses today's date from the device clock, so the answer changes by itself overnight.
3. Leaves some rows out of the answer — check which.</t>
  </si>
  <si>
    <t>MK-ST-F-055 round2 → MK-CF-F-119 investmentIncomeAnnual</t>
  </si>
  <si>
    <t>MK-HM-F-001</t>
  </si>
  <si>
    <t>buildInsights</t>
  </si>
  <si>
    <t>src/domain/insights/index.ts</t>
  </si>
  <si>
    <t>Ranked insights (highest priority first).</t>
  </si>
  <si>
    <t>the first limit of out   if limit ≠ nothing
out   otherwise</t>
  </si>
  <si>
    <t>the first limit of out — when limit is not no answer; out — otherwise.</t>
  </si>
  <si>
    <t>1. input: InsightInput
2. limit?: number</t>
  </si>
  <si>
    <t>Insight[]</t>
  </si>
  <si>
    <t>MK-HM-F-002</t>
  </si>
  <si>
    <t>milestoneLabel</t>
  </si>
  <si>
    <t>src/domain/milestones.ts</t>
  </si>
  <si>
    <t>'$500k' / '$1M' — the label the celebration line uses.</t>
  </si>
  <si>
    <t>m = threshold ÷ 1000000
the answer = `$${number.is integer(m) ? m : to fixed(1)}M`</t>
  </si>
  <si>
    <t>M is threshold divided by 1000000. The answer is `$${number.is integer(m) ? m : to fixed(1)}M`.</t>
  </si>
  <si>
    <t>threshold: number</t>
  </si>
  <si>
    <t>1. Rounds the answer to a whole number.
2. Shows 1 decimal place.</t>
  </si>
  <si>
    <t>MK-HM-F-003</t>
  </si>
  <si>
    <t>milestoneFloor</t>
  </si>
  <si>
    <t>The highest ladder rung at or below `netWorth` (0 when below the first rung).</t>
  </si>
  <si>
    <t>floor = 0
the answer = floor</t>
  </si>
  <si>
    <t>Floor is 0. The answer is floor.</t>
  </si>
  <si>
    <t>netWorth: number</t>
  </si>
  <si>
    <t>· Uses a built-in floor of 0.</t>
  </si>
  <si>
    <t>The one decision rule.</t>
  </si>
  <si>
    <t>nothing   when high seen = nothing
floor = milestone floor(net worth)
the answer:
floor   if floor &gt; high seen
nothing   otherwise</t>
  </si>
  <si>
    <t>When high seen is missing, it answers no answer. Floor is milestone floor(net worth). The answer is floor — when floor &gt; high seen; no answer — otherwise.</t>
  </si>
  <si>
    <t>1. netWorth: number
2. highSeen: number | null</t>
  </si>
  <si>
    <t>MK-HM-F-003 milestoneFloor</t>
  </si>
  <si>
    <t>MK-NW-F-001</t>
  </si>
  <si>
    <t>isAlternative</t>
  </si>
  <si>
    <t>src/domain/alternatives/index.ts</t>
  </si>
  <si>
    <t>Is this account an "other investment" — an alternative held at a manual value (not a bond, not cash/property)?</t>
  </si>
  <si>
    <t>ALT_KINDS.includes((kind ?? '') as alt kind) and !maturity date and tax bucket ! = 'PROPERTY'</t>
  </si>
  <si>
    <t>ALT_KINDS.includes((kind ?? '') as alt kind) and !maturity date and tax bucket ! = 'PROPERTY'.</t>
  </si>
  <si>
    <t>a: AssetAccount</t>
  </si>
  <si>
    <t>IS_ALTERNATIVE</t>
  </si>
  <si>
    <t>MK-NW-F-002</t>
  </si>
  <si>
    <t>alternativesSummary</t>
  </si>
  <si>
    <t>alts = accounts (or none when missing) where is alternative
total = Σ over alts of (balance (or 0 when missing or zero))
weighted = Σ over total &gt; 0 ? alts of ((balance or 0) × benchmark return(kind))÷ total : 0</t>
  </si>
  <si>
    <t>Alts is accounts (or none — when missing) where is alternative. Total: the balance (or 0 — when missing or zero) added up across alts. Weighted: the (balance or 0 added up across total &gt; 0 ? alts times benchmark return(kind))÷ total : 0.</t>
  </si>
  <si>
    <t>accounts: AssetAccount[]</t>
  </si>
  <si>
    <t>AltSummary</t>
  </si>
  <si>
    <t>1. "EST. GROWTH / YR" — on the Other investments screen, under "ALTERNATIVES"
2. "EXP. RETURN" — on the Other investments screen, under "ALTERNATIVES"</t>
  </si>
  <si>
    <t>1. If balance is missing it counts as zero, so nothing recorded and a real zero look the same.
2. Rounds the answer to a whole number.
3. Leaves some rows out of the answer — check which.</t>
  </si>
  <si>
    <t>1. MK-NW-F-034 benchmarkReturn
2. MK-ST-F-055 round2</t>
  </si>
  <si>
    <t>1. MK-NW-F-034 benchmarkReturn
2. MK-ST-F-055 round2
3. MK-NW-F-007 assetKind
4. MK-NW-F-011 assetClassOf
5. MK-NW-F-008 incomeBearingClassOf
6. MK-ST-F-010 nameEvidence</t>
  </si>
  <si>
    <t>1. MK-ST-F-010 nameEvidence → MK-NW-F-008 incomeBearingClassOf → MK-NW-F-011 assetClassOf → MK-NW-F-007 assetKind → MK-NW-F-034 benchmarkReturn → MK-NW-F-002 alternativesSummary
2. MK-ST-F-055 round2 → MK-NW-F-002 alternativesSummary</t>
  </si>
  <si>
    <t>src/domain/assets/index.ts</t>
  </si>
  <si>
    <t>Manual-value freshness (FCC): how old a hand-entered value is, and whether it needs a nudge.</t>
  </si>
  <si>
    <t>nothing   when derive balance
nothing   when value as of is missing
m = value as of.match( ÷ ^(\d{4}) − (\d{2}) ÷ )
nothing   when m is missing
months old = max(0, (now.get full year() - +m[1]) × 12 + (now.get month() + 1 - +m[2]))
the answer:
as of = value as of
months old = months old
stale = months old ≥ 6</t>
  </si>
  <si>
    <t>When derive balance, it answers no answer. When value as of is missing, it answers no answer. M is value as of.match( divided by ^(\d{4}) minus (\d{2}) divided by ). When m is missing, it answers no answer. Months old is (now.get full year(, never below zero - +m[1]) times 12 plus (now.get month() plus 1 - +m[2])). The answer is as of = value as of; months old = months old; stale = months old is at least 6.</t>
  </si>
  <si>
    <t>1. a: AssetAccount
2. now: Date = new Date()</t>
  </si>
  <si>
    <t>MK-NW-F-004</t>
  </si>
  <si>
    <t>portfolioActualReturn</t>
  </si>
  <si>
    <t>Value-weighted ACTUAL trailing-12mo return across holdings that have one reported.</t>
  </si>
  <si>
    <t>items = accounts (or none when missing) where tax bucket ! = 'PROPERTY' and actual ttm ≠ nothing and earmarked amount(each) &gt; 0
total = Σ over items of (earmarked amount(each))
nothing   when total ≤ 0
weighted = Σ over items of ((actual ttm as number) × earmarked amount(each))
the answer = round(weighted ÷ total, 4 dp)</t>
  </si>
  <si>
    <t>Items is accounts (or none — when missing) where tax bucket ! = 'PROPERTY' and actual ttm is not no answer and earmarked amount(each) &gt; 0. Total: the earmarked amount(each) added up across items. When total is at most 0, it answers no answer. Weighted: the (actual ttm as number) times earmarked amount(each) added up across items. The answer is weighted divided by total, to 4 decimal places.</t>
  </si>
  <si>
    <t>"Expected return" — on the Retirement cockpit screen, under "scRetired ?"</t>
  </si>
  <si>
    <t>MK-NW-F-032 earmarkedAmount</t>
  </si>
  <si>
    <t>1. MK-NW-F-032 earmarkedAmount
2. MK-NW-F-030 earmarkDefault
3. MK-ST-F-055 round2
4. MK-NW-F-011 assetClassOf
5. MK-NW-F-013 realEstateUseOf
6. MK-NW-F-008 incomeBearingClassOf
7. MK-ST-F-010 nameEvidence</t>
  </si>
  <si>
    <t>1. MK-ST-F-010 nameEvidence → MK-NW-F-008 incomeBearingClassOf → MK-NW-F-011 assetClassOf → MK-NW-F-030 earmarkDefault → MK-NW-F-032 earmarkedAmount → MK-NW-F-004 portfolioActualReturn
2. MK-NW-F-013 realEstateUseOf → MK-NW-F-030 earmarkDefault → MK-NW-F-032 earmarkedAmount → MK-NW-F-004 portfolioActualReturn
3. MK-ST-F-055 round2 → MK-NW-F-032 earmarkedAmount → MK-NW-F-004 portfolioActualReturn</t>
  </si>
  <si>
    <t>MK-NW-F-005</t>
  </si>
  <si>
    <t>accountAllowsTicker</t>
  </si>
  <si>
    <t>Can this account hold individual ticker securities?</t>
  </si>
  <si>
    <t>false   when tax bucket = 'PROPERTY' (or tax bucket = 'CASH' when missing or zero)
false   when kind = 'college_529'
false   when kind = 'checking' (or kind = 'savings' when missing or zero)
cls = asset class of(a)
false   when cls = 'bonds' (or cls = 'alternatives' when missing or zero)
the answer = true</t>
  </si>
  <si>
    <t>When tax bucket = 'PROPERTY' (or tax bucket = 'CASH' — when missing or zero), it answers false. When kind = 'college_529', it answers false. When kind = 'checking' (or kind = 'savings' — when missing or zero), it answers false. Cls is asset class of(a). When cls = 'bonds' (or cls = 'alternatives' — when missing or zero), it answers false. The answer is true.</t>
  </si>
  <si>
    <t>MK-NW-F-011 assetClassOf</t>
  </si>
  <si>
    <t>1. MK-NW-F-011 assetClassOf
2. MK-NW-F-008 incomeBearingClassOf
3. MK-ST-F-010 nameEvidence</t>
  </si>
  <si>
    <t>MK-ST-F-010 nameEvidence → MK-NW-F-008 incomeBearingClassOf → MK-NW-F-011 assetClassOf → MK-NW-F-005 accountAllowsTicker</t>
  </si>
  <si>
    <t>CAN_HOLD_TICKERS</t>
  </si>
  <si>
    <t>MK-NW-F-006</t>
  </si>
  <si>
    <t>isCashKind</t>
  </si>
  <si>
    <t>Does this account type sit under the Cash heading on screen?</t>
  </si>
  <si>
    <t>asset kind(kind).bucket = 'CASH'</t>
  </si>
  <si>
    <t>kind?: string</t>
  </si>
  <si>
    <t>MK-NW-F-007 assetKind</t>
  </si>
  <si>
    <t>1. MK-NW-F-007 assetKind
2. MK-NW-F-011 assetClassOf
3. MK-NW-F-008 incomeBearingClassOf
4. MK-ST-F-010 nameEvidence</t>
  </si>
  <si>
    <t>MK-ST-F-010 nameEvidence → MK-NW-F-008 incomeBearingClassOf → MK-NW-F-011 assetClassOf → MK-NW-F-007 assetKind → MK-NW-F-006 isCashKind</t>
  </si>
  <si>
    <t>KIND_IS_CASH</t>
  </si>
  <si>
    <t>MK-NW-F-007</t>
  </si>
  <si>
    <t>assetKind</t>
  </si>
  <si>
    <t>What do we know about this kind of account?</t>
  </si>
  <si>
    <t>1. "ACCOUNTS / INVESTING" — on a card used on more than one screen (MoneySheets)
2. "EST. GROWTH / YR" — on the Other investments screen, under "ALTERNATIVES"
3. "Type" — on the Account detail screen
4. "Type" — on the Other investments screen</t>
  </si>
  <si>
    <t>MK-ST-F-010 nameEvidence → MK-NW-F-008 incomeBearingClassOf → MK-NW-F-011 assetClassOf → MK-NW-F-007 assetKind</t>
  </si>
  <si>
    <t>ACCOUNT_TYPE_FACTS</t>
  </si>
  <si>
    <t>MK-NW-F-008</t>
  </si>
  <si>
    <t>incomeBearingClassOf</t>
  </si>
  <si>
    <t>FOUNDER RULE 2026-08-04 (supersedes the money-market=cash rule and the 12-month CD split): CASH means cash only — a sweep/settlement balance.</t>
  </si>
  <si>
    <t>name evidence(label)</t>
  </si>
  <si>
    <t>name evidence(label).</t>
  </si>
  <si>
    <t>label?: string</t>
  </si>
  <si>
    <t>AssetClass | null</t>
  </si>
  <si>
    <t>MK-ST-F-010 nameEvidence</t>
  </si>
  <si>
    <t>MK-ST-F-010 nameEvidence → MK-NW-F-008 incomeBearingClassOf</t>
  </si>
  <si>
    <t>MK-NW-F-009</t>
  </si>
  <si>
    <t>maturityClass</t>
  </si>
  <si>
    <t>FOUNDER RULE 2026-08-04 (supersedes build-34 #8's 12-month split): ANY maturity-dated instrument is a BOND — it pays interest, so it must sit in the measured bucket regardless of how soon it matures.</t>
  </si>
  <si>
    <t>'bonds'   if maturity date and string(maturity date).trim()
'cash'   otherwise</t>
  </si>
  <si>
    <t>'bonds' — when maturity date and string(maturity date).trim(); 'cash' — otherwise.</t>
  </si>
  <si>
    <t>maturityDate?: string | null</t>
  </si>
  <si>
    <t>'cash' | 'bonds'</t>
  </si>
  <si>
    <t>MATURITY_MEANS_BOND</t>
  </si>
  <si>
    <t>MK-NW-F-010</t>
  </si>
  <si>
    <t>wrapperAccount</t>
  </si>
  <si>
    <t>The person picked how this account is taxed — what does that make it?</t>
  </si>
  <si>
    <t>w?: AddWrapper | null</t>
  </si>
  <si>
    <t>TAX_TYPE_TO_ACCOUNT</t>
  </si>
  <si>
    <t>MK-NW-F-011</t>
  </si>
  <si>
    <t>assetClassOf</t>
  </si>
  <si>
    <t>WHAT the account is (asset class).</t>
  </si>
  <si>
    <t>asset class   when asset class
by label = income bearing class of(label)
by label   when by label
'bonds'   when maturity date
by kind = KIND_TO_CLASS[kind]   if kind
undefined   otherwise
by kind   when by kind
'stocks_etf'   when count of positions and positions
'cash'   when tax bucket = 'CASH'
'real_estate'   when tax bucket = 'PROPERTY'
the answer = 'mixed'</t>
  </si>
  <si>
    <t>When asset class, it answers asset class. By label is income bearing class of(label). When by label, it answers by label. When maturity date, it answers 'bonds'. By kind is KIND_TO_CLASS[kind] — when kind; undefined — otherwise. When by kind, it answers by kind. When how many positions and positions there are, it answers 'stocks_etf'. When tax bucket = 'CASH', it answers 'cash'. When tax bucket = 'PROPERTY', it answers 'real_estate'. The answer is 'mixed'.</t>
  </si>
  <si>
    <t>AssetClass</t>
  </si>
  <si>
    <t>"Bonds &amp; alternatives — recorded on their own pages" — on the Performance screen</t>
  </si>
  <si>
    <t>MK-NW-F-008 incomeBearingClassOf</t>
  </si>
  <si>
    <t>1. MK-NW-F-008 incomeBearingClassOf
2. MK-ST-F-010 nameEvidence</t>
  </si>
  <si>
    <t>MK-ST-F-010 nameEvidence → MK-NW-F-008 incomeBearingClassOf → MK-NW-F-011 assetClassOf</t>
  </si>
  <si>
    <t>MK-NW-F-012</t>
  </si>
  <si>
    <t>taxTreatmentOf</t>
  </si>
  <si>
    <t>HOW the account is taxed (wrapper).</t>
  </si>
  <si>
    <t>tax treatment   when tax treatment
'tax_deferred'   when tax bucket = 'PRE_TAX'
'tax_free'   when tax bucket = 'ROTH'
'taxable'</t>
  </si>
  <si>
    <t>When tax treatment, it answers tax treatment. When tax bucket = 'PRE_TAX', it answers 'tax_deferred'. When tax bucket = 'ROTH', it answers 'tax_free'. 'taxable'.</t>
  </si>
  <si>
    <t>TaxTreatment</t>
  </si>
  <si>
    <t>1. "Income" — on the Account detail screen, under "THE HOLDINGS
2. $"</t>
  </si>
  <si>
    <t>TAX_TREATMENT</t>
  </si>
  <si>
    <t>MK-NW-F-013</t>
  </si>
  <si>
    <t>realEstateUseOf</t>
  </si>
  <si>
    <t>Real-estate use (primary/rental/secondary/land); only meaningful when assetClassOf === 'real_estate'.</t>
  </si>
  <si>
    <t>re use (or 'primary' when missing)</t>
  </si>
  <si>
    <t>re use (or 'primary' — when missing).</t>
  </si>
  <si>
    <t>RealEstateUse</t>
  </si>
  <si>
    <t>HOW_A_HOME_IS_USED</t>
  </si>
  <si>
    <t>MK-NW-F-014</t>
  </si>
  <si>
    <t>isRealAsset</t>
  </si>
  <si>
    <t>True when the asset is a real/physical asset (real estate or personal property) — excluded from investable assets and the nest egg (Term #4/#7).</t>
  </si>
  <si>
    <t>c = asset class of(a)
the answer = c = 'real_estate' (or c = 'personal_property' when missing or zero)</t>
  </si>
  <si>
    <t>C is asset class of(a). The answer is c = 'real_estate' (or c = 'personal_property' — when missing or zero).</t>
  </si>
  <si>
    <t>1. If balance is missing it counts as zero, so nothing recorded and a real zero look the same.
2. Leaves some rows out of the answer — check which.</t>
  </si>
  <si>
    <t>1. MK-NW-F-011 assetClassOf
2. MK-ST-F-055 round2</t>
  </si>
  <si>
    <t>1. MK-NW-F-011 assetClassOf
2. MK-ST-F-055 round2
3. MK-NW-F-008 incomeBearingClassOf
4. MK-ST-F-010 nameEvidence</t>
  </si>
  <si>
    <t>1. MK-ST-F-010 nameEvidence → MK-NW-F-008 incomeBearingClassOf → MK-NW-F-011 assetClassOf → MK-NW-F-014 isRealAsset
2. MK-ST-F-055 round2 → MK-NW-F-014 isRealAsset</t>
  </si>
  <si>
    <t>MK-NW-F-015</t>
  </si>
  <si>
    <t>round(Σ over accounts (or none when missing) of (balance (or 0 when missing or zero)), 2 dp)</t>
  </si>
  <si>
    <t>the balance (or 0 — when missing or zero added up across accounts (or none — when missing)), to the cent.</t>
  </si>
  <si>
    <t>· If balance is missing it counts as zero, so nothing recorded and a real zero look the same.</t>
  </si>
  <si>
    <t>MK-ST-F-055 round2 → MK-NW-F-015 totalAssets</t>
  </si>
  <si>
    <t>Cash &amp; cash equivalents (Term #3) — THE cash number, and the same one the Net Worth CASH group shows.</t>
  </si>
  <si>
    <t>b = account class breakdown(a)
the answer = t + (b ? cash : asset class of(a) = 'cash' ? (balance or 0) : 0)</t>
  </si>
  <si>
    <t>B is account class breakdown(a). The answer is t plus (b ? cash : asset class of(a) = 'cash' ? (balance or 0) : 0).</t>
  </si>
  <si>
    <t>1. "Cash on hand now" — on the Bill calendar screen
2. "EMERGENCY CUSHION" — on the Net worth screen, under "EMERGENCY CUSHION"</t>
  </si>
  <si>
    <t>1. MK-NW-F-027 accountClassBreakdown
2. MK-NW-F-011 assetClassOf
3. MK-ST-F-055 round2</t>
  </si>
  <si>
    <t>1. MK-NW-F-027 accountClassBreakdown
2. MK-NW-F-011 assetClassOf
3. MK-ST-F-055 round2
4. MK-NW-F-008 incomeBearingClassOf
5. MK-ST-F-010 nameEvidence</t>
  </si>
  <si>
    <t>MK-NW-F-017</t>
  </si>
  <si>
    <t>equitiesTotal</t>
  </si>
  <si>
    <t>sum where(accounts, (a) =&gt; asset class of(a) = 'stocks_etf')</t>
  </si>
  <si>
    <t>sum where(accounts, (a) =&gt; asset class of(a) = 'stocks_etf').</t>
  </si>
  <si>
    <t>MK-ST-F-010 nameEvidence → MK-NW-F-008 incomeBearingClassOf → MK-NW-F-011 assetClassOf → MK-NW-F-017 equitiesTotal</t>
  </si>
  <si>
    <t>MK-NW-F-018</t>
  </si>
  <si>
    <t>fixedIncomeTotal</t>
  </si>
  <si>
    <t>sum where(accounts, (a) =&gt; asset class of(a) = 'bonds')</t>
  </si>
  <si>
    <t>sum where(accounts, (a) =&gt; asset class of(a) = 'bonds').</t>
  </si>
  <si>
    <t>MK-ST-F-010 nameEvidence → MK-NW-F-008 incomeBearingClassOf → MK-NW-F-011 assetClassOf → MK-NW-F-018 fixedIncomeTotal</t>
  </si>
  <si>
    <t>MK-NW-F-019</t>
  </si>
  <si>
    <t>alternativesTotal</t>
  </si>
  <si>
    <t>sum where(accounts, (a) =&gt; asset class of(a) = 'alternatives')</t>
  </si>
  <si>
    <t>sum where(accounts, (a) =&gt; asset class of(a) = 'alternatives').</t>
  </si>
  <si>
    <t>MK-ST-F-010 nameEvidence → MK-NW-F-008 incomeBearingClassOf → MK-NW-F-011 assetClassOf → MK-NW-F-019 alternativesTotal</t>
  </si>
  <si>
    <t>MK-NW-F-020</t>
  </si>
  <si>
    <t>realEstateTotal</t>
  </si>
  <si>
    <t>sum where(accounts, (a) =&gt; asset class of(a) = 'real_estate')</t>
  </si>
  <si>
    <t>sum where(accounts, (a) =&gt; asset class of(a) = 'real_estate').</t>
  </si>
  <si>
    <t>MK-ST-F-010 nameEvidence → MK-NW-F-008 incomeBearingClassOf → MK-NW-F-011 assetClassOf → MK-NW-F-020 realEstateTotal</t>
  </si>
  <si>
    <t>Investments / holdings (allocation view, Term #4) = equities + fixed income + alternatives, ACROSS all wrappers (so a 401(k)'s stocks count).</t>
  </si>
  <si>
    <t>sum where(accounts, (a) =&gt; { const c = asset class of(a); return c = 'stocks_etf' or c = 'bonds' or c = 'alternatives' or c = 'mixed'; })</t>
  </si>
  <si>
    <t>sum where(accounts, (a) =&gt; { const c = asset class of(a); return c = 'stocks_etf' or c = 'bonds' or c = 'alternatives' or c = 'mixed'; }).</t>
  </si>
  <si>
    <t>1. "YOUR INVESTMENTS" — on the Home screen, under "WHAT YOU"
2. "YOUR INVESTMENTS" — on the Performance screen, under "acct?.institution?.trim() || acct?.label ||"</t>
  </si>
  <si>
    <t>MK-NW-F-022</t>
  </si>
  <si>
    <t>investableAssets</t>
  </si>
  <si>
    <t>Investable assets (Term #4) = all financial assets (cash + investments + retirement balances), EXCLUDING real estate + personal property.</t>
  </si>
  <si>
    <t>sum where(accounts, (a) =&gt; !is real asset(a))</t>
  </si>
  <si>
    <t>sum where(accounts, (a) =&gt; !is real asset(a)).</t>
  </si>
  <si>
    <t>1. MK-NW-F-014 isRealAsset
2. MK-NW-F-015 totalAssets</t>
  </si>
  <si>
    <t>1. MK-NW-F-014 isRealAsset
2. MK-NW-F-015 totalAssets
3. MK-NW-F-011 assetClassOf
4. MK-ST-F-055 round2
5. MK-NW-F-008 incomeBearingClassOf
6. MK-ST-F-010 nameEvidence</t>
  </si>
  <si>
    <t>1. MK-ST-F-010 nameEvidence → MK-NW-F-008 incomeBearingClassOf → MK-NW-F-011 assetClassOf → MK-NW-F-014 isRealAsset → MK-NW-F-022 investableAssets
2. MK-ST-F-055 round2 → MK-NW-F-014 isRealAsset → MK-NW-F-022 investableAssets
3. MK-ST-F-055 round2 → MK-NW-F-015 totalAssets → MK-NW-F-022 investableAssets</t>
  </si>
  <si>
    <t>TOTAL_INVESTABLE</t>
  </si>
  <si>
    <t>MK-NW-F-023</t>
  </si>
  <si>
    <t>wrapperWord</t>
  </si>
  <si>
    <t>KIND_TO_WRAPPER[kind] (or '' when missing)   if kind
''   otherwise</t>
  </si>
  <si>
    <t>KIND_TO_WRAPPER[kind] (or '' when missing) — when kind; '' — otherwise</t>
  </si>
  <si>
    <t>MK-NW-F-024</t>
  </si>
  <si>
    <t>accountLastFour</t>
  </si>
  <si>
    <t>The last four digits of an account, or null when we genuinely don't have them.</t>
  </si>
  <si>
    <t>digits = string(raw ?? '').replace( ÷ \D ÷ g, '')
digits.slice(-4)   when digits.length ≥ 4
the answer = nothing</t>
  </si>
  <si>
    <t>Digits is string(raw ?? '').replace( divided by \D divided by g, ''). When digits.length is at least 4, it answers digits.slice(-4). The answer is no answer.</t>
  </si>
  <si>
    <t>a: { mask?: string; account_number?: string }</t>
  </si>
  <si>
    <t>string | null</t>
  </si>
  <si>
    <t>MK-NW-F-025</t>
  </si>
  <si>
    <t>accountDisplayName</t>
  </si>
  <si>
    <t>The ONE display name for an account row (build-43 finding #1): institution prefixes the label ONLY when the label doesn't already say it (E*TRADE's own name is "E*Trade Individual Brokerage" — prefixing the institution again rendered "E-Trade E*Trade Individual…"), and the broker's mask suffixes when present so two same-named accounts are tellable apart (wireframe: "Brokerage ...4821").</t>
  </si>
  <si>
    <t>inst raw = (institution ?? '').trim()
last4 = account last four(a)
wrapper = wrapper word((a as any).kind)
tax advantaged = tax treatment of(a as asset account) ! = 'taxable'
`${inst raw} ${wrapper} -${last4}`   if last4
`${inst raw} ${wrapper}`   otherwise   when tax advantaged and wrapper
`${inst raw} -${last4}`   when last4
`${inst raw} ${wrapper}`   when wrapper
label = (label ?? '').trim()
pos = ((a as any).positions ?? []) as any[]
inst = (institution ?? '').trim()
norm = (s: string) =&gt; to lower case().replace( ÷ [^a − z0 − 9] ÷ g, '')
… the first steps only — the rest of the body needs reading by hand.</t>
  </si>
  <si>
    <t>Inst raw is (institution ?? '').trim(). Last4 is account last four(a). Wrapper is wrapper word((a as any).kind). Tax advantaged is tax treatment of(a as asset account) ! = 'taxable'. When tax advantaged and wrapper, it answers `${inst raw} ${wrapper} -${last4}` — when last4; `${inst raw} ${wrapper}` — otherwise. When last4, it answers `${inst raw} -${last4}`. When wrapper, it answers `${inst raw} ${wrapper}`. Label is (label ?? '').trim(). Pos is ((a as any).positions ?? []) as any[]. Inst is (institution ?? '').trim(). Norm is (s: string) =&gt; to lower case().replace( divided by [^a minus z0 minus 9] divided by g, ''). Only the first steps are shown; the rest of the body needs reading by hand.</t>
  </si>
  <si>
    <t>a: Pick&lt;AssetAccount, 'label' | 'institution' | 'mask'&gt; &amp; { positions?: unknown[]; kind?: string; tax_bucket?: TaxBucket; tax_treatment?: TaxTreatment }</t>
  </si>
  <si>
    <t>1. MK-NW-F-024 accountLastFour
2. MK-NW-F-012 taxTreatmentOf
3. MK-NW-F-023 wrapperWord</t>
  </si>
  <si>
    <t>1. MK-NW-F-024 accountLastFour → MK-NW-F-025 accountDisplayName
2. MK-NW-F-012 taxTreatmentOf → MK-NW-F-025 accountDisplayName
3. MK-NW-F-023 wrapperWord → MK-NW-F-025 accountDisplayName</t>
  </si>
  <si>
    <t>MK-NW-F-026</t>
  </si>
  <si>
    <t>accountDisplayNames</t>
  </si>
  <si>
    <t>Display names for a whole LIST of accounts.</t>
  </si>
  <si>
    <t>base = a lookup of for each of accounts: [asset id, account display name(each)]
counts = new map&lt;string, number&gt;()
seen = new map&lt;string, number&gt;()
out = new map&lt;string, string&gt;()
n = base.get(asset id)!
i = (seen.get(n) ?? 0) + 1
the answer = out</t>
  </si>
  <si>
    <t>Base is a lookup of for each of accounts: [asset id, account display name(each)]. Counts is new map&lt;string, number&gt;(). Seen is new map&lt;string, number&gt;(). Out is new map&lt;string, string&gt;(). N is base.get(asset id)!. I is (seen.get(n) ?? 0) plus 1. The answer is out.</t>
  </si>
  <si>
    <t>accounts: (Pick&lt;AssetAccount, 'asset_id' | 'label' | 'institution' | 'mask'&gt; &amp; { positions?: unknown[] })[]</t>
  </si>
  <si>
    <t>Map&lt;string, string&gt;</t>
  </si>
  <si>
    <t>MK-NW-F-025 accountDisplayName</t>
  </si>
  <si>
    <t>1. MK-NW-F-025 accountDisplayName
2. MK-NW-F-024 accountLastFour
3. MK-NW-F-012 taxTreatmentOf
4. MK-NW-F-023 wrapperWord</t>
  </si>
  <si>
    <t>1. MK-NW-F-024 accountLastFour → MK-NW-F-025 accountDisplayName → MK-NW-F-026 accountDisplayNames
2. MK-NW-F-012 taxTreatmentOf → MK-NW-F-025 accountDisplayName → MK-NW-F-026 accountDisplayNames
3. MK-NW-F-023 wrapperWord → MK-NW-F-025 accountDisplayName → MK-NW-F-026 accountDisplayNames</t>
  </si>
  <si>
    <t>ACCOUNT_NAMES</t>
  </si>
  <si>
    <t>APPROVED v6 (2026-07-19): a CONNECTED account splits across the asset classes it actually holds — CDs under bonds, money market + sleeve under cash, options under alternatives, stocks under stocks — with the slices summing EXACTLY to the broker's authoritative balance.</t>
  </si>
  <si>
    <t>nothing   when source ! = 'connected'
out = cash = 0
bonds = 0
stocks etf = 0
alternatives = 0
real estate = 0
personal property = 0
mixed = 0
sh = (lots ?? []).reduce((t: number, l: any) =&gt; t + (shares or 0), 0)
v = sh × last price   if last price ≠ nothing
0   otherwise
by name = income bearing class of(`${ticker ?? ''} ${name ?? description ?? ''}`)
sum = round(Σ over object.values(out) as number[] of (each), 2 dp)
r = round((balance or 0) − sum, 2 dp)
own = asset class of(a)
bucket = 'mixed'   if own = 'mixed'
own   otherwise
the answer = out</t>
  </si>
  <si>
    <t>When source ! = 'connected', it answers no answer. Out is cash = 0; bonds = 0; stocks etf = 0; alternatives = 0; real estate = 0; personal property = 0; mixed = 0. Sh is (lots ?? []).reduce((t: number, l: any) =&gt; t plus (shares or 0), 0). V is sh times last price — when last price is not no answer; 0 — otherwise. By name is income bearing class of(`${ticker ?? ''} ${name ?? description ?? ''}`). Sum: the each added up across object.values(out) as number[], to the cent. R is (balance or 0) minus sum, to the cent. Own is asset class of(a). Bucket is 'mixed' — when own = 'mixed'; own — otherwise. The answer is out.</t>
  </si>
  <si>
    <t>Record&lt;AssetClass, number&gt; | null</t>
  </si>
  <si>
    <t>1. If cash balance is missing it uses 0.
2. If shares is missing it counts as zero, so nothing recorded and a real zero look the same.
3. If value is missing it counts as zero, so nothing recorded and a real zero look the same.
4. If balance is missing it counts as zero, so nothing recorded and a real zero look the same.</t>
  </si>
  <si>
    <t>1. MK-NW-F-011 assetClassOf
2. MK-NW-F-008 incomeBearingClassOf
3. MK-ST-F-055 round2</t>
  </si>
  <si>
    <t>1. MK-NW-F-011 assetClassOf
2. MK-NW-F-008 incomeBearingClassOf
3. MK-ST-F-055 round2
4. MK-ST-F-010 nameEvidence</t>
  </si>
  <si>
    <t>MK-NW-F-028</t>
  </si>
  <si>
    <t>classPortionLabel</t>
  </si>
  <si>
    <t>Plain words for an account's slice inside a class row.</t>
  </si>
  <si>
    <t>pos = (positions ?? []) as any[]
c = 'bonds'   if asset class = 'bond'
'alternatives'   if asset class = 'other'
'cash'   if asset class = 'cash'
'stocks_etf'   otherwise   otherwise   otherwise
the answer = c = cls
name of = (p: any) =&gt; `${ticker ?? ''} ${name ?? label ?? ''}`
opts = count of ((a as any).option holdings ?? []) as any[]
cds = in class where CD_RE.test(name of(each))count of 
treas = in class where !CD_RE.test(name of(each)) and TREASURY_RE.test(name of(each))count of 
rest = in class.length − cds − treas
parts = [opts ? plural(opts, 'option') : '', in class.length ? plural(in class.length, 'holding') : ''] where boolean</t>
  </si>
  <si>
    <t>Pos is (positions ?? []) as any[]. C is 'bonds' — when asset class = 'bond'; 'alternatives' — when asset class = 'other'; 'cash' — when asset class = 'cash'; 'stocks_etf' — otherwise — otherwise — otherwise. The answer is c = cls. Name of is (p: any) =&gt; `${ticker ?? ''} ${name ?? label ?? ''}`. Opts: how many ((a as any).option holdings ?? []) as any[] there are. Cds is in class where CD_RE.test(name of(each))count of. Treas is in class where !CD_RE.test(name of(each)) and TREASURY_RE.test(name of(each))count of. Rest is in class.length minus cds minus treas. Parts is [opts ? plural(opts, 'option') : '', in class.length ? plural(in class.length, 'holding') : ''] where boolean.</t>
  </si>
  <si>
    <t>1. a: AssetAccount
2. cls: AssetClass</t>
  </si>
  <si>
    <t>SLICE_WORDING</t>
  </si>
  <si>
    <t>out = cash = 0
bonds = 0
stocks etf = 0
alternatives = 0
real estate = 0
personal property = 0
mixed = 0
b = account class breakdown(a)
the answer = out</t>
  </si>
  <si>
    <t>Out is cash = 0; bonds = 0; stocks etf = 0; alternatives = 0; real estate = 0; personal property = 0; mixed = 0. B is account class breakdown(a). The answer is out.</t>
  </si>
  <si>
    <t>Record&lt;AssetClass, number&gt;</t>
  </si>
  <si>
    <t>MK-NW-F-030</t>
  </si>
  <si>
    <t>earmarkDefault</t>
  </si>
  <si>
    <t>Default % of an account that's earmarked for retirement (rest funds other goals).</t>
  </si>
  <si>
    <t>0   when kind = 'college_529'
0   when asset class of(a) = 'real_estate' and real estate use of(a) = 'primary'
0   when asset id = primary car id
100</t>
  </si>
  <si>
    <t>When kind = 'college_529', it answers 0. When asset class of(a) = 'real_estate' and real estate use of(a) = 'primary', it answers 0. When asset id = primary car id, it answers 0. 100.</t>
  </si>
  <si>
    <t>1. a: AssetAccount
2. primaryCarId?: string</t>
  </si>
  <si>
    <t>1. "Test retiring earlier, saving more, market ups &amp; downs." — on the Retirement cockpit screen
2. "WHAT COUNTS TOWARD RETIREMENT" — on a card used on more than one screen (PlanInputs), under "WHAT COUNTS TOWARD RETIREMENT"
3. "What counts toward retirement?" — on the Retirement cockpit screen</t>
  </si>
  <si>
    <t>1. MK-NW-F-011 assetClassOf
2. MK-NW-F-013 realEstateUseOf</t>
  </si>
  <si>
    <t>1. MK-NW-F-011 assetClassOf
2. MK-NW-F-013 realEstateUseOf
3. MK-NW-F-008 incomeBearingClassOf
4. MK-ST-F-010 nameEvidence</t>
  </si>
  <si>
    <t>1. MK-ST-F-010 nameEvidence → MK-NW-F-008 incomeBearingClassOf → MK-NW-F-011 assetClassOf → MK-NW-F-030 earmarkDefault
2. MK-NW-F-013 realEstateUseOf → MK-NW-F-030 earmarkDefault</t>
  </si>
  <si>
    <t>RETIREMENT_SHARE_DEFAULT</t>
  </si>
  <si>
    <t>MK-NW-F-031</t>
  </si>
  <si>
    <t>primaryCarIdOf</t>
  </si>
  <si>
    <t>The vehicle treated as "the car you drive" — the most valuable one, so a second car stays a real asset.</t>
  </si>
  <si>
    <t>cars = accounts (or none when missing) where kind = 'vehicle' (or asset class of(each) = 'personal_property' when missing or zero)
undefined   when count of cars is missing
the answer = [...cars].sort((x, y) =&gt; (balance or 0) − (balance or 0) or string(asset id).locale compare(string(asset id)))[0].asset id</t>
  </si>
  <si>
    <t>Cars is accounts (or none — when missing) where kind = 'vehicle' (or asset class of(each) = 'personal_property' — when missing or zero). When how many cars is missing there are, it answers undefined. The answer is [...cars].sort((x, y) =&gt; (balance or 0) minus (balance or 0) or string(asset id).locale compare(string(asset id)))[0].asset id.</t>
  </si>
  <si>
    <t>string | undefined</t>
  </si>
  <si>
    <t>"WHAT COUNTS TOWARD RETIREMENT" — on a card used on more than one screen (PlanInputs), under "WHAT COUNTS TOWARD RETIREMENT"</t>
  </si>
  <si>
    <t>MK-ST-F-010 nameEvidence → MK-NW-F-008 incomeBearingClassOf → MK-NW-F-011 assetClassOf → MK-NW-F-031 primaryCarIdOf</t>
  </si>
  <si>
    <t>PRIMARY_CAR</t>
  </si>
  <si>
    <t>MK-NW-F-032</t>
  </si>
  <si>
    <t>earmarkedAmount</t>
  </si>
  <si>
    <t>The retirement-earmarked $ for one account (uses the saved % or the smart default).</t>
  </si>
  <si>
    <t>pct = earmark default(a, primary car id)   if retirement pct = nothing
retirement pct   otherwise
the answer = round((balance or 0) × max(0, min(100, pct)) ÷ 100, 2 dp)</t>
  </si>
  <si>
    <t>Pct is earmark default(a, primary car id) — when retirement pct is missing; retirement pct — otherwise. The answer is (balance or 0) times the smaller of 100 and pct, never below zero divided by 100, to the cent.</t>
  </si>
  <si>
    <t>1. MK-NW-F-030 earmarkDefault
2. MK-ST-F-055 round2</t>
  </si>
  <si>
    <t>1. MK-NW-F-030 earmarkDefault
2. MK-ST-F-055 round2
3. MK-NW-F-011 assetClassOf
4. MK-NW-F-013 realEstateUseOf
5. MK-NW-F-008 incomeBearingClassOf
6. MK-ST-F-010 nameEvidence</t>
  </si>
  <si>
    <t>1. MK-ST-F-010 nameEvidence → MK-NW-F-008 incomeBearingClassOf → MK-NW-F-011 assetClassOf → MK-NW-F-030 earmarkDefault → MK-NW-F-032 earmarkedAmount
2. MK-NW-F-013 realEstateUseOf → MK-NW-F-030 earmarkDefault → MK-NW-F-032 earmarkedAmount
3. MK-ST-F-055 round2 → MK-NW-F-032 earmarkedAmount</t>
  </si>
  <si>
    <t>RETIREMENT_SHARE_AMOUNT</t>
  </si>
  <si>
    <t>MK-NW-F-033</t>
  </si>
  <si>
    <t>retirementEarmarkedValue</t>
  </si>
  <si>
    <t>Total nest egg = sum of each account's retirement-earmarked portion.</t>
  </si>
  <si>
    <t>car = primary car id of(accounts)
the answer = round(Σ over accounts (or none when missing) of (earmarked amount(each, car)), 2 dp)</t>
  </si>
  <si>
    <t>Car is primary car id of(accounts). The answer: the earmarked amount(each, car added up across accounts (or none — when missing)), to the cent.</t>
  </si>
  <si>
    <t>1. "Nest egg today" — on the Retirement cockpit screen, under "scRetired ?"
2. "Nest egg" — on the Retirement cockpit screen, under "RETIREMENT
3. WHERE YOU STAND"
4. "Projected nest egg" — on the Retirement cockpit screen
5. "WHAT COUNTS TOWARD RETIREMENT" — on a card used on more than one screen (PlanInputs), under "WHAT COUNTS TOWARD RETIREMENT"</t>
  </si>
  <si>
    <t>1. MK-NW-F-032 earmarkedAmount
2. MK-NW-F-031 primaryCarIdOf
3. MK-ST-F-055 round2</t>
  </si>
  <si>
    <t>1. MK-NW-F-032 earmarkedAmount
2. MK-NW-F-031 primaryCarIdOf
3. MK-ST-F-055 round2
4. MK-NW-F-030 earmarkDefault
5. MK-NW-F-011 assetClassOf
6. MK-NW-F-013 realEstateUseOf
7. MK-NW-F-008 incomeBearingClassOf
8. MK-ST-F-010 nameEvidence</t>
  </si>
  <si>
    <t>1. MK-ST-F-010 nameEvidence → MK-NW-F-008 incomeBearingClassOf → MK-NW-F-011 assetClassOf → MK-NW-F-030 earmarkDefault → MK-NW-F-032 earmarkedAmount → MK-NW-F-033 retirementEarmarkedValue
2. MK-NW-F-013 realEstateUseOf → MK-NW-F-030 earmarkDefault → MK-NW-F-032 earmarkedAmount → MK-NW-F-033 retirementEarmarkedValue
3. MK-ST-F-055 round2 → MK-NW-F-032 earmarkedAmount → MK-NW-F-033 retirementEarmarkedValue
4. MK-ST-F-010 nameEvidence → MK-NW-F-008 incomeBearingClassOf → MK-NW-F-011 assetClassOf → MK-NW-F-031 primaryCarIdOf → MK-NW-F-033 retirementEarmarkedValue
5. MK-ST-F-055 round2 → MK-NW-F-033 retirementEarmarkedValue</t>
  </si>
  <si>
    <t>MK-NW-F-034</t>
  </si>
  <si>
    <t>benchmarkReturn</t>
  </si>
  <si>
    <t>Benchmark expected annual return for an asset kind — user override if set, else the ASSET_KINDS default.</t>
  </si>
  <si>
    <t>overrides[kind]   when kind and overrides and overrides[kind] ≠ nothing
asset kind(kind).ret (or 0.06 when missing)</t>
  </si>
  <si>
    <t>When kind and overrides and overrides[kind] is not no answer, it answers overrides[kind]. asset kind(kind).ret (or 0.06 — when missing).</t>
  </si>
  <si>
    <t>1. kind: string | undefined
2. overrides?: Record&lt;string, number&gt;</t>
  </si>
  <si>
    <t>1. "EST. GROWTH / YR" — on the Other investments screen, under "ALTERNATIVES"
2. "Type" — on the Other investments screen
3. "Typical yearly return for this type" — on the Account detail screen</t>
  </si>
  <si>
    <t>· If return is missing it uses 6%.</t>
  </si>
  <si>
    <t>MK-ST-F-010 nameEvidence → MK-NW-F-008 incomeBearingClassOf → MK-NW-F-011 assetClassOf → MK-NW-F-007 assetKind → MK-NW-F-034 benchmarkReturn</t>
  </si>
  <si>
    <t>EXPECTED_RETURN_BY_KIND</t>
  </si>
  <si>
    <t>MK-NW-F-035</t>
  </si>
  <si>
    <t>blendedVolatility</t>
  </si>
  <si>
    <t>The volatility of THIS portfolio — each account's own class volatility, weighted the way the money actually is (the same weighting `blendedReturn` uses, so the pair always describes one portfolio).</t>
  </si>
  <si>
    <t>car = primary car id of(accounts)
items = accounts (or none when missing) where tax bucket ! = 'PROPERTY'
total = Σ over items of (earmarked amount(each, car))
0.12   when total ≤ 0
v = overrides[kind]   if kind and overrides.[kind] ≠ nothing
KIND_VOLATILITY[kind]   if kind
undefined   otherwise   otherwise
the answer = t + (v ?? 0.12) × earmarked amount(a, car)</t>
  </si>
  <si>
    <t>Car is primary car id of(accounts). Items is accounts (or none — when missing) where tax bucket ! = 'PROPERTY'. Total: the earmarked amount(each, car) added up across items. When total is at most 0, it answers 0.12. V is overrides[kind] — when kind and overrides.[kind] is not no answer; KIND_VOLATILITY[kind] — when kind; undefined — otherwise — otherwise. The answer is t plus (v ?? 0.12) times earmarked amount(a, car).</t>
  </si>
  <si>
    <t>1. accounts: AssetAccount[]
2. overrides?: Record&lt;string, number&gt;</t>
  </si>
  <si>
    <t>1. If v is missing it uses 12%.
2. Rounds the answer to a whole number.
3. Leaves some rows out of the answer — check which.</t>
  </si>
  <si>
    <t>1. MK-NW-F-032 earmarkedAmount
2. MK-NW-F-031 primaryCarIdOf</t>
  </si>
  <si>
    <t>1. MK-NW-F-032 earmarkedAmount
2. MK-NW-F-031 primaryCarIdOf
3. MK-NW-F-030 earmarkDefault
4. MK-ST-F-055 round2
5. MK-NW-F-011 assetClassOf
6. MK-NW-F-013 realEstateUseOf
7. MK-NW-F-008 incomeBearingClassOf
8. MK-ST-F-010 nameEvidence</t>
  </si>
  <si>
    <t>1. MK-ST-F-010 nameEvidence → MK-NW-F-008 incomeBearingClassOf → MK-NW-F-011 assetClassOf → MK-NW-F-030 earmarkDefault → MK-NW-F-032 earmarkedAmount → MK-NW-F-035 blendedVolatility
2. MK-NW-F-013 realEstateUseOf → MK-NW-F-030 earmarkDefault → MK-NW-F-032 earmarkedAmount → MK-NW-F-035 blendedVolatility
3. MK-ST-F-055 round2 → MK-NW-F-032 earmarkedAmount → MK-NW-F-035 blendedVolatility
4. MK-ST-F-010 nameEvidence → MK-NW-F-008 incomeBearingClassOf → MK-NW-F-011 assetClassOf → MK-NW-F-031 primaryCarIdOf → MK-NW-F-035 blendedVolatility</t>
  </si>
  <si>
    <t>MK-NW-F-036</t>
  </si>
  <si>
    <t>benchmarkInfo</t>
  </si>
  <si>
    <t>Benchmark return + its source/period for an asset kind.</t>
  </si>
  <si>
    <t>meta = BENCHMARK_META[kind ?? ''] (or source = 'generic blended estimate'
period = '—'
estimate = true when missing)
edited = !!(kind and overrides and overrides[kind] ≠ nothing)
the answer:
ret = benchmark return(kind, overrides)
source = 'your custom estimate'   if edited
meta.source   otherwise
period = '—'   if edited
meta.period   otherwise
edited = edited
estimate = !!meta.estimate</t>
  </si>
  <si>
    <t>Meta is BENCHMARK_META[kind ?? ''] (or source = 'generic blended estimate'; period = '—'; estimate = true — when missing). Edited is !!(kind and overrides and overrides[kind] is not no answer). The answer is ret = benchmark return(kind, overrides); source = 'your custom estimate' — when edited; meta.source — otherwise; period = '—' — when edited; meta.period — otherwise; edited = edited; estimate = !!meta.estimate.</t>
  </si>
  <si>
    <t>MK-NW-F-034 benchmarkReturn</t>
  </si>
  <si>
    <t>1. MK-NW-F-034 benchmarkReturn
2. MK-NW-F-007 assetKind
3. MK-NW-F-011 assetClassOf
4. MK-NW-F-008 incomeBearingClassOf
5. MK-ST-F-010 nameEvidence</t>
  </si>
  <si>
    <t>MK-ST-F-010 nameEvidence → MK-NW-F-008 incomeBearingClassOf → MK-NW-F-011 assetClassOf → MK-NW-F-007 assetKind → MK-NW-F-034 benchmarkReturn → MK-NW-F-036 benchmarkInfo</t>
  </si>
  <si>
    <t>MK-NW-F-037</t>
  </si>
  <si>
    <t>blendedReturn</t>
  </si>
  <si>
    <t>Blended expected return across the EARMARKED nest egg, weighted by each holding's share.</t>
  </si>
  <si>
    <t>car = primary car id of(accounts)
items = accounts (or none when missing) where tax bucket ! = 'PROPERTY'
total = Σ over items of (earmarked amount(each, car))
0.06   when total ≤ 0
weighted = Σ over items of (benchmark return(kind, overrides) × earmarked amount(each, car))
the answer = round(weighted ÷ total, 4 dp)</t>
  </si>
  <si>
    <t>Car is primary car id of(accounts). Items is accounts (or none — when missing) where tax bucket ! = 'PROPERTY'. Total: the earmarked amount(each, car) added up across items. When total is at most 0, it answers 0.06. Weighted: the benchmark return(kind, overrides) times earmarked amount(each, car) added up across items. The answer is weighted divided by total, to 4 decimal places.</t>
  </si>
  <si>
    <t>1. "Expected return" — on the Retirement cockpit screen, under "scRetired ?"
2. "Weighted average" — on the Retirement cockpit screen</t>
  </si>
  <si>
    <t>1. MK-NW-F-034 benchmarkReturn
2. MK-NW-F-032 earmarkedAmount
3. MK-NW-F-031 primaryCarIdOf</t>
  </si>
  <si>
    <t>1. MK-NW-F-034 benchmarkReturn
2. MK-NW-F-032 earmarkedAmount
3. MK-NW-F-031 primaryCarIdOf
4. MK-NW-F-007 assetKind
5. MK-NW-F-030 earmarkDefault
6. MK-ST-F-055 round2
7. MK-NW-F-011 assetClassOf
8. MK-NW-F-013 realEstateUseOf
9. MK-NW-F-008 incomeBearingClassOf
10. MK-ST-F-010 nameEvidence</t>
  </si>
  <si>
    <t>1. MK-ST-F-010 nameEvidence → MK-NW-F-008 incomeBearingClassOf → MK-NW-F-011 assetClassOf → MK-NW-F-007 assetKind → MK-NW-F-034 benchmarkReturn → MK-NW-F-037 blendedReturn
2. MK-ST-F-010 nameEvidence → MK-NW-F-008 incomeBearingClassOf → MK-NW-F-011 assetClassOf → MK-NW-F-030 earmarkDefault → MK-NW-F-032 earmarkedAmount → MK-NW-F-037 blendedReturn
3. MK-NW-F-013 realEstateUseOf → MK-NW-F-030 earmarkDefault → MK-NW-F-032 earmarkedAmount → MK-NW-F-037 blendedReturn
4. MK-ST-F-055 round2 → MK-NW-F-032 earmarkedAmount → MK-NW-F-037 blendedReturn
5. MK-ST-F-010 nameEvidence → MK-NW-F-008 incomeBearingClassOf → MK-NW-F-011 assetClassOf → MK-NW-F-031 primaryCarIdOf → MK-NW-F-037 blendedReturn</t>
  </si>
  <si>
    <t>MK-NW-F-038</t>
  </si>
  <si>
    <t>earmarkedKinds</t>
  </si>
  <si>
    <t>Distinct investment kinds present in the earmarked nest egg (for the benchmark editor).</t>
  </si>
  <si>
    <t>seen = new set&lt;string&gt;()
the answer = array.from(seen)</t>
  </si>
  <si>
    <t>Seen is new set&lt;string&gt;(). The answer is array.from(seen).</t>
  </si>
  <si>
    <t>string[]</t>
  </si>
  <si>
    <t>1. Uses a built-in d e f a u l t r e t u r n of 7%.
2. Leaves some rows out of the answer — check which.</t>
  </si>
  <si>
    <t>1. MK-ST-F-010 nameEvidence → MK-NW-F-008 incomeBearingClassOf → MK-NW-F-011 assetClassOf → MK-NW-F-030 earmarkDefault → MK-NW-F-032 earmarkedAmount → MK-NW-F-038 earmarkedKinds
2. MK-NW-F-013 realEstateUseOf → MK-NW-F-030 earmarkDefault → MK-NW-F-032 earmarkedAmount → MK-NW-F-038 earmarkedKinds
3. MK-ST-F-055 round2 → MK-NW-F-032 earmarkedAmount → MK-NW-F-038 earmarkedKinds</t>
  </si>
  <si>
    <t>total asset value      = round(Σ over every account of (balance), 2 dp)
share of portfolio (a) = round(balance of a ÷ total × 100, 2 dp)
average target return  = round(Σ(target return × balance) ÷ total, 4 dp)</t>
  </si>
  <si>
    <t>Adds up the balance of every account at face value — the house, the car, the cash and the 401(k) all counted the same way, with no class and no tax treatment applied. Then gives each account its share of the whole, and blends the target returns weighted by size. With nothing held at all, the blended return falls back to the built-in default.</t>
  </si>
  <si>
    <t>1. uid: UserId
2. accounts: AssetAccount[]</t>
  </si>
  <si>
    <t>AssetsState</t>
  </si>
  <si>
    <t>1. Multiplies by 100 — a percentage, or an option contract treated as 100 shares. Worth checking which.
2. Rounds the answer to a whole number.</t>
  </si>
  <si>
    <t>MK-NW-F-040</t>
  </si>
  <si>
    <t>assetsFromOnboarding</t>
  </si>
  <si>
    <t>Build asset accounts from onboarding answers (accumulation: retirement savings + holdings).</t>
  </si>
  <si>
    <t>a = op (or none when missing)
accounts = []
bal = raw read as a number (0 when it is not one)
the answer:
user id = uid
accounts = accounts</t>
  </si>
  <si>
    <t>A is op (or none — when missing). Accounts is []. Bal is raw read as a number (0 — when it is one is missing). The answer is user id = uid; accounts = accounts.</t>
  </si>
  <si>
    <t>AssetsDoc</t>
  </si>
  <si>
    <t>1. MK-ST-F-043 newEntityId
2. MK-ST-F-052 toNum</t>
  </si>
  <si>
    <t>1. MK-ST-F-043 newEntityId → MK-NW-F-040 assetsFromOnboarding
2. MK-ST-F-052 toNum → MK-NW-F-040 assetsFromOnboarding</t>
  </si>
  <si>
    <t>ACCOUNTS_FROM_SETUP</t>
  </si>
  <si>
    <t>MK-NW-F-041</t>
  </si>
  <si>
    <t>monthlyContributionsFromOnboarding</t>
  </si>
  <si>
    <t>Total monthly contributions across types + employer match (feeds the retirement projection).</t>
  </si>
  <si>
    <t>a = op (or none when missing)
the answer = Σ over ['c_401k', 'c_roth', 'c_invest', 'c_property'] of (a[each] read as a number (0 when it is not one))+ employer match monthly(op)</t>
  </si>
  <si>
    <t>A is op (or none — when missing). The answer: the a[each] read as a number (0 — when it is one is missing))+ employer match monthly(op added up across ['c_401k', 'c_roth', 'c_invest', 'c_property'].</t>
  </si>
  <si>
    <t>op: Record&lt;string, any&gt; | null</t>
  </si>
  <si>
    <t>1. MK-CF-F-078 employerMatchMonthly
2. MK-ST-F-052 toNum</t>
  </si>
  <si>
    <t>1. MK-ST-F-052 toNum → MK-CF-F-078 employerMatchMonthly → MK-NW-F-041 monthlyContributionsFromOnboarding
2. MK-ST-F-052 toNum → MK-NW-F-041 monthlyContributionsFromOnboarding</t>
  </si>
  <si>
    <t>MK-NW-F-042</t>
  </si>
  <si>
    <t>loadAssets</t>
  </si>
  <si>
    <t>MK-NW-F-043</t>
  </si>
  <si>
    <t>saveAssets</t>
  </si>
  <si>
    <t>d: AssetsDoc</t>
  </si>
  <si>
    <t>1. MK-ST-F-040 emit → MK-NW-F-043 saveAssets
2. MK-ST-F-042 setUserDoc → MK-NW-F-043 saveAssets</t>
  </si>
  <si>
    <t>MK-NW-F-044</t>
  </si>
  <si>
    <t>getAssetsState</t>
  </si>
  <si>
    <t>d = build assets state(uid, accounts ?? [])   if await load assets(uid); return d
nothing   otherwise</t>
  </si>
  <si>
    <t>D is build assets state(uid, accounts ?? []) — when await load assets(uid); return d; no answer — otherwise.</t>
  </si>
  <si>
    <t>1. MK-NW-F-039 buildAssetsState
2. MK-NW-F-042 loadAssets</t>
  </si>
  <si>
    <t>1. MK-NW-F-039 buildAssetsState
2. MK-NW-F-042 loadAssets
3. MK-ST-F-055 round2</t>
  </si>
  <si>
    <t>1. MK-ST-F-055 round2 → MK-NW-F-039 buildAssetsState → MK-NW-F-044 getAssetsState
2. MK-NW-F-042 loadAssets → MK-NW-F-044 getAssetsState</t>
  </si>
  <si>
    <t>MK-NW-F-045</t>
  </si>
  <si>
    <t>sourceWording</t>
  </si>
  <si>
    <t>THE source wording (Build-47 walk row 8, audit Strategy #9): one sentence per source, used by every screen that names where an account's numbers come from.</t>
  </si>
  <si>
    <t>day = the first 10 of string(last synced)   if last synced
''   otherwise
`connected · ${day or 'linked'}`   when source = 'connected'
`imported · ${day or '—'}`   when source = 'imported'
the answer = 'by hand · you update it'</t>
  </si>
  <si>
    <t>Day: the first 10 of string(last synced) — when last synced; '' — otherwise. When source = 'connected', it answers `connected · ${day or 'linked'}`. When source = 'imported', it answers `imported · ${day or '—'}`. The answer is 'by hand · you update it'.</t>
  </si>
  <si>
    <t>WHERE_THE_VALUE_CAME_FROM</t>
  </si>
  <si>
    <t>MK-NW-F-046</t>
  </si>
  <si>
    <t>historyCoverage</t>
  </si>
  <si>
    <t>who = (institution or label or 'this account').trim()
from = the first 10 of string(history from)   if history from
nothing   otherwise
nothing   when the first 10 of from ≤ window start
months = max(0, round((now.get full year() − fy) × 12 + (now.get month() + 1 − fm) + (now.get date() − fd) ÷ 30, 1 dp))
the answer = `${MONTH_ABBR[(m or 1) − 1]} ${d}, ${y}`</t>
  </si>
  <si>
    <t>Who is (institution or label or 'this account').trim(). From: the first 10 of string(history from) — when history from; no answer — otherwise. When the first 10 of from is at most window start, it answers no answer. Months is (now.get full year(, never below zero minus fy) times 12 plus (now.get month() plus 1 minus fm) plus (now.get date() minus fd) divided by 30, to 1 decimal places). The answer is `${MONTH_ABBR[(m or 1) minus 1]} ${d}, ${y}`.</t>
  </si>
  <si>
    <t>1. Treats a year as twelve equal months.
2. Turns a monthly figure into a year by multiplying by twelve.
3. Treats a month as 30 days.
4. Uses today's date from the device clock, so the answer changes by itself overnight.
5. Rounds the answer to a whole number.</t>
  </si>
  <si>
    <t>MK-NW-F-047</t>
  </si>
  <si>
    <t>uberGroupOf</t>
  </si>
  <si>
    <t>CLASS_UBER[cls] (or 'investments' when missing)</t>
  </si>
  <si>
    <t>CLASS_UBER[cls] (or 'investments' — when missing)</t>
  </si>
  <si>
    <t>cls: AssetClass</t>
  </si>
  <si>
    <t>UberGroup</t>
  </si>
  <si>
    <t>MK-NW-F-048</t>
  </si>
  <si>
    <t>uberGroupRows</t>
  </si>
  <si>
    <t>Group per-class totals into the three uber-groups, keeping class order inside each.</t>
  </si>
  <si>
    <t>classes = class rows where uber group of(key) = group</t>
  </si>
  <si>
    <t>Classes is class rows where uber group of(key) = group.</t>
  </si>
  <si>
    <t>1. MK-ST-F-055 round2
2. MK-NW-F-047 uberGroupOf</t>
  </si>
  <si>
    <t>1. MK-ST-F-055 round2 → MK-NW-F-048 uberGroupRows
2. MK-NW-F-047 uberGroupOf → MK-NW-F-048 uberGroupRows</t>
  </si>
  <si>
    <t>NET_WORTH_GROUPING</t>
  </si>
  <si>
    <t>MK-NW-F-049</t>
  </si>
  <si>
    <t>itemizedTotal</t>
  </si>
  <si>
    <t>src/domain/assets/itemize.ts</t>
  </si>
  <si>
    <t>Σ of the itemized holding values.</t>
  </si>
  <si>
    <t>items: ItemHolding[]</t>
  </si>
  <si>
    <t>"Unallocated" — on the Itemise an account screen</t>
  </si>
  <si>
    <t>· If value is missing it counts as zero, so nothing recorded and a real zero look the same.</t>
  </si>
  <si>
    <t>MK-ST-F-055 round2 → MK-NW-F-049 itemizedTotal</t>
  </si>
  <si>
    <t>ITEMISED_TOTAL</t>
  </si>
  <si>
    <t>MK-NW-F-050</t>
  </si>
  <si>
    <t>itemizeRemainder</t>
  </si>
  <si>
    <t>Lump balance − Σ holdings.</t>
  </si>
  <si>
    <t>1. lumpBalance: number
2. items: ItemHolding[]</t>
  </si>
  <si>
    <t>· If lump balance is missing it counts as zero, so nothing recorded and a real zero look the same.</t>
  </si>
  <si>
    <t>1. MK-NW-F-049 itemizedTotal
2. MK-ST-F-055 round2</t>
  </si>
  <si>
    <t>1. MK-ST-F-055 round2 → MK-NW-F-049 itemizedTotal → MK-NW-F-050 itemizeRemainder
2. MK-ST-F-055 round2 → MK-NW-F-050 itemizeRemainder</t>
  </si>
  <si>
    <t>ITEMISED_REMAINDER</t>
  </si>
  <si>
    <t>MK-NW-F-051</t>
  </si>
  <si>
    <t>itemizedResultTotal</t>
  </si>
  <si>
    <t>The account total AFTER itemizing.</t>
  </si>
  <si>
    <t>sum = itemized total(items)
remainder = itemize remainder(lump.balance, items)
the answer:
round(sum + remainder, 2 dp)   if keep remainder as cash and remainder &gt; 0
sum   otherwise</t>
  </si>
  <si>
    <t>Sum is itemized total(items). Remainder is itemize remainder(lump.balance, items). The answer is sum plus remainder, to the cent — when keep remainder as cash and remainder &gt; 0; sum — otherwise.</t>
  </si>
  <si>
    <t>1. MK-NW-F-050 itemizeRemainder
2. MK-NW-F-049 itemizedTotal
3. MK-ST-F-055 round2</t>
  </si>
  <si>
    <t>1. MK-ST-F-055 round2 → MK-NW-F-049 itemizedTotal → MK-NW-F-050 itemizeRemainder → MK-NW-F-051 itemizedResultTotal
2. MK-ST-F-055 round2 → MK-NW-F-050 itemizeRemainder → MK-NW-F-051 itemizedResultTotal
3. MK-ST-F-055 round2 → MK-NW-F-049 itemizedTotal → MK-NW-F-051 itemizedResultTotal
4. MK-ST-F-055 round2 → MK-NW-F-051 itemizedResultTotal</t>
  </si>
  <si>
    <t>MK-NW-F-052</t>
  </si>
  <si>
    <t>buildItemizedAccounts</t>
  </si>
  <si>
    <t>Build the new accounts to CREATE when committing an itemization.</t>
  </si>
  <si>
    <t>institution = (lump.institution or lump.label or '').trim() (or undefined when missing or zero)
bucket = lump.tax bucket
the answer = acct
remainder = itemize remainder(lump.balance, items)</t>
  </si>
  <si>
    <t>Institution is (lump.institution or lump.label or '').trim() (or undefined — when missing or zero). Bucket is lump.tax bucket. The answer is acct. Remainder is itemize remainder(lump.balance, items).</t>
  </si>
  <si>
    <t>1. If value is missing it counts as zero, so nothing recorded and a real zero look the same.
2. If coupon rate is missing it counts as zero, so nothing recorded and a real zero look the same.</t>
  </si>
  <si>
    <t>1. MK-NW-F-050 itemizeRemainder
2. MK-ST-F-055 round2</t>
  </si>
  <si>
    <t>1. MK-NW-F-050 itemizeRemainder
2. MK-ST-F-055 round2
3. MK-NW-F-049 itemizedTotal</t>
  </si>
  <si>
    <t>1. MK-ST-F-055 round2 → MK-NW-F-049 itemizedTotal → MK-NW-F-050 itemizeRemainder → MK-NW-F-052 buildItemizedAccounts
2. MK-ST-F-055 round2 → MK-NW-F-050 itemizeRemainder → MK-NW-F-052 buildItemizedAccounts
3. MK-ST-F-055 round2 → MK-NW-F-052 buildItemizedAccounts</t>
  </si>
  <si>
    <t>ITEMISE_AN_ACCOUNT</t>
  </si>
  <si>
    <t>MK-NW-F-053</t>
  </si>
  <si>
    <t>correctClassOf</t>
  </si>
  <si>
    <t>src/domain/assets/reclassify.ts</t>
  </si>
  <si>
    <t>The class an account SHOULD carry under the current rule.</t>
  </si>
  <si>
    <t>by label = income bearing class of(label)
by label   when by label
maturity class(maturity date)   when maturity date
'stocks_etf'   when kind = 'money_market'
'bonds'   when kind = 'cd'
the answer = nothing</t>
  </si>
  <si>
    <t>By label is income bearing class of(label). When by label, it answers by label. When maturity date, it answers maturity class(maturity date). When kind = 'money_market', it answers 'stocks_etf'. When kind = 'cd', it answers 'bonds'. The answer is no answer.</t>
  </si>
  <si>
    <t>1. MK-NW-F-008 incomeBearingClassOf
2. MK-NW-F-009 maturityClass</t>
  </si>
  <si>
    <t>1. MK-NW-F-008 incomeBearingClassOf
2. MK-NW-F-009 maturityClass
3. MK-ST-F-010 nameEvidence</t>
  </si>
  <si>
    <t>1. MK-ST-F-010 nameEvidence → MK-NW-F-008 incomeBearingClassOf → MK-NW-F-053 correctClassOf
2. MK-NW-F-009 maturityClass → MK-NW-F-053 correctClassOf</t>
  </si>
  <si>
    <t>MK-NW-F-054</t>
  </si>
  <si>
    <t>reclassifyAccounts</t>
  </si>
  <si>
    <t>changed = 0
want = correct class of(a)
next = a
ps = (next.positions ?? []) as any[]
the answer = p</t>
  </si>
  <si>
    <t>Changed is 0. Want is correct class of(a). Next is a. Ps is (next.positions ?? []) as any[]. The answer is p.</t>
  </si>
  <si>
    <t>· Uses a built-in changed of 0.</t>
  </si>
  <si>
    <t>1. MK-NW-F-053 correctClassOf
2. MK-NW-F-008 incomeBearingClassOf</t>
  </si>
  <si>
    <t>1. MK-NW-F-053 correctClassOf
2. MK-NW-F-008 incomeBearingClassOf
3. MK-NW-F-009 maturityClass
4. MK-ST-F-010 nameEvidence</t>
  </si>
  <si>
    <t>1. MK-ST-F-010 nameEvidence → MK-NW-F-008 incomeBearingClassOf → MK-NW-F-053 correctClassOf → MK-NW-F-054 reclassifyAccounts
2. MK-NW-F-009 maturityClass → MK-NW-F-053 correctClassOf → MK-NW-F-054 reclassifyAccounts
3. MK-ST-F-010 nameEvidence → MK-NW-F-008 incomeBearingClassOf → MK-NW-F-054 reclassifyAccounts</t>
  </si>
  <si>
    <t>MK-NW-F-055</t>
  </si>
  <si>
    <t>isBond</t>
  </si>
  <si>
    <t>src/domain/bonds/index.ts</t>
  </si>
  <si>
    <t>An AssetAccount is a bond if its ASSET CLASS is bonds (spec §2: "detected by assetClass, NOT maturity date").</t>
  </si>
  <si>
    <t>asset class of(a) = 'bonds'</t>
  </si>
  <si>
    <t>asset class of(a) = 'bonds'.</t>
  </si>
  <si>
    <t>MK-ST-F-010 nameEvidence → MK-NW-F-008 incomeBearingClassOf → MK-NW-F-011 assetClassOf → MK-NW-F-055 isBond</t>
  </si>
  <si>
    <t>IS_BOND</t>
  </si>
  <si>
    <t>face = face value (or 0 when missing or zero)
coupon rate = coupon rate (or 0 when missing or zero)
maturity = maturity date (or '' when missing or zero)
value = balance (or 0 when missing or zero)</t>
  </si>
  <si>
    <t>face = face value (or 0 — when missing or zero); coupon rate = coupon rate (or 0 — when missing or zero); maturity = maturity date (or '' — when missing or zero); value = balance (or 0 — when missing or zero).</t>
  </si>
  <si>
    <t>BondInfo</t>
  </si>
  <si>
    <t>1. "Face value" — on the Account detail screen
2. "IF INTEREST RATES MOVE" — on the Account detail screen
3. "Interest payments" — on the Account detail screen
4. "Matures" — on the Account detail screen</t>
  </si>
  <si>
    <t>1. If face value is missing it counts as zero, so nothing recorded and a real zero look the same.
2. If coupon rate is missing it counts as zero, so nothing recorded and a real zero look the same.
3. If balance is missing it counts as zero, so nothing recorded and a real zero look the same.</t>
  </si>
  <si>
    <t>Annual coupon income = face value × coupon rate (paid as cash).</t>
  </si>
  <si>
    <t>annual coupon = round(face value × coupon rate, 2 dp)</t>
  </si>
  <si>
    <t>What the bond pays in interest over a year: its face value times its stated rate. Paid semi-annually in practice; this figure is the yearly total.</t>
  </si>
  <si>
    <t>b: BondInfo</t>
  </si>
  <si>
    <t>"Interest payments" — on the Account detail screen</t>
  </si>
  <si>
    <t>years to maturity = max(0, (maturity date − today) ÷ 365.25 days)</t>
  </si>
  <si>
    <t>How long until the bond repays, as a fraction of a year, never negative. Uses 365.25 days — the master file says 365, which is finding A31.</t>
  </si>
  <si>
    <t>1. maturity: string
2. now: Date = new Date()</t>
  </si>
  <si>
    <t>"Matures" — on the Account detail screen</t>
  </si>
  <si>
    <t>Current yield = annual coupon ÷ current price/value.</t>
  </si>
  <si>
    <t>current yield = round(annual coupon ÷ current value, 4 dp)</t>
  </si>
  <si>
    <t>The interest a year as a share of what the bond is worth now. If the recorded value is a dirty price it carries accrued interest, and the yield reads low — the file does not say which it is.</t>
  </si>
  <si>
    <t>"Yield on today" — on the Account detail screen</t>
  </si>
  <si>
    <t>MK-NW-F-057 annualCoupon</t>
  </si>
  <si>
    <t>1. MK-NW-F-057 annualCoupon
2. MK-ST-F-055 round2</t>
  </si>
  <si>
    <t>Approximate yield to maturity (standard approximation), decimal.</t>
  </si>
  <si>
    <t>yield to maturity ≈ round( (annual coupon + (face − value) ÷ years left)
                           ÷ ((face + value) ÷ 2), 4 dp )</t>
  </si>
  <si>
    <t>The STRAIGHT-LINE APPROXIMATION, not the real yield. The gain or loss to maturity is spread evenly over the years left and taken against the average of face and price. The true yield is the rate that discounts every coupon and the face value back to the price — 4 to 27 basis points away from this, widening with the discount and the maturity. Finding A30.</t>
  </si>
  <si>
    <t>1. b: BondInfo
2. now: Date = new Date()</t>
  </si>
  <si>
    <t>"Yield if held to maturity" — on the Account detail screen</t>
  </si>
  <si>
    <t>1. Uses today's date from the device clock, so the answer changes by itself overnight.
2. Rounds the answer to a whole number.</t>
  </si>
  <si>
    <t>1. MK-NW-F-057 annualCoupon
2. MK-NW-F-058 yearsToMaturity</t>
  </si>
  <si>
    <t>1. MK-NW-F-057 annualCoupon
2. MK-NW-F-058 yearsToMaturity
3. MK-ST-F-055 round2</t>
  </si>
  <si>
    <t>MK-NW-F-061</t>
  </si>
  <si>
    <t>bondSummary</t>
  </si>
  <si>
    <t>list = bonds (or none when missing)
total value = round(Σ over list of (value), 2 dp)
total face = round(Σ over list of (face), 2 dp)
coupon = round(Σ over list of (annual coupon(each)), 2 dp)
avg yield = round(coupon ÷ total value, 4 dp)   if total value &gt; 0
nothing   otherwise
future = for each of list: maturity where boolean where the date each).get time() ≥ now.get time(, in order
the answer:
count = count of list
total value = total value
total face = total face
annual coupon = coupon
avg yield = avg yield
next maturity = the first of future (or nothing when missing)</t>
  </si>
  <si>
    <t>List is bonds (or none — when missing). Total value: the value added up across list, to the cent. Total face: the face added up across list, to the cent. Coupon: the annual coupon(each added up across list), to the cent. Avg yield is coupon divided by total value, to 4 decimal places — when total value &gt; 0; no answer — otherwise. Future is for each of list: maturity where boolean where the date each).get time() is at least now.get time(, in order. The answer is count = how many list there are; total value = total value; total face = total face; annual coupon = coupon; avg yield = avg yield; next maturity = the first of future (or no answer — when missing).</t>
  </si>
  <si>
    <t>1. bonds: BondInfo[]
2. now: Date = new Date()</t>
  </si>
  <si>
    <t>BondSummary</t>
  </si>
  <si>
    <t>1. "AVG YIELD" — on the Bonds screen, under "BONDS &amp; CDS"
2. "COUPON / YR" — on the Bonds screen, under "BONDS &amp; CDS"
3. "NEXT MATURITY" — on the Bonds screen, under "BONDS &amp; CDS"</t>
  </si>
  <si>
    <t>1. Uses today's date from the device clock, so the answer changes by itself overnight.
2. Rounds the answer to a whole number.
3. Leaves some rows out of the answer — check which.</t>
  </si>
  <si>
    <t>1. MK-ST-F-055 round2 → MK-NW-F-057 annualCoupon → MK-NW-F-061 bondSummary
2. MK-ST-F-055 round2 → MK-NW-F-061 bondSummary</t>
  </si>
  <si>
    <t>MK-NW-F-062</t>
  </si>
  <si>
    <t>couponIncomeAnnual</t>
  </si>
  <si>
    <t>Total annual coupon income across the user's INDIVIDUAL bonds (kept for the Bonds screen summary).</t>
  </si>
  <si>
    <t>round(Σ over accounts (or none when missing) where is bond of (annual coupon(bond info(each))), 2 dp)</t>
  </si>
  <si>
    <t>the annual coupon(bond info(each added up across accounts (or none — when missing) where is bond)), to the cent.</t>
  </si>
  <si>
    <t>1. Uses a built-in d e f a u l t b o n d y i e l d of 4.2%.
2. Leaves some rows out of the answer — check which.</t>
  </si>
  <si>
    <t>1. MK-NW-F-057 annualCoupon
2. MK-NW-F-056 bondInfo
3. MK-ST-F-055 round2</t>
  </si>
  <si>
    <t>1. MK-ST-F-055 round2 → MK-NW-F-057 annualCoupon → MK-NW-F-062 couponIncomeAnnual
2. MK-NW-F-056 bondInfo → MK-NW-F-062 couponIncomeAnnual
3. MK-ST-F-055 round2 → MK-NW-F-062 couponIncomeAnnual</t>
  </si>
  <si>
    <t>MK-NW-F-063</t>
  </si>
  <si>
    <t>interestIncomeAnnual</t>
  </si>
  <si>
    <t>Canonical annual INTEREST income across all interest-bearing holdings (Term #6).</t>
  </si>
  <si>
    <t>cls = asset class of(a)
coupon = (coupon rate or 0) × (face value or 0)
t + coupon   when coupon &gt; 0
t + (balance or 0) × (coupon rate as number)   when (coupon rate or 0) &gt; 0
yld = target return   if target return and target return &gt; 0
DEFAULT_BOND_YIELD   otherwise
the answer = t + (balance or 0) × yld
n = max(1, round(years to maturity(maturity, now)))
c = annual coupon(b)
pv = 0</t>
  </si>
  <si>
    <t>Cls is asset class of(a). Coupon is (coupon rate or 0) times (face value or 0). When coupon &gt; 0, it answers t plus coupon. When (coupon rate or 0) &gt; 0, it answers t plus (balance or 0) times (coupon rate as number). Yld is target return — when target return and target return &gt; 0; DEFAULT_BOND_YIELD — otherwise. The answer is t plus (balance or 0) times yld. N: the larger of 1 and years to maturity(maturity, now, to a whole number). C is annual coupon(b). Pv is 0.</t>
  </si>
  <si>
    <t>1. If coupon rate is missing it counts as zero, so nothing recorded and a real zero look the same.
2. If face value is missing it counts as zero, so nothing recorded and a real zero look the same.
3. If balance is missing it counts as zero, so nothing recorded and a real zero look the same.
4. Uses a built-in pv of 0.
5. Uses a built-in t of 1.
6. Rounds the answer to a whole number.</t>
  </si>
  <si>
    <t>1. MK-NW-F-057 annualCoupon
2. MK-NW-F-011 assetClassOf
3. MK-ST-F-055 round2
4. MK-NW-F-058 yearsToMaturity</t>
  </si>
  <si>
    <t>1. MK-NW-F-057 annualCoupon
2. MK-NW-F-011 assetClassOf
3. MK-ST-F-055 round2
4. MK-NW-F-058 yearsToMaturity
5. MK-NW-F-008 incomeBearingClassOf
6. MK-ST-F-010 nameEvidence</t>
  </si>
  <si>
    <t>1. MK-ST-F-055 round2 → MK-NW-F-057 annualCoupon → MK-NW-F-063 interestIncomeAnnual
2. MK-ST-F-010 nameEvidence → MK-NW-F-008 incomeBearingClassOf → MK-NW-F-011 assetClassOf → MK-NW-F-063 interestIncomeAnnual
3. MK-ST-F-055 round2 → MK-NW-F-063 interestIncomeAnnual
4. MK-NW-F-058 yearsToMaturity → MK-NW-F-063 interestIncomeAnnual</t>
  </si>
  <si>
    <t>MK-NW-F-064</t>
  </si>
  <si>
    <t>bondRateSensitivity</t>
  </si>
  <si>
    <t>What happens to this bond if interest rates move?</t>
  </si>
  <si>
    <t>ytm = approx ytm(b, now)
nothing   when ytm = nothing (or face ≤ 0 (or coupon rate ≤ 0 when missing or zero) when missing or zero)
v = price at yield(b, math.max(0.0001, ytm + delta), now)
the answer:
rates up = move(0.01)
rates down = move(-0.01)</t>
  </si>
  <si>
    <t>Ytm is approx ytm(b, now). When ytm is missing (or face is at most 0 (or coupon rate is at most 0 — when missing or zero) — when missing or zero), it answers no answer. V is price at yield(b, math.the larger of 0.0001 and ytm plus delta, now). The answer is rates up = move(0.01); rates down = move(-0.01).</t>
  </si>
  <si>
    <t>RateSensitivity | null</t>
  </si>
  <si>
    <t>"IF INTEREST RATES MOVE" — on the Account detail screen</t>
  </si>
  <si>
    <t>1. Applies a built-in rate of 99% to v.
2. Uses today's date from the device clock, so the answer changes by itself overnight.
3. Rounds the answer to a whole number.</t>
  </si>
  <si>
    <t>MK-NW-F-060 approxYTM</t>
  </si>
  <si>
    <t>1. MK-NW-F-060 approxYTM
2. MK-NW-F-057 annualCoupon
3. MK-NW-F-058 yearsToMaturity
4. MK-ST-F-055 round2</t>
  </si>
  <si>
    <t>1. MK-ST-F-055 round2 → MK-NW-F-057 annualCoupon → MK-NW-F-060 approxYTM → MK-NW-F-064 bondRateSensitivity
2. MK-NW-F-058 yearsToMaturity → MK-NW-F-060 approxYTM → MK-NW-F-064 bondRateSensitivity</t>
  </si>
  <si>
    <t>IF_RATES_MOVE</t>
  </si>
  <si>
    <t>src/domain/networth/index.ts</t>
  </si>
  <si>
    <t>gross assets = round(assets total, 2 dp)
gross debt   = round(debt total, 2 dp)
net worth    = round(assets total − debt total, 2 dp)</t>
  </si>
  <si>
    <t>Everything owned, less everything owed. Each half is rounded to the cent, and the answer is rounded again — three roundings. It is worked out fresh every time and never stored, so it can never disagree with its own two halves. A genuine negative is shown, never floored at zero.</t>
  </si>
  <si>
    <t>1. uid: UserId
2. grossAssets: number
3. grossDebt: number</t>
  </si>
  <si>
    <t>NetWorthState</t>
  </si>
  <si>
    <t>"Net worth so far" — on the Net worth screen, under "EMERGENCY CUSHION"</t>
  </si>
  <si>
    <t>src/domain/performance/index.ts</t>
  </si>
  <si>
    <t>---- cost basis &amp; value (lot math) ----</t>
  </si>
  <si>
    <t>total shares(holding) = Σ over every lot of (shares, or 0 when missing)</t>
  </si>
  <si>
    <t>Adds the share count of every lot. A lot with no share count counts as zero, so "nothing recorded" and "a real zero" give the same answer.</t>
  </si>
  <si>
    <t>p: Position</t>
  </si>
  <si>
    <t>1. "Quantity" — on the Holding detail screen, under "CURRENT PRICE$"
2. "Realized from sales" — on the Holding detail screen, under "DIVIDENDS &amp; REALIZED"</t>
  </si>
  <si>
    <t>· If shares is missing it counts as zero, so nothing recorded and a real zero look the same.</t>
  </si>
  <si>
    <t>cost basis(holding) = round(Σ over every lot of (shares × cost per share), 2 dp)</t>
  </si>
  <si>
    <t>What was paid, added across the lots. A lot with no cost per share contributes nothing, so a holding with neither a price nor a cost lands at $0 and quietly leaves net worth.</t>
  </si>
  <si>
    <t>"Total paid" — on the Holding detail screen, under "WHAT YOU BOUGHT"</t>
  </si>
  <si>
    <t>1. If shares is missing it counts as zero, so nothing recorded and a real zero look the same.
2. If cost per share is missing it counts as zero, so nothing recorded and a real zero look the same.</t>
  </si>
  <si>
    <t>MK-PF-F-003</t>
  </si>
  <si>
    <t>avgCost</t>
  </si>
  <si>
    <t>sh = total shares(p)
the answer:
round(cost basis(p) ÷ sh, 2 dp)   if sh &gt; 0
0   otherwise</t>
  </si>
  <si>
    <t>Sh is total shares(p). The answer is cost basis(p) divided by sh, to the cent — when sh &gt; 0; 0 — otherwise.</t>
  </si>
  <si>
    <t>1. MK-PF-F-002 costBasis
2. MK-ST-F-055 round2
3. MK-PF-F-001 totalShares</t>
  </si>
  <si>
    <t>1. MK-ST-F-055 round2 → MK-PF-F-002 costBasis → MK-PF-F-003 avgCost
2. MK-ST-F-055 round2 → MK-PF-F-003 avgCost
3. MK-PF-F-001 totalShares → MK-PF-F-003 avgCost</t>
  </si>
  <si>
    <t>market value(holding) = round(total shares × price, 2 dp)
                      = 0   when no price came back</t>
  </si>
  <si>
    <t>Shares times the latest close. A missing price gives ZERO, not a refusal — the caller has to notice and substitute something, and only the account step does. Nothing here multiplies an option contract by a hundred, so an option is valued as if one contract were one share.</t>
  </si>
  <si>
    <t>1. p: Position
2. price: number | null | undefined</t>
  </si>
  <si>
    <t>MK-PF-F-005</t>
  </si>
  <si>
    <t>unrealizedGain</t>
  </si>
  <si>
    <t>Unrealized gain = market value − cost basis (null price → 0).</t>
  </si>
  <si>
    <t>0   if price = nothing
round(market value(p, price) − cost basis(p), 2 dp)   otherwise</t>
  </si>
  <si>
    <t>0 — when price is missing; market value(p, price) minus cost basis(p), to the cent — otherwise.</t>
  </si>
  <si>
    <t>1. MK-PF-F-002 costBasis
2. MK-PF-F-004 marketValue
3. MK-ST-F-055 round2</t>
  </si>
  <si>
    <t>1. MK-PF-F-002 costBasis
2. MK-PF-F-004 marketValue
3. MK-ST-F-055 round2
4. MK-PF-F-001 totalShares</t>
  </si>
  <si>
    <t>1. MK-ST-F-055 round2 → MK-PF-F-002 costBasis → MK-PF-F-005 unrealizedGain
2. MK-ST-F-055 round2 → MK-PF-F-004 marketValue → MK-PF-F-005 unrealizedGain
3. MK-PF-F-001 totalShares → MK-PF-F-004 marketValue → MK-PF-F-005 unrealizedGain
4. MK-ST-F-055 round2 → MK-PF-F-005 unrealizedGain</t>
  </si>
  <si>
    <t>per lot:  gain = shares × (price − cost per share)
long-term when today is LATER than the first anniversary of the purchase
short-term otherwise, and a lot with no cost recorded is skipped entirely</t>
  </si>
  <si>
    <t>Splits the unrealised gain into long and short term, lot by lot, comparing calendar days so a timezone cannot move the line. Exactly one year is still SHORT term — long term begins the day after the anniversary, which is the IRS rule. An unreadable purchase date stays short term, the cautious side, because understating a tax bill is the worse mistake.</t>
  </si>
  <si>
    <t>1. p: Position
2. price: number | null | undefined
3. now: Date = new Date()</t>
  </si>
  <si>
    <t>CapGains</t>
  </si>
  <si>
    <t>1. "Gain — long-term (held over 1 yr)" — on the Holding detail screen, under "IF YOU SOLD TODAY"
2. "Gain — short-term (under 1 yr)" — on the Holding detail screen, under "IF YOU SOLD TODAY"</t>
  </si>
  <si>
    <t>MK-PF-F-007</t>
  </si>
  <si>
    <t>totalROI</t>
  </si>
  <si>
    <t>Total return since purchase = gain / cost basis (decimal).</t>
  </si>
  <si>
    <t>basis = cost basis(p)
nothing   when price = nothing (or basis ≤ 0 when missing or zero)
the answer = round(unrealized gain(p, price) ÷ basis, 4 dp)</t>
  </si>
  <si>
    <t>Basis is cost basis(p). When price is missing (or basis is at most 0 — when missing or zero), it answers no answer. The answer is unrealized gain(p, price) divided by basis, to 4 decimal places.</t>
  </si>
  <si>
    <t>1. MK-PF-F-002 costBasis
2. MK-PF-F-005 unrealizedGain</t>
  </si>
  <si>
    <t>1. MK-PF-F-002 costBasis
2. MK-PF-F-005 unrealizedGain
3. MK-ST-F-055 round2
4. MK-PF-F-004 marketValue
5. MK-PF-F-001 totalShares</t>
  </si>
  <si>
    <t>1. MK-ST-F-055 round2 → MK-PF-F-002 costBasis → MK-PF-F-007 totalROI
2. MK-ST-F-055 round2 → MK-PF-F-002 costBasis → MK-PF-F-005 unrealizedGain → MK-PF-F-007 totalROI
3. MK-ST-F-055 round2 → MK-PF-F-004 marketValue → MK-PF-F-005 unrealizedGain → MK-PF-F-007 totalROI
4. MK-PF-F-001 totalShares → MK-PF-F-004 marketValue → MK-PF-F-005 unrealizedGain → MK-PF-F-007 totalROI
5. MK-ST-F-055 round2 → MK-PF-F-005 unrealizedGain → MK-PF-F-007 totalROI</t>
  </si>
  <si>
    <t>MK-PF-F-008</t>
  </si>
  <si>
    <t>startDateFor</t>
  </si>
  <si>
    <t>---- period returns from a price series (price return of the security itself) ----</t>
  </si>
  <si>
    <t>d = the date now
the answer = d
pts = series.points (or none when missing)
nothing   when count of pts is missing
t = target.get time()
chosen = nothing</t>
  </si>
  <si>
    <t>D: the date now. The answer is d. Pts is series.points (or none — when missing). When how many pts is missing there are, it answers no answer. T is target.get time(). Chosen is no answer.</t>
  </si>
  <si>
    <t>1. period: Period
2. now: Date</t>
  </si>
  <si>
    <t>Date</t>
  </si>
  <si>
    <t>MK-PF-F-009</t>
  </si>
  <si>
    <t>latestClose</t>
  </si>
  <si>
    <t>latest close = the last point in the price series
             = nothing   when the series is empty</t>
  </si>
  <si>
    <t>The most recent closing price held for a ticker. It carries no date with it, so nothing downstream can tell a price from this morning from one three weeks old.</t>
  </si>
  <si>
    <t>series: PriceSeries | null | undefined</t>
  </si>
  <si>
    <t>MK-PF-F-010</t>
  </si>
  <si>
    <t>periodReturn</t>
  </si>
  <si>
    <t>Price return of a ticker over a period (decimal).</t>
  </si>
  <si>
    <t>nothing   when series is missing (or not (count of series.points) when missing or zero)
end = latest close(series)
start = close as of(series, start date for(period, now))
nothing   when end = nothing (or start = nothing (or start ≤ 0 when missing or zero) when missing or zero)
raw = end ÷ start − 1
round((end ÷ start)^(1 ÷ 2) − 1, 4 dp)   when period = '2Y'
the answer = round(raw, 4 dp)</t>
  </si>
  <si>
    <t>When series is missing (or not (how many series.points) — when missing or zero) there are, it answers no answer. End is latest close(series). Start is close as of(series, start date for(period, now)). When end is missing (or start is missing (or start is at most 0 — when missing or zero) — when missing or zero), it answers no answer. Raw is end divided by start minus 1. When period = '2Y', it answers (end divided by start)^(1 divided by 2) minus 1, to 4 decimal places. The answer is raw, to 4 decimal places.</t>
  </si>
  <si>
    <t>1. series: PriceSeries | null | undefined
2. period: Period
3. now = new Date()</t>
  </si>
  <si>
    <t>1. MK-PF-F-009 latestClose
2. MK-PF-F-008 startDateFor</t>
  </si>
  <si>
    <t>1. MK-PF-F-009 latestClose → MK-PF-F-010 periodReturn
2. MK-PF-F-008 startDateFor → MK-PF-F-010 periodReturn</t>
  </si>
  <si>
    <t>MK-PF-F-011</t>
  </si>
  <si>
    <t>periodReturnSince</t>
  </si>
  <si>
    <t>Price return from an explicit start DATE to now (for purchase-capped windows).</t>
  </si>
  <si>
    <t>nothing   when series is missing (or not (count of series.points) when missing or zero)
end = latest close(series)
start = close as of(series, new date(since iso))
nothing   when end = nothing (or start = nothing (or start ≤ 0 when missing or zero) when missing or zero)
the answer = round(end ÷ start − 1, 4 dp)</t>
  </si>
  <si>
    <t>When series is missing (or not (how many series.points) — when missing or zero) there are, it answers no answer. End is latest close(series). Start is close as of(series, new date(since iso)). When end is missing (or start is missing (or start is at most 0 — when missing or zero) — when missing or zero), it answers no answer. The answer is end divided by start minus 1, to 4 decimal places.</t>
  </si>
  <si>
    <t>1. series: PriceSeries | null | undefined
2. sinceISO: string
3. now = new Date()</t>
  </si>
  <si>
    <t>MK-PF-F-009 latestClose</t>
  </si>
  <si>
    <t>MK-PF-F-009 latestClose → MK-PF-F-011 periodReturnSince</t>
  </si>
  <si>
    <t>MK-PF-F-012</t>
  </si>
  <si>
    <t>earliestPurchaseDate</t>
  </si>
  <si>
    <t>Earliest dated lot — the day this holding became YOUR money.</t>
  </si>
  <si>
    <t>dates = for each of lots (or none when missing): purchase date where ÷ ^\each{4}-\each{2}-\each{2} ÷ .test(each ?? '')
the answer:
the first 10 of dates.sort()[0]!   if count of dates
nothing   otherwise</t>
  </si>
  <si>
    <t>Dates is for each of lots (or none — when missing): purchase date where divided by ^\each{4}-\each{2}-\each{2} divided by .test(each ?? ''). The answer: the first 10 of dates.sort()[0]! — when how many dates there are; no answer — otherwise.</t>
  </si>
  <si>
    <t>MK-PF-F-013</t>
  </si>
  <si>
    <t>benchmarkTicker</t>
  </si>
  <si>
    <t>BENCHMARK_TICKER[kind ?? ''] (or 'SPY' when missing)</t>
  </si>
  <si>
    <t>BENCHMARK_TICKER[kind ?? ''] (or 'SPY' — when missing).</t>
  </si>
  <si>
    <t>1. "Name (optional)" — on the Performance screen
2. "You are" — on the Holding detail screen, under "VS THE STOCK MARKET
3. SAME DATES"</t>
  </si>
  <si>
    <t>MK-ST-F-053 money</t>
  </si>
  <si>
    <t>1. MK-ST-F-053 money
2. MK-ST-F-049 formatMoney
3. MK-ST-F-048 currencySymbol
4. MK-ST-F-047 activeCurrency</t>
  </si>
  <si>
    <t>MK-ST-F-047 activeCurrency → MK-ST-F-048 currencySymbol → MK-ST-F-049 formatMoney → MK-ST-F-053 money → MK-PF-F-013 benchmarkTicker</t>
  </si>
  <si>
    <t>Build the per-holding rows for a period from positions + a price-series lookup.</t>
  </si>
  <si>
    <t>period start = the first 10 of start date for(period, now).to isostring()
series = price of(ticker)
price = latest close(series)
bought = earliest purchase date(p) (or purchase date of.(p) (or nothing when missing) when missing)
capped = bought ≠ nothing and bought &gt; period start
pr = total roi(p, price)   if capped
period return(series, period, now)   otherwise
bench ticker = benchmark ticker(kind)</t>
  </si>
  <si>
    <t>Period start: the first 10 of start date for(period, now).to isostring(). Series is price of(ticker). Price is latest close(series). Bought is earliest purchase date(p) (or purchase date of.(p) (or no answer — when missing) — when missing). Capped is bought is not no answer and bought &gt; period start. Pr is total roi(p, price) — when capped; period return(series, period, now) — otherwise. Bench ticker is benchmark ticker(kind).</t>
  </si>
  <si>
    <t>1. MK-PF-F-013 benchmarkTicker
2. MK-PF-F-002 costBasis
3. MK-PF-F-012 earliestPurchaseDate
4. MK-PF-F-009 latestClose
5. MK-PF-F-004 marketValue
6. MK-PF-F-010 periodReturn
7. MK-PF-F-011 periodReturnSince
8. MK-PF-F-008 startDateFor
9. MK-PF-F-007 totalROI
10. MK-PF-F-005 unrealizedGain</t>
  </si>
  <si>
    <t>1. MK-PF-F-013 benchmarkTicker
2. MK-PF-F-002 costBasis
3. MK-PF-F-012 earliestPurchaseDate
4. MK-PF-F-009 latestClose
5. MK-PF-F-004 marketValue
6. MK-PF-F-010 periodReturn
7. MK-PF-F-011 periodReturnSince
8. MK-PF-F-008 startDateFor
9. MK-PF-F-007 totalROI
10. MK-PF-F-005 unrealizedGain
11. MK-ST-F-053 money
12. MK-ST-F-055 round2
13. MK-PF-F-001 totalShares
14. MK-ST-F-049 formatMoney
15. MK-ST-F-048 currencySymbol
16. MK-ST-F-047 activeCurrency</t>
  </si>
  <si>
    <t>MK-PF-F-015</t>
  </si>
  <si>
    <t>topHoldingConcentration</t>
  </si>
  <si>
    <t>The holding-concentration FACT (Invest main + the insights engine share this one rule): the largest single holding as a % of invested money, reported only at 25%+ with 2+ holdings — below that it isn't a fact worth a card.</t>
  </si>
  <si>
    <t>invested = Σ over rows of (market value)
nothing   when invested ≤ 0 (or rows.length &lt; 2 when missing or zero)
top = rows.reduce((m, r) =&gt; (market value &gt; market value ? r : m), rows[0])
pct = round((top.market value ÷ invested) × 100)
the answer:
ticker = top.position.ticker
pct = pct
value = round(top.market value)   if pct ≥ 25
nothing   otherwise</t>
  </si>
  <si>
    <t>Invested: the market value added up across rows. When invested is at most 0 (or rows.length &lt; 2 — when missing or zero), it answers no answer. Top is rows.reduce((m, r) =&gt; (market value &gt; market value ? r : m), rows[0]). Pct is (top.market value divided by invested, to a whole number times 100). The answer is ticker = top.position.ticker; pct = pct; value = top.market value, to a whole number — when pct is at least 25; no answer — otherwise.</t>
  </si>
  <si>
    <t>rows: PerformanceRow[]</t>
  </si>
  <si>
    <t>"Activity ›" — on the Performance screen</t>
  </si>
  <si>
    <t>CONCENTRATION</t>
  </si>
  <si>
    <t>MK-PF-F-016</t>
  </si>
  <si>
    <t>attribution</t>
  </si>
  <si>
    <t>Per-holding contribution to the portfolio's period return = weight × the holding's return (pts).</t>
  </si>
  <si>
    <t>total = Σ over rows of (market value)
[]   when total ≤ 0</t>
  </si>
  <si>
    <t>Total: the market value added up across rows. When total is at most 0, it answers [].</t>
  </si>
  <si>
    <t>WHAT_DROVE_THE_RETURN</t>
  </si>
  <si>
    <t>MK-PF-F-017</t>
  </si>
  <si>
    <t>allocation</t>
  </si>
  <si>
    <t>How is my invested money spread?</t>
  </si>
  <si>
    <t>by kind = {}
total = Σ over object.values(by kind) of (each)+ max(0, cash)
[]   when total ≤ 0
slices = for each of object.entries(by kind): [key, v]) =&gt; ({ key, value: round2(v), pct: math.round((v ÷ total) × 1000) ÷ 10 }
the answer = slices.sort((a, b) =&gt; value − value)</t>
  </si>
  <si>
    <t>By kind is {}. Total: the each)+ cash added up across object.values(by kind, never below zero. When total is at most 0, it answers []. Slices is for each of object.entries(by kind): [key, v]) =&gt; ({ key, value: round2(v), pct: math.(v divided by total, to a whole number times 1000) divided by 10 }. The answer is slices.sort((a, b) =&gt; value minus value).</t>
  </si>
  <si>
    <t>1. rows: PerformanceRow[]
2. cash = 0</t>
  </si>
  <si>
    <t>AllocSlice[]</t>
  </si>
  <si>
    <t>1. If by kind[k] is missing it counts as zero, so nothing recorded and a real zero look the same.
2. Rounds the answer to a whole number.</t>
  </si>
  <si>
    <t>MK-ST-F-055 round2 → MK-PF-F-017 allocation</t>
  </si>
  <si>
    <t>ALLOCATION_BY_HOLDING_KIND</t>
  </si>
  <si>
    <t>MK-PF-F-018</t>
  </si>
  <si>
    <t>portfolioTrend</t>
  </si>
  <si>
    <t>How has my portfolio moved over the period, against its benchmark?</t>
  </si>
  <si>
    <t>[]   when count of !positions?
start = start date for(period, now)
span = now.get time() − start.get time()
[]   when span ≤ 0
n = 12
dates = array.from({ length: N + 1 }, (_, i) =&gt; new date(start.get time() + (span × i) ÷ N))
bench series = price of(bench ticker sym)
value at = (d: date) =&gt; positions.reduce((t, p) =&gt; { const c = close as of(price of(ticker), d); return t + (c = nothing ? 0 : total shares(p) × c); }, 0)
v0 = value at(dates[0])
b0 = close as of(bench series, dates[0])
value = round(value at(d), 2 dp)
… the first steps only — the rest of the body needs reading by hand.</t>
  </si>
  <si>
    <t>When how many !positions? there are, it answers []. Start is start date for(period, now). Span is now.get time() minus start.get time(). When span is at most 0, it answers []. N is 12. Dates is array.from({ length: N plus 1 }, (_, i) =&gt; new date(start.get time() plus (span times i) divided by N)). Bench series is price of(bench ticker sym). Value at is (d: date) =&gt; positions.reduce((t, p) =&gt; { const c = close as of(price of(ticker), d); return t plus (c is missing ? 0 : total shares(p) times c); }, 0). V0 is value at(dates[0]). B0 is close as of(bench series, dates[0]). Value is value at(d), to the cent. Only the first steps are shown; the rest of the body needs reading by hand.</t>
  </si>
  <si>
    <t>1. Uses a built-in n of 12.
2. Uses today's date from the device clock, so the answer changes by itself overnight.
3. Multiplies by 100 — a percentage, or an option contract treated as 100 shares. Worth checking which.
4. Rounds the answer to a whole number.</t>
  </si>
  <si>
    <t>1. MK-PF-F-008 startDateFor
2. MK-PF-F-001 totalShares</t>
  </si>
  <si>
    <t>1. MK-PF-F-008 startDateFor → MK-PF-F-018 portfolioTrend
2. MK-PF-F-001 totalShares → MK-PF-F-018 portfolioTrend</t>
  </si>
  <si>
    <t>PORTFOLIO_TREND_LINE</t>
  </si>
  <si>
    <t>Value-weighted portfolio period return across holdings that have one (decimal), or null.</t>
  </si>
  <si>
    <t>usable = rows where period return ≠ nothing and market value &gt; 0
total = Σ over usable of (market value)
nothing   when total ≤ 0
the answer = round(Σ over usable of ((period return as number) × market value)÷ total, 4 dp)</t>
  </si>
  <si>
    <t>Usable is rows where period return is not no answer and market value &gt; 0. Total: the market value added up across usable. When total is at most 0, it answers no answer. The answer: the (period return as number added up across usable times market value)÷ total, to 4 decimal places.</t>
  </si>
  <si>
    <t>Value-weighted benchmark ("the market, matched to your mix") return across holdings that have one (decimal), or null.</t>
  </si>
  <si>
    <t>usable = rows where bench return ≠ nothing and market value &gt; 0
total = Σ over usable of (market value)
nothing   when total ≤ 0
the answer = Σ over usable of ((bench return as number) × market value)÷ total</t>
  </si>
  <si>
    <t>Usable is rows where bench return is not no answer and market value &gt; 0. Total: the market value added up across usable. When total is at most 0, it answers no answer. The answer: the (bench return as number added up across usable times market value)÷ total.</t>
  </si>
  <si>
    <t>"HONEST COMPARISON" — on the Performance screen, under "HONEST COMPARISON"</t>
  </si>
  <si>
    <t>MK-PF-F-021</t>
  </si>
  <si>
    <t>periodDollarDelta</t>
  </si>
  <si>
    <t>The DOLLAR change implied by a period return on today's total — the approved Home hero shows "up $11,200 (1.4%) this month": dollars AND percent from the SAME measured return, so the two figures can never disagree (one concept, one source).</t>
  </si>
  <si>
    <t>0   when !number.is finite(current total) (or !number.is finite(period return) (or period return ≤ -1 when missing or zero) when missing or zero)
round(current total × period return ÷ (1 + period return))</t>
  </si>
  <si>
    <t>When !number.is finite(current total) (or !number.is finite(period return) (or period return is at most -1 — when missing or zero) — when missing or zero), it answers 0. current total times period return divided by (1 plus period return, to a whole number).</t>
  </si>
  <si>
    <t>1. currentTotal: number
2. periodReturn: number</t>
  </si>
  <si>
    <t>MK-PF-F-022</t>
  </si>
  <si>
    <t>factorOverMonths</t>
  </si>
  <si>
    <t>src/domain/performance/lookBack.ts</t>
  </si>
  <si>
    <t>Price factor over the trailing window: last close ÷ the close at (now − months).</t>
  </si>
  <si>
    <t>pts = series.points
nothing   when pts is missing (or pts.length &lt; 2 when missing or zero)
cutoff = the first 10 of the date now.get full year(), now.get month() − months, now.get date()).to isostring(
nothing   when pts[0].date &gt; cutoff
start = the first of pts
end = pts[pts.length − 1]
nothing   when start.close is missing (or start.close ≤ 0 when missing or zero)
the answer = end.close ÷ start.close</t>
  </si>
  <si>
    <t>Pts is series.points. When pts is missing (or pts.length &lt; 2 — when missing or zero), it answers no answer. Cutoff: the first 10 of the date now.get full year(), now.get month() minus months, now.get date()).to isostring(. When pts[0].date &gt; cutoff, it answers no answer. Start: the first of pts. End is pts[pts.length minus 1]. When start.close is missing (or start.close is at most 0 — when missing or zero), it answers no answer. The answer is end.close divided by start.close.</t>
  </si>
  <si>
    <t>1. series: PriceSeries | null | undefined
2. months: number
3. now: Date = new Date()</t>
  </si>
  <si>
    <t>nothing   when not (amount &gt; 0)
f from = factor over months(from series, months, now)
f to = factor over months(to series, months, now)
nothing   when f from = nothing (or f to = nothing when missing or zero)
stayed = leg(f from)
moved = leg(f to)
the answer:
stayed = stayed
moved = moved
difference = round(moved.end value − stayed.end value, 2 dp)
months = months</t>
  </si>
  <si>
    <t>When not (amount &gt; 0), it answers no answer. F from is factor over months(from series, months, now). F to is factor over months(to series, months, now). When f from is missing (or f to is missing — when missing or zero), it answers no answer. Stayed is leg(f from). Moved is leg(f to). The answer is stayed = stayed; moved = moved; difference = moved.end value minus stayed.end value, to the cent; months = months.</t>
  </si>
  <si>
    <t>1. amount: number
2. fromSeries: PriceSeries | null | undefined
3. toSeries: PriceSeries | null | undefined
4. months: number
5. now: Date = new Date()</t>
  </si>
  <si>
    <t>LookBackResult | null</t>
  </si>
  <si>
    <t>1. MK-PF-F-022 factorOverMonths
2. MK-ST-F-055 round2</t>
  </si>
  <si>
    <t>MK-PF-F-024</t>
  </si>
  <si>
    <t>userFlows</t>
  </si>
  <si>
    <t>src/domain/performance/moneyWeighted.ts</t>
  </si>
  <si>
    <t>The user's dated flows for a measured set of accounts, investor-sign convention: money the user PUT IN is negative, money TAKEN OUT is positive.</t>
  </si>
  <si>
    <t>flows = []
in set = account ids.has(string(account id))
counter in set = counter account id ≠ nothing and account ids.has(string(counter account id))
when = date.parse(string(date))
the answer = flows where size of(amount) &gt; 0.004.sort((a, b) =&gt; date − date)</t>
  </si>
  <si>
    <t>Flows is []. In set is account ids.has(string(account id)). Counter in set is counter account id is not no answer and account ids.has(string(counter account id)). When is date.parse(string(date)). The answer is flows where size of(amount) &gt; 0.004.sort((a, b) =&gt; date minus date).</t>
  </si>
  <si>
    <t>1. transactions: Transaction[]
2. accountIds: Set&lt;string&gt;</t>
  </si>
  <si>
    <t>1. If amount is missing it counts as zero, so nothing recorded and a real zero look the same.
2. If shares is missing it counts as zero, so nothing recorded and a real zero look the same.
3. If price is missing it counts as zero, so nothing recorded and a real zero look the same.
4. Leaves some rows out of the answer — check which.</t>
  </si>
  <si>
    <t>PERSONAL_FLOWS</t>
  </si>
  <si>
    <t>MK-PF-F-025</t>
  </si>
  <si>
    <t>historyIsComplete</t>
  </si>
  <si>
    <t>True iff every measured account's story begins IN the ledger (openable honestly).</t>
  </si>
  <si>
    <t>false   when first is missing
false   when !['OPENING_CASH', 'OPENING_POSITION', 'DEPOSIT'].includes(first.type as string)
the answer = true
disc = (when: number) =&gt; (1 + rate)^(-((when − t0) ÷ DAY) ÷ 365)
v = 0</t>
  </si>
  <si>
    <t>When first is missing, it answers false. When !['OPENING_CASH', 'OPENING_POSITION', 'DEPOSIT'].includes(first.type as string), it answers false. The answer is true. Disc is (when: number) =&gt; (1 plus rate)^(-((when minus t0) divided by DAY) divided by 365). V is 0.</t>
  </si>
  <si>
    <t>1. transactions: Transaction[]
2. accounts: AssetAccount[]
3. accountIds: Set&lt;string&gt;</t>
  </si>
  <si>
    <t>1. Uses a built-in v of 0.
2. Treats a year as 365 days.
3. Leaves some rows out of the answer — check which.</t>
  </si>
  <si>
    <t>PERSONAL_RETURN_POSSIBLE</t>
  </si>
  <si>
    <t>MK-PF-F-026</t>
  </si>
  <si>
    <t>moneyWeightedReturn</t>
  </si>
  <si>
    <t>XIRR via bisection — deterministic, no derivative games.</t>
  </si>
  <si>
    <t>reason = 'no_history'   when !history is complete(transactions, accounts, account ids)
flows = user flows(transactions, account ids)
invested = flows where amount &lt; 0
reason = 'no_history'   when invested.length = 0
t0 = flows[0].date
since days = round down((now − t0) ÷ DAY)
reason = 'too_short'   when since days &lt; 30
lo = -0.95, hi = 10
f = (r: number) =&gt; npv(r, flows, math.max(0, current value), now, t0)
f lo = f(lo), f hi = f(hi)
reason = 'no_solution'   when f lo × f hi &gt; 0
… the first steps only — the rest of the body needs reading by hand.</t>
  </si>
  <si>
    <t>When !history is complete(transactions, accounts, account ids), it answers reason = 'no_history'. Flows is user flows(transactions, account ids). Invested is flows where amount &lt; 0. When invested.length = 0, it answers reason = 'no_history'. T0 is flows[0].date. Since days is (now minus t0, rounded down divided by DAY). When since days &lt; 30, it answers reason = 'too_short'. Lo is -0.95, hi = 10. F is (r: number) =&gt; npv(r, flows, math.current value, never below zero, now, t0). F lo is f(lo), f hi = f(hi). When f lo times f hi &gt; 0, it answers reason = 'no_solution'. Only the first steps are shown; the rest of the body needs reading by hand.</t>
  </si>
  <si>
    <t>1. Uses a built-in i of 0.
2. Uses today's date from the device clock, so the answer changes by itself overnight.
3. Rounds the answer to a whole number.
4. Leaves some rows out of the answer — check which.</t>
  </si>
  <si>
    <t>1. MK-PF-F-025 historyIsComplete
2. MK-PF-F-024 userFlows</t>
  </si>
  <si>
    <t>1. MK-PF-F-025 historyIsComplete → MK-PF-F-026 moneyWeightedReturn
2. MK-PF-F-024 userFlows → MK-PF-F-026 moneyWeightedReturn</t>
  </si>
  <si>
    <t>PERSONAL_RETURN</t>
  </si>
  <si>
    <t>MK-PF-F-027</t>
  </si>
  <si>
    <t>isMoneyWeighted</t>
  </si>
  <si>
    <t>Did the personal return produce a number, or a reason it could not?</t>
  </si>
  <si>
    <t>(r as money weighted).rate per year ! = undefined</t>
  </si>
  <si>
    <t>(r as money weighted).rate per year ! = undefined.</t>
  </si>
  <si>
    <t>r: MoneyWeighted | MoneyWeightedMiss</t>
  </si>
  <si>
    <t>r is MoneyWeighted</t>
  </si>
  <si>
    <t>PERSONAL_RETURN_ANSWERED</t>
  </si>
  <si>
    <t>src/domain/performance/realized.ts</t>
  </si>
  <si>
    <t>now = opts.now (or new date() when missing)
yr = string(now.get full year())
queues = new map&lt;string, { shares: number; price: number }[]&gt;()
key of = (t: transaction) =&gt; `${account id}|${string(ticker).to upper case()}`
all = 0, year = 0, counted = 0, uncovered = 0
k = key of(t)
q = queues.get(k) (or none when missing)
q = queues.get(k) (or none when missing)
to sell = shares!
basis = 0, covered = 0
lot = the first of q
… the first steps only — the rest of the body needs reading by hand.</t>
  </si>
  <si>
    <t>Now is opts.now (or new date() — when missing). Yr is string(now.get full year()). Queues is new map&lt;string, { shares: number; price: number }[]&gt;(). Key of is (t: transaction) =&gt; `${account id}|${string(ticker).to upper case()}`. All is 0, year = 0, counted = 0, uncovered = 0. K is key of(t). Q is queues.get(k) (or none — when missing). Q is queues.get(k) (or none — when missing). To sell is shares!. Basis is 0, covered = 0. Lot: the first of q. Only the first steps are shown; the rest of the body needs reading by hand.</t>
  </si>
  <si>
    <t>"Realized from sales" — on the Holding detail screen, under "DIVIDENDS &amp; REALIZED"</t>
  </si>
  <si>
    <t>1. If shares is missing it uses 0.
2. Uses today's date from the device clock, so the answer changes by itself overnight.
3. Multiplies by 100 — a percentage, or an option contract treated as 100 shares. Worth checking which.
4. Rounds the answer to a whole number.
5. Leaves some rows out of the answer — check which.</t>
  </si>
  <si>
    <t>MK-PL-F-001</t>
  </si>
  <si>
    <t>taxBucketSplit</t>
  </si>
  <si>
    <t>src/domain/decumulation/index.ts</t>
  </si>
  <si>
    <t>s = taxable = 0
pre tax = 0
roth = 0
cash = 0
total = 0
v = earmarked amount(a)
the answer = s</t>
  </si>
  <si>
    <t>S is taxable = 0; pre tax = 0; roth = 0; cash = 0; total = 0. V is earmarked amount(a). The answer is s.</t>
  </si>
  <si>
    <t>BucketSplit</t>
  </si>
  <si>
    <t>1. "Healthcare:" — on the Retirement cockpit screen
2. "Required Minimum Distributions" — on the Retirement cockpit screen
3. "Required withdrawal — first" — on a card used on more than one screen (DrawSteerSheet)
4. "Roth conversion window:" — on the Retirement cockpit screen
5. "Suggested withdrawal order" — on the Retirement cockpit screen
6. "Where your money sits" — on the Retirement cockpit screen</t>
  </si>
  <si>
    <t>1. MK-NW-F-032 earmarkedAmount
2. MK-ST-F-055 round2</t>
  </si>
  <si>
    <t>1. MK-NW-F-032 earmarkedAmount
2. MK-ST-F-055 round2
3. MK-NW-F-030 earmarkDefault
4. MK-NW-F-011 assetClassOf
5. MK-NW-F-013 realEstateUseOf
6. MK-NW-F-008 incomeBearingClassOf
7. MK-ST-F-010 nameEvidence</t>
  </si>
  <si>
    <t>1. MK-ST-F-010 nameEvidence → MK-NW-F-008 incomeBearingClassOf → MK-NW-F-011 assetClassOf → MK-NW-F-030 earmarkDefault → MK-NW-F-032 earmarkedAmount → MK-PL-F-001 taxBucketSplit
2. MK-NW-F-013 realEstateUseOf → MK-NW-F-030 earmarkDefault → MK-NW-F-032 earmarkedAmount → MK-PL-F-001 taxBucketSplit
3. MK-ST-F-055 round2 → MK-NW-F-032 earmarkedAmount → MK-PL-F-001 taxBucketSplit
4. MK-ST-F-055 round2 → MK-PL-F-001 taxBucketSplit</t>
  </si>
  <si>
    <t>MK-PL-F-002</t>
  </si>
  <si>
    <t>withdrawalPlan</t>
  </si>
  <si>
    <t>spend annual = round(spend monthly × 12, 2 dp)
guaranteed annual = round(guaranteed monthly × 12, 2 dp)
net withdrawal = max(0, round(spend annual − guaranteed annual, 2 dp))
withdrawal rate = round(net withdrawal ÷ nest egg, 4 dp)   if nest egg &gt; 0
nothing   otherwise
the answer = { spend annual, guaranteed annual, net withdrawal, withdrawal rate, rate band }</t>
  </si>
  <si>
    <t>Spend annual is spend monthly times 12, to the cent. Guaranteed annual is guaranteed monthly times 12, to the cent. Net withdrawal is spend annual minus guaranteed annual, to the cent, never below zero. Withdrawal rate is net withdrawal divided by nest egg, to 4 decimal places — when nest egg &gt; 0; no answer — otherwise. The answer is { spend annual, guaranteed annual, net withdrawal, withdrawal rate, rate band }.</t>
  </si>
  <si>
    <t>1. spendMonthly: number
2. guaranteedMonthly: number
3. nestEgg: number</t>
  </si>
  <si>
    <t>WithdrawalPlan</t>
  </si>
  <si>
    <t>1. "From your portfolio" — on the Retirement cockpit screen
2. "WILL YOUR MONEY LAST?" — on the Retirement cockpit screen, under "RETIREMENT
3. WHERE YOU STAND"
4. "You plan to spend" — on the Retirement cockpit screen</t>
  </si>
  <si>
    <t>1. Turns a monthly figure into a year by multiplying by twelve.
2. Rounds the answer to a whole number.</t>
  </si>
  <si>
    <t>MK-ST-F-055 round2 → MK-PL-F-002 withdrawalPlan</t>
  </si>
  <si>
    <t>MK-PL-F-003</t>
  </si>
  <si>
    <t>depletionAge</t>
  </si>
  <si>
    <t>---- deterministic depletion ---- Age the portfolio runs out (deterministic), or null if it lasts to the horizon.</t>
  </si>
  <si>
    <t>bal = nest egg
net = net withdrawal now
rmd on = (pre tax share ?? 0) &gt; 0
pre tax bal = bal × min(1, max(0, pre tax share!))   if rmd on
0   otherwise
rate = min(0.6, max(0, rmd tax rate (or 0.22 when missing)))
growth = 1 + return rate
a + 1   when bal ≤ 0
the answer = nothing</t>
  </si>
  <si>
    <t>Bal is nest egg. Net is net withdrawal now. Rmd on is (pre tax share ?? 0) &gt; 0. Pre tax bal is bal times the smaller of 1 and pre tax share!, never below zero — when rmd on; 0 — otherwise. Rate: the smaller of 0.6 and rmd tax rate (or 0.22 — when missing, never below zero). Growth is 1 plus return rate. When bal is at most 0, it answers a plus 1. The answer is no answer.</t>
  </si>
  <si>
    <t>o: { age: number; horizon: number; nestEgg: number; netWithdrawalNow: number; returnRate: number; inflation: number; preTaxShare?: number; rmdTaxRate?: number }</t>
  </si>
  <si>
    <t>1. If pre tax share is missing it uses 0.
2. If required withdrawal tax rate is missing it uses 22%.</t>
  </si>
  <si>
    <t>1. MK-PL-F-007 rmdAtAge
2. MK-PL-F-005 rmdStartAgeFor</t>
  </si>
  <si>
    <t>1. MK-PL-F-007 rmdAtAge
2. MK-PL-F-005 rmdStartAgeFor
3. MK-PL-F-006 rmdDivisor
4. MK-ST-F-055 round2
5. MK-ST-F-025 rmdStartAgeFromAge
6. MK-ST-F-024 rmdStartAge</t>
  </si>
  <si>
    <t>1. MK-PL-F-006 rmdDivisor → MK-PL-F-007 rmdAtAge → MK-PL-F-003 depletionAge
2. MK-ST-F-055 round2 → MK-PL-F-007 rmdAtAge → MK-PL-F-003 depletionAge
3. MK-ST-F-024 rmdStartAge → MK-ST-F-025 rmdStartAgeFromAge → MK-PL-F-005 rmdStartAgeFor → MK-PL-F-003 depletionAge</t>
  </si>
  <si>
    <t>MK-PL-F-004</t>
  </si>
  <si>
    <t>withdrawalOrder</t>
  </si>
  <si>
    <t>steps = seq where split[bucket] &gt; 0for each of : ...each = ...each
amount = split[bucket]
pre = steps.find((s) =&gt; bucket = 'preTax')
the answer = steps</t>
  </si>
  <si>
    <t>Steps is seq where split[bucket] &gt; 0for each of : ...each = ...each; amount = split[bucket]. Pre is steps.find((s) =&gt; bucket = 'preTax'). The answer is steps.</t>
  </si>
  <si>
    <t>1. split: BucketSplit
2. age = 0
3. userOrder?: DrawBucket[] | null</t>
  </si>
  <si>
    <t>OrderStep[]</t>
  </si>
  <si>
    <t>1. "Why this order?" — on the Cash flow screen
2. "Why? ›" — on the Cash flow screen, under "BIG-TICKET RADAR"</t>
  </si>
  <si>
    <t>1. MK-ST-F-039 on
2. MK-PL-F-007 rmdAtAge
3. MK-PL-F-005 rmdStartAgeFor</t>
  </si>
  <si>
    <t>1. MK-ST-F-039 on
2. MK-PL-F-007 rmdAtAge
3. MK-PL-F-005 rmdStartAgeFor
4. MK-PL-F-006 rmdDivisor
5. MK-ST-F-055 round2
6. MK-ST-F-025 rmdStartAgeFromAge
7. MK-ST-F-024 rmdStartAge</t>
  </si>
  <si>
    <t>1. MK-ST-F-039 on → MK-PL-F-004 withdrawalOrder
2. MK-PL-F-006 rmdDivisor → MK-PL-F-007 rmdAtAge → MK-PL-F-004 withdrawalOrder
3. MK-ST-F-055 round2 → MK-PL-F-007 rmdAtAge → MK-PL-F-004 withdrawalOrder
4. MK-ST-F-024 rmdStartAge → MK-ST-F-025 rmdStartAgeFromAge → MK-PL-F-005 rmdStartAgeFor → MK-PL-F-004 withdrawalOrder</t>
  </si>
  <si>
    <t>MK-PL-F-005</t>
  </si>
  <si>
    <t>rmdStartAgeFor</t>
  </si>
  <si>
    <t>---- Required Minimum Distributions ---- B4 (founder brief 2026-08-20): the rule lives in ONE dated, sourced table — the Calculation Module's rmd engine.</t>
  </si>
  <si>
    <t>73   if age = nothing
rmd start age from age(age, now year)   otherwise</t>
  </si>
  <si>
    <t>73 — when age is missing; rmd start age from age(age, now year) — otherwise.</t>
  </si>
  <si>
    <t>1. age?: number | null
2. nowYear = new Date().getFullYear()</t>
  </si>
  <si>
    <t>1. "Required Minimum Distributions" — on the Retirement cockpit screen
2. "Required withdrawal — first" — on a card used on more than one screen (DrawSteerSheet)
3. "Roth conversion" — on the Roth move screen
4. "Suggested withdrawal order" — on the Retirement cockpit screen
5. "WHAT IT BUYS LATER" — on the Roth move screen, under "WHAT IT BUYS LATER"
6. "WHAT THIS IS" — on the Required withdrawals screen, under "WHAT THIS IS"</t>
  </si>
  <si>
    <t>MK-ST-F-025 rmdStartAgeFromAge</t>
  </si>
  <si>
    <t>1. MK-ST-F-025 rmdStartAgeFromAge
2. MK-ST-F-024 rmdStartAge</t>
  </si>
  <si>
    <t>MK-ST-F-024 rmdStartAge → MK-ST-F-025 rmdStartAgeFromAge → MK-PL-F-005 rmdStartAgeFor</t>
  </si>
  <si>
    <t>MK-PL-F-006</t>
  </si>
  <si>
    <t>rmdDivisor</t>
  </si>
  <si>
    <t>divisor(age) = 0                        when age is below the start age
               the table value at age   when the table lists that age
               straight-line between the two nearest listed ages   otherwise</t>
  </si>
  <si>
    <t>The number the pre-tax balance is divided by. The IRS Uniform Lifetime table is held for ages 73 to 90, then 92, 95 and 100 only; every other age is interpolated. Ages 93, 94, 97, 98 and 99 do not match the published divisors, and the required amount comes out SHORT — which is the direction the IRS penalises. Finding A35.</t>
  </si>
  <si>
    <t>1. age: number
2. nowYear = new Date().getFullYear()</t>
  </si>
  <si>
    <t>"Suggested withdrawal order" — on the Retirement cockpit screen</t>
  </si>
  <si>
    <t>MK-PL-F-007</t>
  </si>
  <si>
    <t>rmdAtAge</t>
  </si>
  <si>
    <t>Required minimum distribution from pre-tax balances at a given age (0 before the start age).</t>
  </si>
  <si>
    <t>required withdrawal = round(pre-tax balance ÷ divisor(age), 2 dp)
                    = 0   when the divisor is 0</t>
  </si>
  <si>
    <t>Last 31 December's pre-tax balance divided by the life-expectancy divisor for this age. Zero before the start age. Uses the Uniform Lifetime table for everyone — the Joint Life table, which applies when the sole beneficiary is a spouse more than ten years younger, is nowhere.</t>
  </si>
  <si>
    <t>1. preTaxBalance: number
2. age: number</t>
  </si>
  <si>
    <t>1. "Required Minimum Distributions" — on the Retirement cockpit screen
2. "Required withdrawal — first" — on a card used on more than one screen (DrawSteerSheet)
3. "WHAT IT BUYS LATER" — on the Roth move screen, under "WHAT IT BUYS LATER"
4. "Yours starts in" — on the Required withdrawals screen, under "WHAT THIS IS"</t>
  </si>
  <si>
    <t>1. MK-PL-F-006 rmdDivisor
2. MK-ST-F-055 round2</t>
  </si>
  <si>
    <t>1. MK-PL-F-006 rmdDivisor → MK-PL-F-007 rmdAtAge
2. MK-ST-F-055 round2 → MK-PL-F-007 rmdAtAge</t>
  </si>
  <si>
    <t>MK-PL-F-008</t>
  </si>
  <si>
    <t>rmdSchedule</t>
  </si>
  <si>
    <t>Year-by-year mandated-withdrawal schedule (ESTIMATES: future balances move with returns).</t>
  </si>
  <si>
    <t>rows = []
rows   when pre tax now ≤ 0
start age = max(rmd start age for(age now, now year), age now)
bal = pre tax now
r = max(0, exp return (or 0 when missing or zero))
age = start age + i
amount = rmd at age(bal, age)
the answer = rows</t>
  </si>
  <si>
    <t>Rows is []. When pre tax now is at most 0, it answers rows. Start age: the larger of rmd start age for(age now and now year, age now). Bal is pre tax now. R is exp return (or 0 — when missing or zero, never below zero). Age is start age plus i. Amount is rmd at age(bal, age). The answer is rows.</t>
  </si>
  <si>
    <t>1. preTaxNow: number
2. ageNow: number
3. expReturn: number
4. years = 15
5. nowYear = new Date().getFullYear()</t>
  </si>
  <si>
    <t>RmdYearRow[]</t>
  </si>
  <si>
    <t>1. If exp return is missing it counts as zero, so nothing recorded and a real zero look the same.
2. Uses a built-in i of 0.
3. Uses today's date from the device clock, so the answer changes by itself overnight.
4. Rounds the answer to a whole number.</t>
  </si>
  <si>
    <t>1. MK-PL-F-054 growOneYear
2. MK-PL-F-007 rmdAtAge
3. MK-PL-F-006 rmdDivisor
4. MK-PL-F-005 rmdStartAgeFor</t>
  </si>
  <si>
    <t>1. MK-PL-F-054 growOneYear
2. MK-PL-F-007 rmdAtAge
3. MK-PL-F-006 rmdDivisor
4. MK-PL-F-005 rmdStartAgeFor
5. MK-ST-F-055 round2
6. MK-ST-F-025 rmdStartAgeFromAge
7. MK-ST-F-024 rmdStartAge</t>
  </si>
  <si>
    <t>1. MK-PL-F-054 growOneYear → MK-PL-F-008 rmdSchedule
2. MK-PL-F-006 rmdDivisor → MK-PL-F-007 rmdAtAge → MK-PL-F-008 rmdSchedule
3. MK-ST-F-055 round2 → MK-PL-F-007 rmdAtAge → MK-PL-F-008 rmdSchedule
4. MK-PL-F-006 rmdDivisor → MK-PL-F-008 rmdSchedule
5. MK-ST-F-024 rmdStartAge → MK-ST-F-025 rmdStartAgeFromAge → MK-PL-F-005 rmdStartAgeFor → MK-PL-F-008 rmdSchedule</t>
  </si>
  <si>
    <t>MK-PL-F-009</t>
  </si>
  <si>
    <t>rmdTakenThisYear</t>
  </si>
  <si>
    <t>Withdrawals already taken THIS year from the pre-tax accounts (the one ledger — no side lists).</t>
  </si>
  <si>
    <t>ids = a list with no repeats of for each of pre tax account ids: string</t>
  </si>
  <si>
    <t>Ids is a list with no repeats of for each of pre tax account ids: string.</t>
  </si>
  <si>
    <t>1. transactions: { type?: string; account_id?: string; amount?: number; date?: string }[]
2. preTaxAccountIds: string[]
3. nowYear = new Date().getFullYear()</t>
  </si>
  <si>
    <t>MK-ST-F-055 round2 → MK-PL-F-009 rmdTakenThisYear</t>
  </si>
  <si>
    <t>MK-PL-F-010</t>
  </si>
  <si>
    <t>drawOrderOutcome</t>
  </si>
  <si>
    <t>ord = ordinary rate (or 0.22, cg = (cap gains rate ?? 0.15) × (gain share ?? 0.5) when missing)
gross up = cash = 0
taxable = cg
pre tax = ord
roth = 0
bal = cash = split.cash
taxable = split.taxable
pre tax = split.pre tax
roth = split.roth
taxes = 0
need0 = max(0, spend annual − guaranteed annual)
lasts to age = nothing
total taxes = 0   when need0 ≤ 0
need = need0
rmd = rmd at age(bal.pre tax, age)
take = min(rmd, bal.pre tax)
tax = take × ord; taxes += tax
net = take − tax
… the first steps only — the rest of the body needs reading by hand.</t>
  </si>
  <si>
    <t>Ord is ordinary rate (or 0.22, cg = (cap gains rate ?? 0.15) times (gain share ?? 0.5) — when missing). Gross up is cash = 0; taxable = cg; pre tax = ord; roth = 0. Bal is cash = split.cash; taxable = split.taxable; pre tax = split.pre tax; roth = split.roth. Taxes is 0. Need0 is spend annual minus guaranteed annual, never below zero. When need0 is at most 0, it answers lasts to age is missing; total taxes = 0. Need is need0. Rmd is rmd at age(bal.pre tax, age). Take: the smaller of rmd and bal.pre tax. Tax is take times ord; taxes += tax. Net is take minus tax. Only the first steps are shown; the rest of the body needs reading by hand.</t>
  </si>
  <si>
    <t>1. If ordinary rate is missing it uses 22%.
2. If cap gains rate is missing it uses 15%.
3. If gain share is missing it uses 50%.
4. Uses a built-in taxes of 0.</t>
  </si>
  <si>
    <t>1. MK-PL-F-007 rmdAtAge
2. MK-PL-F-005 rmdStartAgeFor
3. MK-ST-F-055 round2</t>
  </si>
  <si>
    <t>1. MK-PL-F-007 rmdAtAge
2. MK-PL-F-005 rmdStartAgeFor
3. MK-ST-F-055 round2
4. MK-PL-F-006 rmdDivisor
5. MK-ST-F-025 rmdStartAgeFromAge
6. MK-ST-F-024 rmdStartAge</t>
  </si>
  <si>
    <t>1. MK-PL-F-006 rmdDivisor → MK-PL-F-007 rmdAtAge → MK-PL-F-010 drawOrderOutcome
2. MK-ST-F-055 round2 → MK-PL-F-007 rmdAtAge → MK-PL-F-010 drawOrderOutcome
3. MK-ST-F-024 rmdStartAge → MK-ST-F-025 rmdStartAgeFromAge → MK-PL-F-005 rmdStartAgeFor → MK-PL-F-010 drawOrderOutcome
4. MK-ST-F-055 round2 → MK-PL-F-010 drawOrderOutcome</t>
  </si>
  <si>
    <t>MK-PL-F-011</t>
  </si>
  <si>
    <t>buildGoalsState</t>
  </si>
  <si>
    <t>src/domain/goals/index.ts</t>
  </si>
  <si>
    <t>Months to reach each goal at the given monthly savings capacity.</t>
  </si>
  <si>
    <t>user id = uid
goals = progress
monthly capacity = round(monthly capacity, 2 dp)</t>
  </si>
  <si>
    <t>user id = uid; goals = progress; monthly capacity = monthly capacity, to the cent.</t>
  </si>
  <si>
    <t>1. uid: UserId
2. goals: Goal[]
3. monthlyCapacity: number</t>
  </si>
  <si>
    <t>GoalsState</t>
  </si>
  <si>
    <t>1. MK-ST-F-055 round2
2. MK-PL-F-012 waterfall</t>
  </si>
  <si>
    <t>1. MK-ST-F-055 round2 → MK-PL-F-011 buildGoalsState
2. MK-ST-F-055 round2 → MK-PL-F-012 waterfall → MK-PL-F-011 buildGoalsState</t>
  </si>
  <si>
    <t>MK-PL-F-012</t>
  </si>
  <si>
    <t>waterfall</t>
  </si>
  <si>
    <t>left = max(0, surplus)
steps = []
a = min(left, max(0, need)); left -= a; steps.push({ name, allocated: round2(a) })
the answer = steps</t>
  </si>
  <si>
    <t>Left is surplus, never below zero. Steps is []. A: the smaller of left and need, never below zero; left -= a; steps.push({ name, allocated: round2(a) }). The answer is steps.</t>
  </si>
  <si>
    <t>1. If emergency gap is missing it uses 0.
2. If toxic debt is missing it uses 0.
3. If employer match monthly is missing it uses 0.</t>
  </si>
  <si>
    <t>MK-ST-F-055 round2 → MK-PL-F-012 waterfall</t>
  </si>
  <si>
    <t>MK-PL-F-013</t>
  </si>
  <si>
    <t>goalsFromOnboarding</t>
  </si>
  <si>
    <t>a = op (or none when missing)
raw = goals   if array.is array(goals)
[]   otherwise
the answer:
user id = uid
goals = goals</t>
  </si>
  <si>
    <t>A is op (or none — when missing). Raw is goals — when array.is array(goals); [] — otherwise. The answer is user id = uid; goals = goals.</t>
  </si>
  <si>
    <t>GoalsDoc</t>
  </si>
  <si>
    <t>1. MK-ST-F-043 newEntityId → MK-PL-F-013 goalsFromOnboarding
2. MK-ST-F-052 toNum → MK-PL-F-013 goalsFromOnboarding</t>
  </si>
  <si>
    <t>MK-PL-F-014</t>
  </si>
  <si>
    <t>loadGoals</t>
  </si>
  <si>
    <t>MK-PL-F-015</t>
  </si>
  <si>
    <t>saveGoals</t>
  </si>
  <si>
    <t>d: GoalsDoc</t>
  </si>
  <si>
    <t>MK-ST-F-042 setUserDoc → MK-PL-F-015 saveGoals</t>
  </si>
  <si>
    <t>MK-PL-F-016</t>
  </si>
  <si>
    <t>availableToSaveSummary</t>
  </si>
  <si>
    <t>Summarize per-month available-to-save from a 12-month cash-flow grid.</t>
  </si>
  <si>
    <t>amts = for each of grid (or none when missing): amount
avg = 0
min = 0
max = 0
lumpy = false   when count of amts is missing
avg = round(Σ over amts of (each)count of ÷ amts)
min = round(min(...amts))
max = round(max(...amts))
the answer:
avg = avg
min = min
max = max
lumpy = max − min &gt; max(50, avg × 0.25)</t>
  </si>
  <si>
    <t>Amts is for each of grid (or none — when missing): amount. When how many amts is missing there are, it answers avg = 0; min = 0; max = 0; lumpy = false. Avg: the each added up across amtshow many divided by amts, to a whole number there are. Min: the smaller of ...amts and to a whole number. Max: the larger of ...amts and to a whole number. The answer is avg = avg; min = min; max = max; lumpy = max minus min &gt; the larger of 50 and avg times 0.25.</t>
  </si>
  <si>
    <t>grid: { label: string; amount: number }[]</t>
  </si>
  <si>
    <t>SaveCapacity</t>
  </si>
  <si>
    <t>"Plan" — on the Goals screen</t>
  </si>
  <si>
    <t>1. Applies a built-in rate of 25% to avg.
2. Rounds the answer to a whole number.</t>
  </si>
  <si>
    <t>MK-PL-F-017</t>
  </si>
  <si>
    <t>sinkingFund</t>
  </si>
  <si>
    <t>monthly = max(0, round(monthly non monthly))
the answer:
annual = monthly × 12
monthly = monthly</t>
  </si>
  <si>
    <t>Monthly is monthly non monthly, to a whole number, never below zero. The answer is annual = monthly times 12; monthly = monthly.</t>
  </si>
  <si>
    <t>monthlyNonMonthly: number</t>
  </si>
  <si>
    <t>SinkingFund</t>
  </si>
  <si>
    <t>MK-PL-F-018</t>
  </si>
  <si>
    <t>monthsUntil</t>
  </si>
  <si>
    <t>Whole months from `now` to the target month ('YYYY-MM'); &gt;=1, or null if no/!invalid date.</t>
  </si>
  <si>
    <t>nothing   when target date is missing
nothing   when y is missing (or m is missing when missing or zero)
max(1, (y − now.get full year()) × 12 + (m − 1 − now.get month()))</t>
  </si>
  <si>
    <t>When target date is missing, it answers no answer. When y is missing (or m is missing — when missing or zero), it answers no answer. the larger of 1 and (y minus now.get full year() times 12 plus (m minus 1 minus now.get month())).</t>
  </si>
  <si>
    <t>1. targetDate: string | undefined
2. now: Date</t>
  </si>
  <si>
    <t>MK-PL-F-019</t>
  </si>
  <si>
    <t>goalMonthsRemaining</t>
  </si>
  <si>
    <t>Months remaining: from the target date if set, else the goal's `duration` (months).</t>
  </si>
  <si>
    <t>from date = months until(target date, now)
from date   when from date ≠ nothing
d = duration read as a number
the answer:
d   if number.is finite(d) and d &gt; 0
nothing   otherwise</t>
  </si>
  <si>
    <t>From date is months until(target date, now). When from date is not no answer, it answers from date. D is duration read as a number. The answer is d — when number.is finite(d) and d &gt; 0; no answer — otherwise.</t>
  </si>
  <si>
    <t>1. g: GoalLike
2. now: Date = new Date()</t>
  </si>
  <si>
    <t>MK-PL-F-018 monthsUntil</t>
  </si>
  <si>
    <t>MK-PL-F-018 monthsUntil → MK-PL-F-019 goalMonthsRemaining</t>
  </si>
  <si>
    <t>MK-PL-F-020</t>
  </si>
  <si>
    <t>requiredMonthly</t>
  </si>
  <si>
    <t>$/month still needed to hit the target on time (0 if already funded; null if no date/duration).</t>
  </si>
  <si>
    <t>remaining = max(0, (target or 0) − (saved or 0))
0   when remaining = 0
months = goal months remaining(g, now)
the answer:
round(remaining ÷ months, 2 dp)   if months
nothing   otherwise</t>
  </si>
  <si>
    <t>Remaining is (target or 0, never below zero minus (saved or 0)). When remaining = 0, it answers 0. Months is goal months remaining(g, now). The answer is remaining divided by months, to the cent — when months; no answer — otherwise.</t>
  </si>
  <si>
    <t>1. If target is missing it counts as zero, so nothing recorded and a real zero look the same.
2. If saved is missing it counts as zero, so nothing recorded and a real zero look the same.
3. Uses today's date from the device clock, so the answer changes by itself overnight.</t>
  </si>
  <si>
    <t>1. MK-PL-F-019 goalMonthsRemaining
2. MK-ST-F-055 round2</t>
  </si>
  <si>
    <t>1. MK-PL-F-019 goalMonthsRemaining
2. MK-ST-F-055 round2
3. MK-PL-F-018 monthsUntil</t>
  </si>
  <si>
    <t>1. MK-PL-F-018 monthsUntil → MK-PL-F-019 goalMonthsRemaining → MK-PL-F-020 requiredMonthly
2. MK-ST-F-055 round2 → MK-PL-F-020 requiredMonthly</t>
  </si>
  <si>
    <t>MK-PL-F-021</t>
  </si>
  <si>
    <t>monthsToGoal</t>
  </si>
  <si>
    <t>Months to reach the goal at a given monthly contribution (0 if funded; null if contribution &lt;= 0).</t>
  </si>
  <si>
    <t>remaining = max(0, (target or 0) − (saved or 0))
0   when remaining = 0
the answer:
round up(remaining ÷ monthly contribution)   if monthly contribution &gt; 0
nothing   otherwise</t>
  </si>
  <si>
    <t>Remaining is (target or 0, never below zero minus (saved or 0)). When remaining = 0, it answers 0. The answer is remaining divided by monthly contribution, rounded up — when monthly contribution &gt; 0; no answer — otherwise.</t>
  </si>
  <si>
    <t>1. g: GoalLike
2. monthlyContribution: number</t>
  </si>
  <si>
    <t>1. If target is missing it counts as zero, so nothing recorded and a real zero look the same.
2. If saved is missing it counts as zero, so nothing recorded and a real zero look the same.</t>
  </si>
  <si>
    <t>MK-PL-F-022</t>
  </si>
  <si>
    <t>goalProgressPct</t>
  </si>
  <si>
    <t>Funded %, clamped 0–100.</t>
  </si>
  <si>
    <t>0   when (target or 0) ≤ 0
min(100, max(0, round(((saved or 0) ÷ target) × 100)))</t>
  </si>
  <si>
    <t>When (target or 0) is at most 0, it answers 0. the smaller of 100 and ((saved or 0, to a whole number divided by target, never below zero times 100)).</t>
  </si>
  <si>
    <t>g: GoalLike</t>
  </si>
  <si>
    <t>1. If target is missing it counts as zero, so nothing recorded and a real zero look the same.
2. If saved is missing it counts as zero, so nothing recorded and a real zero look the same.
3. Multiplies by 100 — a percentage, or an option contract treated as 100 shares. Worth checking which.
4. Rounds the answer to a whole number.</t>
  </si>
  <si>
    <t>MK-PL-F-023</t>
  </si>
  <si>
    <t>goalStatus</t>
  </si>
  <si>
    <t>'fully_funded'   when (saved or 0) ≥ (target or 0) and (target or 0) &gt; 0
req = required monthly(g, now)
'no_date'   when req = nothing
'fully_funded'   when req = 0
the answer:
'on_track'   if (funded this month or 0) + 1e − 6 ≥ req
'behind'   otherwise</t>
  </si>
  <si>
    <t>When (saved or 0) is at least (target or 0) and (target or 0) &gt; 0, it answers 'fully_funded'. Req is required monthly(g, now). When req is missing, it answers 'no_date'. When req = 0, it answers 'fully_funded'. The answer is 'on_track' — when (funded this month or 0) plus 1e minus 6 is at least req; 'behind' — otherwise.</t>
  </si>
  <si>
    <t>1. g: GoalLike
2. fundedThisMonth: number | null | undefined
3. now: Date = new Date()</t>
  </si>
  <si>
    <t>GoalStatus</t>
  </si>
  <si>
    <t>"Complete! 🎉" — on the rewards screen</t>
  </si>
  <si>
    <t>1. If saved is missing it counts as zero, so nothing recorded and a real zero look the same.
2. If target is missing it counts as zero, so nothing recorded and a real zero look the same.
3. If funded this month is missing it counts as zero, so nothing recorded and a real zero look the same.
4. Uses today's date from the device clock, so the answer changes by itself overnight.</t>
  </si>
  <si>
    <t>MK-PL-F-020 requiredMonthly</t>
  </si>
  <si>
    <t>1. MK-PL-F-020 requiredMonthly
2. MK-PL-F-019 goalMonthsRemaining
3. MK-ST-F-055 round2
4. MK-PL-F-018 monthsUntil</t>
  </si>
  <si>
    <t>1. MK-PL-F-018 monthsUntil → MK-PL-F-019 goalMonthsRemaining → MK-PL-F-020 requiredMonthly → MK-PL-F-023 goalStatus
2. MK-ST-F-055 round2 → MK-PL-F-020 requiredMonthly → MK-PL-F-023 goalStatus</t>
  </si>
  <si>
    <t>MK-PL-F-024</t>
  </si>
  <si>
    <t>oddsLine</t>
  </si>
  <si>
    <t>src/domain/planning/hub.ts</t>
  </si>
  <si>
    <t>How do we state the odds in words?</t>
  </si>
  <si>
    <t>`${chance}% odds of lasting to age ${horizon age}`</t>
  </si>
  <si>
    <t>`${chance}% odds of lasting to age ${horizon age}`.</t>
  </si>
  <si>
    <t>1. _lens: 'retired' | string
2. chance: number
3. horizonAge: number</t>
  </si>
  <si>
    <t>"WILL MY MONEY LAST?" — on the Home screen, under "WILL MY MONEY LAST?"</t>
  </si>
  <si>
    <t>ODDS_SENTENCE</t>
  </si>
  <si>
    <t>MK-PL-F-025</t>
  </si>
  <si>
    <t>sampleOddsLine</t>
  </si>
  <si>
    <t>The same sentence for the app-wide SAMPLE, always labelled as one.</t>
  </si>
  <si>
    <t>`sample: ${SAMPLE_CHANCE}% odds of lasting to age ${horizon age}`</t>
  </si>
  <si>
    <t>`sample: ${SAMPLE_CHANCE}% odds of lasting to age ${horizon age}`.</t>
  </si>
  <si>
    <t>horizonAge: number = SAMPLE_HORIZON</t>
  </si>
  <si>
    <t>"YOUR RETIREMENT PLAN" — on the Net worth screen, under "YOUR RETIREMENT PLAN"</t>
  </si>
  <si>
    <t>SAMPLE_ODDS_SENTENCE</t>
  </si>
  <si>
    <t>a = op (or none when missing)
missing = []
has age = number(birth year) &gt; 1900 (or number(age) &gt; 0 when missing or zero)
has spend = number(monthly spending) &gt; 0 (or number(spend monthly) &gt; 0 when missing or zero)
total = round(Σ over accounts (or none when missing) of (balance (or 0 when missing or zero)), 2 dp)
earmarked = retirement earmarked value(accounts ?? [])
has have = earmarked &gt; 0</t>
  </si>
  <si>
    <t>A is op (or none — when missing). Missing is []. Has age is number(birth year) &gt; 1900 (or number(age) &gt; 0 — when missing or zero). Has spend is number(monthly spending) &gt; 0 (or number(spend monthly) &gt; 0 — when missing or zero). Total: the balance (or 0 — when missing or zero added up across accounts (or none — when missing)), to the cent. Earmarked is retirement earmarked value(accounts ?? []). Has have is earmarked &gt; 0.</t>
  </si>
  <si>
    <t>1. op: Record&lt;string, any&gt; | null
2. accounts: AssetAccount[]</t>
  </si>
  <si>
    <t>PlanDoor</t>
  </si>
  <si>
    <t>1. MK-NW-F-033 retirementEarmarkedValue
2. MK-ST-F-055 round2</t>
  </si>
  <si>
    <t>1. MK-NW-F-033 retirementEarmarkedValue
2. MK-ST-F-055 round2
3. MK-NW-F-032 earmarkedAmount
4. MK-NW-F-031 primaryCarIdOf
5. MK-NW-F-030 earmarkDefault
6. MK-NW-F-011 assetClassOf
7. MK-NW-F-013 realEstateUseOf
8. MK-NW-F-008 incomeBearingClassOf
9. MK-ST-F-010 nameEvidence</t>
  </si>
  <si>
    <t>MK-PL-F-027</t>
  </si>
  <si>
    <t>nextDecision</t>
  </si>
  <si>
    <t>now = args.now (or new date() when missing)
due = rmd at age(args.pre tax balance, args.age)
taken = rmd taken this year(args.transactions ?? [], args.pre tax account ids, now.get full year())
opens = the date args.birth year + 62, now.get month(), 1
the answer = nothing</t>
  </si>
  <si>
    <t>Now is args.now (or new date() — when missing). Due is rmd at age(args.pre tax balance, args.age). Taken is rmd taken this year(args.transactions ?? [], args.pre tax account ids, now.get full year()). Opens: the date args.birth year plus 62, now.get month(), 1. The answer is no answer.</t>
  </si>
  <si>
    <t>1. Uses a built-in s a m p l e c h a n c e of 84.
2. Uses a built-in s a m p l e h o r i z o n of 90.
3. Uses today's date from the device clock, so the answer changes by itself overnight.
4. Rounds the answer to a whole number.</t>
  </si>
  <si>
    <t>1. MK-PL-F-007 rmdAtAge
2. MK-PL-F-005 rmdStartAgeFor
3. MK-PL-F-009 rmdTakenThisYear</t>
  </si>
  <si>
    <t>1. MK-PL-F-007 rmdAtAge
2. MK-PL-F-005 rmdStartAgeFor
3. MK-PL-F-009 rmdTakenThisYear
4. MK-PL-F-006 rmdDivisor
5. MK-ST-F-055 round2
6. MK-ST-F-025 rmdStartAgeFromAge
7. MK-ST-F-024 rmdStartAge</t>
  </si>
  <si>
    <t>1. MK-PL-F-006 rmdDivisor → MK-PL-F-007 rmdAtAge → MK-PL-F-027 nextDecision
2. MK-ST-F-055 round2 → MK-PL-F-007 rmdAtAge → MK-PL-F-027 nextDecision
3. MK-ST-F-024 rmdStartAge → MK-ST-F-025 rmdStartAgeFromAge → MK-PL-F-005 rmdStartAgeFor → MK-PL-F-027 nextDecision
4. MK-ST-F-055 round2 → MK-PL-F-009 rmdTakenThisYear → MK-PL-F-027 nextDecision</t>
  </si>
  <si>
    <t>MK-PL-F-028</t>
  </si>
  <si>
    <t>sampleAskLine</t>
  </si>
  <si>
    <t>The invitation under a sample: name the answers still missing, so a dead end becomes one tap.</t>
  </si>
  <si>
    <t>n = count of missing
''   when n = 0
verb = (m: string) =&gt; (starts with('what counts') ? 'choose' : 'add')
`a sample, not your number — ${verb(missing[0])} ${missing[0]} and it becomes yours`   when n = 1
list = `${missing[0]} and ${missing[1]}`   if n = 2
`${missing.slice(0, -1).join(', ')} and ${missing[n − 1]}`   otherwise
the answer = `a sample, not your number — ${n} answers make it yours: ${list}`</t>
  </si>
  <si>
    <t>N: how many missing there are. When n = 0, it answers ''. Verb is (m: string) =&gt; (starts with('what counts') ? 'choose' : 'add'). When n = 1, it answers `a sample, your is missing number — ${verb(missing[0])} ${missing[0]} and it becomes yours`. List is `${missing[0]} and ${missing[1]}` — when n = 2; `${missing.slice(0, -1).join(', ')} and ${missing[n minus 1]}` — otherwise. The answer is `a sample, your is missing number — ${n} answers make it yours: ${list}`.</t>
  </si>
  <si>
    <t>missing: string[]</t>
  </si>
  <si>
    <t>SAMPLE_ASK_SENTENCE</t>
  </si>
  <si>
    <t>MK-PL-F-029</t>
  </si>
  <si>
    <t>shortfallAgeFromBand</t>
  </si>
  <si>
    <t>The age the middle path first hits zero, from a simulation band — null while it never does.</t>
  </si>
  <si>
    <t>(band ?? []).find((pt) =&gt; pt.p50 ≤ 0).age (or nothing when missing)</t>
  </si>
  <si>
    <t>(band ?? []).find((pt) =&gt; pt.p50 is at most 0).age (or no answer — when missing).</t>
  </si>
  <si>
    <t>band?: { age: number; p50: number }[] | null</t>
  </si>
  <si>
    <t>AGE_THE_MONEY_RUNS_OUT</t>
  </si>
  <si>
    <t>MK-PL-F-030</t>
  </si>
  <si>
    <t>onCourseSentence</t>
  </si>
  <si>
    <t>In one sentence, how is this plan doing?</t>
  </si>
  <si>
    <t>nothing   when chance = nothing
near = (n: number) =&gt; money(math.max(1000, math.round(n ÷ 1000) × 1000))
lasts = (args.leftover at horizon ?? 0) &gt; 0
short at = args.shortfall age
nothing   when not (args.pot at retire! &gt; 0)
the answer = `retire at ${args.retire age} with ~${near(args.pot at retire!)}, ${ending}`</t>
  </si>
  <si>
    <t>When chance is missing, it answers no answer. Near is (n: number) =&gt; money(math.the larger of 1000 and math.n divided by 1000, to a whole number times 1000). Lasts is (args.leftover at horizon ?? 0) &gt; 0. Short at is args.shortfall age. When not (args.pot at retire! &gt; 0), it answers no answer. The answer is `retire at ${args.retire age} with ~${near(args.pot at retire!)}, ${ending}`.</t>
  </si>
  <si>
    <t>1. If leftover at horizon is missing it uses 0.
2. Rounds the answer to a whole number.</t>
  </si>
  <si>
    <t>MK-ST-F-047 activeCurrency → MK-ST-F-048 currencySymbol → MK-ST-F-049 formatMoney → MK-ST-F-053 money → MK-PL-F-030 onCourseSentence</t>
  </si>
  <si>
    <t>ARE_YOU_ON_COURSE</t>
  </si>
  <si>
    <t>MK-PL-F-031</t>
  </si>
  <si>
    <t>taxOrganizer</t>
  </si>
  <si>
    <t>src/domain/planning/index.ts</t>
  </si>
  <si>
    <t>a = op (or none when missing)
accounts = opts.accounts (or [], liabilities = opts.liabilities (or none when missing) when missing)
se annual = se amount read as a number (0 when it is not one)   if se freq = 'annual'
to num(se amount) × 12   otherwise
other annual = other amount read as a number (0 when it is not one)   if other freq = 'annual'
other amount read as a number (0 when it is not one)   if other freq = 'onetime'
to num(other amount) × 12   otherwise   otherwise
inv div = opts.actual passive   if opts.actual passive and opts.actual passive &gt; 0
inv annual read as a number (0 when it is not one)   otherwise
ret inc = current retirement income monthly(op) × 12
taxable total = round(Σ over income where taxable of (amount), 2 dp)
non taxable total = round(Σ over income where taxable is missing of (amount), 2 dp)
acct = for each of accounts: label = institution.trim() (or label (or kind (or 'Account' when missing or zero) when missing or zero) when missing or zero)
kind = kind (or tax bucket (or 'account' when missing) when missing)
balance = balance (or 0 when missing or zero)
has = (k: string) =&gt; accounts.some((x: any) =&gt; (kind ?? '') = k)
docs = ["last year's tax return", 'SSN ÷ ID for you and any dependents']
… the first steps only — the rest of the body needs reading by hand.</t>
  </si>
  <si>
    <t>A is op (or none — when missing). Accounts is opts.accounts (or [], liabilities = opts.liabilities (or none — when missing) — when missing). Se annual is se amount read as a number (0 when it is one is missing) — when se freq = 'annual'; to num(se amount) times 12 — otherwise. Other annual is other amount read as a number (0 when it is one is missing) — when other freq = 'annual'; other amount read as a number (0 when it is one is missing) — when other freq = 'onetime'; to num(other amount) times 12 — otherwise — otherwise. Inv div is opts.actual passive — when opts.actual passive and opts.actual passive &gt; 0; inv annual read as a number (0 — when it is one is missing) — otherwise. Ret inc is current retirement income monthly(op) times 12. Taxable total: the amount added up across income where taxable, to the cent. Non taxable total: the amount added up across income where taxable is missing, to the cent. Acct is for each of accounts: label = institution.trim() (or label (or kind (or 'Account' — when missing or zero) — when missing or zero) — when missing or zero); kind = kind (or tax bucket (or 'account' — when missing) — when missing); balance = balance (or 0 — when missing or zero). Has is (k: string) =&gt; accounts.some((x: any) =&gt; (kind ?? '') = k). Docs is ["last year's tax return", 'SSN divided by ID for you and any dependents']. Only the first steps are shown; the rest of the body needs reading by hand.</t>
  </si>
  <si>
    <t>1. op: OnboardingProfile | null
2. opts: { accounts?: any[]; liabilities?: any[]; actualPassive?: number; year: number }</t>
  </si>
  <si>
    <t>TaxOrganizer</t>
  </si>
  <si>
    <t>1. If balance is missing it counts as zero, so nothing recorded and a real zero look the same.
2. Turns a monthly figure into a year by multiplying by twelve.
3. Multiplies by 100 — a percentage, or an option contract treated as 100 shares. Worth checking which.
4. Rounds the answer to a whole number.
5. Leaves some rows out of the answer — check which.</t>
  </si>
  <si>
    <t>1. MK-CF-F-070 benefitAnnual
2. MK-CF-F-072 currentRetirementIncomeMonthly
3. MK-CF-F-090 effectiveRate
4. MK-CF-F-068 rentalNetAnnual
5. MK-ST-F-055 round2
6. MK-CF-F-066 rsuAnnual
7. MK-CF-F-082 salaryAnnual
8. MK-CF-F-074 tipsAnnual
9. MK-ST-F-052 toNum</t>
  </si>
  <si>
    <t>1. MK-CF-F-070 benefitAnnual
2. MK-CF-F-072 currentRetirementIncomeMonthly
3. MK-CF-F-090 effectiveRate
4. MK-CF-F-068 rentalNetAnnual
5. MK-ST-F-055 round2
6. MK-CF-F-066 rsuAnnual
7. MK-CF-F-082 salaryAnnual
8. MK-CF-F-074 tipsAnnual
9. MK-ST-F-052 toNum
10. MK-CF-F-069 benefitActiveMonths
11. MK-CF-F-075 retirementIncomeMonthly
12. MK-CF-F-102 effectiveRateOnGrossFor
13. MK-CF-F-085 filingStatusOf
14. MK-CF-F-089 over65CountOf
15. MK-CF-F-086 stateRateOf
16. MK-CF-F-084 taxableAnnual
17. MK-CF-F-067 rentalList
18. MK-CF-F-062 equityRowValue
19. MK-CF-F-063 rowVestYear
20. MK-CF-F-060 salaryGrossByMonth
21. MK-CF-F-081 salaryActiveMonths
22. MK-CF-F-101 taxOwedFor
23. MK-CF-F-071 extraIncome
24. MK-CF-F-097 grossFromNet
25. MK-CF-F-100 taxableIncomeFor
26. MK-CF-F-095 taxOwed
27. MK-CF-F-099 deductionFor
28. MK-CF-F-093 taxableIncome</t>
  </si>
  <si>
    <t>1. MK-CF-F-069 benefitActiveMonths → MK-CF-F-070 benefitAnnual → MK-PL-F-031 taxOrganizer
2. MK-ST-F-052 toNum → MK-CF-F-070 benefitAnnual → MK-PL-F-031 taxOrganizer
3. MK-ST-F-052 toNum → MK-CF-F-075 retirementIncomeMonthly → MK-CF-F-072 currentRetirementIncomeMonthly → MK-PL-F-031 taxOrganizer
4. MK-CF-F-099 deductionFor → MK-CF-F-100 taxableIncomeFor → MK-CF-F-101 taxOwedFor → MK-CF-F-102 effectiveRateOnGrossFor → MK-CF-F-090 effectiveRate → MK-PL-F-031 taxOrganizer
5. MK-CF-F-085 filingStatusOf → MK-CF-F-090 effectiveRate → MK-PL-F-031 taxOrganizer
6. MK-ST-F-052 toNum → MK-CF-F-089 over65CountOf → MK-CF-F-090 effectiveRate → MK-PL-F-031 taxOrganizer
7. MK-ST-F-052 toNum → MK-CF-F-086 stateRateOf → MK-CF-F-090 effectiveRate → MK-PL-F-031 taxOrganizer
8. MK-ST-F-052 toNum → MK-CF-F-075 retirementIncomeMonthly → MK-CF-F-072 currentRetirementIncomeMonthly → MK-CF-F-084 taxableAnnual → MK-CF-F-090 effectiveRate → MK-PL-F-031 taxOrganizer
9. … and 28 more paths</t>
  </si>
  <si>
    <t>MK-PL-F-032</t>
  </si>
  <si>
    <t>rothConversionCost</t>
  </si>
  <si>
    <t>───────────────────────── Roth conversion (fill a low bracket) ───────────────────────── In a low-income year (e.g.</t>
  </si>
  <si>
    <t>round(tax owed for(gross + amount, status, state rate) − tax owed for(gross, status, state rate), 2 dp)</t>
  </si>
  <si>
    <t>tax owed for(gross plus amount, status, state rate) minus tax owed for(gross, status, state rate), to the cent.</t>
  </si>
  <si>
    <t>1. gross: number
2. amount: number
3. status: import('../income/tax').FilingStatus
4. stateRate: number</t>
  </si>
  <si>
    <t>1. MK-ST-F-055 round2
2. MK-CF-F-101 taxOwedFor</t>
  </si>
  <si>
    <t>1. MK-ST-F-055 round2
2. MK-CF-F-101 taxOwedFor
3. MK-CF-F-100 taxableIncomeFor
4. MK-CF-F-099 deductionFor</t>
  </si>
  <si>
    <t>1. MK-ST-F-055 round2 → MK-PL-F-032 rothConversionCost
2. MK-CF-F-099 deductionFor → MK-CF-F-100 taxableIncomeFor → MK-CF-F-101 taxOwedFor → MK-PL-F-032 rothConversionCost</t>
  </si>
  <si>
    <t>MK-PL-F-033</t>
  </si>
  <si>
    <t>educationPlan</t>
  </si>
  <si>
    <t>yrs = max(0, round down(inp.years until start))
n school = max(1, round down(inp.years of school))
future total cost = 0
savings at start = inp.current savings × (1 + inp.return rate)^(yrs)
gap = max(0, future total cost − savings at start)
n = yrs × 12, r = inp.return rate ÷ 12
factor = (math.pow(1 + r, n) − 1) ÷ r   if r &gt; 0
n   otherwise
monthly needed = gap ÷ factor   if n &gt; 0 and factor &gt; 0
gap   otherwise</t>
  </si>
  <si>
    <t>Yrs is inp.years until start, rounded down, never below zero. N school: the larger of 1 and inp.years of school, rounded down. Future total cost is 0. Savings at start is inp.current savings times (1 plus inp.return rate)^(yrs). Gap is future total cost minus savings at start, never below zero. N is yrs times 12, r = inp.return rate divided by 12. Factor is (math.pow(1 plus r, n) minus 1) divided by r — when r &gt; 0; n — otherwise. Monthly needed is gap divided by factor — when n &gt; 0 and factor &gt; 0; gap — otherwise.</t>
  </si>
  <si>
    <t>inp: EduPlanInput</t>
  </si>
  <si>
    <t>EduPlan</t>
  </si>
  <si>
    <t>"Projected total cost" — on the College costs screen</t>
  </si>
  <si>
    <t>1. Uses a built-in future total cost of 0.
2. Uses a built-in y of 0.
3. Treats a year as twelve equal months.
4. Turns a monthly figure into a year by multiplying by twelve.
5. Multiplies by 100 — a percentage, or an option contract treated as 100 shares. Worth checking which.
6. Rounds the answer to a whole number.</t>
  </si>
  <si>
    <t>MK-ST-F-055 round2 → MK-PL-F-033 educationPlan</t>
  </si>
  <si>
    <t>MK-PL-F-034</t>
  </si>
  <si>
    <t>lifeInsuranceNeed</t>
  </si>
  <si>
    <t>income replacement = max(0, inp.annual income) × math.max(0, inp.years to replace)
total need = income replacement + max(0, inp.debts) + max(0, inp.future goals) + max(0, inp.final expenses)
covered = max(0, inp.liquid savings) + math.max(0, inp.existing coverage)</t>
  </si>
  <si>
    <t>Income replacement is inp.annual income, never below zero times math.inp.years to replace, never below zero. Total need is income replacement plus inp.debts, never below zero plus inp.future goals, never below zero plus inp.final expenses, never below zero. Covered is inp.liquid savings, never below zero plus math.inp.existing coverage, never below zero.</t>
  </si>
  <si>
    <t>inp: InsuranceInput</t>
  </si>
  <si>
    <t>InsuranceNeed</t>
  </si>
  <si>
    <t>1. "Gap" — on the Insurance screen
2. "Total need" — on the Insurance screen</t>
  </si>
  <si>
    <t>MK-ST-F-055 round2 → MK-PL-F-034 lifeInsuranceNeed</t>
  </si>
  <si>
    <t>MK-PL-F-035</t>
  </si>
  <si>
    <t>retireAgeWithContribution</t>
  </si>
  <si>
    <t>src/domain/planning/multiGoal.ts</t>
  </si>
  <si>
    <t>Earliest age the projection covers the need, WITH contributions until that age (F4's before/after).</t>
  </si>
  <si>
    <t>p = project nest egg({ ...inp, annual contribution: monthly contribution × 12, retire age: age, guaranteed start age: inp.guaranteed start age })
age   when will have ≥ will need
the answer = nothing</t>
  </si>
  <si>
    <t>P is project nest egg({ ...inp, annual contribution: monthly contribution times 12, retire age: age, guaranteed start age: inp.guaranteed start age }). When will have is at least will need, it answers age. The answer is no answer.</t>
  </si>
  <si>
    <t>1. inp: RetirementInputs
2. monthlyContribution: number
3. maxAge = 80</t>
  </si>
  <si>
    <t>MK-PL-F-055 projectNestEgg</t>
  </si>
  <si>
    <t>1. MK-PL-F-055 projectNestEgg
2. MK-ST-F-055 round2
3. MK-PL-F-050 simulate
4. MK-ST-F-025 rmdStartAgeFromAge
5. MK-ST-F-024 rmdStartAge</t>
  </si>
  <si>
    <t>1. MK-ST-F-055 round2 → MK-PL-F-055 projectNestEgg → MK-PL-F-035 retireAgeWithContribution
2. MK-ST-F-024 rmdStartAge → MK-ST-F-025 rmdStartAgeFromAge → MK-PL-F-050 simulate → MK-PL-F-055 projectNestEgg → MK-PL-F-035 retireAgeWithContribution
3. MK-ST-F-055 round2 → MK-PL-F-050 simulate → MK-PL-F-055 projectNestEgg → MK-PL-F-035 retireAgeWithContribution</t>
  </si>
  <si>
    <t>MK-PL-F-036</t>
  </si>
  <si>
    <t>weighGoals</t>
  </si>
  <si>
    <t>Run the whole combination once.</t>
  </si>
  <si>
    <t>now = now (or new date() when missing)
on dials = dials where on
extra debt = max(0, extra debt monthly (or 0 when missing))
committed = round(Σ over on dials of (monthly amount (or 0 when missing or zero))+ extra debt + max(0, retirement monthly), 2 dp)
spare = round(capacity monthly − committed, 2 dp)
goal ends = {}
m = months to goal({ target: target, saved: saved ?? 0 } as goal like, monthly amount)
end = the date now.get full year(), now.get month() + m, 1
debt payoff = nothing
with extra = payoff plan(liabilities!, extra debt, 'avalanche', now)
without = payoff plan(liabilities!, 0, 'avalanche', now)
… the first steps only — the rest of the body needs reading by hand.</t>
  </si>
  <si>
    <t>Now is now (or new date() — when missing). On dials is dials where on. Extra debt is extra debt monthly (or 0 — when missing, never below zero). Committed: the monthly amount (or 0 — when missing or zero added up across on dials)+ extra debt plus retirement monthly, never below zero, to the cent. Spare is capacity monthly minus committed, to the cent. Goal ends is {}. M is months to goal({ target: target, saved: saved ?? 0 } as goal like, monthly amount). End: the date now.get full year(), now.get month() plus m, 1. Debt payoff is no answer. With extra is payoff plan(liabilities!, extra debt, 'avalanche', now). Without is payoff plan(liabilities!, 0, 'avalanche', now). Only the first steps are shown; the rest of the body needs reading by hand.</t>
  </si>
  <si>
    <t>w: WeighInputs</t>
  </si>
  <si>
    <t>WeighResult</t>
  </si>
  <si>
    <t>1. If extra debt monthly is missing it uses 0.
2. If saved is missing it uses 0.
3. If monthly amount is missing it counts as zero, so nothing recorded and a real zero look the same.
4. Turns a monthly figure into a year by multiplying by twelve.
5. Uses today's date from the device clock, so the answer changes by itself overnight.
6. Leaves some rows out of the answer — check which.</t>
  </si>
  <si>
    <t>1. MK-PL-F-021 monthsToGoal
2. MK-CF-F-034 payoffPlan
3. MK-PL-F-035 retireAgeWithContribution
4. MK-ST-F-055 round2
5. MK-PL-F-050 simulate</t>
  </si>
  <si>
    <t>1. MK-PL-F-021 monthsToGoal
2. MK-CF-F-034 payoffPlan
3. MK-PL-F-035 retireAgeWithContribution
4. MK-ST-F-055 round2
5. MK-PL-F-050 simulate
6. MK-CF-F-022 paymentShape
7. MK-PL-F-055 projectNestEgg
8. MK-ST-F-025 rmdStartAgeFromAge
9. MK-CF-F-021 defaultPaymentType
10. MK-ST-F-024 rmdStartAge</t>
  </si>
  <si>
    <t>1. MK-PL-F-021 monthsToGoal → MK-PL-F-036 weighGoals
2. MK-CF-F-021 defaultPaymentType → MK-CF-F-022 paymentShape → MK-CF-F-034 payoffPlan → MK-PL-F-036 weighGoals
3. MK-ST-F-055 round2 → MK-CF-F-034 payoffPlan → MK-PL-F-036 weighGoals
4. MK-ST-F-055 round2 → MK-PL-F-055 projectNestEgg → MK-PL-F-035 retireAgeWithContribution → MK-PL-F-036 weighGoals
5. MK-ST-F-024 rmdStartAge → MK-ST-F-025 rmdStartAgeFromAge → MK-PL-F-050 simulate → MK-PL-F-055 projectNestEgg → MK-PL-F-035 retireAgeWithContribution → MK-PL-F-036 weighGoals
6. MK-ST-F-055 round2 → MK-PL-F-050 simulate → MK-PL-F-055 projectNestEgg → MK-PL-F-035 retireAgeWithContribution → MK-PL-F-036 weighGoals
7. MK-ST-F-055 round2 → MK-PL-F-036 weighGoals
8. MK-ST-F-024 rmdStartAge → MK-ST-F-025 rmdStartAgeFromAge → MK-PL-F-050 simulate → MK-PL-F-036 weighGoals
9. … and 1 more paths</t>
  </si>
  <si>
    <t>MK-PL-F-037</t>
  </si>
  <si>
    <t>trimHints</t>
  </si>
  <si>
    <t>One hint per active goal: the SAME weigher re-run with that dial reduced — a pre-run of the slider, so applying the hint's amount reproduces its numbers exactly (the pin).</t>
  </si>
  <si>
    <t>trimmed amount = max(0, round((monthly amount × reduce to) ÷ 100) × 100)
freed = monthly amount − trimmed amount
the answer:
dial id = id
label = label
trimmed amount = trimmed amount
retire age = retire age
chance = chance</t>
  </si>
  <si>
    <t>Trimmed amount is (monthly amount times reduce to, to a whole number divided by 100, never below zero times 100). Freed is monthly amount minus trimmed amount. The answer is dial id = id; label = label; trimmed amount = trimmed amount; retire age = retire age; chance = chance.</t>
  </si>
  <si>
    <t>1. w: WeighInputs
2. reduceTo = 0.6</t>
  </si>
  <si>
    <t>TrimHint[]</t>
  </si>
  <si>
    <t>1. Multiplies by 100 — a percentage, or an option contract treated as 100 shares. Worth checking which.
2. Rounds the answer to a whole number.
3. Leaves some rows out of the answer — check which.</t>
  </si>
  <si>
    <t>MK-PL-F-036 weighGoals</t>
  </si>
  <si>
    <t>1. MK-PL-F-036 weighGoals
2. MK-PL-F-021 monthsToGoal
3. MK-CF-F-034 payoffPlan
4. MK-PL-F-035 retireAgeWithContribution
5. MK-ST-F-055 round2
6. MK-PL-F-050 simulate
7. MK-CF-F-022 paymentShape
8. MK-PL-F-055 projectNestEgg
9. MK-ST-F-025 rmdStartAgeFromAge
10. MK-CF-F-021 defaultPaymentType
11. MK-ST-F-024 rmdStartAge</t>
  </si>
  <si>
    <t>1. MK-PL-F-021 monthsToGoal → MK-PL-F-036 weighGoals → MK-PL-F-037 trimHints
2. MK-CF-F-021 defaultPaymentType → MK-CF-F-022 paymentShape → MK-CF-F-034 payoffPlan → MK-PL-F-036 weighGoals → MK-PL-F-037 trimHints
3. MK-ST-F-055 round2 → MK-CF-F-034 payoffPlan → MK-PL-F-036 weighGoals → MK-PL-F-037 trimHints
4. MK-ST-F-055 round2 → MK-PL-F-055 projectNestEgg → MK-PL-F-035 retireAgeWithContribution → MK-PL-F-036 weighGoals → MK-PL-F-037 trimHints
5. MK-ST-F-025 rmdStartAgeFromAge → MK-PL-F-050 simulate → MK-PL-F-055 projectNestEgg → MK-PL-F-035 retireAgeWithContribution → MK-PL-F-036 weighGoals → MK-PL-F-037 trimHints
6. MK-ST-F-055 round2 → MK-PL-F-050 simulate → MK-PL-F-055 projectNestEgg → MK-PL-F-035 retireAgeWithContribution → MK-PL-F-036 weighGoals → MK-PL-F-037 trimHints
7. MK-ST-F-055 round2 → MK-PL-F-036 weighGoals → MK-PL-F-037 trimHints
8. MK-ST-F-024 rmdStartAge → MK-ST-F-025 rmdStartAgeFromAge → MK-PL-F-050 simulate → MK-PL-F-036 weighGoals → MK-PL-F-037 trimHints
9. … and 1 more paths</t>
  </si>
  <si>
    <t>MK-PL-F-038</t>
  </si>
  <si>
    <t>spendMoreState</t>
  </si>
  <si>
    <t>src/domain/planning/spendMore.ts</t>
  </si>
  <si>
    <t>How much more she could spend, and how much of it is genuinely free.</t>
  </si>
  <si>
    <t>today = base.retire monthly spend today
odds today = odds at(base, today)
free = 0
the answer:
max extra = max extra
free extra = free
odds today = odds today</t>
  </si>
  <si>
    <t>Today is base.retire monthly spend today. Odds today is odds at(base, today). Free is 0. The answer is max extra = max extra; free extra = free; odds today = odds today.</t>
  </si>
  <si>
    <t>1. base: RetirementInputs
2. maxExtra: number
3. step = 500</t>
  </si>
  <si>
    <t>SpendMoreState</t>
  </si>
  <si>
    <t>"Can I spend more?" — on a card used on more than one screen (SpendMoreControl)</t>
  </si>
  <si>
    <t>· Uses a built-in free of 0.</t>
  </si>
  <si>
    <t>MK-PL-F-039</t>
  </si>
  <si>
    <t>spendMoreSentence</t>
  </si>
  <si>
    <t>What the screen says at a given stepper position — a real run every time, never a bucket.</t>
  </si>
  <si>
    <t>chance = odds at(base, base.retire monthly spend today + extra)
in ten = round(chance ÷ 10)
failing = 10 − in ten
the answer:
chance = chance
tone = 'watch'
text = `lasts in almost every future simulation — about ${chance} out of 100.`</t>
  </si>
  <si>
    <t>Chance is odds at(base, base.retire monthly spend today plus extra). In ten is chance divided by 10, to a whole number. Failing is 10 minus in ten. The answer is chance = chance; tone = 'watch'; text = `lasts in almost every future simulation — about ${chance} out of 100.`.</t>
  </si>
  <si>
    <t>1. base: RetirementInputs
2. extra: number
3. horizonAge: number
4. oddsToday: number</t>
  </si>
  <si>
    <t>MK-PL-F-040</t>
  </si>
  <si>
    <t>targetAtRetirement</t>
  </si>
  <si>
    <t>src/domain/planning/target.ts</t>
  </si>
  <si>
    <t>THE TARGET: the balance on day one of retirement that reaches TARGET_ODDS.</t>
  </si>
  <si>
    <t>found = smallest that works(0, MAX_TARGET, 5000, (x) =&gt; odds of(at retirement(x)) ≥ TARGET_ODDS)
the answer:
nothing   if found = nothing
round up(found ÷ 10000) × 10000   otherwise</t>
  </si>
  <si>
    <t>Found is smallest that works(0, MAX_TARGET, 5000, (x) =&gt; odds of(at retirement(x)) is at least TARGET_ODDS). The answer is no answer — when found is missing; found divided by 10000, rounded up times 10000 — otherwise.</t>
  </si>
  <si>
    <t>base: RetirementInputs</t>
  </si>
  <si>
    <t>MK-PL-F-041</t>
  </si>
  <si>
    <t>requiredAnnualSaving</t>
  </si>
  <si>
    <t>THE YEARLY SAVING: the total annual contribution that reaches TARGET_ODDS on the real plan — the one with their age, their years left, their spending, their big costs.</t>
  </si>
  <si>
    <t>with saving = (annual: number): retirement inputs =&gt; ({ ...base, annual contribution: annual })
found = smallest that works(0, MAX_SAVING, 500, (x) =&gt; odds of(with saving(x)) ≥ TARGET_ODDS)
nothing   when found = nothing
total = round up(found ÷ 500) × 500
the answer:
total = total
extra = max(0, total − (base.annual contribution ?? 0))</t>
  </si>
  <si>
    <t>With saving is (annual: number): retirement inputs =&gt; ({ ...base, annual contribution: annual }). Found is smallest that works(0, MAX_SAVING, 500, (x) =&gt; odds of(with saving(x)) is at least TARGET_ODDS). When found is missing, it answers no answer. Total is found divided by 500, rounded up times 500. The answer is total = total; extra = total minus (base.annual contribution ?? 0, never below zero).</t>
  </si>
  <si>
    <t>· If annual contribution is missing it uses 0.</t>
  </si>
  <si>
    <t>MK-PL-F-042</t>
  </si>
  <si>
    <t>savingToReachTarget</t>
  </si>
  <si>
    <t>The yearly saving whose PROJECTION reaches a typed target.</t>
  </si>
  <si>
    <t>found = smallest that works(0, MAX_SAVING, 500, (x) =&gt; projected with(x) ≥ typed target)
nothing   when found = nothing
total = round up(found ÷ 500) × 500
the answer:
total = total
extra = max(0, total − (base.annual contribution ?? 0))</t>
  </si>
  <si>
    <t>Found is smallest that works(0, MAX_SAVING, 500, (x) =&gt; projected with(x) is at least typed target). When found is missing, it answers no answer. Total is found divided by 500, rounded up times 500. The answer is total = total; extra = total minus (base.annual contribution ?? 0, never below zero).</t>
  </si>
  <si>
    <t>1. base: RetirementInputs
2. typedTarget: number</t>
  </si>
  <si>
    <t>MK-PL-F-050 simulate</t>
  </si>
  <si>
    <t>1. MK-PL-F-050 simulate
2. MK-ST-F-025 rmdStartAgeFromAge
3. MK-ST-F-055 round2
4. MK-ST-F-024 rmdStartAge</t>
  </si>
  <si>
    <t>1. MK-ST-F-024 rmdStartAge → MK-ST-F-025 rmdStartAgeFromAge → MK-PL-F-050 simulate → MK-PL-F-042 savingToReachTarget
2. MK-ST-F-055 round2 → MK-PL-F-050 simulate → MK-PL-F-042 savingToReachTarget</t>
  </si>
  <si>
    <t>MK-PL-F-043</t>
  </si>
  <si>
    <t>howTheGapCloses</t>
  </si>
  <si>
    <t>Where the money to close the gap actually comes from — the breakdown that stops a person subtracting and concluding the app cannot add up (founder, 2026-08-14).</t>
  </si>
  <si>
    <t>years = max(0, base.retire age − base.current age)
no saving = round(simulate({ ...base, annual contribution: 0 }).projected at retirement)
with saving = round(simulate({ ...base, annual contribution: total annual saving }).projected at retirement)
put in = total annual saving × years</t>
  </si>
  <si>
    <t>Years is base.retire age minus base.current age, never below zero. No saving is simulate({ ...base, annual contribution: 0 }, to a whole number.projected at retirement). With saving is simulate({ ...base, annual contribution: total annual saving }, to a whole number.projected at retirement). Put in is total annual saving times years.</t>
  </si>
  <si>
    <t>1. base: RetirementInputs
2. totalAnnualSaving: number</t>
  </si>
  <si>
    <t>1. MK-ST-F-024 rmdStartAge → MK-ST-F-025 rmdStartAgeFromAge → MK-PL-F-050 simulate → MK-PL-F-043 howTheGapCloses
2. MK-ST-F-055 round2 → MK-PL-F-050 simulate → MK-PL-F-043 howTheGapCloses</t>
  </si>
  <si>
    <t>MK-PL-F-044</t>
  </si>
  <si>
    <t>planTarget</t>
  </si>
  <si>
    <t>One call, everything the second gauge and the bridge sentence need.</t>
  </si>
  <si>
    <t>sim = simulate(base)
odds = sim.chance of success
projected = round(sim.projected at retirement)
already there = odds ≥ TARGET_ODDS
target = target at retirement(base)
typed = typed target   if typed target ≠ nothing and typed target &gt; 0
nothing   otherwise
saving to target = nothing   if typed = nothing
saving to reach target(base, typed)   otherwise
saving = total = base.annual contribution (or 0 when missing)
extra = 0   if already there
required annual saving(base)   otherwise
extra = saving.extra (or nothing when missing)</t>
  </si>
  <si>
    <t>Sim is simulate(base). Odds is sim.chance of success. Projected is sim.projected at retirement, to a whole number. Already there is odds is at least TARGET_ODDS. Target is target at retirement(base). Typed is typed target — when typed target is not no answer and typed target &gt; 0; no answer — otherwise. Saving to target is no answer — when typed is missing; saving to reach target(base, typed) — otherwise. Saving is total = base.annual contribution (or 0 — when missing); extra = 0 — when already there; required annual saving(base) — otherwise. Extra is saving.extra (or no answer — when missing).</t>
  </si>
  <si>
    <t>1. base: RetirementInputs
2. annualIncome?: number
3. roomAnnual?: number
4. typedTarget?: number | null</t>
  </si>
  <si>
    <t>PlanTarget</t>
  </si>
  <si>
    <t>1. If annual contribution is missing it uses 0.
2. Treats a year as twelve equal months.
3. Multiplies by 100 — a percentage, or an option contract treated as 100 shares. Worth checking which.
4. Rounds the answer to a whole number.</t>
  </si>
  <si>
    <t>1. MK-PL-F-041 requiredAnnualSaving
2. MK-PL-F-042 savingToReachTarget
3. MK-PL-F-050 simulate
4. MK-PL-F-040 targetAtRetirement</t>
  </si>
  <si>
    <t>1. MK-PL-F-041 requiredAnnualSaving
2. MK-PL-F-042 savingToReachTarget
3. MK-PL-F-050 simulate
4. MK-PL-F-040 targetAtRetirement
5. MK-ST-F-025 rmdStartAgeFromAge
6. MK-ST-F-055 round2
7. MK-ST-F-024 rmdStartAge</t>
  </si>
  <si>
    <t>1. MK-PL-F-041 requiredAnnualSaving → MK-PL-F-044 planTarget
2. MK-ST-F-024 rmdStartAge → MK-ST-F-025 rmdStartAgeFromAge → MK-PL-F-050 simulate → MK-PL-F-042 savingToReachTarget → MK-PL-F-044 planTarget
3. MK-ST-F-055 round2 → MK-PL-F-050 simulate → MK-PL-F-042 savingToReachTarget → MK-PL-F-044 planTarget
4. MK-ST-F-024 rmdStartAge → MK-ST-F-025 rmdStartAgeFromAge → MK-PL-F-050 simulate → MK-PL-F-044 planTarget
5. MK-ST-F-055 round2 → MK-PL-F-050 simulate → MK-PL-F-044 planTarget
6. MK-PL-F-040 targetAtRetirement → MK-PL-F-044 planTarget</t>
  </si>
  <si>
    <t>MK-PL-F-045</t>
  </si>
  <si>
    <t>ssUpliftFactor</t>
  </si>
  <si>
    <t>Social Security pays roughly 8% more for each year you delay past full retirement age — the claim-later lever has to raise the CHECK, not just move its start date.</t>
  </si>
  <si>
    <t>1 + 0.08 × max(0, to age − from age)</t>
  </si>
  <si>
    <t>1 plus 0.08 times to age minus from age, never below zero.</t>
  </si>
  <si>
    <t>1. fromAge: number
2. toAge: number</t>
  </si>
  <si>
    <t>MK-PL-F-046</t>
  </si>
  <si>
    <t>leverDeltas</t>
  </si>
  <si>
    <t>base odds = odds of(base)
later = opts.retire later years (or 2 when missing)
cut = opts.spend cut monthly (or 400 when missing)
claim = opts.claim age (or 70 when missing)
from = base.guaranteed start age (or base.retire age when missing)
ss now = ss stream of(base).monthly (or base.guaranteed monthly income (or 0 when missing) when missing)
uplifted = with ss stream(base, math.round(ss now × ss uplift factor(from, claim)), claim)</t>
  </si>
  <si>
    <t>Base odds is odds of(base). Later is opts.retire later years (or 2 — when missing). Cut is opts.spend cut monthly (or 400 — when missing). Claim is opts.claim age (or 70 — when missing). From is base.guaranteed start age (or base.retire age — when missing). Ss now is ss stream of(base).monthly (or base.guaranteed monthly income (or 0 — when missing) — when missing). Uplifted is with ss stream(base, math.ss now times ss uplift factor(from, claim, to a whole number), claim).</t>
  </si>
  <si>
    <t>1. base: RetirementInputs
2. opts: { spendCutMonthly?: number; retireLaterYears?: number; claimAge?: number } = {}</t>
  </si>
  <si>
    <t>Lever[]</t>
  </si>
  <si>
    <t>1. If retire later years is missing it uses 2.
2. If spend cut monthly is missing it uses 400.
3. If claim age is missing it uses 70.
4. If guaranteed monthly income is missing it uses 0.
5. Rounds the answer to a whole number.
6. Leaves some rows out of the answer — check which.</t>
  </si>
  <si>
    <t>1. MK-PL-F-051 ssStreamOf
2. MK-PL-F-045 ssUpliftFactor
3. MK-PL-F-052 withSsStream</t>
  </si>
  <si>
    <t>1. MK-PL-F-051 ssStreamOf → MK-PL-F-046 leverDeltas
2. MK-PL-F-045 ssUpliftFactor → MK-PL-F-046 leverDeltas
3. MK-PL-F-052 withSsStream → MK-PL-F-046 leverDeltas</t>
  </si>
  <si>
    <t>MK-PL-F-047</t>
  </si>
  <si>
    <t>colFactor</t>
  </si>
  <si>
    <t>src/domain/retirement/col.ts</t>
  </si>
  <si>
    <t>Cost-of-living factor for a free-text location.</t>
  </si>
  <si>
    <t>q = string(location ?? '').trim().to lower case()
factor = 1
name = nothing   when q is missing
the answer:
factor = row.factor
name = row.name</t>
  </si>
  <si>
    <t>Q is string(location ?? '').trim().to lower case(). When q is missing, it answers factor = 1; name is missing. The answer is factor = row.factor; name = row.name.</t>
  </si>
  <si>
    <t>location?: string | null</t>
  </si>
  <si>
    <t>ColMatch</t>
  </si>
  <si>
    <t>1. "Country / region" — on the setup questions, which appear on more than one screen
2. "You plan to spend" — on the Retirement cockpit screen</t>
  </si>
  <si>
    <t>MK-PL-F-048</t>
  </si>
  <si>
    <t>capitalNeeded</t>
  </si>
  <si>
    <t>src/domain/retirement/index.ts</t>
  </si>
  <si>
    <t>years = max(1, inp.horizon age − inp.retire age)
net annual = max(0, (inp.monthly spend − inp.guaranteed monthly) × 12)
r = inp.real return
annuity factor = (1 − math.pow(1 + r, -years)) ÷ r   if r &gt; 0
years   otherwise
pv bequest = inp.bequest ÷ (1 + max(0, r))^(years)   if inp.bequest &gt; 0
0   otherwise</t>
  </si>
  <si>
    <t>Years: the larger of 1 and inp.horizon age minus inp.retire age. Net annual is (inp.monthly spend minus inp.guaranteed monthly, never below zero times 12). R is inp.real return. Annuity factor is (1 minus math.pow(1 plus r, -years)) divided by r — when r &gt; 0; years — otherwise. Pv bequest is inp.bequest divided by (1 plus r, never below zero)^(years) — when inp.bequest &gt; 0; 0 — otherwise.</t>
  </si>
  <si>
    <t>inp: CapitalNeedInputs</t>
  </si>
  <si>
    <t>CapitalNeed</t>
  </si>
  <si>
    <t>1. "Annuity / other" — on the setup questions, which appear on more than one screen
2. "Capital needed" — on the setup questions, which appear on more than one screen
3. "Leave behind (your legacy goal)" — on the setup questions, which appear on more than one screen
4. "To fund from savings" — on the setup questions, which appear on more than one screen
5. "What are you saving for?" — on the setup questions, which appear on more than one screen
6. "Your retirement outlook" — on the setup questions, which appear on more than one screen</t>
  </si>
  <si>
    <t>1. Turns a monthly figure into a year by multiplying by twelve.
2. Multiplies by 100 — a percentage, or an option contract treated as 100 shares. Worth checking which.
3. Rounds the answer to a whole number.</t>
  </si>
  <si>
    <t>MK-ST-F-055 round2 → MK-PL-F-048 capitalNeeded</t>
  </si>
  <si>
    <t>All-in monthly retirement spend = base + travel + medical (annual→monthly), adjusted by the expected trajectory (spend less / same / more later) and the retirement location's cost-of-living factor (retLocation).</t>
  </si>
  <si>
    <t>a = op (or none when missing)
base = expected retirement spending read as a number (0 when it is not one) (or monthly spending read as a number (0 when it is not one) (or 0 when missing or zero) when missing or zero)
travel = to num(travel budget) ÷ 12
medical = to num(medical budget) ÷ 12
mult = 0.85   if spending change later = 'less'
1.15   if spending change later = 'more'
1   otherwise   otherwise
the answer = round((base + travel + medical) × mult × col factor(ret location).factor, 2 dp)
t = seed += 0x6d2b79f5
u = 0, v = 0
0   when count of xs is missing
s = [...xs].sort((a, b) =&gt; a − b)
m = round down(length ÷ 2)
… the first steps only — the rest of the body needs reading by hand.</t>
  </si>
  <si>
    <t>A is op (or none — when missing). Base is expected retirement spending read as a number (0 — when it is one is missing) (or monthly spending read as a number (0 — when it is one is missing) (or 0 — when missing or zero) — when missing or zero). Travel is to num(travel budget) divided by 12. Medical is to num(medical budget) divided by 12. Mult is 0.85 — when spending change later = 'less'; 1.15 — when spending change later = 'more'; 1 — otherwise — otherwise. The answer is (base plus travel plus medical) times mult times col factor(ret location).factor, to the cent. T is seed += 0x6d2b79f5. U is 0, v = 0. When how many xs is missing there are, it answers 0. S is [...xs].sort((a, b) =&gt; a minus b). M is length divided by 2, rounded down. Only the first steps are shown; the rest of the body needs reading by hand.</t>
  </si>
  <si>
    <t>1. Treats a year as twelve equal months.
2. Rounds the answer to a whole number.</t>
  </si>
  <si>
    <t>1. MK-PL-F-047 colFactor
2. MK-ST-F-055 round2
3. MK-ST-F-052 toNum</t>
  </si>
  <si>
    <t>MK-PL-F-050</t>
  </si>
  <si>
    <t>simulate</t>
  </si>
  <si>
    <t>B4 (founder brief 2026-08-20): the RMD rule lives in the ONE dated, sourced table — the Calculation Module's rmd engine.</t>
  </si>
  <si>
    <t>paths = inp.paths (or 500 when missing)
n acc = max(0, inp.retire age − inp.current age)
n dec = max(0, inp.horizon age − inp.retire age)
rng = mulberry32(inp.seed ?? 12345)
infl factor = (1 + inp.inflation)^(n acc)
spend at retire = inp.retire monthly spend today × 12 × infl factor
guar at retire = Σ over streams of (annual at retire)
total years = n acc + n dec
now year = inp.now year (or 2026 when missing)
birth year sim = now year − inp.current age
rmd start sim = rmd start age from age(inp.current age, now year)
… the first steps only — the rest of the body needs reading by hand.</t>
  </si>
  <si>
    <t>Paths is inp.paths (or 500 — when missing). N acc is inp.retire age minus inp.current age, never below zero. N dec is inp.horizon age minus inp.retire age, never below zero. Rng is mulberry32(inp.seed ?? 12345). Infl factor is (1 plus inp.inflation)^(n acc). Spend at retire is inp.retire monthly spend today times 12 times infl factor. Guar at retire: the annual at retire added up across streams. Total years is n acc plus n dec. Now year is inp.now year (or 2026 — when missing). Birth year sim is now year minus inp.current age. Rmd start sim is rmd start age from age(inp.current age, now year). Only the first steps are shown; the rest of the body needs reading by hand.</t>
  </si>
  <si>
    <t>inp: RetirementInputs</t>
  </si>
  <si>
    <t>1. "Claim at age" — on the Retirement cockpit screen
2. "Run Monte Carlo simulation" — on the Retirement cockpit screen</t>
  </si>
  <si>
    <t>1. If paths is missing it uses 500.
2. If seed is missing it uses 12345.
3. If now year is missing it uses 2026.
4. If contribution growth is missing it uses 0.
5. If pre tax share is missing it uses 0.
6. If required withdrawal tax rate is missing it uses 22%.
7. If monthly is missing it counts as zero, so nothing recorded and a real zero look the same.
8. If one off by year[off] is missing it counts as zero, so nothing recorded and a real zero look the same.
9. If recurring by year[y] is missing it counts as zero, so nothing recorded and a real zero look the same.
10. If contrib by year[y] is missing it counts as zero, so nothing recorded and a real zero look the same.
11. Uses a built-in y of 1.
12. Uses a built-in successes of 0.
13. Uses a built-in p of 0.
14. Uses a built-in y of 0.
15. Treats a year as twelve equal months.
16. Turns a monthly figure into a year by multiplying by twelve.
17. Multiplies by 100 — a percentage, or an option contract treated as 100 shares. Worth checking which.
18. Rounds the answer to a whole number.</t>
  </si>
  <si>
    <t>1. MK-ST-F-025 rmdStartAgeFromAge
2. MK-ST-F-055 round2</t>
  </si>
  <si>
    <t>1. MK-ST-F-025 rmdStartAgeFromAge
2. MK-ST-F-055 round2
3. MK-ST-F-024 rmdStartAge</t>
  </si>
  <si>
    <t>1. MK-ST-F-024 rmdStartAge → MK-ST-F-025 rmdStartAgeFromAge → MK-PL-F-050 simulate
2. MK-ST-F-055 round2 → MK-PL-F-050 simulate</t>
  </si>
  <si>
    <t>MK-PL-F-051</t>
  </si>
  <si>
    <t>ssStreamOf</t>
  </si>
  <si>
    <t>The Social Security stream inside an input set, when streams are in use.</t>
  </si>
  <si>
    <t>st = (inp.guaranteed streams ?? []).find((x) =&gt; kind = 'ss')
the answer:
monthly = st.monthly
start age = st.start age   if st
nothing   otherwise</t>
  </si>
  <si>
    <t>St is (inp.guaranteed streams ?? []).find((x) =&gt; kind = 'ss'). The answer is monthly = st.monthly; start age = st.start age — when st; no answer — otherwise.</t>
  </si>
  <si>
    <t>MK-PL-F-052</t>
  </si>
  <si>
    <t>withSsStream</t>
  </si>
  <si>
    <t>An input set with its Social Security stream replaced — the ONE way a decision screen patches a claim scenario, so the flat streams ride along untouched and the legacy fields stay in step for anything still reading them.</t>
  </si>
  <si>
    <t>others = inp.guaranteed streams (or none when missing) where kind ! = 'ss'</t>
  </si>
  <si>
    <t>Others is inp.guaranteed streams (or none — when missing) where kind ! = 'ss'.</t>
  </si>
  <si>
    <t>1. inp: RetirementInputs
2. monthly: number
3. claimAge: number</t>
  </si>
  <si>
    <t>RetirementInputs</t>
  </si>
  <si>
    <t>MK-PL-F-053</t>
  </si>
  <si>
    <t>buildRetirementState</t>
  </si>
  <si>
    <t>sim = simulate(inp)</t>
  </si>
  <si>
    <t>Sim is simulate(inp).</t>
  </si>
  <si>
    <t>1. uid: UserId
2. inp: RetirementInputs</t>
  </si>
  <si>
    <t>RetirementState</t>
  </si>
  <si>
    <t>· If paths is missing it uses 500.</t>
  </si>
  <si>
    <t>1. MK-ST-F-024 rmdStartAge → MK-ST-F-025 rmdStartAgeFromAge → MK-PL-F-050 simulate → MK-PL-F-053 buildRetirementState
2. MK-ST-F-055 round2 → MK-PL-F-050 simulate → MK-PL-F-053 buildRetirementState</t>
  </si>
  <si>
    <t>MK-PL-F-054</t>
  </si>
  <si>
    <t>growOneYear</t>
  </si>
  <si>
    <t>── Deterministic projection (instant — drives the live sliders; no RNG) ────────────── Assumes the average return every year (no market swings).</t>
  </si>
  <si>
    <t>balance × (1 + (rate or 0))</t>
  </si>
  <si>
    <t>balance times (1 plus (rate or 0)).</t>
  </si>
  <si>
    <t>1. balance: number
2. rate: number</t>
  </si>
  <si>
    <t>· If rate is missing it counts as zero, so nothing recorded and a real zero look the same.</t>
  </si>
  <si>
    <t>years to retire  n = max(0, retire age − age today)
pot = start balance × (1 + r)^n
    + Σ for year y = 0 … n−1 of ( contribution × (1 + g)^y × (1 + r)^(n − y − 1) )
where r = the assumed return and g = the rate contributions grow</t>
  </si>
  <si>
    <t>Compounds what is held today forward to the retirement age, then adds each year's contribution compounded for the years it still has to grow. The code settles two things the master file leaves open: a contribution is treated as arriving at the END of its year (the first one compounds for n−1 years, the last for none), and contributions grow at their own rate, which DEFAULTS TO ZERO when nobody sets it. The return r is a nominal rate; inflation is applied to the spending side, not here. Finding A44 — the file states none of this.</t>
  </si>
  <si>
    <t>NestEggProjection</t>
  </si>
  <si>
    <t>1. If contribution growth is missing it uses 0.
2. If monthly is missing it counts as zero, so nothing recorded and a real zero look the same.
3. Uses a built-in y of 0.
4. Uses a built-in need of 0.
5. Turns a monthly figure into a year by multiplying by twelve.</t>
  </si>
  <si>
    <t>MK-PL-F-056</t>
  </si>
  <si>
    <t>solveRetireAge</t>
  </si>
  <si>
    <t>"Even if you never save another dollar, you can retire at age Y." Earliest retire age where the current pot (no further contributions) already covers the plan.</t>
  </si>
  <si>
    <t>p = project nest egg({ ...inp, annual contribution: 0, retire age: age, guaranteed start age: inp.guaranteed start age })
age   when will have ≥ will need
the answer = nothing</t>
  </si>
  <si>
    <t>P is project nest egg({ ...inp, annual contribution: 0, retire age: age, guaranteed start age: inp.guaranteed start age }). When will have is at least will need, it answers age. The answer is no answer.</t>
  </si>
  <si>
    <t>1. inp: RetirementInputs
2. maxAge = 80</t>
  </si>
  <si>
    <t>"IF YOU NEVER SAVE AGAIN" — on the Retirement cockpit screen</t>
  </si>
  <si>
    <t>1. MK-ST-F-055 round2 → MK-PL-F-055 projectNestEgg → MK-PL-F-056 solveRetireAge
2. MK-ST-F-024 rmdStartAge → MK-ST-F-025 rmdStartAgeFromAge → MK-PL-F-050 simulate → MK-PL-F-055 projectNestEgg → MK-PL-F-056 solveRetireAge
3. MK-ST-F-055 round2 → MK-PL-F-050 simulate → MK-PL-F-055 projectNestEgg → MK-PL-F-056 solveRetireAge</t>
  </si>
  <si>
    <t>MK-PL-F-057</t>
  </si>
  <si>
    <t>fullRetirementAge</t>
  </si>
  <si>
    <t>src/domain/retirement/ssTiming.ts</t>
  </si>
  <si>
    <t>Full retirement age in YEARS (fractional — 66y4m = 66.333…), from the birth year.</t>
  </si>
  <si>
    <t>full retirement age = 67                          when born 1960 or later
                      66 + (birth year − 1954) × 2 months   when born 1955-1959
                      66                          when born 1954 or earlier</t>
  </si>
  <si>
    <t>The age Social Security pays the full amount, in years and fractions of a year. Anyone born 1954 or earlier answers 66 — the published ages are 65 for 1937 and earlier and 65 plus two to ten months for 1938-1942. A missing birth year answers 67. Finding A39.</t>
  </si>
  <si>
    <t>birthYear?: number | null</t>
  </si>
  <si>
    <t>MK-PL-F-058</t>
  </si>
  <si>
    <t>ssClaimFactorFor</t>
  </si>
  <si>
    <t>SSA factor for a claim age (62–70), relative to the statement amount at the person's OWN full retirement age.</t>
  </si>
  <si>
    <t>months = round(claim age) × 12 − full retirement age × 12
factor = 1                                                   when months = 0
         1 − (first 36 early months × 5/9 of 1%)
           − (each further early month × 5/12 of 1%)          when claiming early
         1 + (each month claimed late × 2/3 of 1%)            when claiming late</t>
  </si>
  <si>
    <t>How much of the full-retirement amount is paid at the age chosen, held between 62 and 70. The SSA rates are right. But the claim age is ROUNDED TO A WHOLE YEAR before the months are counted, so claiming at 62 and six months is priced as 63 — about 3.3% of the benefit, roughly $83 a month for life on a $2,500 benefit. Finding A38.</t>
  </si>
  <si>
    <t>1. claimAge: number
2. birthYear?: number | null</t>
  </si>
  <si>
    <t>MK-PL-F-057 fullRetirementAge</t>
  </si>
  <si>
    <t>MK-PL-F-057 fullRetirementAge → MK-PL-F-058 ssClaimFactorFor</t>
  </si>
  <si>
    <t>MK-PL-F-059</t>
  </si>
  <si>
    <t>ssClaimFactor</t>
  </si>
  <si>
    <t>The pre-table factor, anchored at 67 — unchanged behaviour for anyone born 1960+.</t>
  </si>
  <si>
    <t>ss claim factor for(claim age, nothing)</t>
  </si>
  <si>
    <t>ss claim factor for(claim age, no answer).</t>
  </si>
  <si>
    <t>claimAge: number</t>
  </si>
  <si>
    <t>MK-PL-F-058 ssClaimFactorFor</t>
  </si>
  <si>
    <t>1. MK-PL-F-058 ssClaimFactorFor
2. MK-PL-F-057 fullRetirementAge</t>
  </si>
  <si>
    <t>MK-PL-F-057 fullRetirementAge → MK-PL-F-058 ssClaimFactorFor → MK-PL-F-059 ssClaimFactor</t>
  </si>
  <si>
    <t>Monthly benefit at a claim age from the at-FRA statement amount (today's dollars, whole $).</t>
  </si>
  <si>
    <t>monthly benefit = round(statement amount at full retirement age × factor(claim age))</t>
  </si>
  <si>
    <t>The amount on the Social Security statement, scaled by the claim-age factor and rounded to whole dollars. In today's money — no inflation is applied here.</t>
  </si>
  <si>
    <t>1. statementMonthly: number
2. claimAge: number
3. birthYear?: number | null</t>
  </si>
  <si>
    <t>1. If statement monthly is missing it counts as zero, so nothing recorded and a real zero look the same.
2. Rounds the answer to a whole number.</t>
  </si>
  <si>
    <t>MK-PL-F-061</t>
  </si>
  <si>
    <t>ssBenefitAtClaimAge</t>
  </si>
  <si>
    <t>Kept for callers not yet passing a birth year (behaves as born-1960+).</t>
  </si>
  <si>
    <t>ss benefit at(statement monthly, claim age, nothing)</t>
  </si>
  <si>
    <t>ss benefit at(statement monthly, claim age, no answer).</t>
  </si>
  <si>
    <t>1. statementMonthly: number
2. claimAge: number</t>
  </si>
  <si>
    <t>"When should I claim Social Security?" — on a card used on more than one screen (ClaimAgeRow)</t>
  </si>
  <si>
    <t>MK-PL-F-060 ssBenefitAt</t>
  </si>
  <si>
    <t>1. MK-PL-F-060 ssBenefitAt
2. MK-PL-F-058 ssClaimFactorFor
3. MK-PL-F-057 fullRetirementAge</t>
  </si>
  <si>
    <t>MK-PL-F-057 fullRetirementAge → MK-PL-F-058 ssClaimFactorFor → MK-PL-F-060 ssBenefitAt → MK-PL-F-061 ssBenefitAtClaimAge</t>
  </si>
  <si>
    <t>MK-PL-F-062</t>
  </si>
  <si>
    <t>ssLifetimeTotal</t>
  </si>
  <si>
    <t>Total collected from claim age to a live-to age the USER sets (months × monthly, today's dollars).</t>
  </si>
  <si>
    <t>months = max(0, round((live to age − claim age) × 12))
the answer = ss benefit at(statement monthly, claim age, birth year) × months</t>
  </si>
  <si>
    <t>Months is (live to age minus claim age, to a whole number times 12, never below zero). The answer is ss benefit at(statement monthly, claim age, birth year) times months.</t>
  </si>
  <si>
    <t>1. statementMonthly: number
2. claimAge: number
3. liveToAge: number
4. birthYear?: number | null</t>
  </si>
  <si>
    <t>MK-PL-F-057 fullRetirementAge → MK-PL-F-058 ssClaimFactorFor → MK-PL-F-060 ssBenefitAt → MK-PL-F-062 ssLifetimeTotal</t>
  </si>
  <si>
    <t>MK-PL-F-063</t>
  </si>
  <si>
    <t>fraLabel</t>
  </si>
  <si>
    <t>The FRA as words a person recognises — "67", or "66 and 4 months".</t>
  </si>
  <si>
    <t>fra = full retirement age(birth year)
years = round down(fra)
months = round((fra − years) × 12)
the answer:
string(years)   if months = 0
`${years} and ${months} months`   otherwise</t>
  </si>
  <si>
    <t>Fra is full retirement age(birth year). Years is fra, rounded down. Months is (fra minus years, to a whole number times 12). The answer is string(years) — when months = 0; `${years} and ${months} months` — otherwise.</t>
  </si>
  <si>
    <t>"We lay it out. You decide." — on the Social Security timing screen</t>
  </si>
  <si>
    <t>MK-PL-F-057 fullRetirementAge → MK-PL-F-063 fraLabel</t>
  </si>
  <si>
    <t>MK-PL-F-064</t>
  </si>
  <si>
    <t>claimWindow</t>
  </si>
  <si>
    <t>The claim window: the month the person turns 62 → the month they turn 70.</t>
  </si>
  <si>
    <t>nothing   when birth year is missing
m = birth month   if birth month and birth month ≥ 1 and birth month ≤ 12
1   otherwise
fmt = (y: number) =&gt; `${y}-${string(m).pad start(2, '0')}`
the answer:
opens = fmt(birth year + EARLIEST_CLAIM_AGE)
closes = fmt(birth year + LATEST_CREDIT_AGE)
opens year = birth year + EARLIEST_CLAIM_AGE
opens month = m</t>
  </si>
  <si>
    <t>When birth year is missing, it answers no answer. M is birth month — when birth month and birth month is at least 1 and birth month is at most 12; 1 — otherwise. Fmt is (y: number) =&gt; `${y}-${string(m).pad start(2, '0')}`. The answer is opens = fmt(birth year plus EARLIEST_CLAIM_AGE); closes = fmt(birth year plus LATEST_CREDIT_AGE); opens year = birth year plus EARLIEST_CLAIM_AGE; opens month = m.</t>
  </si>
  <si>
    <t>1. birthYear: number | null
2. birthMonth: number | null</t>
  </si>
  <si>
    <t>"Your assumption, not our prediction." — on the Social Security timing screen</t>
  </si>
  <si>
    <t>MK-PL-F-065</t>
  </si>
  <si>
    <t>volOf</t>
  </si>
  <si>
    <t>src/domain/retirement/willItLast.ts</t>
  </si>
  <si>
    <t>Same volatility convention as the cockpit: higher return ⇒ more volatility.</t>
  </si>
  <si>
    <t>hold ret × 1.7 between 0.05 and 0.2</t>
  </si>
  <si>
    <t>hold ret times 1.7 between 0.05 and 0.2</t>
  </si>
  <si>
    <t>ret: number</t>
  </si>
  <si>
    <t>· Never lets the answer fall below 5% or rise above 20%.</t>
  </si>
  <si>
    <t>1. MK-ST-F-024 rmdStartAge → MK-ST-F-025 rmdStartAgeFromAge → MK-PL-F-050 simulate → MK-PL-F-065 volOf
2. MK-ST-F-055 round2 → MK-PL-F-050 simulate → MK-PL-F-065 volOf</t>
  </si>
  <si>
    <t>MK-PL-F-066</t>
  </si>
  <si>
    <t>displayOdds</t>
  </si>
  <si>
    <t>B6 (founder brief 2026-08-20): the odds a person sees, to the nearest 5 — with one honesty guard at each end: 100 means "every simulated future worked" and 0 means "none did", and neither claim may be minted by rounding.</t>
  </si>
  <si>
    <t>r = min(100, max(0, round(chance ÷ 5) × 5))
95   when r = 100 and chance &lt; 99.5
5   when r = 0 and chance &gt; 0.5
the answer = r</t>
  </si>
  <si>
    <t>R: the smaller of 100 and chance divided by 5, to a whole number times 5, never below zero. When r = 100 and chance &lt; 99.5, it answers 95. When r = 0 and chance &gt; 0.5, it answers 5. The answer is r.</t>
  </si>
  <si>
    <t>chance: number</t>
  </si>
  <si>
    <t>"Claim at age" — on the Retirement cockpit screen</t>
  </si>
  <si>
    <t>op = op (or none when missing)
a = assumptions (or none when missing)
age = the date ).get full year() − num(op.birth year   if op.birth year
nothing   otherwise
nothing   when age = nothing
nest egg = retirement earmarked value(accounts)
bequest = num(op.legacy target)
spendable egg = max(0, nest egg − bequest)
bench blended = blended return(accounts)
actual blended = portfolio actual return(accounts)
return basis = A.return basis (or 'benchmark' when missing)
scenario return = A.expected return (or bench blended when missing)
… the first steps only — the rest of the body needs reading by hand.</t>
  </si>
  <si>
    <t>Op is op (or none — when missing). A is assumptions (or none — when missing). Age: the date ).get full year() minus num(op.birth year — when op.birth year; no answer — otherwise. When age is missing, it answers no answer. Nest egg is retirement earmarked value(accounts). Bequest is num(op.legacy target). Spendable egg is nest egg minus bequest, never below zero. Bench blended is blended return(accounts). Actual blended is portfolio actual return(accounts). Return basis is A.return basis (or 'benchmark' — when missing). Scenario return is A.expected return (or bench blended — when missing). Only the first steps are shown; the rest of the body needs reading by hand.</t>
  </si>
  <si>
    <t>a: WillItLastArgs</t>
  </si>
  <si>
    <t>RetirementInputs | null</t>
  </si>
  <si>
    <t>1. If inflation rate is missing it uses 2.5.
2. If social security claim age is missing it uses 67.
3. If monthly is missing it uses 0.
4. If salary growth is missing it uses 0.
5. Turns a monthly figure into a year by multiplying by twelve.
6. Uses today's date from the device clock, so the answer changes by itself overnight.
7. Rounds the answer to a whole number.
8. Leaves some rows out of the answer — check which.</t>
  </si>
  <si>
    <t>1. MK-NW-F-037 blendedReturn
2. MK-NW-F-035 blendedVolatility
3. MK-CF-F-102 effectiveRateOnGrossFor
4. MK-CF-F-085 filingStatusOf
5. MK-CF-F-076 guaranteedOutsideStreams
6. MK-NW-F-041 monthlyContributionsFromOnboarding
7. MK-CF-F-089 over65CountOf
8. MK-NW-F-004 portfolioActualReturn
9. MK-NW-F-033 retirementEarmarkedValue
10. MK-PL-F-049 retirementSpendMonthly
11. MK-PL-F-060 ssBenefitAt
12. MK-CF-F-086 stateRateOf
13. MK-PL-F-001 taxBucketSplit
14. MK-CF-F-083 totalGrossAnnual
15. MK-PL-F-065 volOf</t>
  </si>
  <si>
    <t>1. MK-NW-F-037 blendedReturn
2. MK-NW-F-035 blendedVolatility
3. MK-CF-F-102 effectiveRateOnGrossFor
4. MK-CF-F-085 filingStatusOf
5. MK-CF-F-076 guaranteedOutsideStreams
6. MK-NW-F-041 monthlyContributionsFromOnboarding
7. MK-CF-F-089 over65CountOf
8. MK-NW-F-004 portfolioActualReturn
9. MK-NW-F-033 retirementEarmarkedValue
10. MK-PL-F-049 retirementSpendMonthly
11. MK-PL-F-060 ssBenefitAt
12. MK-CF-F-086 stateRateOf
13. MK-PL-F-001 taxBucketSplit
14. MK-CF-F-083 totalGrossAnnual
15. MK-PL-F-065 volOf
16. MK-NW-F-034 benchmarkReturn
17. MK-NW-F-032 earmarkedAmount
18. MK-NW-F-031 primaryCarIdOf
19. MK-CF-F-101 taxOwedFor
20. MK-ST-F-052 toNum
21. MK-CF-F-078 employerMatchMonthly
22. MK-ST-F-055 round2
23. MK-PL-F-047 colFactor
24. MK-PL-F-058 ssClaimFactorFor
25. MK-CF-F-072 currentRetirementIncomeMonthly
26. MK-CF-F-071 extraIncome
27. MK-CF-F-068 rentalNetAnnual
28. MK-CF-F-066 rsuAnnual
29. MK-CF-F-082 salaryAnnual
30. MK-CF-F-074 tipsAnnual
31. MK-PL-F-050 simulate
32. MK-NW-F-007 assetKind
33. MK-NW-F-030 earmarkDefault
34. MK-NW-F-011 assetClassOf
35. MK-CF-F-100 taxableIncomeFor
36. MK-PL-F-057 fullRetirementAge
37. MK-CF-F-075 retirementIncomeMonthly
38. MK-CF-F-070 benefitAnnual
39. MK-CF-F-067 rentalList
40. MK-CF-F-062 equityRowValue
41. MK-CF-F-063 rowVestYear
42. MK-CF-F-060 salaryGrossByMonth
43. MK-CF-F-081 salaryActiveMonths
44. MK-ST-F-025 rmdStartAgeFromAge
45. MK-NW-F-013 realEstateUseOf
46. MK-NW-F-008 incomeBearingClassOf
47. MK-CF-F-099 deductionFor
48. MK-CF-F-069 benefitActiveMonths
49. MK-CF-F-097 grossFromNet
50. MK-ST-F-024 rmdStartAge
51. MK-ST-F-010 nameEvidence
52. MK-CF-F-095 taxOwed
53. MK-CF-F-093 taxableIncome</t>
  </si>
  <si>
    <t>The one will-it-last read.</t>
  </si>
  <si>
    <t>op = op (or none when missing)
inputs = will it last inputs(a)
nest egg = retirement earmarked value(accounts)
spend known = (retirement spend monthly(op) or num(op.monthly spending)) &gt; 0 (or (assumptions.spend monthly ?? nothing) ≠ nothing when missing or zero)
captured = inputs ≠ nothing and spend known and nest egg &gt; 0
the answer:
captured = false
chance = nothing
chance exact = nothing
band = nothing
horizon age = inputs.horizon age (or num(op.horizon age) (or 90 when missing or zero) when missing)
inputs = inputs
sim = simulate(with band ? { ...inputs, with band: true } : inputs) as any
exact = sim.chance of success as number</t>
  </si>
  <si>
    <t>Op is op (or none — when missing). Inputs is will it last inputs(a). Nest egg is retirement earmarked value(accounts). Spend known is (retirement spend monthly(op) or num(op.monthly spending)) &gt; 0 (or (assumptions.spend monthly ?? no answer) is not no answer — when missing or zero). Captured is inputs is not no answer and spend known and nest egg &gt; 0. The answer is captured = false; chance is missing; chance exact is missing; band is missing; horizon age = inputs.horizon age (or num(op.horizon age) (or 90 — when missing or zero) — when missing); inputs = inputs. Sim is simulate(with band ? { ...inputs, with band: true } : inputs) as any. Exact is sim.chance of success as number.</t>
  </si>
  <si>
    <t>WillItLastResult</t>
  </si>
  <si>
    <t>"Draw from savings" — on the Cash flow screen, under "YOUR FUTURE PAYCHECK"</t>
  </si>
  <si>
    <t>1. MK-PL-F-066 displayOdds
2. MK-NW-F-033 retirementEarmarkedValue
3. MK-PL-F-049 retirementSpendMonthly
4. MK-PL-F-050 simulate
5. MK-PL-F-067 willItLastInputs</t>
  </si>
  <si>
    <t>1. MK-PL-F-066 displayOdds
2. MK-NW-F-033 retirementEarmarkedValue
3. MK-PL-F-049 retirementSpendMonthly
4. MK-PL-F-050 simulate
5. MK-PL-F-067 willItLastInputs
6. MK-NW-F-032 earmarkedAmount
7. MK-NW-F-031 primaryCarIdOf
8. MK-ST-F-055 round2
9. MK-PL-F-047 colFactor
10. MK-ST-F-052 toNum
11. MK-ST-F-025 rmdStartAgeFromAge
12. MK-NW-F-037 blendedReturn
13. MK-NW-F-035 blendedVolatility
14. MK-CF-F-102 effectiveRateOnGrossFor
15. MK-CF-F-085 filingStatusOf
16. MK-CF-F-076 guaranteedOutsideStreams
17. MK-NW-F-041 monthlyContributionsFromOnboarding
18. MK-CF-F-089 over65CountOf
19. MK-NW-F-004 portfolioActualReturn
20. MK-PL-F-060 ssBenefitAt
21. MK-CF-F-086 stateRateOf
22. MK-PL-F-001 taxBucketSplit
23. MK-CF-F-083 totalGrossAnnual
24. MK-PL-F-065 volOf
25. MK-NW-F-030 earmarkDefault
26. MK-NW-F-011 assetClassOf
27. MK-ST-F-024 rmdStartAge
28. MK-NW-F-034 benchmarkReturn
29. MK-CF-F-101 taxOwedFor
30. MK-CF-F-078 employerMatchMonthly
31. MK-PL-F-058 ssClaimFactorFor
32. MK-CF-F-072 currentRetirementIncomeMonthly
33. MK-CF-F-071 extraIncome
34. MK-CF-F-068 rentalNetAnnual
35. MK-CF-F-066 rsuAnnual
36. MK-CF-F-082 salaryAnnual
37. MK-CF-F-074 tipsAnnual
38. MK-NW-F-013 realEstateUseOf
39. MK-NW-F-008 incomeBearingClassOf
40. MK-NW-F-007 assetKind
41. MK-CF-F-100 taxableIncomeFor
42. MK-PL-F-057 fullRetirementAge
43. MK-CF-F-075 retirementIncomeMonthly
44. MK-CF-F-070 benefitAnnual
45. MK-CF-F-067 rentalList
46. MK-CF-F-062 equityRowValue
47. MK-CF-F-063 rowVestYear
48. MK-CF-F-060 salaryGrossByMonth
49. MK-CF-F-081 salaryActiveMonths
50. MK-ST-F-010 nameEvidence
51. MK-CF-F-099 deductionFor
52. MK-CF-F-069 benefitActiveMonths
53. MK-CF-F-097 grossFromNet
54. MK-CF-F-095 taxOwed
55. MK-CF-F-093 taxableIncome</t>
  </si>
  <si>
    <t>MK-ST-F-001</t>
  </si>
  <si>
    <t>looksFixedIncome</t>
  </si>
  <si>
    <t>Calculation Module code/engines/classify.ts</t>
  </si>
  <si>
    <t>Fixed income by its words.</t>
  </si>
  <si>
    <t>t = text.to upper case()
true   when ÷ \b(CD|CERTIFICATE OF DEPOSIT|T-?BILL|TREASURY BILLS?|TREAS BILLS?|TREASURY NOTE|TREAS NOTE|TREASURY BOND|TREAS |DEBENTURE|MUNI|ZERO CPN)\b ÷ .test(t)
true   when ÷ \b bds\b|\b bond\b|\b notes?\b ÷ .test(t) and ! ÷ \b noted\b ÷ .test(t)
true   when ÷ \b bd\b\s × (INDEX|FD|FUND) ÷ .test(t)
true   when ÷ \d(\.\d+)?\s × %. × \b(20\d\d|DUE|MTD)\b ÷ .test(t)
true   when ÷ \b cpn\b\s × [\d.] ÷ .test(t)
the answer = false</t>
  </si>
  <si>
    <t>T is text.to upper case(). When ÷ \b(CD|CERTIFICATE OF DEPOSIT|T-?BILL|TREASURY BILLS?|TREAS BILLS?|TREASURY NOTE|TREAS NOTE|TREASURY BOND|TREAS |DEBENTURE|MUNI|ZERO CPN)\b divided by .test(t), it answers true. When ÷ \b bds\b|\b bond\b|\b notes?\b divided by .test(t) and ! divided by \b noted\b divided by .test(t), it answers true. When ÷ \b bd\b\s times (INDEX|FD|FUND) divided by .test(t), it answers true. When ÷ \d(\.\d+)?\s times %. times \b(20\d\d|DUE|MTD)\b divided by .test(t), it answers true. When ÷ \b cpn\b\s times [\d.] divided by .test(t), it answers true. The answer is false.</t>
  </si>
  <si>
    <t>text: string</t>
  </si>
  <si>
    <t>MK-ST-F-002</t>
  </si>
  <si>
    <t>monthWords</t>
  </si>
  <si>
    <t>Calculation Module code/engines/coverage.ts</t>
  </si>
  <si>
    <t>"March 2022" — a month a person reads, not a date stamp.</t>
  </si>
  <si>
    <t>''   when iso is missing
`${MONTHS[m − 1]} ${y}`   if m
string(y)   otherwise</t>
  </si>
  <si>
    <t>When iso is missing, it answers ''. `${MONTHS[m minus 1]} ${y}` — when m; string(y) — otherwise.</t>
  </si>
  <si>
    <t>iso: string | null</t>
  </si>
  <si>
    <t>MK-ST-F-003</t>
  </si>
  <si>
    <t>dayWords</t>
  </si>
  <si>
    <t>"14 March 2022".</t>
  </si>
  <si>
    <t>''   when iso is missing
`${d} ${MONTHS[m − 1]} ${y}`   if m and d
month words(iso)   otherwise</t>
  </si>
  <si>
    <t>When iso is missing, it answers ''. `${d} ${MONTHS[m minus 1]} ${y}` — when m and d; month words(iso) — otherwise.</t>
  </si>
  <si>
    <t>MK-ST-F-002 monthWords</t>
  </si>
  <si>
    <t>MK-ST-F-002 monthWords → MK-ST-F-003 dayWords</t>
  </si>
  <si>
    <t>MK-ST-F-004</t>
  </si>
  <si>
    <t>coverageFor</t>
  </si>
  <si>
    <t>What can we honestly say about a window starting on `from`?</t>
  </si>
  <si>
    <t>start = first date(days)
daily cut = the date today
daily from = the first 10) ? start : daily cut.to isostring().slice(0, 10 of start &gt; daily cut.to isostring()   if start
nothing   otherwise
the answer:
from = start
daily from = daily from
covers = true
measured from = from
sentence = ''
has monthly only = daily from ≠ nothing and start &lt; daily from</t>
  </si>
  <si>
    <t>Start is first date(days). Daily cut: the date today. Daily from: the first 10) ? start : daily cut.to isostring().slice(0, 10 of start &gt; daily cut.to isostring() — when start; no answer — otherwise. The answer is from = start; daily from = daily from; covers = true; measured from = from; sentence = ''. Has monthly only is daily from is not no answer and start &lt; daily from.</t>
  </si>
  <si>
    <t>1. days: Dated[]
2. from: string
3. today: string</t>
  </si>
  <si>
    <t>Coverage</t>
  </si>
  <si>
    <t>1. MK-ST-F-003 dayWords
2. MK-ST-F-034 firstDate
3. MK-ST-F-002 monthWords</t>
  </si>
  <si>
    <t>1. MK-ST-F-002 monthWords → MK-ST-F-003 dayWords → MK-ST-F-004 coverageFor
2. MK-ST-F-034 firstDate → MK-ST-F-004 coverageFor
3. MK-ST-F-002 monthWords → MK-ST-F-004 coverageFor</t>
  </si>
  <si>
    <t>MK-ST-F-005</t>
  </si>
  <si>
    <t>measuredFromLabel</t>
  </si>
  <si>
    <t>The short label that rides beside a change figure, always — whether the window is covered or not.</t>
  </si>
  <si>
    <t>start = first date(days)
''   when start is missing
actual = start   if start &gt; from
from   otherwise
the answer = `since ${day words(actual)}`</t>
  </si>
  <si>
    <t>Start is first date(days). When start is missing, it answers ''. Actual is start — when start &gt; from; from — otherwise. The answer is `since ${day words(actual)}`.</t>
  </si>
  <si>
    <t>1. days: Dated[]
2. from: string</t>
  </si>
  <si>
    <t>1. MK-ST-F-003 dayWords
2. MK-ST-F-034 firstDate</t>
  </si>
  <si>
    <t>1. MK-ST-F-002 monthWords → MK-ST-F-003 dayWords → MK-ST-F-005 measuredFromLabel
2. MK-ST-F-034 firstDate → MK-ST-F-005 measuredFromLabel</t>
  </si>
  <si>
    <t>MK-ST-F-006</t>
  </si>
  <si>
    <t>canAnswer</t>
  </si>
  <si>
    <t>Is there any record at all on or before this date?</t>
  </si>
  <si>
    <t>on or before(days, from) ≠ nothing</t>
  </si>
  <si>
    <t>on or before(days, from) is not no answer.</t>
  </si>
  <si>
    <t>MK-ST-F-033 onOrBefore</t>
  </si>
  <si>
    <t>MK-ST-F-033 onOrBefore → MK-ST-F-006 canAnswer</t>
  </si>
  <si>
    <t>MK-ST-F-007</t>
  </si>
  <si>
    <t>classifyEvent</t>
  </si>
  <si>
    <t>Calculation Module code/engines/events.ts</t>
  </si>
  <si>
    <t>Classify one institution word.</t>
  </si>
  <si>
    <t>w = string(word ?? '').trim()
event = 'UNKNOWN'
rule = EVENTS.UNKNOWN
word = ''
recognised = false   when w is missing
the answer:
event = event
rule = EVENTS[event]
word = w
matched by = source
recognised = true</t>
  </si>
  <si>
    <t>W is string(word ?? '').trim(). When w is missing, it answers event = 'UNKNOWN'; rule = EVENTS.UNKNOWN; word = ''; recognised = false. The answer is event = event; rule = EVENTS[event]; word = w; matched by = source; recognised = true.</t>
  </si>
  <si>
    <t>word: string | null | undefined</t>
  </si>
  <si>
    <t>Classified</t>
  </si>
  <si>
    <t>MK-ST-F-008</t>
  </si>
  <si>
    <t>touches</t>
  </si>
  <si>
    <t>Does this event add to that total?</t>
  </si>
  <si>
    <t>EVENTS[e].totals.includes(total)</t>
  </si>
  <si>
    <t>EVENTS[e].totals.includes(total).</t>
  </si>
  <si>
    <t>1. e: CanonicalEvent
2. total: 'contributions' | 'withdrawals' | 'income' | 'costs' | 'units' | 'costBasis' | 'realisedGain'</t>
  </si>
  <si>
    <t>MK-ST-F-009</t>
  </si>
  <si>
    <t>directionOf</t>
  </si>
  <si>
    <t>The direction an event implies, where the event itself decides it.</t>
  </si>
  <si>
    <t>EVENTS[e].direction (or 'NONE' when missing)</t>
  </si>
  <si>
    <t>EVENTS[e].direction (or 'NONE' — when missing).</t>
  </si>
  <si>
    <t>e: CanonicalEvent</t>
  </si>
  <si>
    <t>Money['direction']</t>
  </si>
  <si>
    <t>MK-ST-F-010</t>
  </si>
  <si>
    <t>nameEvidence</t>
  </si>
  <si>
    <t>Calculation Module code/engines/holding-class.ts</t>
  </si>
  <si>
    <t>What the NAME (symbol + description together) says, or null when it says nothing.</t>
  </si>
  <si>
    <t>t = string(label ?? '').trim()
nothing   when t is missing
words = for each of split( ÷ [\s·—-]+ ÷ ): to upper case()
'cash'   when SWEEP_RE.test(t)
'stocks_etf'   when MONEY_MARKET_RE.test(t) (or words.some((w) =&gt; MONEY_MARKET_TICKERS.has(w)) when missing or zero)
'bonds'   when words.some((w) =&gt; TBILL_ETF_TICKERS.has(w))
'alternatives'   when OCC_OPTION.test(replace( ÷ \s+ ÷ g, '').to upper case())
'alternatives'   when DATE_STYLE_OPTION.test(t) (or ÷ \b(put|call)s?\b ÷ test(t) when missing or zero)
'alternatives'   when words.some((w) =&gt; CRYPTO_TICKERS.has(w)) (or ÷ \b(bitcoin|ethereum|crypto(currenc(y|ies))?)\b ÷ test(t) when missing or zero)
'alternatives'   when words.some((w) =&gt; COMMODITY_TICKERS.has(w))
'alternatives'   when ÷ \b(gold|silver|platinum|palladium|commodit(y|ies))\b ÷ test(t) and !COMPANY_WORDS.test(t)
… the first steps only — the rest of the body needs reading by hand.</t>
  </si>
  <si>
    <t>T is string(label ?? '').trim(). When t is missing, it answers no answer. Words is for each of split( divided by [\s·—-]+ divided by ): to upper case(). When SWEEP_RE.test(t), it answers 'cash'. When MONEY_MARKET_RE.test(t) (or words.some((w) =&gt; MONEY_MARKET_TICKERS.has(w)) — when missing or zero), it answers 'stocks_etf'. When words.some((w) =&gt; TBILL_ETF_TICKERS.has(w)), it answers 'bonds'. When OCC_OPTION.test(replace( divided by \s+ divided by g, '').to upper case()), it answers 'alternatives'. When DATE_STYLE_OPTION.test(t) (or divided by \b(put|call)s?\b divided by test(t) — when missing or zero), it answers 'alternatives'. When words.some((w) =&gt; CRYPTO_TICKERS.has(w)) (or divided by \b(bitcoin|ethereum|crypto(currenc(y|ies))?)\b divided by test(t) — when missing or zero), it answers 'alternatives'. When words.some((w) =&gt; COMMODITY_TICKERS.has(w)), it answers 'alternatives'. When ÷ \b(gold|silver|platinum|palladium|commodit(y|ies))\b divided by test(t) and !COMPANY_WORDS.test(t), it answers 'alternatives'. Only the first steps are shown; the rest of the body needs reading by hand.</t>
  </si>
  <si>
    <t>label?: string | null</t>
  </si>
  <si>
    <t>HoldingClass | null</t>
  </si>
  <si>
    <t>MK-ST-F-011</t>
  </si>
  <si>
    <t>classifyHoldingClass</t>
  </si>
  <si>
    <t>cls = user answer
source = 'user'
why = 'your own answer — it outranks every automatic rule and survives every sync'   when user answer
by name = name evidence(`${ticker ?? ''} ${name ?? ''}`)
cls = by name
source = 'name'
why = 'the institution\'s own words for it'   when by name
cls = 'bonds'
source = 'maturity'
why = 'it carries a maturity date'   when maturity date and string(maturity date).trim()
cls = 'stocks_etf'
source = 'flag'
why = 'the broker\'s cash − equivalent flag — a money − market fund
measured where its income lands' = measured where its income lands'   when cash equivalent
tag = TAG_CLASS[string(broker tag ?? '').to lower case()]
cls = tag
source = 'broker − tag'
why = 'the broker\'s type tag — fallback only
a name would have outranked it' = a name would have outranked it'   when tag
cls = 'stocks_etf'
source = 'security − default'
why = 'a priced security with units is an investment; with no other evidence it sits in stocks ÷ Funds'   when has security identity
the answer:
cls = 'cash'
source = 'unlabelled'
why = 'an unlabelled broker balance is cash'</t>
  </si>
  <si>
    <t>When user answer, it answers cls = user answer; source = 'user'; why = 'your own answer — it outranks every automatic rule and survives every sync'. By name is name evidence(`${ticker ?? ''} ${name ?? ''}`). When by name, it answers cls = by name; source = 'name'; why = 'the institution\'s own words for it'. When maturity date and string(maturity date).trim(), it answers cls = 'bonds'; source = 'maturity'; why = 'it carries a maturity date'. When cash equivalent, it answers cls = 'stocks_etf'; source = 'flag'; why = 'the broker\'s cash minus equivalent flag — a money minus market fund; measured where its income lands' = measured where its income lands'. Tag is TAG_CLASS[string(broker tag ?? '').to lower case()]. When tag, it answers cls = tag; source = 'broker minus tag'; why = 'the broker\'s type tag — fallback only; a name would have outranked it' = a name would have outranked it'. When has security identity, it answers cls = 'stocks_etf'; source = 'security minus default'; why = 'a priced security with units is an investment; with no other evidence it sits in stocks divided by Funds'. The answer is cls = 'cash'; source = 'unlabelled'; why = 'an unlabelled broker balance is cash'.</t>
  </si>
  <si>
    <t>e: ClassEvidence</t>
  </si>
  <si>
    <t>ClassVerdict</t>
  </si>
  <si>
    <t>MK-ST-F-010 nameEvidence → MK-ST-F-011 classifyHoldingClass</t>
  </si>
  <si>
    <t>MK-ST-F-012</t>
  </si>
  <si>
    <t>toLedgerRow</t>
  </si>
  <si>
    <t>Calculation Module code/engines/ledger.ts</t>
  </si>
  <si>
    <t>Read one institution row into one ledger row.</t>
  </si>
  <si>
    <t>c = classify event(raw.word)
money = read money(raw.amount, convention, rule.direction)
units = number or undefined(raw.units)
legacy = TO_LEGACY[event]
is trade = legacy = 'BUY' (or legacy = 'SELL' when missing or zero)</t>
  </si>
  <si>
    <t>C is classify event(raw.word). Money is read money(raw.amount, convention, rule.direction). Units is number or undefined(raw.units). Legacy is TO_LEGACY[event]. Is trade is legacy = 'BUY' (or legacy = 'SELL' — when missing or zero).</t>
  </si>
  <si>
    <t>1. raw: RawActivity
2. convention: SignConvention</t>
  </si>
  <si>
    <t>LedgerRow</t>
  </si>
  <si>
    <t>1. MK-ST-F-007 classifyEvent
2. MK-ST-F-018 readMoney
3. MK-ST-F-019 signed
4. MK-ST-F-021 toNumber</t>
  </si>
  <si>
    <t>1. MK-ST-F-007 classifyEvent → MK-ST-F-012 toLedgerRow
2. MK-ST-F-018 readMoney → MK-ST-F-012 toLedgerRow
3. MK-ST-F-019 signed → MK-ST-F-012 toLedgerRow
4. MK-ST-F-021 toNumber → MK-ST-F-012 toLedgerRow</t>
  </si>
  <si>
    <t>MK-ST-F-013</t>
  </si>
  <si>
    <t>personalFlowTotals</t>
  </si>
  <si>
    <t>bucket = STORED_TYPE_BUCKET[string(type ?? '')] (or 'none' when missing)
d = dec.parse(amount)
the answer = t</t>
  </si>
  <si>
    <t>Bucket is STORED_TYPE_BUCKET[string(type ?? '')] (or 'none' — when missing). D is dec.parse(amount). The answer is t.</t>
  </si>
  <si>
    <t>rows: StoredFlowRow[]</t>
  </si>
  <si>
    <t>PersonalFlowTotals</t>
  </si>
  <si>
    <t>MK-ST-F-014</t>
  </si>
  <si>
    <t>importKey</t>
  </si>
  <si>
    <t>id: ImportIdentity</t>
  </si>
  <si>
    <t>MK-ST-F-015</t>
  </si>
  <si>
    <t>rowsFor</t>
  </si>
  <si>
    <t>rows where EVENTS[event].totals.includes(total)</t>
  </si>
  <si>
    <t>rows where EVENTS[event].totals.includes(total).</t>
  </si>
  <si>
    <t>MK-ST-F-016</t>
  </si>
  <si>
    <t>totalOf</t>
  </si>
  <si>
    <t>A total, summed SIGNED and EXACT — a reversal reduces its total instead of inflating it.</t>
  </si>
  <si>
    <t>dec.sum(rows for(rows, total).map((r) =&gt; signed amount))</t>
  </si>
  <si>
    <t>dec.sum(rows for(rows, total).map((r) =&gt; signed amount)).</t>
  </si>
  <si>
    <t>1. rows: LedgerRow[]
2. total: 'contributions' | 'withdrawals' | 'income' | 'costs'</t>
  </si>
  <si>
    <t>Dec</t>
  </si>
  <si>
    <t>MK-ST-F-015 rowsFor</t>
  </si>
  <si>
    <t>MK-ST-F-015 rowsFor → MK-ST-F-016 totalOf</t>
  </si>
  <si>
    <t>MK-ST-F-017</t>
  </si>
  <si>
    <t>unclassified</t>
  </si>
  <si>
    <t>Everything we could not name, for the honest line on screen: "12 entries we could not classify".</t>
  </si>
  <si>
    <t>the answer = rows where recognised is missing
n = v   if v is a number
na n   if v = nothing
parse float(string(v).replace( ÷ [$,\s] ÷ g, ''))   otherwise   otherwise</t>
  </si>
  <si>
    <t>The answer is rows where recognised is missing. N is v — when v is a number; na n — when v is missing; parse float(string(v).replace( divided by [$,\s] divided by g, '')) — otherwise — otherwise.</t>
  </si>
  <si>
    <t>rows: LedgerRow[]</t>
  </si>
  <si>
    <t>LedgerRow[]</t>
  </si>
  <si>
    <t>MK-ST-F-018</t>
  </si>
  <si>
    <t>readMoney</t>
  </si>
  <si>
    <t>Calculation Module code/engines/money.ts</t>
  </si>
  <si>
    <t>Read a raw amount into a Money, given how that source signs things.</t>
  </si>
  <si>
    <t>d = dec.parse(raw)
amount = dec.ZERO
direction = 'NONE'   when d = nothing
amount = dec.ZERO
direction = 'NONE'   when is zero()
negative means out = convention ! = 'POSITIVE_IS_OUT'
the answer:
amount = abs()
direction = stated (or 'NONE' when missing)
out = is neg()   if negative means out
!is neg()   otherwise</t>
  </si>
  <si>
    <t>D is dec.parse(raw). When d is missing, it answers amount = dec.ZERO; direction = 'NONE'. When is zero(), it answers amount = dec.ZERO; direction = 'NONE'. Negative means out is convention ! = 'POSITIVE_IS_OUT'. The answer is amount = abs(); direction = stated (or 'NONE' — when missing). Out is is neg() — when negative means out; !is neg() — otherwise.</t>
  </si>
  <si>
    <t>MK-ST-F-019</t>
  </si>
  <si>
    <t>signed</t>
  </si>
  <si>
    <t>The signed value, for arithmetic.</t>
  </si>
  <si>
    <t>amount.neg()   if direction = 'OUT'
amount   if direction = 'IN'
dec.ZERO   otherwise   otherwise</t>
  </si>
  <si>
    <t>amount.neg() — when direction = 'OUT'; amount — when direction = 'IN'; dec.ZERO — otherwise — otherwise.</t>
  </si>
  <si>
    <t>m: Money</t>
  </si>
  <si>
    <t>MK-ST-F-020</t>
  </si>
  <si>
    <t>sumSigned</t>
  </si>
  <si>
    <t>Add money SIGNED and EXACTLY — a credit and its reversal cancel to true zero, so a reconciliation can assert equality rather than a tolerance.</t>
  </si>
  <si>
    <t>dec.sum(items.map(signed))</t>
  </si>
  <si>
    <t>dec.sum(items.map(signed)).</t>
  </si>
  <si>
    <t>items: Money[]</t>
  </si>
  <si>
    <t>MK-ST-F-021</t>
  </si>
  <si>
    <t>toNumber</t>
  </si>
  <si>
    <t>Institution files write money as text: "$8,502.00 ", "($0.53)", "--", "1,234.56".</t>
  </si>
  <si>
    <t>nothing   when raw = nothing
raw   if number.is finite(raw)
nothing   otherwise   when raw is a number
t = string(raw).trim()
nothing   when t is missing (or t = '--' (or t = '-' (or t = 'n ÷ a' (or t = 'N ÷ A' when missing or zero) when missing or zero) when missing or zero) when missing or zero)
parenthesised = ÷ ^\(. × \)$ ÷ .test(t)
nothing   when t is missing (or ! ÷ ^-?\d × \.?\d+$ ÷ .test(t) when missing or zero)
n = parse float(t)
nothing   when !number.is finite(n)
the answer:
-size of(n)   if parenthesised
n   otherwise</t>
  </si>
  <si>
    <t>When raw is missing, it answers no answer. When raw is a number, it answers raw — when number.is finite(raw); no answer — otherwise. T is string(raw).trim(). When t is missing (or t = '--' (or t = '-' (or t = 'n divided by a' (or t = 'N divided by A' — when missing or zero) — when missing or zero) — when missing or zero) — when missing or zero), it answers no answer. Parenthesised is ÷ ^\(. times \)$ divided by .test(t). When t is missing (or ! divided by ^-?\d times \.?\d+$ divided by .test(t) — when missing or zero), it answers no answer. N is parse float(t). When !number.is finite(n), it answers no answer. The answer is -size of(n) — when parenthesised; n — otherwise.</t>
  </si>
  <si>
    <t>raw: number | string | null | undefined</t>
  </si>
  <si>
    <t>MK-ST-F-022</t>
  </si>
  <si>
    <t>reconcileAccountTotal</t>
  </si>
  <si>
    <t>Calculation Module code/engines/reconcile.ts</t>
  </si>
  <si>
    <t>ASSERTION 1 — holdings + cash = the broker's stated total.</t>
  </si>
  <si>
    <t>stated = dec.parse(stated total) (or dec.ZERO when missing)
the answer = verdict(parts, stated, 'what the account holds and the broker\'s own total')</t>
  </si>
  <si>
    <t>Stated is dec.parse(stated total) (or dec.ZERO — when missing). The answer is verdict(parts, stated, 'what the account holds and the broker\'s own total').</t>
  </si>
  <si>
    <t>MK-ST-F-023</t>
  </si>
  <si>
    <t>reconcileLedgerIdentity</t>
  </si>
  <si>
    <t>ASSERTION 2 — the accounting identity every statement satisfies, exactly.</t>
  </si>
  <si>
    <t>d = (v: unknown) =&gt; dec.parse(v) (or dec.ZERO when missing)
the answer = verdict(computed, D(ending), 'the change walk and the ending value')</t>
  </si>
  <si>
    <t>D is (v: unknown) =&gt; dec.parse(v) (or dec.ZERO — when missing). The answer is verdict(computed, D(ending), 'the change walk and the ending value').</t>
  </si>
  <si>
    <t>MK-ST-F-024</t>
  </si>
  <si>
    <t>rmdStartAge</t>
  </si>
  <si>
    <t>Calculation Module code/engines/rmd.ts</t>
  </si>
  <si>
    <t>The age required withdrawals begin, by birth year.</t>
  </si>
  <si>
    <t>start age = 75   when born 1960 or later
            73   otherwise</t>
  </si>
  <si>
    <t>The age required withdrawals begin. Born 1960 or later, 75; everyone else, 73 — including birth years before 1951, whose real start age was 72 or 70 and a half. An unknown birth year silently answers 73 rather than refusing. Finding A36.</t>
  </si>
  <si>
    <t>1. "Operating expense / mo" — on the setup questions, which appear on more than one screen
2. "Set by month" — on the setup questions, which appear on more than one screen
3. "Surplus by month" — on the setup questions, which appear on more than one screen
4. "Your contribution (per month)" — on the setup questions, which appear on more than one screen
5. "Your retirement outlook" — on the setup questions, which appear on more than one screen</t>
  </si>
  <si>
    <t>MK-ST-F-025</t>
  </si>
  <si>
    <t>rmdStartAgeFromAge</t>
  </si>
  <si>
    <t>The same rule when only an age is known (birth year ≈ this year − age; ±1 year of precision, which is what an age-only caller has).</t>
  </si>
  <si>
    <t>rmd start age(now year − age)</t>
  </si>
  <si>
    <t>rmd start age(now year minus age).</t>
  </si>
  <si>
    <t>1. age: number
2. nowYear: number</t>
  </si>
  <si>
    <t>MK-ST-F-024 rmdStartAge</t>
  </si>
  <si>
    <t>MK-ST-F-024 rmdStartAge → MK-ST-F-025 rmdStartAgeFromAge</t>
  </si>
  <si>
    <t>MK-ST-F-026</t>
  </si>
  <si>
    <t>holdingId</t>
  </si>
  <si>
    <t>Calculation Module code/engines/snapshots.ts</t>
  </si>
  <si>
    <t>s: Pick&lt;HoldingSnapshot, 'date' | 'accountId' | 'securityKey'&gt;</t>
  </si>
  <si>
    <t>MK-ST-F-027</t>
  </si>
  <si>
    <t>accountId</t>
  </si>
  <si>
    <t>s: Pick&lt;AccountSnapshot, 'date' | 'accountId'&gt;</t>
  </si>
  <si>
    <t>MK-ST-F-028</t>
  </si>
  <si>
    <t>buildDayFromAccounts</t>
  </si>
  <si>
    <t>Today's SnapshotDay, observed from the live account state.</t>
  </si>
  <si>
    <t>holdings = []
accts = []
ps = positions (or none when missing)
units = Σ over lots (or none when missing) of (shares (or 0 when missing or zero))
basis = Σ over lots (or none when missing) of ((shares or 0) × (cost per share or 0))
the answer:
date = date
holdings = holdings
accounts = accts
origin = 'observed'
written at = written at
last = the date y, m, 0).get date(
false   when the first 7)}-${string(d).pad start(2, '0')}` of all dates.has(`${date</t>
  </si>
  <si>
    <t>Holdings is []. Accts is []. Ps is positions (or none — when missing). Units: the shares (or 0 — when missing or zero) added up across lots (or none — when missing). Basis: the (shares or 0) times (cost per share or 0) added up across lots (or none — when missing). The answer is date = date; holdings = holdings; accounts = accts; origin = 'observed'; written at = written at. Last: the date y, m, 0).get date(. When the first 7)}-${string(d).pad start(2, '0')}` of all dates.has(`${date, it answers false.</t>
  </si>
  <si>
    <t>1. accounts: AccountLike[]
2. date: string
3. writtenAt: string</t>
  </si>
  <si>
    <t>SnapshotDay</t>
  </si>
  <si>
    <t>1. If balance is missing it uses 0.
2. If shares is missing it counts as zero, so nothing recorded and a real zero look the same.
3. If cost per share is missing it counts as zero, so nothing recorded and a real zero look the same.
4. Uses a built-in d a i l y y e a r s of 2.
5. Multiplies by 100 — a percentage, or an option contract treated as 100 shares. Worth checking which.
6. Rounds the answer to a whole number.</t>
  </si>
  <si>
    <t>MK-ST-F-029</t>
  </si>
  <si>
    <t>prune</t>
  </si>
  <si>
    <t>Which days survive.</t>
  </si>
  <si>
    <t>cutoff = the date today
cutoff key = the first 10 of cutoff.to isostring()
all = a list with no repeats of for each of days: date
the answer = days where date ≥ cutoff key (or is month end(date, all) when missing or zero)</t>
  </si>
  <si>
    <t>Cutoff: the date today. Cutoff key: the first 10 of cutoff.to isostring(). All is a list with no repeats of for each of days: date. The answer is days where date is at least cutoff key (or is month end(date, all) — when missing or zero).</t>
  </si>
  <si>
    <t>1. days: SnapshotDay[]
2. today: string</t>
  </si>
  <si>
    <t>SnapshotDay[]</t>
  </si>
  <si>
    <t>MK-ST-F-030</t>
  </si>
  <si>
    <t>record</t>
  </si>
  <si>
    <t>── writing ───────────────────────────────────────────────────────────────────────────────────── Add a day.</t>
  </si>
  <si>
    <t>rest = days where date ! = day.date
the answer = [...rest, day].sort((a, b) =&gt; date.locale compare(date))</t>
  </si>
  <si>
    <t>Rest is days where date ! = day.date. The answer is [...rest, day].sort((a, b) =&gt; date.locale compare(date)).</t>
  </si>
  <si>
    <t>1. days: SnapshotDay[]
2. day: SnapshotDay</t>
  </si>
  <si>
    <t>MK-ST-F-031</t>
  </si>
  <si>
    <t>valueOn</t>
  </si>
  <si>
    <t>── reading ───────────────────────────────────────────────────────────────────────────────────── What one account was worth on a date — the figure the old code had to back-solve.</t>
  </si>
  <si>
    <t>day = on or before(days, date)
nothing   when day is missing
in set = (id: string) =&gt; account ids.size = 0 (or account ids.has(id) when missing or zero)
holdings = Σ over day.holdings where in set(account id) of (value)
cash = Σ over day.accounts where in set(account id) of (cash + (typed value ?? 0))
nothing   when !day.holdings.some((h) =&gt; in set(account id)) and !day.accounts.some((a) =&gt; in set(account id))
the answer = round(holdings + cash, 2 dp)</t>
  </si>
  <si>
    <t>Day is on or before(days, date). When day is missing, it answers no answer. In set is (id: string) =&gt; account ids.size = 0 (or account ids.has(id) — when missing or zero). Holdings: the value added up across day.holdings where in set(account id). Cash: the cash plus (typed value ?? 0) added up across day.accounts where in set(account id). When !day.holdings.some((h) =&gt; in set(account id)) and !day.accounts.some((a) =&gt; in set(account id)), it answers no answer. The answer is holdings plus cash, to the cent.</t>
  </si>
  <si>
    <t>1. days: SnapshotDay[]
2. accountIds: Set&lt;string&gt;
3. date: string</t>
  </si>
  <si>
    <t>1. If typed value is missing it uses 0.
2. Leaves some rows out of the answer — check which.</t>
  </si>
  <si>
    <t>1. MK-ST-F-033 onOrBefore
2. MK-ST-F-055 round2</t>
  </si>
  <si>
    <t>1. MK-ST-F-033 onOrBefore → MK-ST-F-031 valueOn
2. MK-ST-F-055 round2 → MK-ST-F-031 valueOn</t>
  </si>
  <si>
    <t>MK-ST-F-032</t>
  </si>
  <si>
    <t>unitsOn</t>
  </si>
  <si>
    <t>How many units of one holding were held on a date — what the trend chart needs and never had.</t>
  </si>
  <si>
    <t>day = on or before(days, date)
h = day.holdings.find((x) =&gt; account id = acc id and security key = security key)
the answer:
units   if h
nothing   otherwise</t>
  </si>
  <si>
    <t>Day is on or before(days, date). H is day.holdings.find((x) =&gt; account id = acc id and security key = security key). The answer is units — when h; no answer — otherwise.</t>
  </si>
  <si>
    <t>1. days: SnapshotDay[]
2. accId: string
3. securityKey: string
4. date: string</t>
  </si>
  <si>
    <t>MK-ST-F-033 onOrBefore → MK-ST-F-032 unitsOn</t>
  </si>
  <si>
    <t>MK-ST-F-033</t>
  </si>
  <si>
    <t>onOrBefore</t>
  </si>
  <si>
    <t>The latest day at or before a date, or nothing when the record does not reach back that far.</t>
  </si>
  <si>
    <t>best = nothing
the answer = best</t>
  </si>
  <si>
    <t>Best is no answer. The answer is best.</t>
  </si>
  <si>
    <t>1. days: SnapshotDay[]
2. date: string</t>
  </si>
  <si>
    <t>SnapshotDay | null</t>
  </si>
  <si>
    <t>MK-ST-F-034</t>
  </si>
  <si>
    <t>firstDate</t>
  </si>
  <si>
    <t>The first date the record covers — so a change figure can say what it is measured FROM, rather than presenting a figure measured from install day as though it covered the year.</t>
  </si>
  <si>
    <t>days.reduce((a, b) =&gt; (date &lt; date ? a : b)).date   if count of days
nothing   otherwise</t>
  </si>
  <si>
    <t>days.reduce((a, b) =&gt; (date &lt; date ? a : b)).date — when how many days there are; no answer — otherwise.</t>
  </si>
  <si>
    <t>days: SnapshotDay[]</t>
  </si>
  <si>
    <t>MK-ST-F-035</t>
  </si>
  <si>
    <t>covers</t>
  </si>
  <si>
    <t>Does the record actually cover this window?</t>
  </si>
  <si>
    <t>f = first date(days)
the answer = f ≠ nothing and f ≤ from</t>
  </si>
  <si>
    <t>F is first date(days). The answer is f is not no answer and f is at most from.</t>
  </si>
  <si>
    <t>1. days: SnapshotDay[]
2. from: string</t>
  </si>
  <si>
    <t>MK-ST-F-034 firstDate</t>
  </si>
  <si>
    <t>MK-ST-F-034 firstDate → MK-ST-F-035 covers</t>
  </si>
  <si>
    <t>MK-ST-F-036</t>
  </si>
  <si>
    <t>reconcile</t>
  </si>
  <si>
    <t>── the outside check ─────────────────────────────────────────────────────────────────────────── Our figure against the broker's own stated total.</t>
  </si>
  <si>
    <t>theirs = day.accounts.find((a) =&gt; account id = acc id).stated total (or nothing when missing)
the answer:
ours = ours
theirs = theirs
difference = nothing   if theirs = nothing
round(ours − theirs, 2 dp)   otherwise</t>
  </si>
  <si>
    <t>Theirs is day.accounts.find((a) =&gt; account id = acc id).stated total (or no answer — when missing). The answer is ours = ours; theirs = theirs; difference is missing — when theirs is missing; ours minus theirs, to the cent — otherwise.</t>
  </si>
  <si>
    <t>1. day: SnapshotDay
2. accId: string</t>
  </si>
  <si>
    <t>1. If cash is missing it uses 0.
2. Leaves some rows out of the answer — check which.</t>
  </si>
  <si>
    <t>MK-ST-F-055 round2 → MK-ST-F-036 reconcile</t>
  </si>
  <si>
    <t>MK-ST-F-037</t>
  </si>
  <si>
    <t>pendingUpload</t>
  </si>
  <si>
    <t>── the later cloud sync ──────────────────────────────────────────────────────────────────────── Everything not yet uploaded, oldest first.</t>
  </si>
  <si>
    <t>days where last uploaded is missing (or date &gt; last uploaded when missing or zero)</t>
  </si>
  <si>
    <t>days where last uploaded is missing (or date &gt; last uploaded — when missing or zero).</t>
  </si>
  <si>
    <t>1. days: SnapshotDay[]
2. lastUploaded: string | null</t>
  </si>
  <si>
    <t>MK-ST-F-038</t>
  </si>
  <si>
    <t>windowBounds</t>
  </si>
  <si>
    <t>Calculation Module code/engines/window-return.ts</t>
  </si>
  <si>
    <t>1. start: string
2. end: string</t>
  </si>
  <si>
    <t>WindowBounds</t>
  </si>
  <si>
    <t>MK-ST-F-039</t>
  </si>
  <si>
    <t>on</t>
  </si>
  <si>
    <t>src/domain/_shared/eventBus.ts</t>
  </si>
  <si>
    <t>() =&gt; handlers[event type].delete(handler as handler)</t>
  </si>
  <si>
    <t>() =&gt; handlers[event type].delete(handler as handler).</t>
  </si>
  <si>
    <t>1. eventType: string
2. handler: Handler&lt;T&gt;</t>
  </si>
  <si>
    <t>()</t>
  </si>
  <si>
    <t>MK-ST-F-040</t>
  </si>
  <si>
    <t>emit</t>
  </si>
  <si>
    <t>1. eventType: string
2. payload: T</t>
  </si>
  <si>
    <t>void</t>
  </si>
  <si>
    <t>MK-ST-F-041</t>
  </si>
  <si>
    <t>getUserDoc</t>
  </si>
  <si>
    <t>src/domain/_shared/firestore.ts</t>
  </si>
  <si>
    <t>4 · BRINGS DATA IN</t>
  </si>
  <si>
    <t>Read a single-document-per-user collection (e.g.</t>
  </si>
  <si>
    <t>snap = await get doc(doc(db, collection name, uid))
the answer:
snap.data() as T   if snap.exists()
nothing   otherwise</t>
  </si>
  <si>
    <t>Snap is await get doc(doc(db, collection name, uid)). The answer is snap.data() as T — when snap.exists(); no answer — otherwise.</t>
  </si>
  <si>
    <t>1. collectionName: string
2. uid: UserId</t>
  </si>
  <si>
    <t>Promise&lt;T | null&gt;</t>
  </si>
  <si>
    <t>MK-ST-F-042</t>
  </si>
  <si>
    <t>setUserDoc</t>
  </si>
  <si>
    <t>Write/merge a single-document-per-user collection, stamping last_updated.</t>
  </si>
  <si>
    <t>1. collectionName: string
2. uid: UserId
3. data: T</t>
  </si>
  <si>
    <t>MK-ST-F-043</t>
  </si>
  <si>
    <t>newEntityId</t>
  </si>
  <si>
    <t>src/domain/_shared/ids.ts</t>
  </si>
  <si>
    <t>What do we call this new thing?</t>
  </si>
  <si>
    <t>`${prefix}_${date.now().to string(36)}${math.random().to string(36).slice(2, 8)}`</t>
  </si>
  <si>
    <t>`${prefix}_${date.now().to string(36)}${math.random().to string(36).slice(2, 8)}`.</t>
  </si>
  <si>
    <t>prefix: string</t>
  </si>
  <si>
    <t>EntityId</t>
  </si>
  <si>
    <t>NEW_ID</t>
  </si>
  <si>
    <t>MK-ST-F-044</t>
  </si>
  <si>
    <t>setMoneyFormat</t>
  </si>
  <si>
    <t>src/domain/_shared/money.ts</t>
  </si>
  <si>
    <t>c = CURRENCIES.find((x) =&gt; code = currency)</t>
  </si>
  <si>
    <t>C is CURRENCIES.find((x) =&gt; code = currency).</t>
  </si>
  <si>
    <t>1. currency?: string | null
2. locale?: string | null</t>
  </si>
  <si>
    <t>MK-ST-F-047 activeCurrency → MK-ST-F-048 currencySymbol → MK-ST-F-049 formatMoney → MK-ST-F-053 money → MK-ST-F-044 setMoneyFormat</t>
  </si>
  <si>
    <t>MK-ST-F-045</t>
  </si>
  <si>
    <t>setHideBalances</t>
  </si>
  <si>
    <t>b: boolean</t>
  </si>
  <si>
    <t>MK-ST-F-046</t>
  </si>
  <si>
    <t>balancesHidden</t>
  </si>
  <si>
    <t>MK-ST-F-047</t>
  </si>
  <si>
    <t>activeCurrency</t>
  </si>
  <si>
    <t>Which currency is the app showing?</t>
  </si>
  <si>
    <t>the first of CURRENCIES.find((c) =&gt; code = code) (or CURRENCIES when missing)</t>
  </si>
  <si>
    <t>the first of CURRENCIES.find((c) =&gt; code = code) (or CURRENCIES — when missing).</t>
  </si>
  <si>
    <t>Currency</t>
  </si>
  <si>
    <t>CURRENCY</t>
  </si>
  <si>
    <t>MK-ST-F-048</t>
  </si>
  <si>
    <t>currencySymbol</t>
  </si>
  <si>
    <t>active currency().symbol</t>
  </si>
  <si>
    <t>active currency().symbol.</t>
  </si>
  <si>
    <t>1. "Amount" — on the Look back screen
2. "Break this into specific stocks, bonds, options…" — on the Net worth screen
3. "Estimated benefit" — on the Retirement cockpit screen
4. "HOW MUCH WILL YOU INVEST PER YEAR?" — on the setup questions, which appear on more than one screen
5. "How much (this disbursement)" — on the setup questions, which appear on more than one screen
6. "How much per month" — on the setup questions, which appear on more than one screen</t>
  </si>
  <si>
    <t>MK-ST-F-047 activeCurrency</t>
  </si>
  <si>
    <t>MK-ST-F-047 activeCurrency → MK-ST-F-048 currencySymbol</t>
  </si>
  <si>
    <t>MK-ST-F-049</t>
  </si>
  <si>
    <t>formatMoney</t>
  </si>
  <si>
    <t>Full amount, no minor units (matches the app's whole-number money style), locale-grouped.</t>
  </si>
  <si>
    <t>BALANCE_MASK   when hide
NOT_A_NUMBER   when !number.is finite(n)
v = round(n)
the answer = new intl.number format(locale, { style: 'currency', currency: code, maximum fraction digits: 0 }).format(v)
neg = '-'   if v &lt; 0
''   otherwise</t>
  </si>
  <si>
    <t>When hide, it answers BALANCE_MASK. When !number.is finite(n), it answers NOT_A_NUMBER. V is n, to a whole number. The answer is new intl.number format(locale, { style: 'currency', currency: code, maximum fraction digits: 0 }).format(v). Neg is '-' — when v &lt; 0; '' — otherwise.</t>
  </si>
  <si>
    <t>n: number</t>
  </si>
  <si>
    <t>1. "Annual vesting cash flow" — on the setup questions, which appear on more than one screen
2. "Annuity / other" — on the setup questions, which appear on more than one screen
3. "Available / yr" — on the setup questions, which appear on more than one screen
4. "Capital needed" — on the setup questions, which appear on more than one screen
5. "Count money you receive to live on. We won't tax this." — on the setup questions, which appear on more than one screen
6. "Critical" — on the setup questions, which appear on more than one screen</t>
  </si>
  <si>
    <t>MK-ST-F-048 currencySymbol</t>
  </si>
  <si>
    <t>1. MK-ST-F-048 currencySymbol
2. MK-ST-F-047 activeCurrency</t>
  </si>
  <si>
    <t>MK-ST-F-047 activeCurrency → MK-ST-F-048 currencySymbol → MK-ST-F-049 formatMoney</t>
  </si>
  <si>
    <t>MONEY_IN_WORDS</t>
  </si>
  <si>
    <t>MK-ST-F-050</t>
  </si>
  <si>
    <t>formatMoneyCents</t>
  </si>
  <si>
    <t>Same as formatMoney but keeps 2 decimal places — for precise amounts (transactions, holdings, recurring lines).</t>
  </si>
  <si>
    <t>BALANCE_MASK   when hide
NOT_A_NUMBER   when !number.is finite(n)
v = n
the answer = new intl.number format(locale, { style: 'currency', currency: code, minimum fraction digits: 2, maximum fraction digits: 2 }).format(v)
neg = '-'   if v &lt; 0
''   otherwise</t>
  </si>
  <si>
    <t>When hide, it answers BALANCE_MASK. When !number.is finite(n), it answers NOT_A_NUMBER. V is n. The answer is new intl.number format(locale, { style: 'currency', currency: code, minimum fraction digits: 2, maximum fraction digits: 2 }).format(v). Neg is '-' — when v &lt; 0; '' — otherwise.</t>
  </si>
  <si>
    <t>MK-ST-F-047 activeCurrency → MK-ST-F-048 currencySymbol → MK-ST-F-050 formatMoneyCents</t>
  </si>
  <si>
    <t>MONEY_IN_WORDS_WITH_CENTS</t>
  </si>
  <si>
    <t>MK-ST-F-051</t>
  </si>
  <si>
    <t>moneyCompact</t>
  </si>
  <si>
    <t>Compact form for tight spaces (chart labels, donut center).</t>
  </si>
  <si>
    <t>BALANCE_MASK   when hide
s = currency symbol()
neg = '-'   if n &lt; 0
''   otherwise
a = size of(n)
`${neg}${s}${(a ÷ 1e6).to fixed(2).replace( ÷ \.?0+$ ÷ , '')}${style}`   when a ≥ 1e6
`${neg}${s}${math.round(a ÷ 1e3)}K`   when a ≥ 1e3
the answer = `${neg}${s}${math.round(a)}`</t>
  </si>
  <si>
    <t>When hide, it answers BALANCE_MASK. S is currency symbol(). Neg is '-' — when n &lt; 0; '' — otherwise. A is size of(n). When a is at least 1e6, it answers `${neg}${s}${(a divided by 1e6).to fixed(2).replace( divided by \.?0+$ divided by , '')}${style}`. When a is at least 1e3, it answers `${neg}${s}${math.a divided by 1e3, to a whole number}K`. The answer is `${neg}${s}${math.a, to a whole number}`.</t>
  </si>
  <si>
    <t>1. n: number
2. style: 'M' | 'MM' = 'MM'</t>
  </si>
  <si>
    <t>1. "Left to spend" — on the Retirement cockpit screen, under "RETIREMENT
2. WHERE YOU STAND"
3. "NEST EGG" — on the Retirement cockpit screen
4. "Nest egg today" — on the Retirement cockpit screen, under "scRetired ?"
5. "Nest egg" — on the Retirement cockpit screen, under "RETIREMENT
6. WHERE YOU STAND"
7. "Projected nest egg" — on the Retirement cockpit screen
8. "Suggested withdrawal order" — on the Retirement cockpit screen</t>
  </si>
  <si>
    <t>1. Rounds the answer to a whole number.
2. Shows 2 decimal places.</t>
  </si>
  <si>
    <t>MK-ST-F-047 activeCurrency → MK-ST-F-048 currencySymbol → MK-ST-F-051 moneyCompact</t>
  </si>
  <si>
    <t>MK-ST-F-052</t>
  </si>
  <si>
    <t>toNum</t>
  </si>
  <si>
    <t>src/domain/_shared/num.ts</t>
  </si>
  <si>
    <t>n = parse float(string(v ?? '').replace( ÷ [^0 − 9.\-] ÷ g, ''))
the answer:
n   if number.is finite(n)
0   otherwise</t>
  </si>
  <si>
    <t>N is parse float(string(v ?? '').replace( divided by [^0 minus 9.\-] divided by g, '')). The answer is n — when number.is finite(n); 0 — otherwise.</t>
  </si>
  <si>
    <t>v: any</t>
  </si>
  <si>
    <t>MK-ST-F-053</t>
  </si>
  <si>
    <t>money</t>
  </si>
  <si>
    <t>Currency/locale-aware (delegates to the active money format; defaults to USD/en-US).</t>
  </si>
  <si>
    <t>format money(n)</t>
  </si>
  <si>
    <t>1. "ACCOUNTS (year-end)" — on the Tax organiser screen, under "ACCOUNTS (year-end)"
2. "Allocate to this goal ›" — on the Goals screen, under "YOUR GOALS"
3. "Amount" — on the budget screen
4. "Annual vesting cash flow" — on the setup questions, which appear on more than one screen
5. "Annuity / other" — on the setup questions, which appear on more than one screen
6. "Available / yr" — on the setup questions, which appear on more than one screen</t>
  </si>
  <si>
    <t>MK-ST-F-049 formatMoney</t>
  </si>
  <si>
    <t>1. MK-ST-F-049 formatMoney
2. MK-ST-F-048 currencySymbol
3. MK-ST-F-047 activeCurrency</t>
  </si>
  <si>
    <t>MK-ST-F-047 activeCurrency → MK-ST-F-048 currencySymbol → MK-ST-F-049 formatMoney → MK-ST-F-053 money</t>
  </si>
  <si>
    <t>MK-ST-F-054</t>
  </si>
  <si>
    <t>money2</t>
  </si>
  <si>
    <t>Same, but keeps cents — for precise amounts (transactions, holdings).</t>
  </si>
  <si>
    <t>format money cents(n)</t>
  </si>
  <si>
    <t>1. "Monthly equivalent" — on the income screen
2. "No transactions yet." — on the Performance screen
3. "Total" — on the Import holdings screen
4. "Value" — on the Import holdings screen, under "REVIEW YOUR HOLDINGS"
5. "You earned" — on the income screen</t>
  </si>
  <si>
    <t>MK-ST-F-050 formatMoneyCents</t>
  </si>
  <si>
    <t>1. MK-ST-F-050 formatMoneyCents
2. MK-ST-F-048 currencySymbol
3. MK-ST-F-047 activeCurrency</t>
  </si>
  <si>
    <t>MK-ST-F-047 activeCurrency → MK-ST-F-048 currencySymbol → MK-ST-F-050 formatMoneyCents → MK-ST-F-054 money2</t>
  </si>
  <si>
    <t>MK-ST-F-055</t>
  </si>
  <si>
    <t>round2</t>
  </si>
  <si>
    <t>round2(n) = round(n × 100) ÷ 100</t>
  </si>
  <si>
    <t>Rounds to two decimal places — the cent. The hundred is the rounding scale, nothing to do with percentages or with an option contract being a hundred shares.</t>
  </si>
  <si>
    <t>MK-XS-F-001</t>
  </si>
  <si>
    <t>planCompleteness</t>
  </si>
  <si>
    <t>src/domain/completeness/index.ts</t>
  </si>
  <si>
    <t>done count = checks where donecount of 
total = count of checks
the answer:
checks = checks
done count = done count
total = total
pct = round((done count ÷ total) × 100)</t>
  </si>
  <si>
    <t>Done count is checks where donecount of. Total: how many checks there are. The answer is checks = checks; done count = done count; total = total; pct = (done count divided by total, to a whole number times 100).</t>
  </si>
  <si>
    <t>i: CompletenessInput</t>
  </si>
  <si>
    <t>MK-XS-F-002</t>
  </si>
  <si>
    <t>dataGaps</t>
  </si>
  <si>
    <t>src/domain/gaps/index.ts</t>
  </si>
  <si>
    <t>Every incomplete promise across the given accounts.</t>
  </si>
  <si>
    <t>gaps = []
names = names for(accounts ?? [])
who = name of(a, names)
priced = price ≠ nothing and price &gt; 0
d = days between(last synced, now)
unreachable = (failures ?? []).find((f) =&gt; account id = asset id)
has activity = (transactions ?? []).some((t) =&gt; account id = asset id and (type = 'DIVIDEND' or type = 'INTEREST'))
cov = history coverage(a, window start, new date(now))   if window start
nothing   otherwise
d = days between(value as of, now)
the answer = gaps</t>
  </si>
  <si>
    <t>Gaps is []. Names is names for(accounts ?? []). Who is name of(a, names). Priced is price is not no answer and price &gt; 0. D is days between(last synced, now). Unreachable is (failures ?? []).find((f) =&gt; account id = asset id). Has activity is (transactions ?? []).some((t) =&gt; account id = asset id and (type = 'DIVIDEND' or type = 'INTEREST')). Cov is history coverage(a, window start, new date(now)) — when window start; no answer — otherwise. D is days between(value as of, now). The answer is gaps.</t>
  </si>
  <si>
    <t>1. If shares is missing it uses 0.
2. Treats a year as 365 days.
3. Uses today's date from the device clock, so the answer changes by itself overnight.</t>
  </si>
  <si>
    <t>MK-NW-F-046 historyCoverage</t>
  </si>
  <si>
    <t>MK-NW-F-046 historyCoverage → MK-XS-F-002 dataGaps</t>
  </si>
  <si>
    <t>WHAT_IS_MISSING</t>
  </si>
  <si>
    <t>MK-XS-F-003</t>
  </si>
  <si>
    <t>gapsHeadline</t>
  </si>
  <si>
    <t>2 · DISPLAYED (presentation only)</t>
  </si>
  <si>
    <t>The banner sentence — plural-correct, and absent (null) when nothing is missing.</t>
  </si>
  <si>
    <t>nothing   when count of gaps is missing
'1 number needs more information'   if gaps.length = 1
`${gaps.length} numbers need more information`   otherwise</t>
  </si>
  <si>
    <t>When how many gaps is missing there are, it answers no answer. '1 number needs more information' — when gaps.length = 1; `${gaps.length} numbers need more information` — otherwise.</t>
  </si>
  <si>
    <t>gaps: DataGap[]</t>
  </si>
  <si>
    <t>MK-XS-F-004</t>
  </si>
  <si>
    <t>buildDatedGrid</t>
  </si>
  <si>
    <t>src/domain/grid/index.ts</t>
  </si>
  <si>
    <t>Build the dated 12-month grid.</t>
  </si>
  <si>
    <t>a = op (or none when missing)
now = opts.now (or new date() when missing)
rates = monthly tax rates(op, opts.now ?? new date())
net at = (s: number, gross: number) =&gt; gross × (1 − rates[cal month(s)])
start month = now.get month()
start year = now.get full year()
now idx = start year × 12 + start month
cal month = (s: number) =&gt; (start month + s) % 12
slot of = (m1to12: number) =&gt; ((m1to12 − 1) − start month + 12) % 12
slot of(m1to12)   when year is missing
idx = year × 12 + (m1to12 − 1) − now idx
… the first steps only — the rest of the body needs reading by hand.</t>
  </si>
  <si>
    <t>A is op (or none — when missing). Now is opts.now (or new date() — when missing). Rates is monthly tax rates(op, opts.now ?? new date()). Net at is (s: number, gross: number) =&gt; gross times (1 minus rates[cal month(s)]). Start month is now.get month(). Start year is now.get full year(). Now idx is start year times 12 plus start month. Cal month is (s: number) =&gt; (start month plus s) % 12. Slot of is (m1to12: number) =&gt; ((m1to12 minus 1) minus start month plus 12) % 12. When year is missing, it answers slot of(m1to12). Idx is year times 12 plus (m1to12 minus 1) minus now idx. Only the first steps are shown; the rest of the body needs reading by hand.</t>
  </si>
  <si>
    <t>1. op: OnboardingProfile | null
2. opts: GridOptions = {}</t>
  </si>
  <si>
    <t>DatedGrid</t>
  </si>
  <si>
    <t>1. If year is missing it uses 0.
2. If a year is missing it uses 0.
3. If start balance is missing it uses 0.
4. Uses a built-in s of 0.
5. Uses a built-in q of 0.
6. Uses a built-in t of 0.
7. Treats a year as twelve equal months.
8. Turns a monthly figure into a year by multiplying by twelve.
9. Uses today's date from the device clock, so the answer changes by itself overnight.
10. Leaves some rows out of the answer — check which.</t>
  </si>
  <si>
    <t>1. MK-CF-F-069 benefitActiveMonths
2. MK-CF-F-072 currentRetirementIncomeMonthly
3. MK-CF-F-018 equityByMonth
4. MK-ST-F-053 money
5. MK-CF-F-087 monthlyTaxRates
6. MK-CF-F-073 otherIncomeMonth
7. MK-CF-F-022 paymentShape
8. MK-CF-F-068 rentalNetAnnual
9. MK-CF-F-023 requiredPayment
10. MK-ST-F-055 round2
11. MK-CF-F-060 salaryGrossByMonth
12. MK-CF-F-008 spendByMonth
13. MK-ST-F-052 toNum</t>
  </si>
  <si>
    <t>1. MK-CF-F-069 benefitActiveMonths
2. MK-CF-F-072 currentRetirementIncomeMonthly
3. MK-CF-F-018 equityByMonth
4. MK-ST-F-053 money
5. MK-CF-F-087 monthlyTaxRates
6. MK-CF-F-073 otherIncomeMonth
7. MK-CF-F-022 paymentShape
8. MK-CF-F-068 rentalNetAnnual
9. MK-CF-F-023 requiredPayment
10. MK-ST-F-055 round2
11. MK-CF-F-060 salaryGrossByMonth
12. MK-CF-F-008 spendByMonth
13. MK-ST-F-052 toNum
14. MK-CF-F-075 retirementIncomeMonthly
15. MK-CF-F-062 equityRowValue
16. MK-CF-F-066 rsuAnnual
17. MK-ST-F-049 formatMoney
18. MK-CF-F-090 effectiveRate
19. MK-CF-F-085 filingStatusOf
20. MK-CF-F-089 over65CountOf
21. MK-CF-F-098 progressiveMonthlyTax
22. MK-CF-F-086 stateRateOf
23. MK-CF-F-088 taxableByCalendarMonth
24. MK-CF-F-021 defaultPaymentType
25. MK-CF-F-067 rentalList
26. MK-CF-F-097 grossFromNet
27. MK-CF-F-004 spendBuckets
28. MK-CF-F-063 rowVestYear
29. MK-ST-F-048 currencySymbol
30. MK-CF-F-102 effectiveRateOnGrossFor
31. MK-CF-F-084 taxableAnnual
32. MK-CF-F-101 taxOwedFor
33. MK-CF-F-100 taxableIncomeFor
34. MK-CF-F-065 equityVestWeights
35. MK-CF-F-071 extraIncome
36. MK-CF-F-095 taxOwed
37. MK-CF-F-003 categoryMonthly
38. MK-ST-F-047 activeCurrency
39. MK-CF-F-082 salaryAnnual
40. MK-CF-F-074 tipsAnnual
41. MK-CF-F-099 deductionFor
42. MK-CF-F-070 benefitAnnual
43. MK-CF-F-093 taxableIncome
44. MK-CF-F-081 salaryActiveMonths</t>
  </si>
  <si>
    <t>1. MK-CF-F-069 benefitActiveMonths → MK-XS-F-004 buildDatedGrid
2. MK-ST-F-052 toNum → MK-CF-F-075 retirementIncomeMonthly → MK-CF-F-072 currentRetirementIncomeMonthly → MK-XS-F-004 buildDatedGrid
3. MK-ST-F-052 toNum → MK-CF-F-062 equityRowValue → MK-CF-F-018 equityByMonth → MK-XS-F-004 buildDatedGrid
4. MK-ST-F-052 toNum → MK-CF-F-062 equityRowValue → MK-CF-F-066 rsuAnnual → MK-CF-F-018 equityByMonth → MK-XS-F-004 buildDatedGrid
5. MK-CF-F-063 rowVestYear → MK-CF-F-066 rsuAnnual → MK-CF-F-018 equityByMonth → MK-XS-F-004 buildDatedGrid
6. MK-ST-F-052 toNum → MK-CF-F-066 rsuAnnual → MK-CF-F-018 equityByMonth → MK-XS-F-004 buildDatedGrid
7. MK-ST-F-047 activeCurrency → MK-ST-F-048 currencySymbol → MK-ST-F-049 formatMoney → MK-ST-F-053 money → MK-XS-F-004 buildDatedGrid
8. MK-CF-F-100 taxableIncomeFor → MK-CF-F-101 taxOwedFor → MK-CF-F-102 effectiveRateOnGrossFor → MK-CF-F-090 effectiveRate → MK-CF-F-087 monthlyTaxRates → MK-XS-F-004 buildDatedGrid
9. … and 49 more paths</t>
  </si>
  <si>
    <t>src/domain/history.ts</t>
  </si>
  <si>
    <t>Chart series = monthly snapshots + daily points, chronological ('YYYY-MM' sorts before its days).</t>
  </si>
  <si>
    <t>pts = for each of read history(monthly): key = month
nw = net worth
the answer = pts.sort((a, b) =&gt; key.locale compare(key))</t>
  </si>
  <si>
    <t>Pts is for each of read history(monthly): key = month; nw = net worth. The answer is pts.sort((a, b) =&gt; key.locale compare(key)).</t>
  </si>
  <si>
    <t>1. MK-XS-F-009 readHistory
2. MK-ST-F-055 round2</t>
  </si>
  <si>
    <t>1. MK-XS-F-009 readHistory
2. MK-ST-F-055 round2
3. MK-XS-F-008 normalizeSnapshot</t>
  </si>
  <si>
    <t>MK-XS-F-006</t>
  </si>
  <si>
    <t>pruneDaily</t>
  </si>
  <si>
    <t>Prune helper for the store writer: newest DAILY_KEEP days survive.</t>
  </si>
  <si>
    <t>keys = the names in daily, in order
daily   when keys.length ≤ DAILY_KEEP
keep = a list with no repeats of keys.slice(-DAILY_KEEP)
the answer = object.from entries(object.entries(daily).filter(([k]) =&gt; keep.has(k)))</t>
  </si>
  <si>
    <t>Keys: the names in daily, in order. When keys.length is at most DAILY_KEEP, it answers daily. Keep is a list with no repeats of keys.slice(-DAILY_KEEP). The answer is object.from entries(object.entries(daily).filter(([k]) =&gt; keep.has(k))).</t>
  </si>
  <si>
    <t>daily: Record&lt;string, number&gt;</t>
  </si>
  <si>
    <t>Record&lt;string, number&gt;</t>
  </si>
  <si>
    <t>MK-XS-F-007</t>
  </si>
  <si>
    <t>makeMonthlySnapshot</t>
  </si>
  <si>
    <t>The ONE writer — stamps the version and keeps the arithmetic identity by construction.</t>
  </si>
  <si>
    <t>i: Omit&lt;MonthlySnapshot, 'v' | 'net_worth'&gt; &amp; { net_worth?: number }</t>
  </si>
  <si>
    <t>MonthlySnapshot</t>
  </si>
  <si>
    <t>MK-ST-F-055 round2 → MK-XS-F-007 makeMonthlySnapshot</t>
  </si>
  <si>
    <t>MK-XS-F-008</t>
  </si>
  <si>
    <t>normalizeSnapshot</t>
  </si>
  <si>
    <t>Normalize ONE stored entry: v1 passes validated; a legacy blob (no `v`) maps best-effort; anything without a real month + net worth is dropped (null), never charted.</t>
  </si>
  <si>
    <t>nothing   when raw = nothing (or raw is not a object when missing or zero)
r = raw as record&lt;string, unknown&gt;
month = month as string   if is ym(month)
ym   if is ym(ym)
nothing   otherwise   otherwise
nothing   when month is missing
gross assets = n(gross assets, na n)
gross debt = n(gross debt, na n)
net worth = n(net worth, number.is finite(gross assets − gross debt) ? round2(gross assets − gross debt) : na n)
nothing   when !number.is finite(net worth)</t>
  </si>
  <si>
    <t>When raw is missing (or raw is a is missing object — when missing or zero), it answers no answer. R is raw as record&lt;string, unknown&gt;. Month is month as string — when is ym(month); ym — when is ym(ym); no answer — otherwise — otherwise. When month is missing, it answers no answer. Gross assets is n(gross assets, na n). Gross debt is n(gross debt, na n). Net worth is n(net worth, number.is finite(gross assets minus gross debt) ? round2(gross assets minus gross debt) : na n). When !number.is finite(net worth), it answers no answer.</t>
  </si>
  <si>
    <t>1. ym: string
2. raw: unknown</t>
  </si>
  <si>
    <t>MonthlySnapshot | null</t>
  </si>
  <si>
    <t>MK-ST-F-055 round2 → MK-XS-F-008 normalizeSnapshot</t>
  </si>
  <si>
    <t>SNAPSHOT_READ_ONE</t>
  </si>
  <si>
    <t>MK-XS-F-009</t>
  </si>
  <si>
    <t>readHistory</t>
  </si>
  <si>
    <t>The ONE reader every history surface uses: normalized, garbage-free, sorted by month.</t>
  </si>
  <si>
    <t>raw: Record&lt;string, unknown&gt; | null | undefined</t>
  </si>
  <si>
    <t>MonthlySnapshot[]</t>
  </si>
  <si>
    <t>MK-XS-F-008 normalizeSnapshot</t>
  </si>
  <si>
    <t>1. MK-XS-F-008 normalizeSnapshot
2. MK-ST-F-055 round2</t>
  </si>
  <si>
    <t>MK-ST-F-055 round2 → MK-XS-F-008 normalizeSnapshot → MK-XS-F-009 readHistory</t>
  </si>
  <si>
    <t>FOUNDER RULE 2026-08-04: the NW change PERCENT is measured on cash + investments only — property values move only when someone retypes them, so a total-net-worth percent is noise.</t>
  </si>
  <si>
    <t>nothing   when since key is missing (or not (current investable &gt; 0) when missing or zero)
base = (inv daily as any)[base key]   if base key ≠ nothing
nothing   otherwise
nothing   when base is not a number (or not (base &gt; 0) when missing or zero)
the answer = round(((current investable − base) ÷ base) × 1000) ÷ 10</t>
  </si>
  <si>
    <t>When since key is missing (or not (current investable &gt; 0) — when missing or zero), it answers no answer. Base is (inv daily as any)[base key] — when base key is not no answer; no answer — otherwise. When base is a is missing number (or not (base &gt; 0) — when missing or zero), it answers no answer. The answer is ((current investable minus base, to a whole number divided by base) times 1000) divided by 10.</t>
  </si>
  <si>
    <t>contributions = max(0, args.contributions (or 0 when missing))
withdrawals = max(0, args.withdrawals (or 0 when missing))
dividends = max(0, args.dividends (or 0 when missing))
interest = max(0, args.interest (or 0 when missing))
debt principal = max(0, args.debt principal (or 0 when missing))
total = round(args.ending − args.beginning, 2 dp)
wealth generated = round(total − contributions + withdrawals − debt principal, 2 dp)
market change = round(wealth generated − dividends − interest, 2 dp)</t>
  </si>
  <si>
    <t>Contributions is args.contributions (or 0 — when missing, never below zero). Withdrawals is args.withdrawals (or 0 — when missing, never below zero). Dividends is args.dividends (or 0 — when missing, never below zero). Interest is args.interest (or 0 — when missing, never below zero). Debt principal is args.debt principal (or 0 — when missing, never below zero). Total is args.ending minus args.beginning, to the cent. Wealth generated is total minus contributions plus withdrawals minus debt principal, to the cent. Market change is wealth generated minus dividends minus interest, to the cent.</t>
  </si>
  <si>
    <t>1. "Ending market value (today)" — on the Performance screen, under "HOW $"
2. "Ending market value" — on the Performance screen
3. "Wealth generated" — on the Performance screen, under "SUMMARY
4. $"</t>
  </si>
  <si>
    <t>1. If contributions is missing it uses 0.
2. If withdrawals is missing it uses 0.
3. If dividends is missing it uses 0.
4. If interest is missing it uses 0.
5. If debt principal is missing it uses 0.</t>
  </si>
  <si>
    <t>MK-XS-F-012</t>
  </si>
  <si>
    <t>decodeCsvBase64</t>
  </si>
  <si>
    <t>src/domain/import/holdingsImport.ts</t>
  </si>
  <si>
    <t>What is the text of the file that was picked?</t>
  </si>
  <si>
    <t>b = base64 to bytes(b64)
decode utf16(b, 2, true)   when length ≥ 2 and b[0] = 0xFF and b[1] = 0xFE
decode utf16(b, 2, false)   when length ≥ 2 and b[0] = 0xFE and b[1] = 0xFF
start = 0
nul = 0; const probe = min(count of b, 400)
decode utf16(b, 0, b[1] = 0)   when nul &gt; probe ÷ 4
the answer = decode utf8(b, start)</t>
  </si>
  <si>
    <t>B is base64 to bytes(b64). When length is at least 2 and b[0] = 0xFF and b[1] = 0xFE, it answers decode utf16(b, 2, true). When length is at least 2 and b[0] = 0xFE and b[1] = 0xFF, it answers decode utf16(b, 2, false). Start is 0. Nul is 0; const probe = the smaller of how many b and 400 there are. When nul &gt; probe divided by 4, it answers decode utf16(b, 0, b[1] = 0). The answer is decode utf8(b, start).</t>
  </si>
  <si>
    <t>b64: string</t>
  </si>
  <si>
    <t>1. Uses a built-in start of 0.
2. Uses a built-in nul of 0.
3. Uses a built-in i of 0.
4. Caps length at 400.</t>
  </si>
  <si>
    <t>FILE_DECODE</t>
  </si>
  <si>
    <t>MK-XS-F-013</t>
  </si>
  <si>
    <t>parseCsv</t>
  </si>
  <si>
    <t>Minimal RFC-4180-ish CSV parser: handles quoted fields, embedded commas, "" escapes, CR/LF, BOM.</t>
  </si>
  <si>
    <t>rows = []
row = []
field = ''
in quotes = false
s = (text.char code at(0) = 0xFEFF ? text.slice(1) : text).replace( ÷ \r\n ÷ g, "\n").replace( ÷ \r ÷ g, "\n")
c = s[i]
the answer = rows where some((cell) =&gt; cell.trim() ! = '')
n = parse float(string(v ?? '').replace( ÷ [$,%\s] ÷ g, '').replace( ÷ [()] ÷ g, ''))
i = headers.find index((h) =&gt; re.test(h))
i   when i ≥ 0
t = (v ?? '').trim()
… the first steps only — the rest of the body needs reading by hand.</t>
  </si>
  <si>
    <t>Rows is []. Row is []. Field is ''. In quotes is false. S is (text.char code at(0) = 0xFEFF ? text.slice(1) : text).replace( divided by \r\n divided by g, "\n").replace( divided by \r divided by g, "\n"). C is s[i]. The answer is rows where some((cell) =&gt; cell.trim() ! = ''). N is parse float(string(v ?? '').replace( divided by [$,%\s] divided by g, '').replace( divided by [()] divided by g, '')). I is headers.find index((h) =&gt; re.test(h)). When i is at least 0, it answers i. T is (v ?? '').trim(). Only the first steps are shown; the rest of the body needs reading by hand.</t>
  </si>
  <si>
    <t>string[][]</t>
  </si>
  <si>
    <t>1. Uses a built-in i of 0.
2. Leaves some rows out of the answer — check which.</t>
  </si>
  <si>
    <t>FILE_PARSE</t>
  </si>
  <si>
    <t>MK-XS-F-014</t>
  </si>
  <si>
    <t>classifyHolding</t>
  </si>
  <si>
    <t>B7 (founder brief 2026-08-20): classification lives in the ONE engine — this road only adapts.</t>
  </si>
  <si>
    <t>the answer = classify holding class({ ticker: symbol, name, has security identity: true }).cls
h = for each of rows[i]: trim()
has sym = some((c) =&gt; ÷ ^(symbol|ticker)$ ÷ test(c))
has qty = some((c) =&gt; ÷ ^(quantity|shares|qty|units)$ ÷ test(c))
i   when has sym and has qty</t>
  </si>
  <si>
    <t>The answer is classify holding class({ ticker: symbol, name, has security identity: true }).cls. H is for each of rows[i]: trim(). Has sym is some((c) =&gt; divided by ^(symbol|ticker)$ divided by test(c)). Has qty is some((c) =&gt; divided by ^(quantity|shares|qty|units)$ divided by test(c)). When has sym and has qty, it answers i.</t>
  </si>
  <si>
    <t>1. symbol: string
2. name = ''</t>
  </si>
  <si>
    <t>· Uses a built-in i of 0.</t>
  </si>
  <si>
    <t>MK-ST-F-011 classifyHoldingClass</t>
  </si>
  <si>
    <t>1. MK-ST-F-011 classifyHoldingClass
2. MK-ST-F-010 nameEvidence</t>
  </si>
  <si>
    <t>MK-ST-F-010 nameEvidence → MK-ST-F-011 classifyHoldingClass → MK-XS-F-014 classifyHolding</t>
  </si>
  <si>
    <t>CLASS_FROM_FILE</t>
  </si>
  <si>
    <t>MK-XS-F-015</t>
  </si>
  <si>
    <t>importHoldings</t>
  </si>
  <si>
    <t>What holdings are in this file?</t>
  </si>
  <si>
    <t>rows = parse csv(text)
holdings = []
total = 0
skipped = 0
mapped = {}   when rows.length &lt; 2
h idx = find header row(rows)
headers = for each of rows[h idx]: trim()
symbol col = find col(headers, [ ÷ ^symbol$ ÷ i, ÷ ^ticker$ ÷ i, ÷ symbol|ticker ÷ i])
shares col = find col(headers, [ ÷ ^quantity$ ÷ i, ÷ quantity|shares|qty|units ÷ i])
per share col = find col(headers, [ ÷ cost. × (per|\ ÷ ). × sh|cost\ ÷ sh|average cost|avg\.? cost|price paid|purchase price|unit cost ÷ i])
total cost col = find col(headers, [ ÷ cost basis|total cost|cost amount|book cost ÷ i])
value col = find col(headers, [ ÷ ^value\s × \$?$ ÷ i, ÷ market value|current value|^value ÷ i])
date col = find col(headers, [ ÷ purchase date|acquired|acquisition|trade date|date ÷ i])
name col = find col(headers, [ ÷ description|security|name|fund|investment|holding|instrument ÷ i])
… the first steps only — the rest of the body needs reading by hand.</t>
  </si>
  <si>
    <t>Rows is parse csv(text). When rows.length &lt; 2, it answers holdings = []; total = 0; skipped = 0; mapped = {}. H idx is find header row(rows). Headers is for each of rows[h idx]: trim(). Symbol col is find col(headers, [ divided by ^symbol$ divided by i, divided by ^ticker$ divided by i, divided by symbol|ticker divided by i]). Shares col is find col(headers, [ divided by ^quantity$ divided by i, divided by quantity|shares|qty|units divided by i]). Per share col is find col(headers, [ divided by cost. times (per|\ divided by ). times sh|cost\ divided by sh|average cost|avg\.? cost|price paid|purchase price|unit cost divided by i]). Total cost col is find col(headers, [ divided by cost basis|total cost|cost amount|book cost divided by i]). Value col is find col(headers, [ divided by ^value\s times \$?$ divided by i, divided by market value|current value|^value divided by i]). Date col is find col(headers, [ divided by purchase date|acquired|acquisition|trade date|date divided by i]). Name col is find col(headers, [ divided by description|security|name|fund|investment|holding|instrument divided by i]). Only the first steps are shown; the rest of the body needs reading by hand.</t>
  </si>
  <si>
    <t>ImportResult</t>
  </si>
  <si>
    <t>· Uses a built-in skipped of 0.</t>
  </si>
  <si>
    <t>1. MK-XS-F-014 classifyHolding
2. MK-XS-F-013 parseCsv</t>
  </si>
  <si>
    <t>1. MK-XS-F-014 classifyHolding
2. MK-XS-F-013 parseCsv
3. MK-ST-F-011 classifyHoldingClass
4. MK-ST-F-010 nameEvidence</t>
  </si>
  <si>
    <t>1. MK-ST-F-010 nameEvidence → MK-ST-F-011 classifyHoldingClass → MK-XS-F-014 classifyHolding → MK-XS-F-015 importHoldings
2. MK-XS-F-013 parseCsv → MK-XS-F-015 importHoldings</t>
  </si>
  <si>
    <t>FILE_IMPORT</t>
  </si>
  <si>
    <t>MK-XS-F-016</t>
  </si>
  <si>
    <t>matchImportAccount</t>
  </si>
  <si>
    <t>The existing account a fresh import from `institution` should offer to update (or null).</t>
  </si>
  <si>
    <t>target = norm inst(institution)
nothing   when target is missing
nothing   when count of candidates is missing</t>
  </si>
  <si>
    <t>Target is norm inst(institution). When target is missing, it answers no answer. When how many candidates is missing there are, it answers no answer.</t>
  </si>
  <si>
    <t>1. accounts: AssetAccount[]
2. institution: string</t>
  </si>
  <si>
    <t>AssetAccount | null</t>
  </si>
  <si>
    <t>"Account name" — on the Import holdings screen, under "REVIEW YOUR HOLDINGS"</t>
  </si>
  <si>
    <t>IMPORT_ACCOUNT_MATCH</t>
  </si>
  <si>
    <t>MK-XS-F-017</t>
  </si>
  <si>
    <t>currentAge</t>
  </si>
  <si>
    <t>src/domain/profile/calc.ts</t>
  </si>
  <si>
    <t>Age in whole years from birth month/year, as of `asOf` (defaults to now).</t>
  </si>
  <si>
    <t>nothing   when birth year is missing (or birth month is missing when missing or zero)
age = as of.get full year() − birth year
month idx = birth month − 1
the answer:
age   if age ≥ 0
nothing   otherwise</t>
  </si>
  <si>
    <t>When birth year is missing (or birth month is missing — when missing or zero), it answers no answer. Age is as of.get full year() minus birth year. Month idx is birth month minus 1. The answer is age — when age is at least 0; no answer — otherwise.</t>
  </si>
  <si>
    <t>1. "How long should your money last?" — on the setup questions, which appear on more than one screen
2. "Operating expense / mo" — on the setup questions, which appear on more than one screen
3. "Projected to last to age" — on the setup questions, which appear on more than one screen
4. "Set by month" — on the setup questions, which appear on more than one screen
5. "Surplus by month" — on the setup questions, which appear on more than one screen
6. "Your contribution (per month)" — on the setup questions, which appear on more than one screen</t>
  </si>
  <si>
    <t>MK-XS-F-018</t>
  </si>
  <si>
    <t>yearsToRetirement</t>
  </si>
  <si>
    <t>Years until the target retirement age (never negative).</t>
  </si>
  <si>
    <t>nothing   when age = nothing (or target retirement age is missing when missing or zero)
max(0, target retirement age − age)</t>
  </si>
  <si>
    <t>When age is missing (or target retirement age is missing — when missing or zero), it answers no answer. target retirement age minus age, never below zero.</t>
  </si>
  <si>
    <t>1. age: number | null
2. targetRetirementAge: number | null</t>
  </si>
  <si>
    <t>MK-XS-F-019</t>
  </si>
  <si>
    <t>retirementHorizonYears</t>
  </si>
  <si>
    <t>Years the money must last: retirement → plan-to age (default horizon if unset).</t>
  </si>
  <si>
    <t>nothing   when target retirement age is missing
horizon = (plan to age ?? DEFAULT_PLAN_TO_AGE) − target retirement age
the answer:
horizon   if horizon &gt; 0
nothing   otherwise</t>
  </si>
  <si>
    <t>When target retirement age is missing, it answers no answer. Horizon is (plan to age ?? DEFAULT_PLAN_TO_AGE) minus target retirement age. The answer is horizon — when horizon &gt; 0; no answer — otherwise.</t>
  </si>
  <si>
    <t>1. targetRetirementAge: number | null
2. planToAge: number | null</t>
  </si>
  <si>
    <t>MK-XS-F-020</t>
  </si>
  <si>
    <t>toReadModel</t>
  </si>
  <si>
    <t>Build the public read-model (profile + derived planning values).</t>
  </si>
  <si>
    <t>age = current age(birth year, birth month, as of)</t>
  </si>
  <si>
    <t>Age is current age(birth year, birth month, as of).</t>
  </si>
  <si>
    <t>1. p: Profile
2. asOf: Date = new Date()</t>
  </si>
  <si>
    <t>ProfileReadModel</t>
  </si>
  <si>
    <t>1. MK-XS-F-017 currentAge
2. MK-XS-F-019 retirementHorizonYears
3. MK-XS-F-018 yearsToRetirement</t>
  </si>
  <si>
    <t>1. MK-XS-F-017 currentAge → MK-XS-F-020 toReadModel
2. MK-XS-F-019 retirementHorizonYears → MK-XS-F-020 toReadModel
3. MK-XS-F-018 yearsToRetirement → MK-XS-F-020 toReadModel</t>
  </si>
  <si>
    <t>MK-XS-F-021</t>
  </si>
  <si>
    <t>loadProfile</t>
  </si>
  <si>
    <t>src/domain/profile/index.ts</t>
  </si>
  <si>
    <t>get user doc&lt;profile&gt;(COLLECTION, uid)</t>
  </si>
  <si>
    <t>get user doc&lt;profile&gt;(COLLECTION, uid).</t>
  </si>
  <si>
    <t>Promise&lt;Profile | null&gt;</t>
  </si>
  <si>
    <t>MK-XS-F-022</t>
  </si>
  <si>
    <t>saveProfile</t>
  </si>
  <si>
    <t>profile: Profile</t>
  </si>
  <si>
    <t>1. MK-ST-F-040 emit → MK-XS-F-022 saveProfile
2. MK-ST-F-042 setUserDoc → MK-XS-F-022 saveProfile</t>
  </si>
  <si>
    <t>MK-XS-F-023</t>
  </si>
  <si>
    <t>getProfileReadModel</t>
  </si>
  <si>
    <t>Profile + derived planning values (current age, years to retirement, horizon).</t>
  </si>
  <si>
    <t>p = await load profile(uid)
the answer:
to read model(p)   if p
nothing   otherwise</t>
  </si>
  <si>
    <t>P is await load profile(uid). The answer is to read model(p) — when p; no answer — otherwise.</t>
  </si>
  <si>
    <t>Promise&lt;ProfileReadModel | null&gt;</t>
  </si>
  <si>
    <t>1. MK-XS-F-021 loadProfile
2. MK-XS-F-020 toReadModel</t>
  </si>
  <si>
    <t>1. MK-XS-F-021 loadProfile
2. MK-XS-F-020 toReadModel
3. MK-XS-F-017 currentAge
4. MK-XS-F-019 retirementHorizonYears
5. MK-XS-F-018 yearsToRetirement</t>
  </si>
  <si>
    <t>1. MK-XS-F-021 loadProfile → MK-XS-F-023 getProfileReadModel
2. MK-XS-F-017 currentAge → MK-XS-F-020 toReadModel → MK-XS-F-023 getProfileReadModel
3. MK-XS-F-019 retirementHorizonYears → MK-XS-F-020 toReadModel → MK-XS-F-023 getProfileReadModel
4. MK-XS-F-018 yearsToRetirement → MK-XS-F-020 toReadModel → MK-XS-F-023 getProfileReadModel</t>
  </si>
  <si>
    <t>MK-XS-F-024</t>
  </si>
  <si>
    <t>resolveLens</t>
  </si>
  <si>
    <t>src/domain/profile/lens.ts</t>
  </si>
  <si>
    <t>The person's explicit choice (first-run stage question / Settings → Your setup) wins.</t>
  </si>
  <si>
    <t>override   when override = 'working' (or override = 'retired' when missing or zero)
status = op.status
'retired'   when status = 'retired'
'retired'   when status = 'partial' and current retirement income monthly(op ?? {}) &gt; 0
the answer = 'working'</t>
  </si>
  <si>
    <t>When override = 'working' (or override = 'retired' — when missing or zero), it answers override. Status is op.status. When status = 'retired', it answers 'retired'. When status = 'partial' and current retirement income monthly(op ?? {}) &gt; 0, it answers 'retired'. The answer is 'working'.</t>
  </si>
  <si>
    <t>1. op: Record&lt;string, any&gt; | null | undefined
2. override?: Lens | null</t>
  </si>
  <si>
    <t>Lens</t>
  </si>
  <si>
    <t>1. "WILL MY MONEY LAST?" — on the Home screen, under "WILL MY MONEY LAST?"
2. "YOUR FIVE TABS — same order as the bar below" — on a card used on more than one screen (TopBar)</t>
  </si>
  <si>
    <t>MK-CF-F-072 currentRetirementIncomeMonthly</t>
  </si>
  <si>
    <t>1. MK-CF-F-072 currentRetirementIncomeMonthly
2. MK-CF-F-075 retirementIncomeMonthly
3. MK-ST-F-052 toNum</t>
  </si>
  <si>
    <t>MK-ST-F-052 toNum → MK-CF-F-075 retirementIncomeMonthly → MK-CF-F-072 currentRetirementIncomeMonthly → MK-XS-F-024 resolveLens</t>
  </si>
  <si>
    <t>WHICH_VIEW</t>
  </si>
  <si>
    <t>MK-XS-F-025</t>
  </si>
  <si>
    <t>tabOrder</t>
  </si>
  <si>
    <t>Bottom-bar order per lens (design pin: "Tab order is set once from stage; identical across sessions").</t>
  </si>
  <si>
    <t>lens: Lens</t>
  </si>
  <si>
    <t>FccTab[]</t>
  </si>
  <si>
    <t>"YOUR FIVE TABS — same order as the bar below" — on a card used on more than one screen (TopBar)</t>
  </si>
  <si>
    <t>MK-XS-F-026</t>
  </si>
  <si>
    <t>profileFromOnboarding</t>
  </si>
  <si>
    <t>src/domain/profile/onboarding.ts</t>
  </si>
  <si>
    <t>`op` is the consolidated onboardingProfile: { status, name, ...answers }.</t>
  </si>
  <si>
    <t>Profile</t>
  </si>
  <si>
    <t>MK-XS-F-027</t>
  </si>
  <si>
    <t>takeHomeMonthly</t>
  </si>
  <si>
    <t>src/domain/savings/index.ts</t>
  </si>
  <si>
    <t>True take-home per month: after tax AND after the 401(k) deduction (the cash that hits your account).</t>
  </si>
  <si>
    <t>grid = income monthly grid(op, 'available')
the answer = round(Σ over grid of (amount)÷ 12, 2 dp)</t>
  </si>
  <si>
    <t>Grid is income monthly grid(op, 'available'). The answer: the amount added up across grid÷ 12, to the cent.</t>
  </si>
  <si>
    <t>1. "Income (take-home)" — on the budget screen
2. "Itemized" — on the setup questions, which appear on more than one screen
3. "Net Worth" — on the setup questions, which appear on more than one screen
4. "Net" — on the setup questions, which appear on more than one screen
5. "Surplus / year" — on the setup questions, which appear on more than one screen
6. "Take-home / year" — on the setup questions, which appear on more than one screen</t>
  </si>
  <si>
    <t>1. MK-CF-F-092 incomeMonthlyGrid
2. MK-ST-F-055 round2</t>
  </si>
  <si>
    <t>1. MK-CF-F-092 incomeMonthlyGrid
2. MK-ST-F-055 round2
3. MK-CF-F-069 benefitActiveMonths
4. MK-CF-F-072 currentRetirementIncomeMonthly
5. MK-CF-F-065 equityVestWeights
6. MK-CF-F-071 extraIncome
7. MK-CF-F-087 monthlyTaxRates
8. MK-CF-F-073 otherIncomeMonth
9. MK-CF-F-068 rentalNetAnnual
10. MK-CF-F-066 rsuAnnual
11. MK-CF-F-060 salaryGrossByMonth
12. MK-CF-F-077 scholarshipByCalendarMonth
13. MK-ST-F-052 toNum
14. MK-CF-F-075 retirementIncomeMonthly
15. MK-CF-F-062 equityRowValue
16. MK-CF-F-070 benefitAnnual
17. MK-CF-F-090 effectiveRate
18. MK-CF-F-085 filingStatusOf
19. MK-CF-F-089 over65CountOf
20. MK-CF-F-098 progressiveMonthlyTax
21. MK-CF-F-086 stateRateOf
22. MK-CF-F-088 taxableByCalendarMonth
23. MK-CF-F-067 rentalList
24. MK-CF-F-063 rowVestYear
25. MK-CF-F-097 grossFromNet
26. MK-CF-F-102 effectiveRateOnGrossFor
27. MK-CF-F-084 taxableAnnual
28. MK-CF-F-101 taxOwedFor
29. MK-CF-F-100 taxableIncomeFor
30. MK-CF-F-095 taxOwed
31. MK-CF-F-082 salaryAnnual
32. MK-CF-F-074 tipsAnnual
33. MK-CF-F-099 deductionFor
34. MK-CF-F-093 taxableIncome
35. MK-CF-F-081 salaryActiveMonths</t>
  </si>
  <si>
    <t>1. MK-CF-F-069 benefitActiveMonths → MK-CF-F-092 incomeMonthlyGrid → MK-XS-F-027 takeHomeMonthly
2. MK-ST-F-052 toNum → MK-CF-F-075 retirementIncomeMonthly → MK-CF-F-072 currentRetirementIncomeMonthly → MK-CF-F-092 incomeMonthlyGrid → MK-XS-F-027 takeHomeMonthly
3. MK-ST-F-052 toNum → MK-CF-F-062 equityRowValue → MK-CF-F-065 equityVestWeights → MK-CF-F-092 incomeMonthlyGrid → MK-XS-F-027 takeHomeMonthly
4. MK-CF-F-069 benefitActiveMonths → MK-CF-F-070 benefitAnnual → MK-CF-F-071 extraIncome → MK-CF-F-092 incomeMonthlyGrid → MK-XS-F-027 takeHomeMonthly
5. MK-ST-F-052 toNum → MK-CF-F-070 benefitAnnual → MK-CF-F-071 extraIncome → MK-CF-F-092 incomeMonthlyGrid → MK-XS-F-027 takeHomeMonthly
6. MK-ST-F-055 round2 → MK-CF-F-071 extraIncome → MK-CF-F-092 incomeMonthlyGrid → MK-XS-F-027 takeHomeMonthly
7. MK-ST-F-052 toNum → MK-CF-F-071 extraIncome → MK-CF-F-092 incomeMonthlyGrid → MK-XS-F-027 takeHomeMonthly
8. MK-CF-F-101 taxOwedFor → MK-CF-F-102 effectiveRateOnGrossFor → MK-CF-F-090 effectiveRate → MK-CF-F-087 monthlyTaxRates → MK-CF-F-092 incomeMonthlyGrid → MK-XS-F-027 takeHomeMonthly
9. … and 42 more paths</t>
  </si>
  <si>
    <t>MK-XS-F-028</t>
  </si>
  <si>
    <t>surplusByMonth</t>
  </si>
  <si>
    <t>Planned SURPLUS, month by month, AFTER debt (the canonical word, per the 2026-06-23 decision).</t>
  </si>
  <si>
    <t>debt = actual debt payment(debts)
the answer:
for each of savings by month(op): label = label
amount = round(amount − debt, 2 dp)</t>
  </si>
  <si>
    <t>Debt is actual debt payment(debts). The answer is for each of savings by month(op): label = label; amount = amount minus debt, to the cent.</t>
  </si>
  <si>
    <t>1. op: OnboardingProfile | null
2. debts: Debt[] = []</t>
  </si>
  <si>
    <t>1. MK-CF-F-026 actualDebtPayment
2. MK-ST-F-055 round2
3. MK-CF-F-011 savingsByMonth</t>
  </si>
  <si>
    <t>1. MK-CF-F-026 actualDebtPayment
2. MK-ST-F-055 round2
3. MK-CF-F-011 savingsByMonth
4. MK-CF-F-024 totalDebtMonthly
5. MK-CF-F-092 incomeMonthlyGrid
6. MK-CF-F-008 spendByMonth
7. MK-CF-F-023 requiredPayment
8. MK-CF-F-069 benefitActiveMonths
9. MK-CF-F-072 currentRetirementIncomeMonthly
10. MK-CF-F-065 equityVestWeights
11. MK-CF-F-071 extraIncome
12. MK-CF-F-087 monthlyTaxRates
13. MK-CF-F-073 otherIncomeMonth
14. MK-CF-F-068 rentalNetAnnual
15. MK-CF-F-066 rsuAnnual
16. MK-CF-F-060 salaryGrossByMonth
17. MK-CF-F-077 scholarshipByCalendarMonth
18. MK-ST-F-052 toNum
19. MK-CF-F-004 spendBuckets
20. MK-CF-F-022 paymentShape
21. MK-CF-F-075 retirementIncomeMonthly
22. MK-CF-F-062 equityRowValue
23. MK-CF-F-070 benefitAnnual
24. MK-CF-F-090 effectiveRate
25. MK-CF-F-085 filingStatusOf
26. MK-CF-F-089 over65CountOf
27. MK-CF-F-098 progressiveMonthlyTax
28. MK-CF-F-086 stateRateOf
29. MK-CF-F-088 taxableByCalendarMonth
30. MK-CF-F-067 rentalList
31. MK-CF-F-063 rowVestYear
32. MK-CF-F-097 grossFromNet
33. MK-CF-F-003 categoryMonthly
34. MK-CF-F-021 defaultPaymentType
35. MK-CF-F-102 effectiveRateOnGrossFor
36. MK-CF-F-084 taxableAnnual
37. MK-CF-F-101 taxOwedFor
38. MK-CF-F-100 taxableIncomeFor
39. MK-CF-F-095 taxOwed
40. MK-CF-F-082 salaryAnnual
41. MK-CF-F-074 tipsAnnual
42. MK-CF-F-099 deductionFor
43. MK-CF-F-093 taxableIncome
44. MK-CF-F-081 salaryActiveMonths</t>
  </si>
  <si>
    <t>1. MK-ST-F-055 round2 → MK-CF-F-026 actualDebtPayment → MK-XS-F-028 surplusByMonth
2. MK-CF-F-021 defaultPaymentType → MK-CF-F-022 paymentShape → MK-CF-F-023 requiredPayment → MK-CF-F-024 totalDebtMonthly → MK-CF-F-026 actualDebtPayment → MK-XS-F-028 surplusByMonth
3. MK-ST-F-055 round2 → MK-XS-F-028 surplusByMonth
4. MK-CF-F-069 benefitActiveMonths → MK-CF-F-092 incomeMonthlyGrid → MK-CF-F-011 savingsByMonth → MK-XS-F-028 surplusByMonth
5. MK-ST-F-052 toNum → MK-CF-F-075 retirementIncomeMonthly → MK-CF-F-072 currentRetirementIncomeMonthly → MK-CF-F-092 incomeMonthlyGrid → MK-CF-F-011 savingsByMonth → MK-XS-F-028 surplusByMonth
6. MK-ST-F-052 toNum → MK-CF-F-062 equityRowValue → MK-CF-F-065 equityVestWeights → MK-CF-F-092 incomeMonthlyGrid → MK-CF-F-011 savingsByMonth → MK-XS-F-028 surplusByMonth
7. MK-CF-F-069 benefitActiveMonths → MK-CF-F-070 benefitAnnual → MK-CF-F-071 extraIncome → MK-CF-F-092 incomeMonthlyGrid → MK-CF-F-011 savingsByMonth → MK-XS-F-028 surplusByMonth
8. MK-ST-F-052 toNum → MK-CF-F-070 benefitAnnual → MK-CF-F-071 extraIncome → MK-CF-F-092 incomeMonthlyGrid → MK-CF-F-011 savingsByMonth → MK-XS-F-028 surplusByMonth
9. … and 37 more paths</t>
  </si>
  <si>
    <t>MK-XS-F-029</t>
  </si>
  <si>
    <t>monthlySavings</t>
  </si>
  <si>
    <t>Monthly savings (the FLOW) — Build-47 walk row 7: DERIVED as the 12-month average of surplusByMonth, so the flat figure and the by-month figures can never drift apart (they used to be two parallel formulas that merely CLAIMED to reconcile).</t>
  </si>
  <si>
    <t>months = surplus by month(op, debts)
the answer = round(Σ over months of (amount)÷ 12, 2 dp)</t>
  </si>
  <si>
    <t>Months is surplus by month(op, debts). The answer: the amount added up across months÷ 12, to the cent.</t>
  </si>
  <si>
    <t>"Free to put to work each month" — on the Goals together screen, under "CAN YOU DO IT ALL?"</t>
  </si>
  <si>
    <t>1. MK-ST-F-055 round2
2. MK-XS-F-028 surplusByMonth</t>
  </si>
  <si>
    <t>1. MK-ST-F-055 round2
2. MK-XS-F-028 surplusByMonth
3. MK-CF-F-026 actualDebtPayment
4. MK-CF-F-011 savingsByMonth
5. MK-CF-F-024 totalDebtMonthly
6. MK-CF-F-092 incomeMonthlyGrid
7. MK-CF-F-008 spendByMonth
8. MK-CF-F-023 requiredPayment
9. MK-CF-F-069 benefitActiveMonths
10. MK-CF-F-072 currentRetirementIncomeMonthly
11. MK-CF-F-065 equityVestWeights
12. MK-CF-F-071 extraIncome
13. MK-CF-F-087 monthlyTaxRates
14. MK-CF-F-073 otherIncomeMonth
15. MK-CF-F-068 rentalNetAnnual
16. MK-CF-F-066 rsuAnnual
17. MK-CF-F-060 salaryGrossByMonth
18. MK-CF-F-077 scholarshipByCalendarMonth
19. MK-ST-F-052 toNum
20. MK-CF-F-004 spendBuckets
21. MK-CF-F-022 paymentShape
22. MK-CF-F-075 retirementIncomeMonthly
23. MK-CF-F-062 equityRowValue
24. MK-CF-F-070 benefitAnnual
25. MK-CF-F-090 effectiveRate
26. MK-CF-F-085 filingStatusOf
27. MK-CF-F-089 over65CountOf
28. MK-CF-F-098 progressiveMonthlyTax
29. MK-CF-F-086 stateRateOf
30. MK-CF-F-088 taxableByCalendarMonth
31. MK-CF-F-067 rentalList
32. MK-CF-F-063 rowVestYear
33. MK-CF-F-097 grossFromNet
34. MK-CF-F-003 categoryMonthly
35. MK-CF-F-021 defaultPaymentType
36. MK-CF-F-102 effectiveRateOnGrossFor
37. MK-CF-F-084 taxableAnnual
38. MK-CF-F-101 taxOwedFor
39. MK-CF-F-100 taxableIncomeFor
40. MK-CF-F-095 taxOwed
41. MK-CF-F-082 salaryAnnual
42. MK-CF-F-074 tipsAnnual
43. MK-CF-F-099 deductionFor
44. MK-CF-F-093 taxableIncome
45. MK-CF-F-081 salaryActiveMonths</t>
  </si>
  <si>
    <t>1. MK-ST-F-055 round2 → MK-XS-F-029 monthlySavings
2. MK-ST-F-055 round2 → MK-CF-F-026 actualDebtPayment → MK-XS-F-028 surplusByMonth → MK-XS-F-029 monthlySavings
3. MK-CF-F-022 paymentShape → MK-CF-F-023 requiredPayment → MK-CF-F-024 totalDebtMonthly → MK-CF-F-026 actualDebtPayment → MK-XS-F-028 surplusByMonth → MK-XS-F-029 monthlySavings
4. MK-ST-F-055 round2 → MK-XS-F-028 surplusByMonth → MK-XS-F-029 monthlySavings
5. MK-CF-F-069 benefitActiveMonths → MK-CF-F-092 incomeMonthlyGrid → MK-CF-F-011 savingsByMonth → MK-XS-F-028 surplusByMonth → MK-XS-F-029 monthlySavings
6. MK-CF-F-075 retirementIncomeMonthly → MK-CF-F-072 currentRetirementIncomeMonthly → MK-CF-F-092 incomeMonthlyGrid → MK-CF-F-011 savingsByMonth → MK-XS-F-028 surplusByMonth → MK-XS-F-029 monthlySavings
7. MK-CF-F-062 equityRowValue → MK-CF-F-065 equityVestWeights → MK-CF-F-092 incomeMonthlyGrid → MK-CF-F-011 savingsByMonth → MK-XS-F-028 surplusByMonth → MK-XS-F-029 monthlySavings
8. MK-CF-F-070 benefitAnnual → MK-CF-F-071 extraIncome → MK-CF-F-092 incomeMonthlyGrid → MK-CF-F-011 savingsByMonth → MK-XS-F-028 surplusByMonth → MK-XS-F-029 monthlySavings
9. … and 24 more paths</t>
  </si>
  <si>
    <t>MK-XS-F-030</t>
  </si>
  <si>
    <t>effectiveAnnualContribution</t>
  </si>
  <si>
    <t>src/domain/snapshot.ts</t>
  </si>
  <si>
    <t>NEGATIVE CASH FLOW DRAINS WEALTH — committed contributions don't create money.</t>
  </si>
  <si>
    <t>a = op (or none when missing)
stated annual = monthly contributions from onboarding(op) × 12
has spend data = to num(monthly spending) &gt; 0 (or array.is array(spend cats) and spend cats.length &gt; 0 when missing or zero)
stated annual   when has spend data is missing
free cash annual = Σ over savings by month(a as any) of (amount)
non401k annual = (to num(c roth) + to num(c invest) + to num(c property)) × 12
the answer = stated annual + min(0, free cash annual − non401k annual)</t>
  </si>
  <si>
    <t>A is op (or none — when missing). Stated annual is monthly contributions from onboarding(op) times 12. Has spend data is to num(monthly spending) &gt; 0 (or array.is array(spend cats) and spend cats.length &gt; 0 — when missing or zero). When has spend data is missing, it answers stated annual. Free cash annual: the amount added up across savings by month(a as any). Non401k annual is (to num(c roth) plus to num(c invest) plus to num(c property)) times 12. The answer is stated annual plus the smaller of 0 and free cash annual minus non401k annual.</t>
  </si>
  <si>
    <t>1. MK-NW-F-041 monthlyContributionsFromOnboarding
2. MK-CF-F-011 savingsByMonth
3. MK-ST-F-052 toNum</t>
  </si>
  <si>
    <t>1. MK-NW-F-041 monthlyContributionsFromOnboarding
2. MK-CF-F-011 savingsByMonth
3. MK-ST-F-052 toNum
4. MK-CF-F-078 employerMatchMonthly
5. MK-CF-F-092 incomeMonthlyGrid
6. MK-ST-F-055 round2
7. MK-CF-F-008 spendByMonth
8. MK-CF-F-069 benefitActiveMonths
9. MK-CF-F-072 currentRetirementIncomeMonthly
10. MK-CF-F-065 equityVestWeights
11. MK-CF-F-071 extraIncome
12. MK-CF-F-087 monthlyTaxRates
13. MK-CF-F-073 otherIncomeMonth
14. MK-CF-F-068 rentalNetAnnual
15. MK-CF-F-066 rsuAnnual
16. MK-CF-F-060 salaryGrossByMonth
17. MK-CF-F-077 scholarshipByCalendarMonth
18. MK-CF-F-004 spendBuckets
19. MK-CF-F-075 retirementIncomeMonthly
20. MK-CF-F-062 equityRowValue
21. MK-CF-F-070 benefitAnnual
22. MK-CF-F-090 effectiveRate
23. MK-CF-F-085 filingStatusOf
24. MK-CF-F-089 over65CountOf
25. MK-CF-F-098 progressiveMonthlyTax
26. MK-CF-F-086 stateRateOf
27. MK-CF-F-088 taxableByCalendarMonth
28. MK-CF-F-067 rentalList
29. MK-CF-F-063 rowVestYear
30. MK-CF-F-097 grossFromNet
31. MK-CF-F-003 categoryMonthly
32. MK-CF-F-102 effectiveRateOnGrossFor
33. MK-CF-F-084 taxableAnnual
34. MK-CF-F-101 taxOwedFor
35. MK-CF-F-100 taxableIncomeFor
36. MK-CF-F-095 taxOwed
37. MK-CF-F-082 salaryAnnual
38. MK-CF-F-074 tipsAnnual
39. MK-CF-F-099 deductionFor
40. MK-CF-F-093 taxableIncome
41. MK-CF-F-081 salaryActiveMonths</t>
  </si>
  <si>
    <t>1. MK-ST-F-052 toNum → MK-CF-F-078 employerMatchMonthly → MK-NW-F-041 monthlyContributionsFromOnboarding → MK-XS-F-030 effectiveAnnualContribution
2. MK-ST-F-052 toNum → MK-NW-F-041 monthlyContributionsFromOnboarding → MK-XS-F-030 effectiveAnnualContribution
3. MK-CF-F-069 benefitActiveMonths → MK-CF-F-092 incomeMonthlyGrid → MK-CF-F-011 savingsByMonth → MK-XS-F-030 effectiveAnnualContribution
4. MK-ST-F-052 toNum → MK-CF-F-075 retirementIncomeMonthly → MK-CF-F-072 currentRetirementIncomeMonthly → MK-CF-F-092 incomeMonthlyGrid → MK-CF-F-011 savingsByMonth → MK-XS-F-030 effectiveAnnualContribution
5. MK-ST-F-052 toNum → MK-CF-F-062 equityRowValue → MK-CF-F-065 equityVestWeights → MK-CF-F-092 incomeMonthlyGrid → MK-CF-F-011 savingsByMonth → MK-XS-F-030 effectiveAnnualContribution
6. MK-CF-F-069 benefitActiveMonths → MK-CF-F-070 benefitAnnual → MK-CF-F-071 extraIncome → MK-CF-F-092 incomeMonthlyGrid → MK-CF-F-011 savingsByMonth → MK-XS-F-030 effectiveAnnualContribution
7. MK-ST-F-052 toNum → MK-CF-F-070 benefitAnnual → MK-CF-F-071 extraIncome → MK-CF-F-092 incomeMonthlyGrid → MK-CF-F-011 savingsByMonth → MK-XS-F-030 effectiveAnnualContribution
8. MK-ST-F-055 round2 → MK-CF-F-071 extraIncome → MK-CF-F-092 incomeMonthlyGrid → MK-CF-F-011 savingsByMonth → MK-XS-F-030 effectiveAnnualContribution
9. … and 37 more paths</t>
  </si>
  <si>
    <t>MK-XS-F-031</t>
  </si>
  <si>
    <t>buildSnapshot</t>
  </si>
  <si>
    <t>Build a snapshot from EXPLICIT net-worth rows.</t>
  </si>
  <si>
    <t>a = op (or none when missing)
profile = to read model(profile from onboarding(uid, op))
income doc = income from onboarding(uid, op)
income = build income state(uid, income doc.sources, income doc.tax)
acct rows = accounts
debt rows = liabilities
assets = build assets state(uid, acct rows)
debt = build debt state(uid, debt rows)
networth = build net worth(uid, assets.total asset value, debt.total debt balance)
budget = build budget state(uid, income.net monthly income, budget from onboarding(uid, op))
invest mo = to num(c roth) + to num(c invest) + to num(c property)
… the first steps only — the rest of the body needs reading by hand.</t>
  </si>
  <si>
    <t>A is op (or none — when missing). Profile is to read model(profile from onboarding(uid, op)). Income doc is income from onboarding(uid, op). Income is build income state(uid, income doc.sources, income doc.tax). Acct rows is accounts. Debt rows is liabilities. Assets is build assets state(uid, acct rows). Debt is build debt state(uid, debt rows). Networth is build net worth(uid, assets.total asset value, debt.total debt balance). Budget is build budget state(uid, income.net monthly income, budget from onboarding(uid, op)). Invest mo is to num(c roth) plus to num(c invest) plus to num(c property). Only the first steps are shown; the rest of the body needs reading by hand.</t>
  </si>
  <si>
    <t>1. If current age is missing it uses 35.
2. If target retirement age is missing it uses 65.
3. If plan to age is missing it uses 90.</t>
  </si>
  <si>
    <t>1. MK-NW-F-037 blendedReturn
2. MK-CF-F-013 budgetFromOnboarding
3. MK-NW-F-039 buildAssetsState
4. MK-CF-F-001 buildBudgetState
5. MK-CF-F-036 buildDebtState
6. MK-PL-F-011 buildGoalsState
7. MK-CF-F-049 buildIncomeState
8. MK-NW-F-065 buildNetWorth
9. MK-PL-F-053 buildRetirementState
10. MK-XS-F-030 effectiveAnnualContribution
11. MK-PL-F-013 goalsFromOnboarding
12. MK-CF-F-076 guaranteedOutsideStreams
13. MK-CF-F-079 incomeFromOnboarding
14. MK-XS-F-026 profileFromOnboarding
15. MK-NW-F-033 retirementEarmarkedValue
16. MK-PL-F-049 retirementSpendMonthly
17. MK-ST-F-052 toNum
18. MK-XS-F-020 toReadModel</t>
  </si>
  <si>
    <t>1. MK-NW-F-037 blendedReturn
2. MK-CF-F-013 budgetFromOnboarding
3. MK-NW-F-039 buildAssetsState
4. MK-CF-F-001 buildBudgetState
5. MK-CF-F-036 buildDebtState
6. MK-PL-F-011 buildGoalsState
7. MK-CF-F-049 buildIncomeState
8. MK-NW-F-065 buildNetWorth
9. MK-PL-F-053 buildRetirementState
10. MK-XS-F-030 effectiveAnnualContribution
11. MK-PL-F-013 goalsFromOnboarding
12. MK-CF-F-076 guaranteedOutsideStreams
13. MK-CF-F-079 incomeFromOnboarding
14. MK-XS-F-026 profileFromOnboarding
15. MK-NW-F-033 retirementEarmarkedValue
16. MK-PL-F-049 retirementSpendMonthly
17. MK-ST-F-052 toNum
18. MK-XS-F-020 toReadModel
19. MK-NW-F-034 benchmarkReturn
20. MK-NW-F-032 earmarkedAmount
21. MK-NW-F-031 primaryCarIdOf
22. MK-CF-F-002 plannedMonthlySpend
23. MK-CF-F-004 spendBuckets
24. MK-ST-F-055 round2
25. MK-CF-F-026 actualDebtPayment
26. MK-CF-F-025 minimumDebtService
27. MK-PL-F-012 waterfall
28. MK-CF-F-048 effectiveTaxRate
29. MK-CF-F-046 employerMatchAnnual
30. MK-CF-F-045 grossAnnualBaseline
31. MK-CF-F-098 progressiveMonthlyTax
32. MK-PL-F-050 simulate
33. MK-NW-F-041 monthlyContributionsFromOnboarding
34. MK-CF-F-011 savingsByMonth
35. MK-ST-F-043 newEntityId
36. MK-CF-F-070 benefitAnnual
37. MK-CF-F-072 currentRetirementIncomeMonthly
38. MK-CF-F-078 employerMatchMonthly
39. MK-CF-F-065 equityVestWeights
40. MK-CF-F-067 rentalList
41. MK-CF-F-066 rsuAnnual
42. MK-CF-F-082 salaryAnnual
43. MK-CF-F-074 tipsAnnual
44. MK-PL-F-047 colFactor
45. MK-XS-F-017 currentAge
46. MK-XS-F-019 retirementHorizonYears
47. MK-XS-F-018 yearsToRetirement
48. MK-NW-F-007 assetKind
49. MK-NW-F-030 earmarkDefault
50. MK-NW-F-011 assetClassOf
51. MK-CF-F-092 incomeMonthlyGrid
52. MK-CF-F-003 categoryMonthly
53. MK-CF-F-024 totalDebtMonthly
54. MK-CF-F-022 paymentShape
55. MK-CF-F-047 estimateEffectiveTaxRate
56. MK-CF-F-044 annualNet
57. MK-CF-F-101 taxOwedFor
58. MK-CF-F-100 taxableIncomeFor
59. MK-ST-F-025 rmdStartAgeFromAge
60. MK-CF-F-008 spendByMonth
61. MK-CF-F-069 benefitActiveMonths
62. MK-CF-F-075 retirementIncomeMonthly
63. MK-CF-F-062 equityRowValue
64. MK-CF-F-063 rowVestYear
65. MK-CF-F-060 salaryGrossByMonth
66. MK-CF-F-081 salaryActiveMonths
67. MK-NW-F-013 realEstateUseOf
68. MK-NW-F-008 incomeBearingClassOf
69. MK-CF-F-071 extraIncome
70. MK-CF-F-087 monthlyTaxRates
71. MK-CF-F-073 otherIncomeMonth
72. MK-CF-F-068 rentalNetAnnual
73. MK-CF-F-077 scholarshipByCalendarMonth
74. MK-CF-F-023 requiredPayment
75. MK-CF-F-021 defaultPaymentType
76. MK-CF-F-096 effectiveRateOnGross
77. MK-CF-F-099 deductionFor
78. MK-ST-F-024 rmdStartAge
79. MK-CF-F-097 grossFromNet
80. MK-ST-F-010 nameEvidence
81. MK-CF-F-090 effectiveRate
82. MK-CF-F-085 filingStatusOf
83. MK-CF-F-089 over65CountOf
84. MK-CF-F-086 stateRateOf
85. MK-CF-F-088 taxableByCalendarMonth
86. MK-CF-F-095 taxOwed
87. MK-CF-F-102 effectiveRateOnGrossFor
88. MK-CF-F-084 taxableAnnual
89. MK-CF-F-093 taxableIncome</t>
  </si>
  <si>
    <t>1. MK-NW-F-008 incomeBearingClassOf → MK-NW-F-011 assetClassOf → MK-NW-F-007 assetKind → MK-NW-F-034 benchmarkReturn → MK-NW-F-037 blendedReturn → MK-XS-F-031 buildSnapshot
2. MK-NW-F-008 incomeBearingClassOf → MK-NW-F-011 assetClassOf → MK-NW-F-030 earmarkDefault → MK-NW-F-032 earmarkedAmount → MK-NW-F-037 blendedReturn → MK-XS-F-031 buildSnapshot
3. MK-NW-F-013 realEstateUseOf → MK-NW-F-030 earmarkDefault → MK-NW-F-032 earmarkedAmount → MK-NW-F-037 blendedReturn → MK-XS-F-031 buildSnapshot
4. MK-ST-F-055 round2 → MK-NW-F-032 earmarkedAmount → MK-NW-F-037 blendedReturn → MK-XS-F-031 buildSnapshot
5. MK-ST-F-010 nameEvidence → MK-NW-F-008 incomeBearingClassOf → MK-NW-F-011 assetClassOf → MK-NW-F-031 primaryCarIdOf → MK-NW-F-037 blendedReturn → MK-XS-F-031 buildSnapshot
6. MK-CF-F-069 benefitActiveMonths → MK-CF-F-092 incomeMonthlyGrid → MK-CF-F-002 plannedMonthlySpend → MK-CF-F-013 budgetFromOnboarding → MK-XS-F-031 buildSnapshot
7. MK-CF-F-075 retirementIncomeMonthly → MK-CF-F-072 currentRetirementIncomeMonthly → MK-CF-F-092 incomeMonthlyGrid → MK-CF-F-002 plannedMonthlySpend → MK-CF-F-013 budgetFromOnboarding → MK-XS-F-031 buildSnapshot
8. MK-CF-F-062 equityRowValue → MK-CF-F-065 equityVestWeights → MK-CF-F-092 incomeMonthlyGrid → MK-CF-F-002 plannedMonthlySpend → MK-CF-F-013 budgetFromOnboarding → MK-XS-F-031 buildSnapshot
9. … and 110 more paths</t>
  </si>
  <si>
    <t>MK-XS-F-032</t>
  </si>
  <si>
    <t>snapshotFromOnboarding</t>
  </si>
  <si>
    <t>Snapshot from onboarding answers alone — for headless/test callers (and any surface that runs before Net Worth is set up).</t>
  </si>
  <si>
    <t>build snapshot(uid, op, econ, assets from onboarding(uid, op).accounts, debts from onboarding(uid, op).debts)</t>
  </si>
  <si>
    <t>build snapshot(uid, op, econ, assets from onboarding(uid, op).accounts, debts from onboarding(uid, op).debts).</t>
  </si>
  <si>
    <t>1. uid: UserId
2. op: Record&lt;string, any&gt; | null
3. econ: EconomicData</t>
  </si>
  <si>
    <t>FinancialSnapshot</t>
  </si>
  <si>
    <t>1. MK-NW-F-040 assetsFromOnboarding
2. MK-XS-F-031 buildSnapshot
3. MK-CF-F-038 debtsFromOnboarding</t>
  </si>
  <si>
    <t>1. MK-NW-F-040 assetsFromOnboarding
2. MK-XS-F-031 buildSnapshot
3. MK-CF-F-038 debtsFromOnboarding
4. MK-ST-F-043 newEntityId
5. MK-ST-F-052 toNum
6. MK-NW-F-037 blendedReturn
7. MK-CF-F-013 budgetFromOnboarding
8. MK-NW-F-039 buildAssetsState
9. MK-CF-F-001 buildBudgetState
10. MK-CF-F-036 buildDebtState
11. MK-PL-F-011 buildGoalsState
12. MK-CF-F-049 buildIncomeState
13. MK-NW-F-065 buildNetWorth
14. MK-PL-F-053 buildRetirementState
15. MK-XS-F-030 effectiveAnnualContribution
16. MK-PL-F-013 goalsFromOnboarding
17. MK-CF-F-076 guaranteedOutsideStreams
18. MK-CF-F-079 incomeFromOnboarding
19. MK-XS-F-026 profileFromOnboarding
20. MK-NW-F-033 retirementEarmarkedValue
21. MK-PL-F-049 retirementSpendMonthly
22. MK-XS-F-020 toReadModel
23. MK-CF-F-037 inferDebtType
24. MK-NW-F-034 benchmarkReturn
25. MK-NW-F-032 earmarkedAmount
26. MK-NW-F-031 primaryCarIdOf
27. MK-CF-F-002 plannedMonthlySpend
28. MK-CF-F-004 spendBuckets
29. MK-ST-F-055 round2
30. MK-CF-F-026 actualDebtPayment
31. MK-CF-F-025 minimumDebtService
32. MK-PL-F-012 waterfall
33. MK-CF-F-048 effectiveTaxRate
34. MK-CF-F-046 employerMatchAnnual
35. MK-CF-F-045 grossAnnualBaseline
36. MK-CF-F-098 progressiveMonthlyTax
37. MK-PL-F-050 simulate
38. MK-NW-F-041 monthlyContributionsFromOnboarding
39. MK-CF-F-011 savingsByMonth
40. MK-CF-F-070 benefitAnnual
41. MK-CF-F-072 currentRetirementIncomeMonthly
42. MK-CF-F-078 employerMatchMonthly
43. MK-CF-F-065 equityVestWeights
44. MK-CF-F-067 rentalList
45. MK-CF-F-066 rsuAnnual
46. MK-CF-F-082 salaryAnnual
47. MK-CF-F-074 tipsAnnual
48. MK-PL-F-047 colFactor
49. MK-XS-F-017 currentAge
50. MK-XS-F-019 retirementHorizonYears
51. MK-XS-F-018 yearsToRetirement
52. MK-NW-F-007 assetKind
53. MK-NW-F-030 earmarkDefault
54. MK-NW-F-011 assetClassOf
55. MK-CF-F-092 incomeMonthlyGrid
56. MK-CF-F-003 categoryMonthly
57. MK-CF-F-024 totalDebtMonthly
58. MK-CF-F-022 paymentShape
59. MK-CF-F-047 estimateEffectiveTaxRate
60. MK-CF-F-044 annualNet
61. MK-CF-F-101 taxOwedFor
62. MK-CF-F-100 taxableIncomeFor
63. MK-ST-F-025 rmdStartAgeFromAge
64. MK-CF-F-008 spendByMonth
65. MK-CF-F-069 benefitActiveMonths
66. MK-CF-F-075 retirementIncomeMonthly
67. MK-CF-F-062 equityRowValue
68. MK-CF-F-063 rowVestYear
69. MK-CF-F-060 salaryGrossByMonth
70. MK-CF-F-081 salaryActiveMonths
71. MK-NW-F-013 realEstateUseOf
72. MK-NW-F-008 incomeBearingClassOf
73. MK-CF-F-071 extraIncome
74. MK-CF-F-087 monthlyTaxRates
75. MK-CF-F-073 otherIncomeMonth
76. MK-CF-F-068 rentalNetAnnual
77. MK-CF-F-077 scholarshipByCalendarMonth
78. MK-CF-F-023 requiredPayment
79. MK-CF-F-021 defaultPaymentType
80. MK-CF-F-096 effectiveRateOnGross
81. MK-CF-F-099 deductionFor
82. MK-ST-F-024 rmdStartAge
83. MK-CF-F-097 grossFromNet
84. MK-ST-F-010 nameEvidence
85. MK-CF-F-090 effectiveRate
86. MK-CF-F-085 filingStatusOf
87. MK-CF-F-089 over65CountOf
88. MK-CF-F-086 stateRateOf
89. MK-CF-F-088 taxableByCalendarMonth
90. MK-CF-F-095 taxOwed
91. MK-CF-F-102 effectiveRateOnGrossFor
92. MK-CF-F-084 taxableAnnual
93. MK-CF-F-093 taxableIncome</t>
  </si>
  <si>
    <t>1. MK-ST-F-043 newEntityId → MK-NW-F-040 assetsFromOnboarding → MK-XS-F-032 snapshotFromOnboarding
2. MK-ST-F-052 toNum → MK-NW-F-040 assetsFromOnboarding → MK-XS-F-032 snapshotFromOnboarding
3. MK-NW-F-011 assetClassOf → MK-NW-F-007 assetKind → MK-NW-F-034 benchmarkReturn → MK-NW-F-037 blendedReturn → MK-XS-F-031 buildSnapshot → MK-XS-F-032 snapshotFromOnboarding
4. MK-NW-F-011 assetClassOf → MK-NW-F-030 earmarkDefault → MK-NW-F-032 earmarkedAmount → MK-NW-F-037 blendedReturn → MK-XS-F-031 buildSnapshot → MK-XS-F-032 snapshotFromOnboarding
5. MK-NW-F-013 realEstateUseOf → MK-NW-F-030 earmarkDefault → MK-NW-F-032 earmarkedAmount → MK-NW-F-037 blendedReturn → MK-XS-F-031 buildSnapshot → MK-XS-F-032 snapshotFromOnboarding
6. MK-ST-F-055 round2 → MK-NW-F-032 earmarkedAmount → MK-NW-F-037 blendedReturn → MK-XS-F-031 buildSnapshot → MK-XS-F-032 snapshotFromOnboarding
7. MK-NW-F-008 incomeBearingClassOf → MK-NW-F-011 assetClassOf → MK-NW-F-031 primaryCarIdOf → MK-NW-F-037 blendedReturn → MK-XS-F-031 buildSnapshot → MK-XS-F-032 snapshotFromOnboarding
8. MK-CF-F-069 benefitActiveMonths → MK-CF-F-092 incomeMonthlyGrid → MK-CF-F-002 plannedMonthlySpend → MK-CF-F-013 budgetFromOnboarding → MK-XS-F-031 buildSnapshot → MK-XS-F-032 snapshotFromOnboarding
9. … and 89 more paths</t>
  </si>
  <si>
    <t>MK-XS-F-033</t>
  </si>
  <si>
    <t>resolveNetWorthRows</t>
  </si>
  <si>
    <t>The single rule for which net-worth rows a live UI surface should use, so Home + TopBar + the Net Worth screen never disagree (B-49).</t>
  </si>
  <si>
    <t>use live = nw seeded (or live accounts.length &gt; 0 (or live liabilities.length &gt; 0 when missing or zero) when missing or zero)</t>
  </si>
  <si>
    <t>Use live is nw seeded (or live accounts.length &gt; 0 (or live liabilities.length &gt; 0 — when missing or zero) — when missing or zero).</t>
  </si>
  <si>
    <t>1. MK-NW-F-040 assetsFromOnboarding
2. MK-CF-F-038 debtsFromOnboarding</t>
  </si>
  <si>
    <t>1. MK-NW-F-040 assetsFromOnboarding
2. MK-CF-F-038 debtsFromOnboarding
3. MK-ST-F-043 newEntityId
4. MK-ST-F-052 toNum
5. MK-CF-F-037 inferDebtType</t>
  </si>
  <si>
    <t>1. MK-ST-F-043 newEntityId → MK-NW-F-040 assetsFromOnboarding → MK-XS-F-033 resolveNetWorthRows
2. MK-ST-F-052 toNum → MK-NW-F-040 assetsFromOnboarding → MK-XS-F-033 resolveNetWorthRows
3. MK-CF-F-037 inferDebtType → MK-CF-F-038 debtsFromOnboarding → MK-XS-F-033 resolveNetWorthRows
4. MK-ST-F-043 newEntityId → MK-CF-F-038 debtsFromOnboarding → MK-XS-F-033 resolveNetWorthRows
5. MK-ST-F-052 toNum → MK-CF-F-038 debtsFromOnboarding → MK-XS-F-033 resolveNetWorthRows</t>
  </si>
  <si>
    <t>NET_WORTH_ROWS</t>
  </si>
  <si>
    <t>MK-XS-F-034</t>
  </si>
  <si>
    <t>isLockAvailable</t>
  </si>
  <si>
    <t>src/services/appLock.ts</t>
  </si>
  <si>
    <t>True only when the device has biometric hardware AND the user has enrolled a biometric/passcode.</t>
  </si>
  <si>
    <t>m = load()
false   when has hardware async is missing
the answer = !!has hw and !!enrolled</t>
  </si>
  <si>
    <t>M is load(). When has hardware async is missing, it answers false. The answer is !!has hw and !!enrolled.</t>
  </si>
  <si>
    <t>Promise&lt;boolean&gt;</t>
  </si>
  <si>
    <t>MK-XS-F-035</t>
  </si>
  <si>
    <t>authenticate</t>
  </si>
  <si>
    <t>Prompt for Face ID / Touch ID / device passcode.</t>
  </si>
  <si>
    <t>m = load()
false   when authenticate async is missing
res = await authenticate async({ prompt message: reason, disable device fallback: false })
the answer = !!res.success</t>
  </si>
  <si>
    <t>M is load(). When authenticate async is missing, it answers false. Res is await authenticate async({ prompt message: reason, disable device fallback: false }). The answer is !!res.success.</t>
  </si>
  <si>
    <t>reason = 'Unlock MoneyKeel'</t>
  </si>
  <si>
    <t>MK-XS-F-036</t>
  </si>
  <si>
    <t>initCrashReporting</t>
  </si>
  <si>
    <t>src/services/crashReporter.ts</t>
  </si>
  <si>
    <t>Initialise crash reporting once, at app start.</t>
  </si>
  <si>
    <t>dsn = (constants.expo config.extra as any).SENTRY_DSN (or process.env.SENTRY_DSN (or '' when missing or zero) when missing or zero)
s = load sentry()
g = global this as any
prev = error utils.get global handler.()</t>
  </si>
  <si>
    <t>Dsn is (constants.expo config.extra as any).SENTRY_DSN (or process.env.SENTRY_DSN (or '' — when missing or zero) — when missing or zero). S is load sentry(). G is global this as any. Prev is error utils.get global handler.().</t>
  </si>
  <si>
    <t>MK-XS-F-037 captureException</t>
  </si>
  <si>
    <t>MK-XS-F-037 captureException → MK-XS-F-036 initCrashReporting</t>
  </si>
  <si>
    <t>MK-XS-F-037</t>
  </si>
  <si>
    <t>captureException</t>
  </si>
  <si>
    <t>Report a caught error.</t>
  </si>
  <si>
    <t>1. error: unknown
2. extra?: Extra</t>
  </si>
  <si>
    <t>MK-XS-F-038</t>
  </si>
  <si>
    <t>setUserScope</t>
  </si>
  <si>
    <t>Tag the current user on reports (call after login; pass null on logout).</t>
  </si>
  <si>
    <t>uid: string | null</t>
  </si>
  <si>
    <t>MK-XS-F-039</t>
  </si>
  <si>
    <t>crashReportingEnabled</t>
  </si>
  <si>
    <t>Whether reports are actually shipping to Sentry (DSN + SDK present).</t>
  </si>
  <si>
    <t>enabled</t>
  </si>
  <si>
    <t>enabled.</t>
  </si>
  <si>
    <t>MK-XS-F-040</t>
  </si>
  <si>
    <t>sendTestReport</t>
  </si>
  <si>
    <t>B-L2 verification: send a harmless test event so you can confirm wiring in the Sentry dashboard (works on the production/TestFlight build).</t>
  </si>
  <si>
    <t>"Hide balances" — on the Settings screen, under "Security"</t>
  </si>
  <si>
    <t>MK-XS-F-037 captureException → MK-XS-F-040 sendTestReport</t>
  </si>
  <si>
    <t>MK-XS-F-041</t>
  </si>
  <si>
    <t>cacheDataKey</t>
  </si>
  <si>
    <t>src/services/dataCrypto.ts</t>
  </si>
  <si>
    <t>── DEK lifecycle (the cached, unwrapped key the sync layer uses) ───── Cache the unwrapped DEK (memory + keychain).</t>
  </si>
  <si>
    <t>dek: string</t>
  </si>
  <si>
    <t>MK-XS-F-042</t>
  </si>
  <si>
    <t>getDataKey</t>
  </si>
  <si>
    <t>The cached DEK (memory → keychain), or null if it hasn't been unwrapped on this install yet.</t>
  </si>
  <si>
    <t>cached key   when cached key
cached key</t>
  </si>
  <si>
    <t>When cached key, it answers cached key. cached key.</t>
  </si>
  <si>
    <t>Promise&lt;string | null&gt;</t>
  </si>
  <si>
    <t>MK-XS-F-043</t>
  </si>
  <si>
    <t>clearDataKey</t>
  </si>
  <si>
    <t>Forget the DEK (on logout / account deletion).</t>
  </si>
  <si>
    <t>MK-XS-F-044</t>
  </si>
  <si>
    <t>generateDataKey</t>
  </si>
  <si>
    <t>── Key generation ─────────────────────────────────────────────────── A fresh random 256-bit data key (hex).</t>
  </si>
  <si>
    <t>crypto js.lib.word array.random(32).to string(crypto js.enc.hex)</t>
  </si>
  <si>
    <t>crypto js.lib.word array.random(32).to string(crypto js.enc.hex).</t>
  </si>
  <si>
    <t>MK-XS-F-045</t>
  </si>
  <si>
    <t>generateRecoveryCode</t>
  </si>
  <si>
    <t>A human-friendly recovery code, e.g.</t>
  </si>
  <si>
    <t>bytes = crypto js.lib.word array.random(20)
words = bytes.words
out = ''
byte = (words[i &gt;&gt;&gt; 2] &gt;&gt;&gt; (24 − (i % 4) × 8)) &amp; 0xff
the answer = (out.match( ÷ .{1,4} ÷ g) as string[]).join('-')</t>
  </si>
  <si>
    <t>Bytes is crypto js.lib.word array.random(20). Words is bytes.words. Out is ''. Byte is (words[i &gt;&gt;&gt; 2] &gt;&gt;&gt; (24 minus (i % 4) times 8)) &amp; 0xff. The answer is (out.match( divided by .{1,4} divided by g) as string[]).join('-').</t>
  </si>
  <si>
    <t>MK-XS-F-052 encryptWithKey</t>
  </si>
  <si>
    <t>MK-XS-F-052 encryptWithKey → MK-XS-F-045 generateRecoveryCode</t>
  </si>
  <si>
    <t>MK-XS-F-046</t>
  </si>
  <si>
    <t>makeEnvelope</t>
  </si>
  <si>
    <t>Build the stored envelope: the DEK locked by both the password and the recovery code.</t>
  </si>
  <si>
    <t>p = wrap with secret(dek, uid, password)
r = wrap with secret(dek, uid, recovery code)</t>
  </si>
  <si>
    <t>p = wrap with secret(dek, uid, password); r = wrap with secret(dek, uid, recovery code).</t>
  </si>
  <si>
    <t>1. dek: string
2. uid: string
3. password: string
4. recoveryCode: string</t>
  </si>
  <si>
    <t>KeyEnvelope</t>
  </si>
  <si>
    <t>MK-XS-F-047</t>
  </si>
  <si>
    <t>unwrapWithPassword</t>
  </si>
  <si>
    <t>Unlock the DEK with the password (null if the password is wrong / was reset).</t>
  </si>
  <si>
    <t>decrypt with key(env.p, derive key from secret(password, uid))   if env.p
nothing   otherwise</t>
  </si>
  <si>
    <t>decrypt with key(env.p, derive key from secret(password, uid)) — when env.p; no answer — otherwise.</t>
  </si>
  <si>
    <t>1. env: KeyEnvelope
2. uid: string
3. password: string</t>
  </si>
  <si>
    <t>MK-XS-F-053 decryptWithKey</t>
  </si>
  <si>
    <t>1. MK-XS-F-053 decryptWithKey
2. MK-XS-F-051 isEncrypted</t>
  </si>
  <si>
    <t>MK-XS-F-051 isEncrypted → MK-XS-F-053 decryptWithKey → MK-XS-F-047 unwrapWithPassword</t>
  </si>
  <si>
    <t>MK-XS-F-048</t>
  </si>
  <si>
    <t>unwrapWithRecovery</t>
  </si>
  <si>
    <t>Unlock the DEK with the recovery code (null if the code is wrong).</t>
  </si>
  <si>
    <t>decrypt with key(env.r, derive key from secret(recovery code, uid))   if env.r
nothing   otherwise</t>
  </si>
  <si>
    <t>decrypt with key(env.r, derive key from secret(recovery code, uid)) — when env.r; no answer — otherwise.</t>
  </si>
  <si>
    <t>1. env: KeyEnvelope
2. uid: string
3. recoveryCode: string</t>
  </si>
  <si>
    <t>MK-XS-F-051 isEncrypted → MK-XS-F-053 decryptWithKey → MK-XS-F-048 unwrapWithRecovery</t>
  </si>
  <si>
    <t>MK-XS-F-049</t>
  </si>
  <si>
    <t>rewrapPassword</t>
  </si>
  <si>
    <t>Re-lock an existing envelope's password copy under a new password (after a recovery-code restore).</t>
  </si>
  <si>
    <t>...env = ...env
p = wrap with secret(dek, uid, new password)</t>
  </si>
  <si>
    <t>...env = ...env; p = wrap with secret(dek, uid, new password).</t>
  </si>
  <si>
    <t>1. env: KeyEnvelope
2. dek: string
3. uid: string
4. newPassword: string</t>
  </si>
  <si>
    <t>MK-XS-F-050</t>
  </si>
  <si>
    <t>rewrapRecovery</t>
  </si>
  <si>
    <t>Replace an envelope's recovery copy with a new recovery code (rotate the code).</t>
  </si>
  <si>
    <t>...env = ...env
r = wrap with secret(dek, uid, recovery code)</t>
  </si>
  <si>
    <t>...env = ...env; r = wrap with secret(dek, uid, recovery code).</t>
  </si>
  <si>
    <t>1. env: KeyEnvelope
2. dek: string
3. uid: string
4. recoveryCode: string</t>
  </si>
  <si>
    <t>MK-XS-F-051</t>
  </si>
  <si>
    <t>isEncrypted</t>
  </si>
  <si>
    <t>── Low-level AES helpers (also used to wrap the DEK) ─────────────────</t>
  </si>
  <si>
    <t>typeof v = 'string' and (v as string).starts with(PREFIX)</t>
  </si>
  <si>
    <t>typeof v = 'string' and (v as string).starts with(PREFIX).</t>
  </si>
  <si>
    <t>v: unknown</t>
  </si>
  <si>
    <t>MK-XS-F-052</t>
  </si>
  <si>
    <t>encryptWithKey</t>
  </si>
  <si>
    <t>PREFIX + crypto js.AES.encrypt(JSON.stringify(obj), key hex).to string()</t>
  </si>
  <si>
    <t>PREFIX plus crypto js.AES.encrypt(JSON.stringify(obj), key hex).to string().</t>
  </si>
  <si>
    <t>1. obj: unknown
2. keyHex: string</t>
  </si>
  <si>
    <t>MK-XS-F-053</t>
  </si>
  <si>
    <t>decryptWithKey</t>
  </si>
  <si>
    <t>Decrypt an 'enc:'-tagged blob.</t>
  </si>
  <si>
    <t>nothing   when !is encrypted(blob)
plain = crypto js.AES.decrypt(blob.slice(PREFIX.length), key hex).to string(crypto js.enc.utf8)
the answer:
JSON.parse(plain)   if plain
nothing   otherwise</t>
  </si>
  <si>
    <t>When !is encrypted(blob), it answers no answer. Plain is crypto js.AES.decrypt(blob.slice(PREFIX.length), key hex).to string(crypto js.enc.utf8). The answer is JSON.parse(plain) — when plain; no answer — otherwise.</t>
  </si>
  <si>
    <t>1. blob: string
2. keyHex: string</t>
  </si>
  <si>
    <t>any | null</t>
  </si>
  <si>
    <t>MK-XS-F-051 isEncrypted</t>
  </si>
  <si>
    <t>MK-XS-F-051 isEncrypted → MK-XS-F-053 decryptWithKey</t>
  </si>
  <si>
    <t>MK-XS-F-054</t>
  </si>
  <si>
    <t>encryptForSync</t>
  </si>
  <si>
    <t>── The sync layer's interface (operates on the cached DEK) ─────────── Encrypt a payload with the cached DEK.</t>
  </si>
  <si>
    <t>key = await get data key()
the answer:
encrypt with key(obj, key)   if key
nothing   otherwise</t>
  </si>
  <si>
    <t>Key is await get data key(). The answer is encrypt with key(obj, key) — when key; no answer — otherwise.</t>
  </si>
  <si>
    <t>obj: unknown</t>
  </si>
  <si>
    <t>1. MK-XS-F-052 encryptWithKey
2. MK-XS-F-042 getDataKey</t>
  </si>
  <si>
    <t>1. MK-XS-F-052 encryptWithKey → MK-XS-F-054 encryptForSync
2. MK-XS-F-042 getDataKey → MK-XS-F-054 encryptForSync</t>
  </si>
  <si>
    <t>MK-XS-F-055</t>
  </si>
  <si>
    <t>decryptFromSync</t>
  </si>
  <si>
    <t>Decrypt a synced value: ciphertext → object; legacy plaintext object → returned as-is; null if it's ciphertext we can't decrypt (no key).</t>
  </si>
  <si>
    <t>nothing   when value = nothing
value   when !is encrypted(value)
key = await get data key()
the answer:
decrypt with key(value as string, key)   if key
nothing   otherwise</t>
  </si>
  <si>
    <t>When value is missing, it answers no answer. When !is encrypted(value), it answers value. Key is await get data key(). The answer is decrypt with key(value as string, key) — when key; no answer — otherwise.</t>
  </si>
  <si>
    <t>value: unknown</t>
  </si>
  <si>
    <t>Promise&lt;any | null&gt;</t>
  </si>
  <si>
    <t>1. MK-XS-F-053 decryptWithKey
2. MK-XS-F-042 getDataKey
3. MK-XS-F-051 isEncrypted</t>
  </si>
  <si>
    <t>1. MK-XS-F-051 isEncrypted → MK-XS-F-053 decryptWithKey → MK-XS-F-055 decryptFromSync
2. MK-XS-F-042 getDataKey → MK-XS-F-055 decryptFromSync
3. MK-XS-F-051 isEncrypted → MK-XS-F-055 decryptFromSync</t>
  </si>
  <si>
    <t>MK-XS-F-056</t>
  </si>
  <si>
    <t>fetchEconomicData</t>
  </si>
  <si>
    <t>src/services/economicData.ts</t>
  </si>
  <si>
    <t>What are inflation and the 10-year Treasury yield?</t>
  </si>
  <si>
    <t>res = await fetch(BLS_API + BLS_CPI_SERIES)
json = await res.json()
series = json.results.series.[0].data
latest = parse float(series[0].value)
year ago = parse float(series[12].value)
rate = ((latest − year ago) ÷ year ago) × 100
the answer = round(rate, 2 dp)
res = await fetch(TREASURY_API)
csv = await res.text()
rows = csv.trim().split('\n').slice(1)
value = rows[i].split(',')[1].trim()
… the first steps only — the rest of the body needs reading by hand.</t>
  </si>
  <si>
    <t>Res is await fetch(BLS_API plus BLS_CPI_SERIES). Json is await res.json(). Series is json.results.series.[0].data. Latest is parse float(series[0].value). Year ago is parse float(series[12].value). Rate is ((latest minus year ago) divided by year ago) times 100. The answer is rate, to the cent. Res is await fetch(TREASURY_API). Csv is await res.text(). Rows is csv.trim().split('\n').slice(1). Value is rows[i].split(',')[1].trim(). Only the first steps are shown; the rest of the body needs reading by hand.</t>
  </si>
  <si>
    <t>Promise&lt;EconomicData&gt;</t>
  </si>
  <si>
    <t>1. Uses today's date from the device clock, so the answer changes by itself overnight.
2. Multiplies by 100 — a percentage, or an option contract treated as 100 shares. Worth checking which.
3. Rounds the answer to a whole number.</t>
  </si>
  <si>
    <t>ECONOMIC_FIGURES</t>
  </si>
  <si>
    <t>MK-XS-F-057</t>
  </si>
  <si>
    <t>analyzeExpenses</t>
  </si>
  <si>
    <t>What is worth saying about this spending?</t>
  </si>
  <si>
    <t>data = await res.json()
the answer = data as expense analysis</t>
  </si>
  <si>
    <t>Data is await res.json(). The answer is data as expense analysis.</t>
  </si>
  <si>
    <t>EXPENSE_COMMENTARY</t>
  </si>
  <si>
    <t>MK-XS-F-058</t>
  </si>
  <si>
    <t>parseReceipt</t>
  </si>
  <si>
    <t>── Receipt OCR simulation ─────────────────────────────────────────── In production, integrate Google Vision API or AWS Textract.</t>
  </si>
  <si>
    <t>nothing</t>
  </si>
  <si>
    <t>no answer.</t>
  </si>
  <si>
    <t>_imageUri: string</t>
  </si>
  <si>
    <t>Promise&lt;</t>
  </si>
  <si>
    <t>READ_A_RECEIPT</t>
  </si>
  <si>
    <t>MK-XS-F-059</t>
  </si>
  <si>
    <t>readFileString</t>
  </si>
  <si>
    <t>src/services/fileRead.ts</t>
  </si>
  <si>
    <t>read as string async(uri, { encoding: encoding = 'base64' ? encoding type.base64 : encoding type.UTF8 })</t>
  </si>
  <si>
    <t>read as string async(uri, { encoding: encoding = 'base64' ? encoding type.base64 : encoding type.UTF8 }).</t>
  </si>
  <si>
    <t>1. uri: string
2. encoding: 'utf8' | 'base64' = 'utf8'</t>
  </si>
  <si>
    <t>Promise&lt;string&gt;</t>
  </si>
  <si>
    <t>MK-XS-F-060</t>
  </si>
  <si>
    <t>registerUser</t>
  </si>
  <si>
    <t>src/services/firebase.ts</t>
  </si>
  <si>
    <t>Returns the new user AND a one-time recovery code the caller MUST show the user to save.</t>
  </si>
  <si>
    <t>cred = await create user with email and password(auth, email, password)
dek = generate data key()
recovery code = generate recovery code()
key envelope = make envelope(dek, cred.user.uid, password, recovery code)
the answer:
user = cred.user
recovery code = recovery code</t>
  </si>
  <si>
    <t>Cred is await create user with email and password(auth, email, password). Dek is generate data key(). Recovery code is generate recovery code(). Key envelope is make envelope(dek, cred.user.uid, password, recovery code). The answer is user = cred.user; recovery code = recovery code.</t>
  </si>
  <si>
    <t>1. email: string
2. password: string
3. name: string
4. onCodeReady?: (code: string) =&gt; void</t>
  </si>
  <si>
    <t>1. MK-XS-F-041 cacheDataKey
2. MK-XS-F-044 generateDataKey
3. MK-XS-F-045 generateRecoveryCode
4. MK-XS-F-046 makeEnvelope</t>
  </si>
  <si>
    <t>1. MK-XS-F-041 cacheDataKey
2. MK-XS-F-044 generateDataKey
3. MK-XS-F-045 generateRecoveryCode
4. MK-XS-F-046 makeEnvelope
5. MK-XS-F-052 encryptWithKey</t>
  </si>
  <si>
    <t>1. MK-XS-F-041 cacheDataKey → MK-XS-F-060 registerUser
2. MK-XS-F-044 generateDataKey → MK-XS-F-060 registerUser
3. MK-XS-F-052 encryptWithKey → MK-XS-F-045 generateRecoveryCode → MK-XS-F-060 registerUser
4. MK-XS-F-046 makeEnvelope → MK-XS-F-060 registerUser</t>
  </si>
  <si>
    <t>MK-XS-F-061</t>
  </si>
  <si>
    <t>resendVerification</t>
  </si>
  <si>
    <t>Resend the verification email to the signed-in user.</t>
  </si>
  <si>
    <t>MK-XS-F-062</t>
  </si>
  <si>
    <t>refreshEmailVerified</t>
  </si>
  <si>
    <t>Re-check verification status from the server (call after the user clicks the email link).</t>
  </si>
  <si>
    <t>false   when auth.current user is missing
!!auth.current user.email verified</t>
  </si>
  <si>
    <t>When auth.current user is missing, it answers false. !!auth.current user.email verified.</t>
  </si>
  <si>
    <t>1. "Certain months" — on the setup questions, which appear on more than one screen
2. "HOW MUCH WILL YOU INVEST PER YEAR?" — on the setup questions, which appear on more than one screen
3. "When does it land? (pick the months)" — on the setup questions, which appear on more than one screen
4. "When is it due? (pick the months)" — on the setup questions, which appear on more than one screen</t>
  </si>
  <si>
    <t>MK-XS-F-063</t>
  </si>
  <si>
    <t>isEmailVerified</t>
  </si>
  <si>
    <t>!!auth.current user.email verified</t>
  </si>
  <si>
    <t>!!auth.current user.email verified.</t>
  </si>
  <si>
    <t>MK-XS-F-064</t>
  </si>
  <si>
    <t>currentIdToken</t>
  </si>
  <si>
    <t>The email of the account currently signed in to Firebase — the authoritative identity that account-level actions (delete, reauth) operate on.</t>
  </si>
  <si>
    <t>MK-XS-F-065</t>
  </si>
  <si>
    <t>currentUserEmail</t>
  </si>
  <si>
    <t>auth.current user.email (or nothing when missing)</t>
  </si>
  <si>
    <t>auth.current user.email (or no answer — when missing).</t>
  </si>
  <si>
    <t>"Confirm account deletion" — on the Settings screen, under "Account"</t>
  </si>
  <si>
    <t>MK-XS-F-066</t>
  </si>
  <si>
    <t>loginUser</t>
  </si>
  <si>
    <t>Returns the user plus the unlock status: • needsRecovery=true → the password can't open the data (it was reset); prompt for the recovery code.</t>
  </si>
  <si>
    <t>cred = await sign in with email and password(auth, email, password)
uid = cred.user.uid
snap = await get doc(doc(db, 'users', uid))
env = (snap.data() as any).key envelope   if snap.exists()
undefined   otherwise
dek = unwrap with password(env, uid, password)
the answer:
user = cred.user
needs recovery = true
dek = generate data key()
recovery code = generate recovery code()</t>
  </si>
  <si>
    <t>Cred is await sign in with email and password(auth, email, password). Uid is cred.user.uid. Snap is await get doc(doc(db, 'users', uid)). Env is (snap.data() as any).key envelope — when snap.exists(); undefined — otherwise. Dek is unwrap with password(env, uid, password). The answer is user = cred.user; needs recovery = true. Dek is generate data key(). Recovery code is generate recovery code().</t>
  </si>
  <si>
    <t>1. email: string
2. password: string
3. onCodeReady?: (code: string) =&gt; void</t>
  </si>
  <si>
    <t>1. MK-XS-F-041 cacheDataKey
2. MK-XS-F-044 generateDataKey
3. MK-XS-F-045 generateRecoveryCode
4. MK-XS-F-046 makeEnvelope
5. MK-XS-F-047 unwrapWithPassword</t>
  </si>
  <si>
    <t>1. MK-XS-F-041 cacheDataKey
2. MK-XS-F-044 generateDataKey
3. MK-XS-F-045 generateRecoveryCode
4. MK-XS-F-046 makeEnvelope
5. MK-XS-F-047 unwrapWithPassword
6. MK-XS-F-052 encryptWithKey
7. MK-XS-F-053 decryptWithKey
8. MK-XS-F-051 isEncrypted</t>
  </si>
  <si>
    <t>1. MK-XS-F-041 cacheDataKey → MK-XS-F-066 loginUser
2. MK-XS-F-044 generateDataKey → MK-XS-F-066 loginUser
3. MK-XS-F-052 encryptWithKey → MK-XS-F-045 generateRecoveryCode → MK-XS-F-066 loginUser
4. MK-XS-F-046 makeEnvelope → MK-XS-F-066 loginUser
5. MK-XS-F-051 isEncrypted → MK-XS-F-053 decryptWithKey → MK-XS-F-047 unwrapWithPassword → MK-XS-F-066 loginUser</t>
  </si>
  <si>
    <t>MK-XS-F-067</t>
  </si>
  <si>
    <t>restoreWithRecoveryCode</t>
  </si>
  <si>
    <t>After a password reset, restore data access with the recovery code, then re-lock the data under the NEW password.</t>
  </si>
  <si>
    <t>u = auth.current user
snap = await get doc(doc(db, 'users', uid))
env = (snap.data() as any).key envelope   if snap.exists()
undefined   otherwise
dek = unwrap with recovery(env, uid, recovery code)</t>
  </si>
  <si>
    <t>U is auth.current user. Snap is await get doc(doc(db, 'users', uid)). Env is (snap.data() as any).key envelope — when snap.exists(); undefined — otherwise. Dek is unwrap with recovery(env, uid, recovery code).</t>
  </si>
  <si>
    <t>1. recoveryCode: string
2. newPassword: string</t>
  </si>
  <si>
    <t>1. MK-XS-F-041 cacheDataKey
2. MK-XS-F-049 rewrapPassword
3. MK-XS-F-048 unwrapWithRecovery</t>
  </si>
  <si>
    <t>1. MK-XS-F-041 cacheDataKey
2. MK-XS-F-049 rewrapPassword
3. MK-XS-F-048 unwrapWithRecovery
4. MK-XS-F-053 decryptWithKey
5. MK-XS-F-051 isEncrypted</t>
  </si>
  <si>
    <t>1. MK-XS-F-041 cacheDataKey → MK-XS-F-067 restoreWithRecoveryCode
2. MK-XS-F-049 rewrapPassword → MK-XS-F-067 restoreWithRecoveryCode
3. MK-XS-F-051 isEncrypted → MK-XS-F-053 decryptWithKey → MK-XS-F-048 unwrapWithRecovery → MK-XS-F-067 restoreWithRecoveryCode</t>
  </si>
  <si>
    <t>MK-XS-F-068</t>
  </si>
  <si>
    <t>regenerateRecoveryCode</t>
  </si>
  <si>
    <t>Issue a NEW recovery code for the signed-in user (the old one stops working).</t>
  </si>
  <si>
    <t>u = auth.current user
dek = await get data key()
snap = await get doc(doc(db, 'users', uid))
env = snap.exists() and (snap.data() as any).key envelope (or p = ''
r = '' when missing or zero)
recovery code = generate recovery code()
the answer = recovery code</t>
  </si>
  <si>
    <t>U is auth.current user. Dek is await get data key(). Snap is await get doc(doc(db, 'users', uid)). Env is snap.exists() and (snap.data() as any).key envelope (or p = ''; r = '' — when missing or zero). Recovery code is generate recovery code(). The answer is recovery code.</t>
  </si>
  <si>
    <t>1. MK-XS-F-045 generateRecoveryCode
2. MK-XS-F-042 getDataKey
3. MK-XS-F-050 rewrapRecovery</t>
  </si>
  <si>
    <t>1. MK-XS-F-045 generateRecoveryCode
2. MK-XS-F-042 getDataKey
3. MK-XS-F-050 rewrapRecovery
4. MK-XS-F-052 encryptWithKey</t>
  </si>
  <si>
    <t>1. MK-XS-F-052 encryptWithKey → MK-XS-F-045 generateRecoveryCode → MK-XS-F-068 regenerateRecoveryCode
2. MK-XS-F-042 getDataKey → MK-XS-F-068 regenerateRecoveryCode
3. MK-XS-F-050 rewrapRecovery → MK-XS-F-068 regenerateRecoveryCode</t>
  </si>
  <si>
    <t>MK-XS-F-069</t>
  </si>
  <si>
    <t>logoutUser</t>
  </si>
  <si>
    <t>MK-XS-F-043 clearDataKey</t>
  </si>
  <si>
    <t>MK-XS-F-043 clearDataKey → MK-XS-F-069 logoutUser</t>
  </si>
  <si>
    <t>MK-XS-F-070</t>
  </si>
  <si>
    <t>resetPassword</t>
  </si>
  <si>
    <t>email: string</t>
  </si>
  <si>
    <t>MK-XS-F-071</t>
  </si>
  <si>
    <t>onAuthChange</t>
  </si>
  <si>
    <t>on auth state changed(auth, callback)</t>
  </si>
  <si>
    <t>on auth state changed(auth, callback).</t>
  </si>
  <si>
    <t>callback: (user: any) =&gt; void</t>
  </si>
  <si>
    <t>MK-XS-F-072</t>
  </si>
  <si>
    <t>deleteAccount</t>
  </si>
  <si>
    <t>Permanently delete the signed-in user's account (App Store Guideline 5.1.1(v)).</t>
  </si>
  <si>
    <t>u = auth.current user
cred = email auth provider.credential(email, password)
root = await load user root(uid)</t>
  </si>
  <si>
    <t>U is auth.current user. Cred is email auth provider.credential(email, password). Root is await load user root(uid).</t>
  </si>
  <si>
    <t>password: string</t>
  </si>
  <si>
    <t>1. MK-XS-F-035 authenticate
2. MK-XS-F-043 clearDataKey
3. MK-XS-F-079 loadUserRoot</t>
  </si>
  <si>
    <t>1. MK-XS-F-035 authenticate
2. MK-XS-F-043 clearDataKey
3. MK-XS-F-079 loadUserRoot
4. MK-XS-F-055 decryptFromSync
5. MK-XS-F-053 decryptWithKey
6. MK-XS-F-042 getDataKey
7. MK-XS-F-051 isEncrypted</t>
  </si>
  <si>
    <t>1. MK-XS-F-035 authenticate → MK-XS-F-072 deleteAccount
2. MK-XS-F-043 clearDataKey → MK-XS-F-072 deleteAccount
3. MK-XS-F-051 isEncrypted → MK-XS-F-053 decryptWithKey → MK-XS-F-055 decryptFromSync → MK-XS-F-079 loadUserRoot → MK-XS-F-072 deleteAccount
4. MK-XS-F-042 getDataKey → MK-XS-F-055 decryptFromSync → MK-XS-F-079 loadUserRoot → MK-XS-F-072 deleteAccount
5. MK-XS-F-051 isEncrypted → MK-XS-F-055 decryptFromSync → MK-XS-F-079 loadUserRoot → MK-XS-F-072 deleteAccount</t>
  </si>
  <si>
    <t>MK-XS-F-073</t>
  </si>
  <si>
    <t>saveUserData</t>
  </si>
  <si>
    <t>Sync fields stored ENCRYPTED under users/{uid}.appStateEnc (zero-knowledge — see dataCrypto.ts).</t>
  </si>
  <si>
    <t>clean = JSON.parse(JSON.stringify(data ?? {}))
enc = await encrypt for sync(clean)</t>
  </si>
  <si>
    <t>Clean is JSON.parse(JSON.stringify(data ?? {})). Enc is await encrypt for sync(clean).</t>
  </si>
  <si>
    <t>1. uid: string
2. data: object</t>
  </si>
  <si>
    <t>MK-XS-F-054 encryptForSync</t>
  </si>
  <si>
    <t>1. MK-XS-F-054 encryptForSync
2. MK-XS-F-052 encryptWithKey
3. MK-XS-F-042 getDataKey</t>
  </si>
  <si>
    <t>1. MK-XS-F-052 encryptWithKey → MK-XS-F-054 encryptForSync → MK-XS-F-073 saveUserData
2. MK-XS-F-042 getDataKey → MK-XS-F-054 encryptForSync → MK-XS-F-073 saveUserData</t>
  </si>
  <si>
    <t>MK-XS-F-074</t>
  </si>
  <si>
    <t>loadUserData</t>
  </si>
  <si>
    <t>snap = await get doc(doc(db, 'users', uid))
nothing   when !snap.exists()
d = snap.data()
await decrypt from sync(app state enc)   when app state enc ≠ nothing
the answer = app state (or nothing when missing)
alphabet = 'ABCDEFGHJKMNPQRSTUVWXYZ23456789'</t>
  </si>
  <si>
    <t>Snap is await get doc(doc(db, 'users', uid)). When !snap.exists(), it answers no answer. D is snap.data(). When app state enc is not no answer, it answers await decrypt from sync(app state enc). The answer is app state (or no answer — when missing). Alphabet is 'ABCDEFGHJKMNPQRSTUVWXYZ23456789'.</t>
  </si>
  <si>
    <t>uid: string</t>
  </si>
  <si>
    <t>Promise&lt;Record&lt;string, any&gt; | null&gt;</t>
  </si>
  <si>
    <t>"Restore your data" — on the auth screen</t>
  </si>
  <si>
    <t>MK-XS-F-055 decryptFromSync</t>
  </si>
  <si>
    <t>1. MK-XS-F-055 decryptFromSync
2. MK-XS-F-053 decryptWithKey
3. MK-XS-F-042 getDataKey
4. MK-XS-F-051 isEncrypted</t>
  </si>
  <si>
    <t>1. MK-XS-F-051 isEncrypted → MK-XS-F-053 decryptWithKey → MK-XS-F-055 decryptFromSync → MK-XS-F-074 loadUserData
2. MK-XS-F-042 getDataKey → MK-XS-F-055 decryptFromSync → MK-XS-F-074 loadUserData
3. MK-XS-F-051 isEncrypted → MK-XS-F-055 decryptFromSync → MK-XS-F-074 loadUserData</t>
  </si>
  <si>
    <t>MK-XS-F-075</t>
  </si>
  <si>
    <t>createInvite</t>
  </si>
  <si>
    <t>Create an invite code pointing at this household's shared data doc.</t>
  </si>
  <si>
    <t>code = make invite code()
the answer = code</t>
  </si>
  <si>
    <t>Code is make invite code(). The answer is code.</t>
  </si>
  <si>
    <t>1. householdId: string
2. inviterName: string | null</t>
  </si>
  <si>
    <t>"Vesting schedule" — on the setup questions, which appear on more than one screen</t>
  </si>
  <si>
    <t>MK-XS-F-076</t>
  </si>
  <si>
    <t>lookupInvite</t>
  </si>
  <si>
    <t>snap = await get doc(doc(db, 'invites', code.trim().to upper case()))
nothing   when !snap.exists()
d = snap.data() as any
the answer:
household id = household id
inviter name = inviter name (or nothing when missing)   if household id
nothing   otherwise</t>
  </si>
  <si>
    <t>Snap is await get doc(doc(db, 'invites', code.trim().to upper case())). When !snap.exists(), it answers no answer. D is snap.data() as any. The answer is household id = household id; inviter name = inviter name (or no answer when missing) — when household id; no answer — otherwise.</t>
  </si>
  <si>
    <t>code: string</t>
  </si>
  <si>
    <t>MK-XS-F-077</t>
  </si>
  <si>
    <t>setUserHousehold</t>
  </si>
  <si>
    <t>Record household membership on the member's own user doc (survives reinstall/new device).</t>
  </si>
  <si>
    <t>1. uid: string
2. householdId: string</t>
  </si>
  <si>
    <t>MK-XS-F-078</t>
  </si>
  <si>
    <t>joinHouseholdMembership</t>
  </si>
  <si>
    <t>Claim membership in {householdId} by writing the member doc the security rules gate access on.</t>
  </si>
  <si>
    <t>1. uid: string
2. householdId: string
3. code: string</t>
  </si>
  <si>
    <t>MK-XS-F-079</t>
  </si>
  <si>
    <t>loadUserRoot</t>
  </si>
  <si>
    <t>The member's own top-level doc fields (householdId + decrypted appState) in one read.</t>
  </si>
  <si>
    <t>snap = await get doc(doc(db, 'users', uid))
household id = nothing
app state = nothing   when !snap.exists()
d = snap.data() as any
app state = await decrypt from sync(app state enc)   if app state enc ≠ nothing
app state (or nothing when missing)   otherwise
the answer:
household id = household id (or nothing when missing)
app state = app state</t>
  </si>
  <si>
    <t>Snap is await get doc(doc(db, 'users', uid)). When !snap.exists(), it answers household id is missing; app state is missing. D is snap.data() as any. App state is await decrypt from sync(app state enc) — when app state enc is not no answer; app state (or no answer — when missing) — otherwise. The answer is household id = household id (or no answer — when missing); app state = app state.</t>
  </si>
  <si>
    <t>1. MK-XS-F-051 isEncrypted → MK-XS-F-053 decryptWithKey → MK-XS-F-055 decryptFromSync → MK-XS-F-079 loadUserRoot
2. MK-XS-F-042 getDataKey → MK-XS-F-055 decryptFromSync → MK-XS-F-079 loadUserRoot
3. MK-XS-F-051 isEncrypted → MK-XS-F-055 decryptFromSync → MK-XS-F-079 loadUserRoot</t>
  </si>
  <si>
    <t>MK-XS-F-080</t>
  </si>
  <si>
    <t>submitFeedback</t>
  </si>
  <si>
    <t>MK-XS-F-081</t>
  </si>
  <si>
    <t>isPlausibleTicker</t>
  </si>
  <si>
    <t>src/services/marketData.ts</t>
  </si>
  <si>
    <t>Is a ticker plausibly valid before we spend a network call?</t>
  </si>
  <si>
    <t>÷ ^[A − za − z]{1,6}([.\-][A − za − z]{1,4})?$ ÷ .test((ticker ?? '').trim())</t>
  </si>
  <si>
    <t>÷ ^[A minus za minus z]{1,6}([.\-][A minus za minus z]{1,4})?$ divided by .test((ticker ?? '').trim()).</t>
  </si>
  <si>
    <t>ticker: string</t>
  </si>
  <si>
    <t>TICKER_PLAUSIBLE</t>
  </si>
  <si>
    <t>Human freshness of the price cache + whether it's stale enough to warn (markets move daily, so anything older than ~4 days — a long weekend/holiday — is worth a "may be out of date" note).</t>
  </si>
  <si>
    <t>age   = now − the moment prices were last fetched
stale = age ≥ 4 days,  or nothing was ever fetched,  or the moment cannot be read</t>
  </si>
  <si>
    <t>How long since prices last came back, said in days or hours. Four days, because a long weekend or a holiday can put three days between two perfectly normal updates and a false alarm teaches people to ignore the real one. Never fetched, unreadable, or dated in the future all read STALE — silence is not good news.</t>
  </si>
  <si>
    <t>1. fetchedAt: string | null | undefined
2. now: number</t>
  </si>
  <si>
    <t>PriceFreshness</t>
  </si>
  <si>
    <t>MK-XS-F-083</t>
  </si>
  <si>
    <t>fetchPriceSeries</t>
  </si>
  <si>
    <t>Fetch many tickers in parallel; returns only the ones that resolved.</t>
  </si>
  <si>
    <t>unique = array.from(new set(tickers.map((t) =&gt; trim().to upper case()).filter(boolean)))
results = await promise.all settled(unique.map((t) =&gt; provider.fetch series(t, range)))
out = {}
r = results[i]
the answer = out</t>
  </si>
  <si>
    <t>Unique is array.from(new set(tickers.map((t) =&gt; trim().to upper case()).filter(boolean))). Results is await promise.all settled(unique.map((t) =&gt; provider.fetch series(t, range))). Out is {}. R is results[i]. The answer is out.</t>
  </si>
  <si>
    <t>MK-XS-F-084</t>
  </si>
  <si>
    <t>requestNotificationPermission</t>
  </si>
  <si>
    <t>src/services/notifications.ts</t>
  </si>
  <si>
    <t>false   when device.is device is missing
true   when existing = 'granted'
status = 'granted'</t>
  </si>
  <si>
    <t>When device.is device is missing, it answers false. When existing = 'granted', it answers true. status = 'granted'.</t>
  </si>
  <si>
    <t>MK-XS-F-085</t>
  </si>
  <si>
    <t>scheduleStreakReminder</t>
  </si>
  <si>
    <t>── Schedule daily streak reminder ─────────────────────────────────</t>
  </si>
  <si>
    <t>MK-XS-F-086</t>
  </si>
  <si>
    <t>cancelStreakReminder</t>
  </si>
  <si>
    <t>── Cancel streak reminder (e.g.</t>
  </si>
  <si>
    <t>MK-XS-F-087</t>
  </si>
  <si>
    <t>scheduleRmdReminder</t>
  </si>
  <si>
    <t>── Required-withdrawal reminders (FCC Plan r48/r51 — logistics only, no timing advice) ── November 1 nudge ahead of the Dec 31 deadline (this year or a future start year).</t>
  </si>
  <si>
    <t>id = `rmd − reminder-${year}`
fire at = the date year, 10, 1, 10, 0, 0
false   when fire at.get time() ≤ date.now()
the answer = true</t>
  </si>
  <si>
    <t>Id is `rmd minus reminder-${year}`. Fire at: the date year, 10, 1, 10, 0, 0. When fire at.get time() is at most date.now(), it answers false. The answer is true.</t>
  </si>
  <si>
    <t>year: number</t>
  </si>
  <si>
    <t>MK-XS-F-088</t>
  </si>
  <si>
    <t>sendBudgetAlert</t>
  </si>
  <si>
    <t>── Budget alert (fire immediately) ────────────────────────────────</t>
  </si>
  <si>
    <t>1. category: string
2. pct: number</t>
  </si>
  <si>
    <t>MK-XS-F-089</t>
  </si>
  <si>
    <t>scheduleWeeklySummary</t>
  </si>
  <si>
    <t>── Weekly summary notification ────────────────────────────────────</t>
  </si>
  <si>
    <t>MK-XS-F-090</t>
  </si>
  <si>
    <t>addNotificationResponseListener</t>
  </si>
  <si>
    <t>── Listen for notification taps ───────────────────────────────────</t>
  </si>
  <si>
    <t>screen = response.notification.request.content.data.screen as string</t>
  </si>
  <si>
    <t>Screen is response.notification.request.content.data.screen as string.</t>
  </si>
  <si>
    <t>MK-XS-F-091</t>
  </si>
  <si>
    <t>scheduleSsWindowReminder</t>
  </si>
  <si>
    <t>── Social Security claim-window reminder (design r18, built pre-48 per founder decision) ── Fires the month the claim window opens (their 62nd-birthday month), 10:00 on the 1st.</t>
  </si>
  <si>
    <t>id = 'ss − window − reminder'
fire at = the date opens year, opens month1 − 1, 1, 10, 0, 0
false   when fire at.get time() ≤ date.now()
the answer = true</t>
  </si>
  <si>
    <t>Id is 'ss minus window minus reminder'. Fire at: the date opens year, opens month1 minus 1, 1, 10, 0, 0. When fire at.get time() is at most date.now(), it answers false. The answer is true.</t>
  </si>
  <si>
    <t>1. opensYear: number
2. opensMonth1: number</t>
  </si>
  <si>
    <t>MK-XS-F-092</t>
  </si>
  <si>
    <t>parseReceiptWithOCR</t>
  </si>
  <si>
    <t>src/services/receiptOCR.ts</t>
  </si>
  <si>
    <t>Sends a receipt image to Google Cloud Vision API for OCR, then parses the raw text to extract store, total, date, category.</t>
  </si>
  <si>
    <t>the answer = nothing
json = await response.json()
raw text = json.responses.[0].full text annotation.text (or '' when missing or zero)
nothing   when raw text is missing</t>
  </si>
  <si>
    <t>The answer is no answer. Json is await response.json(). Raw text is json.responses.[0].full text annotation.text (or '' — when missing or zero). When raw text is missing, it answers no answer.</t>
  </si>
  <si>
    <t>imageUri: string</t>
  </si>
  <si>
    <t>Promise&lt;ParsedReceipt | null&gt;</t>
  </si>
  <si>
    <t>MK-XS-F-094 parseReceiptText</t>
  </si>
  <si>
    <t>1. MK-XS-F-094 parseReceiptText
2. MK-XS-F-093 stripNonMoney</t>
  </si>
  <si>
    <t>MK-XS-F-093 stripNonMoney → MK-XS-F-094 parseReceiptText → MK-XS-F-092 parseReceiptWithOCR</t>
  </si>
  <si>
    <t>MK-XS-F-093</t>
  </si>
  <si>
    <t>stripNonMoney</t>
  </si>
  <si>
    <t>A DATE IS NOT MONEY.</t>
  </si>
  <si>
    <t>line: string</t>
  </si>
  <si>
    <t>MK-XS-F-094</t>
  </si>
  <si>
    <t>parseReceiptText</t>
  </si>
  <si>
    <t>lines = for each of text.split('\n'): trim() where boolean
payment line = ÷ \b(cash|tender|tendered|change|paid|payment|visa|mastercard|amex|discover|debit|credit|card|auth|approval|account)\b ÷ i
strong total = ÷ \b(grand\s × total|amount\s × due|balance\s × due|total\s × due|balance|net)\b ÷ i
weak total = ÷ \b(total|fee)\b ÷ i
subtotal line = ÷ \bsub\s × -?\s × total\b ÷ i
savings hdr = ÷ \b(your\s+savings|total\s+savings|savings\s+value|your\s+points|rewards?|cash\s × off|coupons?)\b ÷ i
negative line = ÷ -\s × \$?\s × \d ÷
amount = ÷ \$?\s × ([\d,]+\.[\d]{2})\b ÷
m = strip non money(l).match(AMOUNT)
v = parse float(m[1].replace( ÷ , ÷ g, ''))   if m
na n   otherwise
the answer:
v   if number.is finite(v) and v &gt; 0 and v &lt; 10000
nothing   otherwise
… the first steps only — the rest of the body needs reading by hand.</t>
  </si>
  <si>
    <t>Lines is for each of text.split('\n'): trim() where boolean. Payment line is ÷ \b(cash|tender|tendered|change|paid|payment|visa|mastercard|amex|discover|debit|credit|card|auth|approval|account)\b divided by i. Strong total is ÷ \b(grand\s times total|amount\s times due|balance\s times due|total\s times due|balance|net)\b divided by i. Weak total is ÷ \b(total|fee)\b divided by i. Subtotal line is ÷ \bsub\s times -?\s times total\b divided by i. Savings hdr is ÷ \b(your\s+savings|total\s+savings|savings\s+value|your\s+points|rewards?|cash\s times off|coupons?)\b divided by i. Negative line is ÷ -\s times \$?\s times \d ÷. Amount is ÷ \$?\s times ([\d,]+\.[\d]{2})\b ÷. M is strip non money(l).match(AMOUNT). V is parse float(m[1].replace( divided by , divided by g, '')) — when m; na n — otherwise. The answer is v — when number.is finite(v) and v &gt; 0 and v &lt; 10000; no answer — otherwise. Only the first steps are shown; the rest of the body needs reading by hand.</t>
  </si>
  <si>
    <t>ParsedReceipt</t>
  </si>
  <si>
    <t>1. Uses a built-in strong t of 0.
2. Uses a built-in weak t of 0.
3. Uses a built-in subtotal of 0.
4. Uses a built-in largest safe of 0.
5. Uses today's date from the device clock, so the answer changes by itself overnight.
6. Leaves some rows out of the answer — check which.</t>
  </si>
  <si>
    <t>MK-XS-F-093 stripNonMoney</t>
  </si>
  <si>
    <t>MK-XS-F-093 stripNonMoney → MK-XS-F-094 parseReceiptText</t>
  </si>
  <si>
    <t>MK-XS-F-095</t>
  </si>
  <si>
    <t>ocrAvailable</t>
  </si>
  <si>
    <t>src/services/receiptScan.ts</t>
  </si>
  <si>
    <t>MK-XS-F-096</t>
  </si>
  <si>
    <t>pickReceipt</t>
  </si>
  <si>
    <t>Capture (camera) or pick (library) a receipt image; returns its uri or null if cancelled/denied.</t>
  </si>
  <si>
    <t>p = await image picker.request camera permissions async()
nothing   when granted is missing
r = await image picker.launch camera async({ quality: 0.6 })
the answer:
nothing   if canceled
assets.[0].uri (or nothing when missing)   otherwise
p = await image picker.request media library permissions async()
nothing   when granted is missing
r = await image picker.launch image library async({ quality: 0.6 })</t>
  </si>
  <si>
    <t>P is await image picker.request camera permissions async(). When granted is missing, it answers no answer. R is await image picker.launch camera async({ quality: 0.6 }). The answer is no answer — when canceled; assets.[0].uri (or no answer — when missing) — otherwise. P is await image picker.request media library permissions async(). When granted is missing, it answers no answer. R is await image picker.launch image library async({ quality: 0.6 }).</t>
  </si>
  <si>
    <t>source: 'camera' | 'library'</t>
  </si>
  <si>
    <t>MK-XS-F-097</t>
  </si>
  <si>
    <t>ocrReceipt</t>
  </si>
  <si>
    <t>raw = ''   when !ocr available()
res = await mlkit.recognize(uri)
text = res.text (or '' when missing)
the answer:
...parse receipt(text) = ...parse receipt(text)
raw = text</t>
  </si>
  <si>
    <t>When !ocr available(), it answers raw = ''. Res is await mlkit.recognize(uri). Text is res.text (or '' — when missing). The answer is ...parse receipt(text) = ...parse receipt(text); raw = text.</t>
  </si>
  <si>
    <t>uri: string</t>
  </si>
  <si>
    <t>1. MK-XS-F-095 ocrAvailable
2. MK-XS-F-058 parseReceipt</t>
  </si>
  <si>
    <t>1. MK-XS-F-095 ocrAvailable → MK-XS-F-097 ocrReceipt
2. MK-XS-F-058 parseReceipt → MK-XS-F-097 ocrReceipt</t>
  </si>
  <si>
    <t>MK-XS-F-098</t>
  </si>
  <si>
    <t>setSyncProviderForTesting</t>
  </si>
  <si>
    <t>src/services/sync/index.ts</t>
  </si>
  <si>
    <t>p: SyncProvider | null</t>
  </si>
  <si>
    <t>MK-XS-F-099</t>
  </si>
  <si>
    <t>activeSyncProvider</t>
  </si>
  <si>
    <t>The one lookup the UI uses.</t>
  </si>
  <si>
    <t>override provider   when override provider ! = undefined
new sandbox sync provider()   if typeof __DEV__ ! = 'undefined' and __DEV__
nothing   otherwise</t>
  </si>
  <si>
    <t>When override provider ! = undefined, it answers override provider. new sandbox sync provider() — when typeof __DEV__ ! = 'undefined' and __DEV__; no answer — otherwise.</t>
  </si>
  <si>
    <t>SyncProvider | null</t>
  </si>
  <si>
    <t>MK-XS-F-100</t>
  </si>
  <si>
    <t>connectionFreshness</t>
  </si>
  <si>
    <t>How old a connected account's last successful sync is.</t>
  </si>
  <si>
    <t>nothing   when last synced is missing
t = date.parse(last synced)
nothing   when number.is na n(t)
days = max(0, round down((now − t) ÷ 86400000))
label = 'today'
stale = false
days old = 0   when days = 0
label = 'yesterday'
stale = false
days old = 1   when days = 1
the answer:
label = `${days} days old`
stale = days &gt; 3
days old = days</t>
  </si>
  <si>
    <t>When last synced is missing, it answers no answer. T is date.parse(last synced). When number.is na n(t), it answers no answer. Days is (now minus t, rounded down divided by 86400000, never below zero). When days = 0, it answers label = 'today'; stale = false; days old = 0. When days = 1, it answers label = 'yesterday'; stale = false; days old = 1. The answer is label = `${days} days old`; stale = days &gt; 3; days old = days.</t>
  </si>
  <si>
    <t>1. lastSynced: string | null | undefined
2. now: number = Date.now()</t>
  </si>
  <si>
    <t>ConnectionFreshness | null</t>
  </si>
  <si>
    <t>MK-XS-F-101</t>
  </si>
  <si>
    <t>stAssetId</t>
  </si>
  <si>
    <t>src/services/sync/ingest.ts</t>
  </si>
  <si>
    <t>What do we call this connected account internally?</t>
  </si>
  <si>
    <t>snapTradeAccountId: string</t>
  </si>
  <si>
    <t>ACCOUNT_IDENTITY</t>
  </si>
  <si>
    <t>MK-XS-F-102</t>
  </si>
  <si>
    <t>ingestSync</t>
  </si>
  <si>
    <t>A broker just sent us data — what changes?</t>
  </si>
  <si>
    <t>accounts = [...existing accounts]
seen keys = { ...existing seen keys }
new transactions = []
needs wrapper confirm = []
st = account
guess = map account type(st.raw type, st.account category)
tail = string(st.number).slice(-4)   if st.number
''   otherwise
mask = `••${tail}`   if ÷ ^\d{4}$ ÷ .test(tail)
undefined   otherwise
inst = st.institution name.trim().to lower case()
asset id = prior.asset id (or st asset id(st.id) when missing)
mapped = for each of positions (or none when missing): map position where (m): m is non nullable&lt;typeof m&gt; =&gt; !!m
… the first steps only — the rest of the body needs reading by hand.</t>
  </si>
  <si>
    <t>Accounts is [...existing accounts]. Seen keys is { ...existing seen keys }. New transactions is []. Needs wrapper confirm is []. St is account. Guess is map account type(st.raw type, st.account category). Tail is string(st.number).slice(-4) — when st.number; '' — otherwise. Mask is `••${tail}` — when divided by ^\d{4}$ divided by .test(tail); undefined — otherwise. Inst is st.institution name.trim().to lower case(). Asset id is prior.asset id (or st asset id(st.id) — when missing). Mapped is for each of positions (or none — when missing): map position where (m): m is non nullable&lt;typeof m&gt; =&gt; !!m. Only the first steps are shown; the rest of the body needs reading by hand.</t>
  </si>
  <si>
    <t>1. If cost per share is missing it uses 0.
2. If target return is missing it uses 8%.
3. If balance is missing it uses 0.
4. If shares is missing it counts as zero, so nothing recorded and a real zero look the same.
5. If cost per share is missing it counts as zero, so nothing recorded and a real zero look the same.
6. If value is missing it counts as zero, so nothing recorded and a real zero look the same.
7. Uses today's date from the device clock, so the answer changes by itself overnight.
8. Multiplies by 100 — a percentage, or an option contract treated as 100 shares. Worth checking which.
9. Rounds the answer to a whole number.
10. Leaves some rows out of the answer — check which.</t>
  </si>
  <si>
    <t>1. MK-XS-F-108 activityKey
2. MK-ST-F-011 classifyHoldingClass
3. MK-XS-F-104 mapAccountType
4. MK-XS-F-106 mapOptionHolding
5. MK-XS-F-111 mergeHistoryFrom
6. MK-XS-F-110 netCashSleeve
7. MK-ST-F-043 newEntityId
8. MK-ST-F-022 reconcileAccountTotal
9. MK-XS-F-101 stAssetId
10. MK-ST-F-012 toLedgerRow
11. MK-ST-F-021 toNumber</t>
  </si>
  <si>
    <t>1. MK-XS-F-108 activityKey
2. MK-ST-F-011 classifyHoldingClass
3. MK-XS-F-104 mapAccountType
4. MK-XS-F-106 mapOptionHolding
5. MK-XS-F-111 mergeHistoryFrom
6. MK-XS-F-110 netCashSleeve
7. MK-ST-F-043 newEntityId
8. MK-ST-F-022 reconcileAccountTotal
9. MK-XS-F-101 stAssetId
10. MK-ST-F-012 toLedgerRow
11. MK-ST-F-021 toNumber
12. MK-ST-F-014 importKey
13. MK-ST-F-010 nameEvidence
14. MK-ST-F-007 classifyEvent
15. MK-ST-F-018 readMoney
16. MK-ST-F-019 signed</t>
  </si>
  <si>
    <t>1. MK-ST-F-014 importKey → MK-XS-F-108 activityKey → MK-XS-F-102 ingestSync
2. MK-ST-F-010 nameEvidence → MK-ST-F-011 classifyHoldingClass → MK-XS-F-102 ingestSync
3. MK-XS-F-104 mapAccountType → MK-XS-F-102 ingestSync
4. MK-XS-F-106 mapOptionHolding → MK-XS-F-102 ingestSync
5. MK-XS-F-111 mergeHistoryFrom → MK-XS-F-102 ingestSync
6. MK-XS-F-110 netCashSleeve → MK-XS-F-102 ingestSync
7. MK-ST-F-043 newEntityId → MK-XS-F-102 ingestSync
8. MK-ST-F-022 reconcileAccountTotal → MK-XS-F-102 ingestSync
9. … and 6 more paths</t>
  </si>
  <si>
    <t>SYNC_ONE_ACCOUNT</t>
  </si>
  <si>
    <t>MK-XS-F-103</t>
  </si>
  <si>
    <t>confirmWrapper</t>
  </si>
  <si>
    <t>Mark an account's wrapper as USER-CONFIRMED — future syncs never override it.</t>
  </si>
  <si>
    <t>for each of accounts: ...each = ...each
kind = kind
tax bucket = tax bucket
wrapper confirmed = true   if asset id = asset id
each   otherwise</t>
  </si>
  <si>
    <t>for each of accounts: ...each = ...each; kind = kind; tax bucket = tax bucket; wrapper confirmed = true — when asset id = asset id; each — otherwise.</t>
  </si>
  <si>
    <t>1. accounts: AssetAccount[]
2. assetId: string
3. kind: string
4. taxBucket: AssetAccount['tax_bucket']</t>
  </si>
  <si>
    <t>CONFIRM_TAX_TYPE</t>
  </si>
  <si>
    <t>MK-XS-F-104</t>
  </si>
  <si>
    <t>mapAccountType</t>
  </si>
  <si>
    <t>src/services/sync/snaptrade.ts</t>
  </si>
  <si>
    <t>What kind of account is this, and how is it taxed?</t>
  </si>
  <si>
    <t>t = (raw type ?? '').to lower case()
has = (...words: string[]) =&gt; words.some((w) =&gt; includes(w))
kind = '401k'   if has('401')
'roth_ira'   otherwise
tax bucket = 'ROTH'
confident = true   when has('roth')
kind = '401k'
tax bucket = 'PRE_TAX'
confident = true   when has('401k', '401(k)', '403b', '403(b)', '457')
kind = 'trad_ira'
tax bucket = 'PRE_TAX'
confident = true   when has('rollover', 'traditional', 'sep', 'simple ira')
kind = 'trad_ira'
tax bucket = 'PRE_TAX'
confident = true   when has('ira')
kind = 'hsa'
tax bucket = 'PRE_TAX'
confident = true   when has('hsa')
kind = 'checking'
tax bucket = 'CASH'
confident = true   when has('checking')
kind = 'brokerage'
tax bucket = 'TAXABLE'
confident = false   when has('savings')
kind = 'college_529'
tax bucket = 'TAXABLE'
confident = true   when has('529', 'education')
the answer:
kind = 'brokerage'
tax bucket = 'TAXABLE'
confident = true
… the first steps only — the rest of the body needs reading by hand.</t>
  </si>
  <si>
    <t>T is (raw type ?? '').to lower case(). Has is (...words: string[]) =&gt; words.some((w) =&gt; includes(w)). When has('roth'), it answers kind = '401k' — when has('401'); 'roth_ira' — otherwise; tax bucket = 'ROTH'; confident = true. When has('401k', '401(k)', '403b', '403(b)', '457'), it answers kind = '401k'; tax bucket = 'PRE_TAX'; confident = true. When has('rollover', 'traditional', 'sep', 'simple ira'), it answers kind = 'trad_ira'; tax bucket = 'PRE_TAX'; confident = true. When has('ira'), it answers kind = 'trad_ira'; tax bucket = 'PRE_TAX'; confident = true. When has('hsa'), it answers kind = 'hsa'; tax bucket = 'PRE_TAX'; confident = true. When has('checking'), it answers kind = 'checking'; tax bucket = 'CASH'; confident = true. When has('savings'), it answers kind = 'brokerage'; tax bucket = 'TAXABLE'; confident = false. When has('529', 'education'), it answers kind = 'college_529'; tax bucket = 'TAXABLE'; confident = true. The answer is kind = 'brokerage'; tax bucket = 'TAXABLE'; confident = true. Only the first steps are shown; the rest of the body needs reading by hand.</t>
  </si>
  <si>
    <t>1. rawType: string | null | undefined
2. category?: string | null</t>
  </si>
  <si>
    <t>WrapperGuess</t>
  </si>
  <si>
    <t>ACCOUNT_TAX_TYPE_GUESS</t>
  </si>
  <si>
    <t>MK-XS-F-105</t>
  </si>
  <si>
    <t>mapPosition</t>
  </si>
  <si>
    <t>B7 (founder brief 2026-08-20): classification lives in the ONE engine — name first, broker tag as fallback only.</t>
  </si>
  <si>
    <t>sym = flat symbol(p)
shares = units (or 0 when missing)
nothing   when sym is missing (or shares = 0 when missing or zero)
code = (sym.type.code ?? '').to lower case()
tick = (sym.raw symbol or sym.symbol or '').to upper case()
the answer:
`${MONTHS[m − 1]} ${d} ${y}`   if y and m and d
'unknown expiry'   otherwise</t>
  </si>
  <si>
    <t>Sym is flat symbol(p). Shares is units (or 0 — when missing). When sym is missing (or shares = 0 — when missing or zero), it answers no answer. Code is (sym.type.code ?? '').to lower case(). Tick is (sym.raw symbol or sym.symbol or '').to upper case(). The answer is `${MONTHS[m minus 1]} ${d} ${y}` — when y and m and d; 'unknown expiry' — otherwise.</t>
  </si>
  <si>
    <t>p: StPosition</t>
  </si>
  <si>
    <t>MappedPosition | null</t>
  </si>
  <si>
    <t>1. If units is missing it uses 0.
2. If quantity is missing it uses 0.
3. Leaves some rows out of the answer — check which.</t>
  </si>
  <si>
    <t>MK-ST-F-010 nameEvidence → MK-ST-F-011 classifyHoldingClass → MK-XS-F-105 mapPosition</t>
  </si>
  <si>
    <t>CLASS_FROM_BROKER</t>
  </si>
  <si>
    <t>MK-XS-F-106</t>
  </si>
  <si>
    <t>mapOptionHolding</t>
  </si>
  <si>
    <t>What is this option position worth, and what do we call it?</t>
  </si>
  <si>
    <t>os = symbol.option symbol
contracts = units (or 0 when missing)
nothing   when os is missing (or contracts = 0 when missing or zero)
under = (os.underlying symbol.raw symbol or os.underlying symbol.symbol or os.ticker or '?').to upper case()
kind word = 'put'   if os.option type = 'PUT'
'call'   otherwise
strike = `$${os.strike price}`   if os.strike price ≠ nothing
''   otherwise</t>
  </si>
  <si>
    <t>Os is symbol.option symbol. Contracts is units (or 0 — when missing). When os is missing (or contracts = 0 — when missing or zero), it answers no answer. Under is (os.underlying symbol.raw symbol or os.underlying symbol.symbol or os.ticker or '?').to upper case(). Kind word is 'put' — when os.option type = 'PUT'; 'call' — otherwise. Strike is `$${os.strike price}` — when os.strike price is not no answer; '' — otherwise.</t>
  </si>
  <si>
    <t>1. o: StOptionHolding
2. multiplier = 100</t>
  </si>
  <si>
    <t>MappedOption | null</t>
  </si>
  <si>
    <t>1. If units is missing it uses 0.
2. If price is missing it uses 0.
3. Multiplies by 100 — a percentage, or an option contract treated as 100 shares. Worth checking which.
4. Rounds the answer to a whole number.</t>
  </si>
  <si>
    <t>OPTION_HOLDING</t>
  </si>
  <si>
    <t>MK-XS-F-107</t>
  </si>
  <si>
    <t>mapActivityType</t>
  </si>
  <si>
    <t>A line arrived from the broker. Is this money you paid IN, money you took OUT, or something that happened inside the account?</t>
  </si>
  <si>
    <t>t = (type ?? '').to upper case()
is option = !!option symbol (or !!option type when missing or zero)
the answer:
txn type = t as 'BUY' | 'SELL'
note = 'option purchase'   if t = 'BUY'
'option sale'   otherwise
txn type = 'FEE'
note = `broker: ${type}`   when includes('FEE')
txn type = 'DEPOSIT'
note = `broker: ${type ?? 'unknown'}`   when (amount ?? 0) &gt; 0
txn type = 'WITHDRAWAL'
note = `broker: ${type ?? 'unknown'}`   when (amount ?? 0) &lt; 0</t>
  </si>
  <si>
    <t>T is (type ?? '').to upper case(). Is option is !!option symbol (or !!option type — when missing or zero). The answer is txn type = t as 'BUY' | 'SELL'; note = 'option purchase' — when t = 'BUY'; 'option sale' — otherwise. When includes('FEE'), it answers txn type = 'FEE'; note = `broker: ${type}`. When (amount ?? 0) &gt; 0, it answers txn type = 'DEPOSIT'; note = `broker: ${type ?? 'unknown'}`. When (amount ?? 0) &lt; 0, it answers txn type = 'WITHDRAWAL'; note = `broker: ${type ?? 'unknown'}`.</t>
  </si>
  <si>
    <t>a: StActivity</t>
  </si>
  <si>
    <t>MappedActivity</t>
  </si>
  <si>
    <t>· If amount is missing it uses 0.</t>
  </si>
  <si>
    <t>TRANSLATE_BROKER_WORD</t>
  </si>
  <si>
    <t>MK-XS-F-108</t>
  </si>
  <si>
    <t>activityKey</t>
  </si>
  <si>
    <t>── duplicate-proofing ───────────────────────────────────────────────────────────────────────── SnapTrade activity ids can change when they reprocess history, so identity = the composite of everything that makes the row THAT row.</t>
  </si>
  <si>
    <t>1. accountId: string
2. a: StActivity</t>
  </si>
  <si>
    <t>MK-ST-F-014 importKey</t>
  </si>
  <si>
    <t>MK-ST-F-014 importKey → MK-XS-F-108 activityKey</t>
  </si>
  <si>
    <t>ACTIVITY_IDENTITY</t>
  </si>
  <si>
    <t>MK-XS-F-109</t>
  </si>
  <si>
    <t>dedupeActivities</t>
  </si>
  <si>
    <t>Which of these activities are new since the last sync?</t>
  </si>
  <si>
    <t>fresh = []
k = activity key(account id, a)
the answer = fresh</t>
  </si>
  <si>
    <t>Fresh is []. K is activity key(account id, a). The answer is fresh.</t>
  </si>
  <si>
    <t>1. accountId: string
2. incoming: StActivity[]
3. seenKeys: Set&lt;string&gt;</t>
  </si>
  <si>
    <t>StActivity[]</t>
  </si>
  <si>
    <t>MK-XS-F-108 activityKey</t>
  </si>
  <si>
    <t>1. MK-XS-F-108 activityKey
2. MK-ST-F-014 importKey</t>
  </si>
  <si>
    <t>MK-ST-F-014 importKey → MK-XS-F-108 activityKey → MK-XS-F-109 dedupeActivities</t>
  </si>
  <si>
    <t>ALREADY_SEEN_CHECK</t>
  </si>
  <si>
    <t>MK-XS-F-110</t>
  </si>
  <si>
    <t>netCashSleeve</t>
  </si>
  <si>
    <t>── the cash sleeve, deduped ─────────────────────────────────────────────────────────────────── SnapTrade counts money-market (cash_equivalent) positions INSIDE balances.cash too.</t>
  </si>
  <si>
    <t>net = round((balances cash ?? 0) − mmf, 2 dp)
the answer:
0   if net &lt; 0 and net &gt; -1
net   otherwise</t>
  </si>
  <si>
    <t>Net is (balances cash ?? 0) minus mmf, to the cent. The answer is 0 — when net &lt; 0 and net &gt; -1; net — otherwise.</t>
  </si>
  <si>
    <t>1. balancesCash: number | null | undefined
2. positions: MappedPosition[]</t>
  </si>
  <si>
    <t>1. If price is missing it uses 0.
2. If balances cash is missing it uses 0.
3. Multiplies by 100 — a percentage, or an option contract treated as 100 shares. Worth checking which.
4. Rounds the answer to a whole number.
5. Leaves some rows out of the answer — check which.</t>
  </si>
  <si>
    <t>UNINVESTED_CASH</t>
  </si>
  <si>
    <t>FOUNDER RULE 2026-08-04: record how far back the broker's OWN activity feed reaches, so a "past year" income figure can label itself honestly.</t>
  </si>
  <si>
    <t>earliest now = the first of dates
existing   when earliest now is missing
earliest now   when existing is missing
the answer:
earliest now   if earliest now &lt; existing
existing   otherwise</t>
  </si>
  <si>
    <t>Earliest now: the first of dates. When earliest now is missing, it answers existing. When existing is missing, it answers earliest now. The answer is earliest now — when earliest now &lt; existing; existing — otherwise.</t>
  </si>
  <si>
    <t>1. existing: string | undefined
2. activityDates: (string | null | undefined)[]</t>
  </si>
  <si>
    <t>MK-XS-F-112</t>
  </si>
  <si>
    <t>relayUrl</t>
  </si>
  <si>
    <t>src/services/sync/snaptradeClient.ts</t>
  </si>
  <si>
    <t>MK-XS-F-113</t>
  </si>
  <si>
    <t>snaptradeConfigured</t>
  </si>
  <si>
    <t>!!relay url()</t>
  </si>
  <si>
    <t>1. MK-XS-F-064 currentIdToken
2. MK-XS-F-112 relayUrl</t>
  </si>
  <si>
    <t>1. MK-XS-F-064 currentIdToken → MK-XS-F-113 snaptradeConfigured
2. MK-XS-F-112 relayUrl → MK-XS-F-113 snaptradeConfigured</t>
  </si>
  <si>
    <t>MK-XS-F-114</t>
  </si>
  <si>
    <t>usdCash</t>
  </si>
  <si>
    <t>USD cash across the balances list (v1 is USD-only; other currencies are ignored, not guessed).</t>
  </si>
  <si>
    <t>balances: HoldingsPayload['balances'] | null | undefined</t>
  </si>
  <si>
    <t>MK-XS-F-115</t>
  </si>
  <si>
    <t>shouldDailySync</t>
  </si>
  <si>
    <t>src/services/sync/snaptradeSync.ts</t>
  </si>
  <si>
    <t>true   when last sync at is missing
t = date.parse(last sync at)
the answer = number.is na n(t) (or now − t &gt; 20 × 3600000 when missing or zero)
batch = raw
total = nothing   when array.is array(raw)
data = (raw as { data?: unknown } | nothing | undefined).data
total = (raw as { pagination?: { total?: number } } | nothing | undefined).pagination.total
out = []</t>
  </si>
  <si>
    <t>When last sync at is missing, it answers true. T is date.parse(last sync at). The answer is number.is na n(t) (or now minus t &gt; 20 times 3600000 — when missing or zero). When array.is array(raw), it answers batch = raw; total is missing. Data is (raw as { data?: unknown } | no answer | undefined).data. Total is (raw as { pagination?: { total?: number } } | no answer | undefined).pagination.total. Out is [].</t>
  </si>
  <si>
    <t>1. lastSyncAt: string | null | undefined
2. now: number = Date.now()</t>
  </si>
  <si>
    <t>1. Uses a built-in page of 0.
2. Uses today's date from the device clock, so the answer changes by itself overnight.</t>
  </si>
  <si>
    <t>MK-XS-F-116</t>
  </si>
  <si>
    <t>runSnapTradeSync</t>
  </si>
  <si>
    <t>Full sync. Returns the number of accounts synced (0 = nothing connected). */</t>
  </si>
  <si>
    <t>0   when !snaptrade configured()
s = use store.get state() as any
0   when !opts.force and !should daily sync(snaptrade last sync at)
connections = await snaptrade api.connections()
the answer = 0
accounts = await snaptrade api.accounts()
cursors = { ...(snaptrade activity cursor ?? {}) }
payloads = []
failed = []
now iso = the date ).to isostring(
h = await snaptrade api.holdings(account.id)
… the first steps only — the rest of the body needs reading by hand.</t>
  </si>
  <si>
    <t>When !snaptrade configured(), it answers 0. S is use store.get state() as any. When !opts.force and !should daily sync(snaptrade last sync at), it answers 0. Connections is await snaptrade api.connections(). The answer is 0. Accounts is await snaptrade api.accounts(). Cursors is { ...(snaptrade activity cursor ?? {}) }. Payloads is []. Failed is []. Now iso: the date ).to isostring(. H is await snaptrade api.holdings(account.id). Only the first steps are shown; the rest of the body needs reading by hand.</t>
  </si>
  <si>
    <t>1. opts: { force?: boolean } = {}
2. reads the app's stored data</t>
  </si>
  <si>
    <t>Promise&lt;number&gt;</t>
  </si>
  <si>
    <t>1. MK-XS-F-115 shouldDailySync
2. MK-XS-F-113 snaptradeConfigured
3. MK-XS-F-101 stAssetId
4. MK-XS-F-114 usdCash</t>
  </si>
  <si>
    <t>1. MK-XS-F-115 shouldDailySync
2. MK-XS-F-113 snaptradeConfigured
3. MK-XS-F-101 stAssetId
4. MK-XS-F-114 usdCash
5. MK-XS-F-064 currentIdToken
6. MK-XS-F-112 relayUrl</t>
  </si>
  <si>
    <t>1. MK-XS-F-115 shouldDailySync → MK-XS-F-116 runSnapTradeSync
2. MK-XS-F-064 currentIdToken → MK-XS-F-113 snaptradeConfigured → MK-XS-F-116 runSnapTradeSync
3. MK-XS-F-112 relayUrl → MK-XS-F-113 snaptradeConfigured → MK-XS-F-116 runSnapTradeSync
4. MK-XS-F-101 stAssetId → MK-XS-F-116 runSnapTradeSync
5. MK-XS-F-114 usdCash → MK-XS-F-116 runSnapTradeSync</t>
  </si>
  <si>
    <t>Functions</t>
  </si>
  <si>
    <t>Handed nothing, and reads no stored data</t>
  </si>
  <si>
    <t>Handed nothing, but reads the stored data</t>
  </si>
  <si>
    <t>Does not declare what it gives back</t>
  </si>
  <si>
    <t>Neither: nothing in, nothing declared out</t>
  </si>
  <si>
    <t>A function handed nothing that reads no stored data has its answer from a constant, the clock, or something the code does not show. A function that does not declare what it gives back cannot be checked for returning the right shape. Both are counted here rather than described.</t>
  </si>
  <si>
    <t>TOTAL</t>
  </si>
  <si>
    <t>Figures</t>
  </si>
  <si>
    <t>Behind one function only</t>
  </si>
  <si>
    <t>Behind 2 to 5 functions</t>
  </si>
  <si>
    <t>Behind more than 5 functions</t>
  </si>
  <si>
    <t>No function on record</t>
  </si>
  <si>
    <t>Counting the function that produces a figure PLUS every function below it. A figure standing on many functions is not wrong, but a wrong one has that many places to have started.</t>
  </si>
  <si>
    <t>Shown on more than one screen</t>
  </si>
  <si>
    <t xml:space="preserve">A47: If accrued interest information is available formula should be updated to subtract accrued interest, and if accrued interest in not available it should state on the screen (might be over stated if accrued interest in included in current bond value).
</t>
  </si>
  <si>
    <t xml:space="preserve">A15 - What the function is currently used as? Function to round off to 2 decimal? If yes, fix it. Column H and M on the functions tab are saying two different things none of which is making sense.
A46:If coupon rate is not available use 0. 
</t>
  </si>
  <si>
    <t xml:space="preserve">A46:If coupon rate is not available use 0. </t>
  </si>
  <si>
    <t xml:space="preserve">Q06: value is contracts * 100 *price unless stated otherwise by broker or user. 
Q07: 8 decimals is what coinbase uses. So use 8 decimals.
Q08: cash held as an institution in that currency. For example USD used to buy CHF is held in CHF in brokerage account at an institution. There is no interest or dividend for currencies held. </t>
  </si>
  <si>
    <t xml:space="preserve">Q09: Yes, we should always capture units. Worth checking is CHF is held in account, is value displayed in CHF or USD? If USD, we need to make sure to capture Foreign exchange rate to do the conversion.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</si>
</sst>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1"/>
      <color rgb="FF1F3864"/>
      <name val="Calibri"/>
      <family val="2"/>
    </font>
    <font>
      <b/>
      <sz val="11"/>
      <color rgb="FF9C0006"/>
      <name val="Calibri"/>
      <family val="2"/>
    </font>
    <font>
      <sz val="10"/>
      <name val="Menlo"/>
      <family val="2"/>
    </font>
    <font>
      <b/>
      <sz val="11"/>
      <name val="Calibri"/>
      <family val="2"/>
    </font>
    <font>
      <sz val="10"/>
      <color rgb="FF000000"/>
      <name val="Tahoma"/>
      <family val="2"/>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5"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icrosoft Office User" id="{234EEA73-1159-294A-A8FE-F7F39EBE0C38}" userId="Microsoft Office Us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0" dT="2026-08-26T21:08:44.49" personId="{234EEA73-1159-294A-A8FE-F7F39EBE0C38}" id="{75552233-2381-4040-A934-83B88D99F75E}">
    <text xml:space="preserve">Is the formula embedded directly in the code and not as a separate function? Live price was to be sourced from Yahoo or similar engine. </text>
  </threadedComment>
  <threadedComment ref="O31" dT="2026-08-26T21:10:57.91" personId="{234EEA73-1159-294A-A8FE-F7F39EBE0C38}" id="{101AB7E1-ECD4-C249-81BC-0F0185E70012}">
    <text>why dependency on engine and not function?</text>
  </threadedComment>
  <threadedComment ref="I33" dT="2026-08-26T21:30:39.44" personId="{234EEA73-1159-294A-A8FE-F7F39EBE0C38}" id="{5ACED09D-32B1-E940-9E12-C5343F0876BD}">
    <text>if price or share quantity not available it is eliminated from average calculation? Make sure total paid divided by quantity does not include quantity for which price is not listed or is zero. And info dot should call it out under assumptions that if price or quantity is not provided or zero it is excluded from average price calculation.</text>
  </threadedComment>
  <threadedComment ref="AB34" dT="2026-08-26T21:35:12.10" personId="{234EEA73-1159-294A-A8FE-F7F39EBE0C38}" id="{AB050EC6-DD04-5D46-A802-D24E93A5107D}">
    <text>Where is Total Price versus Price Paid (Average) displayed in the app? Are we trying to tell two different things to user and need to fix formulas or are we saying same thing and calling it differently?</text>
  </threadedComment>
  <threadedComment ref="D35" dT="2026-08-26T21:39:00.75" personId="{234EEA73-1159-294A-A8FE-F7F39EBE0C38}" id="{44FE70B0-25CE-7946-A1B0-04C707C0964B}">
    <text xml:space="preserve">Screen should say Trailing Twelve Months and not just 12 months.
</text>
  </threadedComment>
  <threadedComment ref="AB35" dT="2026-08-26T21:40:02.22" personId="{234EEA73-1159-294A-A8FE-F7F39EBE0C38}" id="{3DC965BF-B51A-694F-9F68-D4A699BC9006}">
    <text>Is it calculated directly in the code without any function?</text>
  </threadedComment>
  <threadedComment ref="H36" dT="2026-08-26T22:42:40.89" personId="{234EEA73-1159-294A-A8FE-F7F39EBE0C38}" id="{5DCE8B39-071F-7745-BFA8-1E9964BE2221}">
    <text>The feed from an institution is likely to show quantity held net of sales. So, how do you determine the total quantity before sale?</text>
  </threadedComment>
  <threadedComment ref="E42" dT="2026-08-26T20:34:52.04" personId="{234EEA73-1159-294A-A8FE-F7F39EBE0C38}" id="{60AA9A35-3057-D54C-A8E4-DB12C6913DD9}">
    <text>Is totalValue = sum of (current value of each bond) or sum of (total value of each bond)</text>
  </threadedComment>
  <threadedComment ref="I42" dT="2026-08-26T20:10:10.38" personId="{234EEA73-1159-294A-A8FE-F7F39EBE0C38}" id="{C9D5A2E2-D8C8-BC46-8551-1B2CC0BA379A}">
    <text>why is function computing yield, when coupon rate should be direct input from institution, file or user?</text>
  </threadedComment>
  <threadedComment ref="Q42" dT="2026-08-26T20:15:00.81" personId="{234EEA73-1159-294A-A8FE-F7F39EBE0C38}" id="{57105178-8324-3C4F-A5E0-A40DFB73B5DD}">
    <text xml:space="preserve">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text>
  </threadedComment>
  <threadedComment ref="J43" dT="2026-08-26T20:33:28.08" personId="{234EEA73-1159-294A-A8FE-F7F39EBE0C38}" id="{014F8307-DEB4-1749-BD2F-30582C9BF909}">
    <text>Input should be MK-XS-I-011
bond face value
and not MK-XS-I-004</text>
  </threadedComment>
  <threadedComment ref="Q43" dT="2026-08-26T21:04:14.14" personId="{234EEA73-1159-294A-A8FE-F7F39EBE0C38}" id="{2B318D47-D5EE-2A42-8BD3-F268D0B54D02}">
    <text xml:space="preserve">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text>
  </threadedComment>
  <threadedComment ref="H44" dT="2026-08-26T20:36:01.24" personId="{234EEA73-1159-294A-A8FE-F7F39EBE0C38}" id="{E490BE60-F60A-0E41-9C63-E38CB9559EC9}">
    <text>Should also account for maturity as if bond has matured app should not be calculating coupon</text>
  </threadedComment>
  <threadedComment ref="J44" dT="2026-08-26T20:36:18.31" personId="{234EEA73-1159-294A-A8FE-F7F39EBE0C38}" id="{1BD37CA4-0567-DD49-A93A-621F5BD3BF6E}">
    <text>maturity date should also be input</text>
  </threadedComment>
  <threadedComment ref="Q44" dT="2026-08-26T20:45:18.90" personId="{234EEA73-1159-294A-A8FE-F7F39EBE0C38}" id="{84DEC9A4-8A36-234F-B762-C3BE59694987}">
    <text>does MK-ST-F-055 round to 2 decimal digits or found to whole number? Two contradicting statements?</text>
  </threadedComment>
  <threadedComment ref="U44" dT="2026-08-26T20:48:07.54" personId="{234EEA73-1159-294A-A8FE-F7F39EBE0C38}" id="{247D93DB-BED3-4543-9244-BD087C7E0D55}">
    <text xml:space="preserve">Since the formula is to calculate annual interest it should be labelled as "Calculated Annual interest" and not interest payments or coupon/yr. This does not tell that this is the interest received YTD or anything. </text>
  </threadedComment>
  <threadedComment ref="K45" dT="2026-08-26T20:59:36.99" personId="{234EEA73-1159-294A-A8FE-F7F39EBE0C38}" id="{8BE8D569-FA82-8948-A9D5-3E869F31FF7F}">
    <text xml:space="preserve">yield should always be two decimal digits
</text>
  </threadedComment>
  <threadedComment ref="J46" dT="2026-08-26T21:06:00.87" personId="{234EEA73-1159-294A-A8FE-F7F39EBE0C38}" id="{31903719-5706-B544-B78A-50363575F0A6}">
    <text xml:space="preserve">screen should display maturity date as well
</text>
  </threadedComment>
  <threadedComment ref="Q46" dT="2026-08-26T21:04:29.04" personId="{234EEA73-1159-294A-A8FE-F7F39EBE0C38}" id="{5478D8EC-E67E-E046-A095-083873B9A3F7}">
    <text xml:space="preserve">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G218" dT="2026-08-26T22:21:31.75" personId="{234EEA73-1159-294A-A8FE-F7F39EBE0C38}" id="{EF7602A4-E770-7944-AB64-F4F5EEBC56E5}">
    <text>missing code which actually calculate gain or loss (realized). Takes shares from lot.shares.Adds (lot.price * matchedShares) to basis.Subtracts matchedShares from toSell and lot.shares.Pops lot from q once depleted and moves to the next lot.Calculates Gain/Loss: $\text{Proceeds} - \text{Basis}$.</text>
  </threadedComment>
</ThreadedComment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9"/>
  <sheetViews>
    <sheetView workbookViewId="0">
      <pane ySplit="1" topLeftCell="A2" activePane="bottomLeft" state="frozen"/>
      <selection pane="bottomLeft"/>
    </sheetView>
  </sheetViews>
  <sheetFormatPr baseColWidth="10" defaultColWidth="8.83203125" defaultRowHeight="15" x14ac:dyDescent="0.2"/>
  <cols>
    <col min="1" max="1" width="46" customWidth="1"/>
    <col min="2" max="2" width="118" customWidth="1"/>
  </cols>
  <sheetData>
    <row r="1" spans="1:2" ht="16" x14ac:dyDescent="0.2">
      <c r="A1" s="1" t="s">
        <v>0</v>
      </c>
      <c r="B1" s="1" t="s">
        <v>1</v>
      </c>
    </row>
    <row r="2" spans="1:2" ht="32" x14ac:dyDescent="0.2">
      <c r="A2" s="2" t="s">
        <v>2</v>
      </c>
      <c r="B2" s="3" t="s">
        <v>3</v>
      </c>
    </row>
    <row r="3" spans="1:2" ht="16" x14ac:dyDescent="0.2">
      <c r="A3" s="2" t="s">
        <v>4</v>
      </c>
      <c r="B3" s="3" t="s">
        <v>5</v>
      </c>
    </row>
    <row r="4" spans="1:2" ht="16" x14ac:dyDescent="0.2">
      <c r="A4" s="2" t="s">
        <v>6</v>
      </c>
      <c r="B4" s="3" t="s">
        <v>7</v>
      </c>
    </row>
    <row r="5" spans="1:2" ht="32" x14ac:dyDescent="0.2">
      <c r="A5" s="2" t="s">
        <v>8</v>
      </c>
      <c r="B5" s="3" t="s">
        <v>9</v>
      </c>
    </row>
    <row r="6" spans="1:2" x14ac:dyDescent="0.2">
      <c r="A6" s="2"/>
      <c r="B6" s="3"/>
    </row>
    <row r="7" spans="1:2" ht="32" x14ac:dyDescent="0.2">
      <c r="A7" s="2" t="s">
        <v>10</v>
      </c>
      <c r="B7" s="3" t="s">
        <v>11</v>
      </c>
    </row>
    <row r="8" spans="1:2" ht="16" x14ac:dyDescent="0.2">
      <c r="A8" s="2" t="s">
        <v>12</v>
      </c>
      <c r="B8" s="3" t="s">
        <v>13</v>
      </c>
    </row>
    <row r="9" spans="1:2" ht="32" x14ac:dyDescent="0.2">
      <c r="A9" s="2" t="s">
        <v>14</v>
      </c>
      <c r="B9" s="3" t="s">
        <v>15</v>
      </c>
    </row>
    <row r="10" spans="1:2" ht="16" x14ac:dyDescent="0.2">
      <c r="A10" s="2" t="s">
        <v>16</v>
      </c>
      <c r="B10" s="3" t="s">
        <v>17</v>
      </c>
    </row>
    <row r="11" spans="1:2" ht="16" x14ac:dyDescent="0.2">
      <c r="A11" s="2" t="s">
        <v>18</v>
      </c>
      <c r="B11" s="3" t="s">
        <v>19</v>
      </c>
    </row>
    <row r="12" spans="1:2" ht="16" x14ac:dyDescent="0.2">
      <c r="A12" s="2" t="s">
        <v>20</v>
      </c>
      <c r="B12" s="3" t="s">
        <v>21</v>
      </c>
    </row>
    <row r="13" spans="1:2" ht="16" x14ac:dyDescent="0.2">
      <c r="A13" s="2" t="s">
        <v>22</v>
      </c>
      <c r="B13" s="3" t="s">
        <v>23</v>
      </c>
    </row>
    <row r="14" spans="1:2" ht="16" x14ac:dyDescent="0.2">
      <c r="A14" s="2" t="s">
        <v>24</v>
      </c>
      <c r="B14" s="3" t="s">
        <v>25</v>
      </c>
    </row>
    <row r="15" spans="1:2" ht="16" x14ac:dyDescent="0.2">
      <c r="A15" s="2" t="s">
        <v>26</v>
      </c>
      <c r="B15" s="3" t="s">
        <v>27</v>
      </c>
    </row>
    <row r="16" spans="1:2" ht="32" x14ac:dyDescent="0.2">
      <c r="A16" s="2" t="s">
        <v>28</v>
      </c>
      <c r="B16" s="3" t="s">
        <v>29</v>
      </c>
    </row>
    <row r="17" spans="1:2" ht="32" x14ac:dyDescent="0.2">
      <c r="A17" s="2" t="s">
        <v>30</v>
      </c>
      <c r="B17" s="3" t="s">
        <v>31</v>
      </c>
    </row>
    <row r="18" spans="1:2" ht="32" x14ac:dyDescent="0.2">
      <c r="A18" s="2" t="s">
        <v>32</v>
      </c>
      <c r="B18" s="3" t="s">
        <v>33</v>
      </c>
    </row>
    <row r="19" spans="1:2" ht="48" x14ac:dyDescent="0.2">
      <c r="A19" s="2" t="s">
        <v>34</v>
      </c>
      <c r="B19" s="3" t="s">
        <v>35</v>
      </c>
    </row>
    <row r="20" spans="1:2" ht="32" x14ac:dyDescent="0.2">
      <c r="A20" s="2" t="s">
        <v>36</v>
      </c>
      <c r="B20" s="3" t="s">
        <v>37</v>
      </c>
    </row>
    <row r="21" spans="1:2" ht="32" x14ac:dyDescent="0.2">
      <c r="A21" s="2" t="s">
        <v>38</v>
      </c>
      <c r="B21" s="3" t="s">
        <v>39</v>
      </c>
    </row>
    <row r="22" spans="1:2" ht="32" x14ac:dyDescent="0.2">
      <c r="A22" s="2" t="s">
        <v>40</v>
      </c>
      <c r="B22" s="3" t="s">
        <v>41</v>
      </c>
    </row>
    <row r="23" spans="1:2" ht="16" x14ac:dyDescent="0.2">
      <c r="A23" s="2" t="s">
        <v>42</v>
      </c>
      <c r="B23" s="3" t="s">
        <v>43</v>
      </c>
    </row>
    <row r="24" spans="1:2" x14ac:dyDescent="0.2">
      <c r="A24" s="2"/>
      <c r="B24" s="3"/>
    </row>
    <row r="25" spans="1:2" ht="32" x14ac:dyDescent="0.2">
      <c r="A25" s="2" t="s">
        <v>44</v>
      </c>
      <c r="B25" s="3" t="s">
        <v>45</v>
      </c>
    </row>
    <row r="26" spans="1:2" ht="16" x14ac:dyDescent="0.2">
      <c r="A26" s="2" t="s">
        <v>46</v>
      </c>
      <c r="B26" s="3" t="s">
        <v>47</v>
      </c>
    </row>
    <row r="27" spans="1:2" ht="16" x14ac:dyDescent="0.2">
      <c r="A27" s="2" t="s">
        <v>48</v>
      </c>
      <c r="B27" s="3" t="s">
        <v>49</v>
      </c>
    </row>
    <row r="28" spans="1:2" ht="32" x14ac:dyDescent="0.2">
      <c r="A28" s="2" t="s">
        <v>50</v>
      </c>
      <c r="B28" s="3" t="s">
        <v>51</v>
      </c>
    </row>
    <row r="29" spans="1:2" ht="48" x14ac:dyDescent="0.2">
      <c r="A29" s="2" t="s">
        <v>52</v>
      </c>
      <c r="B29" s="3" t="s">
        <v>53</v>
      </c>
    </row>
    <row r="30" spans="1:2" ht="32" x14ac:dyDescent="0.2">
      <c r="A30" s="2" t="s">
        <v>54</v>
      </c>
      <c r="B30" s="3" t="s">
        <v>55</v>
      </c>
    </row>
    <row r="31" spans="1:2" ht="64" x14ac:dyDescent="0.2">
      <c r="A31" s="2" t="s">
        <v>56</v>
      </c>
      <c r="B31" s="3" t="s">
        <v>57</v>
      </c>
    </row>
    <row r="32" spans="1:2" ht="16" x14ac:dyDescent="0.2">
      <c r="A32" s="2" t="s">
        <v>58</v>
      </c>
      <c r="B32" s="3" t="s">
        <v>59</v>
      </c>
    </row>
    <row r="33" spans="1:2" ht="16" x14ac:dyDescent="0.2">
      <c r="A33" s="2" t="s">
        <v>60</v>
      </c>
      <c r="B33" s="3" t="s">
        <v>61</v>
      </c>
    </row>
    <row r="34" spans="1:2" ht="16" x14ac:dyDescent="0.2">
      <c r="A34" s="2" t="s">
        <v>62</v>
      </c>
      <c r="B34" s="3" t="s">
        <v>63</v>
      </c>
    </row>
    <row r="35" spans="1:2" ht="16" x14ac:dyDescent="0.2">
      <c r="A35" s="2" t="s">
        <v>64</v>
      </c>
      <c r="B35" s="3" t="s">
        <v>65</v>
      </c>
    </row>
    <row r="36" spans="1:2" ht="16" x14ac:dyDescent="0.2">
      <c r="A36" s="2" t="s">
        <v>66</v>
      </c>
      <c r="B36" s="3" t="s">
        <v>67</v>
      </c>
    </row>
    <row r="37" spans="1:2" ht="16" x14ac:dyDescent="0.2">
      <c r="A37" s="2" t="s">
        <v>68</v>
      </c>
      <c r="B37" s="3" t="s">
        <v>69</v>
      </c>
    </row>
    <row r="38" spans="1:2" ht="16" x14ac:dyDescent="0.2">
      <c r="A38" s="2" t="s">
        <v>70</v>
      </c>
      <c r="B38" s="3" t="s">
        <v>71</v>
      </c>
    </row>
    <row r="39" spans="1:2" ht="16" x14ac:dyDescent="0.2">
      <c r="A39" s="2" t="s">
        <v>72</v>
      </c>
      <c r="B39" s="3" t="s">
        <v>73</v>
      </c>
    </row>
    <row r="40" spans="1:2" ht="16" x14ac:dyDescent="0.2">
      <c r="A40" s="2" t="s">
        <v>74</v>
      </c>
      <c r="B40" s="3" t="s">
        <v>75</v>
      </c>
    </row>
    <row r="41" spans="1:2" ht="16" x14ac:dyDescent="0.2">
      <c r="A41" s="2" t="s">
        <v>76</v>
      </c>
      <c r="B41" s="3" t="s">
        <v>77</v>
      </c>
    </row>
    <row r="42" spans="1:2" ht="16" x14ac:dyDescent="0.2">
      <c r="A42" s="2" t="s">
        <v>78</v>
      </c>
      <c r="B42" s="3" t="s">
        <v>79</v>
      </c>
    </row>
    <row r="43" spans="1:2" ht="32" x14ac:dyDescent="0.2">
      <c r="A43" s="2" t="s">
        <v>80</v>
      </c>
      <c r="B43" s="3" t="s">
        <v>81</v>
      </c>
    </row>
    <row r="44" spans="1:2" ht="16" x14ac:dyDescent="0.2">
      <c r="A44" s="2" t="s">
        <v>82</v>
      </c>
      <c r="B44" s="3" t="s">
        <v>83</v>
      </c>
    </row>
    <row r="45" spans="1:2" ht="16" x14ac:dyDescent="0.2">
      <c r="A45" s="2" t="s">
        <v>84</v>
      </c>
      <c r="B45" s="3" t="s">
        <v>85</v>
      </c>
    </row>
    <row r="46" spans="1:2" ht="16" x14ac:dyDescent="0.2">
      <c r="A46" s="2" t="s">
        <v>86</v>
      </c>
      <c r="B46" s="3" t="s">
        <v>87</v>
      </c>
    </row>
    <row r="47" spans="1:2" ht="32" x14ac:dyDescent="0.2">
      <c r="A47" s="2" t="s">
        <v>88</v>
      </c>
      <c r="B47" s="3" t="s">
        <v>89</v>
      </c>
    </row>
    <row r="48" spans="1:2" ht="32" x14ac:dyDescent="0.2">
      <c r="A48" s="2" t="s">
        <v>90</v>
      </c>
      <c r="B48" s="3" t="s">
        <v>91</v>
      </c>
    </row>
    <row r="49" spans="1:2" ht="16" x14ac:dyDescent="0.2">
      <c r="A49" s="2" t="s">
        <v>46</v>
      </c>
      <c r="B49" s="3" t="s">
        <v>92</v>
      </c>
    </row>
    <row r="50" spans="1:2" ht="32" x14ac:dyDescent="0.2">
      <c r="A50" s="2" t="s">
        <v>93</v>
      </c>
      <c r="B50" s="3" t="s">
        <v>94</v>
      </c>
    </row>
    <row r="51" spans="1:2" ht="32" x14ac:dyDescent="0.2">
      <c r="A51" s="2" t="s">
        <v>95</v>
      </c>
      <c r="B51" s="3" t="s">
        <v>96</v>
      </c>
    </row>
    <row r="52" spans="1:2" ht="32" x14ac:dyDescent="0.2">
      <c r="A52" s="2" t="s">
        <v>97</v>
      </c>
      <c r="B52" s="3" t="s">
        <v>98</v>
      </c>
    </row>
    <row r="53" spans="1:2" ht="48" x14ac:dyDescent="0.2">
      <c r="A53" s="2" t="s">
        <v>99</v>
      </c>
      <c r="B53" s="3" t="s">
        <v>100</v>
      </c>
    </row>
    <row r="54" spans="1:2" ht="32" x14ac:dyDescent="0.2">
      <c r="A54" s="2" t="s">
        <v>101</v>
      </c>
      <c r="B54" s="3" t="s">
        <v>102</v>
      </c>
    </row>
    <row r="55" spans="1:2" ht="32" x14ac:dyDescent="0.2">
      <c r="A55" s="2" t="s">
        <v>103</v>
      </c>
      <c r="B55" s="3" t="s">
        <v>104</v>
      </c>
    </row>
    <row r="56" spans="1:2" ht="16" x14ac:dyDescent="0.2">
      <c r="A56" s="2" t="s">
        <v>105</v>
      </c>
      <c r="B56" s="3" t="s">
        <v>106</v>
      </c>
    </row>
    <row r="57" spans="1:2" ht="32" x14ac:dyDescent="0.2">
      <c r="A57" s="2" t="s">
        <v>107</v>
      </c>
      <c r="B57" s="3" t="s">
        <v>108</v>
      </c>
    </row>
    <row r="58" spans="1:2" ht="32" x14ac:dyDescent="0.2">
      <c r="A58" s="2" t="s">
        <v>109</v>
      </c>
      <c r="B58" s="3" t="s">
        <v>110</v>
      </c>
    </row>
    <row r="59" spans="1:2" ht="32" x14ac:dyDescent="0.2">
      <c r="A59" s="2" t="s">
        <v>111</v>
      </c>
      <c r="B59" s="3" t="s">
        <v>112</v>
      </c>
    </row>
    <row r="60" spans="1:2" ht="16" x14ac:dyDescent="0.2">
      <c r="A60" s="2" t="s">
        <v>113</v>
      </c>
      <c r="B60" s="3" t="s">
        <v>114</v>
      </c>
    </row>
    <row r="61" spans="1:2" ht="80" x14ac:dyDescent="0.2">
      <c r="A61" s="2" t="s">
        <v>115</v>
      </c>
      <c r="B61" s="3" t="s">
        <v>116</v>
      </c>
    </row>
    <row r="62" spans="1:2" ht="48" x14ac:dyDescent="0.2">
      <c r="A62" s="2" t="s">
        <v>117</v>
      </c>
      <c r="B62" s="3" t="s">
        <v>118</v>
      </c>
    </row>
    <row r="63" spans="1:2" ht="16" x14ac:dyDescent="0.2">
      <c r="A63" s="2" t="s">
        <v>119</v>
      </c>
      <c r="B63" s="3" t="s">
        <v>120</v>
      </c>
    </row>
    <row r="64" spans="1:2" ht="48" x14ac:dyDescent="0.2">
      <c r="A64" s="2" t="s">
        <v>121</v>
      </c>
      <c r="B64" s="3" t="s">
        <v>122</v>
      </c>
    </row>
    <row r="65" spans="1:2" ht="16" x14ac:dyDescent="0.2">
      <c r="A65" s="2" t="s">
        <v>123</v>
      </c>
      <c r="B65" s="3" t="s">
        <v>124</v>
      </c>
    </row>
    <row r="66" spans="1:2" ht="32" x14ac:dyDescent="0.2">
      <c r="A66" s="2" t="s">
        <v>125</v>
      </c>
      <c r="B66" s="3" t="s">
        <v>126</v>
      </c>
    </row>
    <row r="67" spans="1:2" ht="16" x14ac:dyDescent="0.2">
      <c r="A67" s="2" t="s">
        <v>127</v>
      </c>
      <c r="B67" s="3" t="s">
        <v>128</v>
      </c>
    </row>
    <row r="68" spans="1:2" ht="32" x14ac:dyDescent="0.2">
      <c r="A68" s="2" t="s">
        <v>129</v>
      </c>
      <c r="B68" s="3" t="s">
        <v>130</v>
      </c>
    </row>
    <row r="69" spans="1:2" ht="32" x14ac:dyDescent="0.2">
      <c r="A69" s="2" t="s">
        <v>131</v>
      </c>
      <c r="B69" s="3" t="s">
        <v>132</v>
      </c>
    </row>
    <row r="70" spans="1:2" ht="32" x14ac:dyDescent="0.2">
      <c r="A70" s="2" t="s">
        <v>133</v>
      </c>
      <c r="B70" s="3" t="s">
        <v>134</v>
      </c>
    </row>
    <row r="71" spans="1:2" x14ac:dyDescent="0.2">
      <c r="A71" s="2"/>
      <c r="B71" s="3"/>
    </row>
    <row r="72" spans="1:2" ht="16" x14ac:dyDescent="0.2">
      <c r="A72" s="2" t="s">
        <v>135</v>
      </c>
      <c r="B72" s="3" t="s">
        <v>136</v>
      </c>
    </row>
    <row r="73" spans="1:2" ht="16" x14ac:dyDescent="0.2">
      <c r="A73" s="2" t="s">
        <v>137</v>
      </c>
      <c r="B73" s="3" t="s">
        <v>138</v>
      </c>
    </row>
    <row r="74" spans="1:2" ht="16" x14ac:dyDescent="0.2">
      <c r="A74" s="2" t="s">
        <v>139</v>
      </c>
      <c r="B74" s="3" t="s">
        <v>140</v>
      </c>
    </row>
    <row r="75" spans="1:2" ht="16" x14ac:dyDescent="0.2">
      <c r="A75" s="2" t="s">
        <v>141</v>
      </c>
      <c r="B75" s="3" t="s">
        <v>142</v>
      </c>
    </row>
    <row r="76" spans="1:2" ht="16" x14ac:dyDescent="0.2">
      <c r="A76" s="2" t="s">
        <v>143</v>
      </c>
      <c r="B76" s="3" t="s">
        <v>144</v>
      </c>
    </row>
    <row r="77" spans="1:2" x14ac:dyDescent="0.2">
      <c r="A77" s="2"/>
      <c r="B77" s="3"/>
    </row>
    <row r="78" spans="1:2" ht="16" x14ac:dyDescent="0.2">
      <c r="A78" s="2" t="s">
        <v>145</v>
      </c>
      <c r="B78" s="3" t="s">
        <v>146</v>
      </c>
    </row>
    <row r="79" spans="1:2" ht="16" x14ac:dyDescent="0.2">
      <c r="A79" s="2" t="s">
        <v>147</v>
      </c>
      <c r="B79" s="3" t="s">
        <v>148</v>
      </c>
    </row>
    <row r="80" spans="1:2" ht="16" x14ac:dyDescent="0.2">
      <c r="A80" s="2" t="s">
        <v>149</v>
      </c>
      <c r="B80" s="3" t="s">
        <v>150</v>
      </c>
    </row>
    <row r="81" spans="1:2" x14ac:dyDescent="0.2">
      <c r="A81" s="2"/>
      <c r="B81" s="3"/>
    </row>
    <row r="82" spans="1:2" ht="32" x14ac:dyDescent="0.2">
      <c r="A82" s="2" t="s">
        <v>151</v>
      </c>
      <c r="B82" s="3" t="s">
        <v>152</v>
      </c>
    </row>
    <row r="83" spans="1:2" ht="32" x14ac:dyDescent="0.2">
      <c r="A83" s="2" t="s">
        <v>153</v>
      </c>
      <c r="B83" s="3" t="s">
        <v>154</v>
      </c>
    </row>
    <row r="84" spans="1:2" ht="16" x14ac:dyDescent="0.2">
      <c r="A84" s="2" t="s">
        <v>155</v>
      </c>
      <c r="B84" s="3" t="s">
        <v>155</v>
      </c>
    </row>
    <row r="85" spans="1:2" ht="48" x14ac:dyDescent="0.2">
      <c r="A85" s="2" t="s">
        <v>156</v>
      </c>
      <c r="B85" s="3" t="s">
        <v>157</v>
      </c>
    </row>
    <row r="86" spans="1:2" ht="48" x14ac:dyDescent="0.2">
      <c r="A86" s="2" t="s">
        <v>158</v>
      </c>
      <c r="B86" s="3" t="s">
        <v>159</v>
      </c>
    </row>
    <row r="87" spans="1:2" ht="32" x14ac:dyDescent="0.2">
      <c r="A87" s="2" t="s">
        <v>160</v>
      </c>
      <c r="B87" s="3" t="s">
        <v>161</v>
      </c>
    </row>
    <row r="88" spans="1:2" ht="48" x14ac:dyDescent="0.2">
      <c r="A88" s="2" t="s">
        <v>162</v>
      </c>
      <c r="B88" s="3" t="s">
        <v>163</v>
      </c>
    </row>
    <row r="89" spans="1:2" ht="32" x14ac:dyDescent="0.2">
      <c r="A89" s="2" t="s">
        <v>164</v>
      </c>
      <c r="B89" s="3" t="s">
        <v>165</v>
      </c>
    </row>
    <row r="90" spans="1:2" ht="32" x14ac:dyDescent="0.2">
      <c r="A90" s="2" t="s">
        <v>166</v>
      </c>
      <c r="B90" s="3" t="s">
        <v>167</v>
      </c>
    </row>
    <row r="91" spans="1:2" ht="32" x14ac:dyDescent="0.2">
      <c r="A91" s="2" t="s">
        <v>168</v>
      </c>
      <c r="B91" s="3" t="s">
        <v>169</v>
      </c>
    </row>
    <row r="92" spans="1:2" ht="32" x14ac:dyDescent="0.2">
      <c r="A92" s="2" t="s">
        <v>170</v>
      </c>
      <c r="B92" s="3" t="s">
        <v>171</v>
      </c>
    </row>
    <row r="93" spans="1:2" ht="48" x14ac:dyDescent="0.2">
      <c r="A93" s="2" t="s">
        <v>172</v>
      </c>
      <c r="B93" s="3" t="s">
        <v>173</v>
      </c>
    </row>
    <row r="94" spans="1:2" ht="32" x14ac:dyDescent="0.2">
      <c r="A94" s="2" t="s">
        <v>174</v>
      </c>
      <c r="B94" s="3" t="s">
        <v>175</v>
      </c>
    </row>
    <row r="95" spans="1:2" ht="48" x14ac:dyDescent="0.2">
      <c r="A95" s="2" t="s">
        <v>176</v>
      </c>
      <c r="B95" s="3" t="s">
        <v>177</v>
      </c>
    </row>
    <row r="96" spans="1:2" ht="48" x14ac:dyDescent="0.2">
      <c r="A96" s="2" t="s">
        <v>178</v>
      </c>
      <c r="B96" s="3" t="s">
        <v>179</v>
      </c>
    </row>
    <row r="97" spans="1:2" ht="32" x14ac:dyDescent="0.2">
      <c r="A97" s="2" t="s">
        <v>180</v>
      </c>
      <c r="B97" s="3" t="s">
        <v>181</v>
      </c>
    </row>
    <row r="98" spans="1:2" ht="32" x14ac:dyDescent="0.2">
      <c r="A98" s="2" t="s">
        <v>182</v>
      </c>
      <c r="B98" s="3" t="s">
        <v>183</v>
      </c>
    </row>
    <row r="99" spans="1:2" ht="64" x14ac:dyDescent="0.2">
      <c r="A99" s="2" t="s">
        <v>184</v>
      </c>
      <c r="B99" s="3" t="s">
        <v>185</v>
      </c>
    </row>
    <row r="100" spans="1:2" ht="48" x14ac:dyDescent="0.2">
      <c r="A100" s="2" t="s">
        <v>186</v>
      </c>
      <c r="B100" s="3" t="s">
        <v>187</v>
      </c>
    </row>
    <row r="101" spans="1:2" ht="48" x14ac:dyDescent="0.2">
      <c r="A101" s="2" t="s">
        <v>188</v>
      </c>
      <c r="B101" s="3" t="s">
        <v>189</v>
      </c>
    </row>
    <row r="102" spans="1:2" ht="16" x14ac:dyDescent="0.2">
      <c r="A102" s="2" t="s">
        <v>190</v>
      </c>
      <c r="B102" s="3" t="s">
        <v>191</v>
      </c>
    </row>
    <row r="103" spans="1:2" ht="32" x14ac:dyDescent="0.2">
      <c r="A103" s="2" t="s">
        <v>192</v>
      </c>
      <c r="B103" s="3" t="s">
        <v>193</v>
      </c>
    </row>
    <row r="104" spans="1:2" ht="32" x14ac:dyDescent="0.2">
      <c r="A104" s="2" t="s">
        <v>194</v>
      </c>
      <c r="B104" s="3" t="s">
        <v>195</v>
      </c>
    </row>
    <row r="105" spans="1:2" ht="32" x14ac:dyDescent="0.2">
      <c r="A105" s="2" t="s">
        <v>196</v>
      </c>
      <c r="B105" s="3" t="s">
        <v>197</v>
      </c>
    </row>
    <row r="106" spans="1:2" ht="48" x14ac:dyDescent="0.2">
      <c r="A106" s="2" t="s">
        <v>198</v>
      </c>
      <c r="B106" s="3" t="s">
        <v>199</v>
      </c>
    </row>
    <row r="107" spans="1:2" ht="32" x14ac:dyDescent="0.2">
      <c r="A107" s="2" t="s">
        <v>200</v>
      </c>
      <c r="B107" s="3" t="s">
        <v>201</v>
      </c>
    </row>
    <row r="108" spans="1:2" ht="32" x14ac:dyDescent="0.2">
      <c r="A108" s="2" t="s">
        <v>202</v>
      </c>
      <c r="B108" s="3" t="s">
        <v>203</v>
      </c>
    </row>
    <row r="109" spans="1:2" ht="48" x14ac:dyDescent="0.2">
      <c r="A109" s="2" t="s">
        <v>204</v>
      </c>
      <c r="B109" s="3" t="s">
        <v>205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4" ht="32" x14ac:dyDescent="0.2">
      <c r="A1" s="1" t="s">
        <v>206</v>
      </c>
      <c r="B1" s="1" t="s">
        <v>207</v>
      </c>
      <c r="C1" s="1" t="s">
        <v>208</v>
      </c>
      <c r="D1" s="1" t="s">
        <v>209</v>
      </c>
    </row>
    <row r="2" spans="1:4" ht="32" x14ac:dyDescent="0.2">
      <c r="B2" s="4" t="s">
        <v>210</v>
      </c>
      <c r="C2" s="3"/>
      <c r="D2" s="3"/>
    </row>
    <row r="3" spans="1:4" ht="48" x14ac:dyDescent="0.2">
      <c r="A3" t="s">
        <v>211</v>
      </c>
      <c r="B3" s="3" t="s">
        <v>212</v>
      </c>
      <c r="C3" s="3" t="s">
        <v>213</v>
      </c>
      <c r="D3" s="3" t="s">
        <v>214</v>
      </c>
    </row>
    <row r="4" spans="1:4" ht="160" x14ac:dyDescent="0.2">
      <c r="A4" t="s">
        <v>215</v>
      </c>
      <c r="B4" s="3" t="s">
        <v>216</v>
      </c>
      <c r="C4" s="3" t="s">
        <v>217</v>
      </c>
      <c r="D4" s="3" t="s">
        <v>218</v>
      </c>
    </row>
    <row r="5" spans="1:4" ht="64" x14ac:dyDescent="0.2">
      <c r="A5" t="s">
        <v>219</v>
      </c>
      <c r="B5" s="3" t="s">
        <v>220</v>
      </c>
      <c r="C5" s="3" t="s">
        <v>221</v>
      </c>
      <c r="D5" s="3" t="s">
        <v>222</v>
      </c>
    </row>
    <row r="6" spans="1:4" ht="80" x14ac:dyDescent="0.2">
      <c r="A6" t="s">
        <v>223</v>
      </c>
      <c r="B6" s="3" t="s">
        <v>224</v>
      </c>
      <c r="C6" s="3" t="s">
        <v>225</v>
      </c>
      <c r="D6" s="3" t="s">
        <v>226</v>
      </c>
    </row>
    <row r="7" spans="1:4" ht="80" x14ac:dyDescent="0.2">
      <c r="A7" t="s">
        <v>227</v>
      </c>
      <c r="B7" s="3" t="s">
        <v>228</v>
      </c>
      <c r="C7" s="3" t="s">
        <v>229</v>
      </c>
      <c r="D7" s="3" t="s">
        <v>230</v>
      </c>
    </row>
    <row r="8" spans="1:4" ht="48" x14ac:dyDescent="0.2">
      <c r="A8" t="s">
        <v>231</v>
      </c>
      <c r="B8" s="3" t="s">
        <v>232</v>
      </c>
      <c r="C8" s="3" t="s">
        <v>233</v>
      </c>
      <c r="D8" s="3" t="s">
        <v>234</v>
      </c>
    </row>
    <row r="9" spans="1:4" ht="48" x14ac:dyDescent="0.2">
      <c r="A9" t="s">
        <v>235</v>
      </c>
      <c r="B9" s="3" t="s">
        <v>236</v>
      </c>
      <c r="C9" s="3" t="s">
        <v>87</v>
      </c>
      <c r="D9" s="3" t="s">
        <v>234</v>
      </c>
    </row>
    <row r="10" spans="1:4" ht="16" x14ac:dyDescent="0.2">
      <c r="B10" s="4" t="s">
        <v>237</v>
      </c>
      <c r="C10" s="3"/>
      <c r="D10" s="3"/>
    </row>
    <row r="11" spans="1:4" ht="80" x14ac:dyDescent="0.2">
      <c r="A11" t="s">
        <v>238</v>
      </c>
      <c r="B11" s="3" t="s">
        <v>239</v>
      </c>
      <c r="C11" s="3" t="s">
        <v>240</v>
      </c>
      <c r="D11" s="3" t="s">
        <v>241</v>
      </c>
    </row>
    <row r="12" spans="1:4" ht="80" x14ac:dyDescent="0.2">
      <c r="A12" t="s">
        <v>242</v>
      </c>
      <c r="B12" s="3" t="s">
        <v>243</v>
      </c>
      <c r="C12" s="3" t="s">
        <v>244</v>
      </c>
      <c r="D12" s="3" t="s">
        <v>245</v>
      </c>
    </row>
    <row r="13" spans="1:4" ht="48" x14ac:dyDescent="0.2">
      <c r="A13" t="s">
        <v>246</v>
      </c>
      <c r="B13" s="3" t="s">
        <v>247</v>
      </c>
      <c r="C13" s="3" t="s">
        <v>248</v>
      </c>
      <c r="D13" s="3" t="s">
        <v>249</v>
      </c>
    </row>
    <row r="14" spans="1:4" ht="16" x14ac:dyDescent="0.2">
      <c r="B14" s="4" t="s">
        <v>250</v>
      </c>
      <c r="C14" s="3"/>
      <c r="D14" s="3"/>
    </row>
    <row r="15" spans="1:4" ht="112" x14ac:dyDescent="0.2">
      <c r="A15" t="s">
        <v>251</v>
      </c>
      <c r="B15" s="3" t="s">
        <v>252</v>
      </c>
      <c r="C15" s="3" t="s">
        <v>253</v>
      </c>
      <c r="D15" s="3" t="s">
        <v>254</v>
      </c>
    </row>
    <row r="16" spans="1:4" ht="128" x14ac:dyDescent="0.2">
      <c r="A16" t="s">
        <v>255</v>
      </c>
      <c r="B16" s="3" t="s">
        <v>256</v>
      </c>
      <c r="C16" s="3" t="s">
        <v>257</v>
      </c>
      <c r="D16" s="3" t="s">
        <v>258</v>
      </c>
    </row>
    <row r="17" spans="1:4" ht="16" x14ac:dyDescent="0.2">
      <c r="B17" s="4" t="s">
        <v>259</v>
      </c>
      <c r="C17" s="3"/>
      <c r="D17" s="3"/>
    </row>
    <row r="18" spans="1:4" ht="80" x14ac:dyDescent="0.2">
      <c r="A18" t="s">
        <v>260</v>
      </c>
      <c r="B18" s="3" t="s">
        <v>261</v>
      </c>
      <c r="C18" s="3" t="s">
        <v>262</v>
      </c>
      <c r="D18" s="3" t="s">
        <v>263</v>
      </c>
    </row>
    <row r="19" spans="1:4" ht="32" x14ac:dyDescent="0.2">
      <c r="A19" t="s">
        <v>264</v>
      </c>
      <c r="B19" s="3" t="s">
        <v>265</v>
      </c>
      <c r="C19" s="3" t="s">
        <v>266</v>
      </c>
      <c r="D19" s="3" t="s">
        <v>267</v>
      </c>
    </row>
    <row r="20" spans="1:4" ht="32" x14ac:dyDescent="0.2">
      <c r="B20" s="4" t="s">
        <v>268</v>
      </c>
      <c r="C20" s="3"/>
      <c r="D20" s="3"/>
    </row>
    <row r="21" spans="1:4" ht="32" x14ac:dyDescent="0.2">
      <c r="A21" t="s">
        <v>269</v>
      </c>
      <c r="B21" s="3" t="s">
        <v>270</v>
      </c>
      <c r="C21" s="3" t="s">
        <v>271</v>
      </c>
      <c r="D21" s="3" t="s">
        <v>272</v>
      </c>
    </row>
    <row r="22" spans="1:4" ht="304" x14ac:dyDescent="0.2">
      <c r="A22" t="s">
        <v>273</v>
      </c>
      <c r="B22" s="3" t="s">
        <v>274</v>
      </c>
      <c r="C22" s="3" t="s">
        <v>275</v>
      </c>
      <c r="D22" s="3" t="s">
        <v>276</v>
      </c>
    </row>
    <row r="23" spans="1:4" ht="176" x14ac:dyDescent="0.2">
      <c r="A23" t="s">
        <v>277</v>
      </c>
      <c r="B23" s="3" t="s">
        <v>278</v>
      </c>
      <c r="C23" s="3" t="s">
        <v>279</v>
      </c>
      <c r="D23" s="3" t="s">
        <v>267</v>
      </c>
    </row>
    <row r="24" spans="1:4" ht="112" x14ac:dyDescent="0.2">
      <c r="A24" t="s">
        <v>280</v>
      </c>
      <c r="B24" s="3" t="s">
        <v>281</v>
      </c>
      <c r="C24" s="3" t="s">
        <v>282</v>
      </c>
      <c r="D24" s="3" t="s">
        <v>283</v>
      </c>
    </row>
    <row r="25" spans="1:4" ht="128" x14ac:dyDescent="0.2">
      <c r="A25" t="s">
        <v>284</v>
      </c>
      <c r="B25" s="3" t="s">
        <v>285</v>
      </c>
      <c r="C25" s="3" t="s">
        <v>286</v>
      </c>
      <c r="D25" s="3" t="s">
        <v>287</v>
      </c>
    </row>
    <row r="26" spans="1:4" ht="256" x14ac:dyDescent="0.2">
      <c r="A26" t="s">
        <v>288</v>
      </c>
      <c r="B26" s="3" t="s">
        <v>289</v>
      </c>
      <c r="C26" s="3" t="s">
        <v>290</v>
      </c>
      <c r="D26" s="3" t="s">
        <v>291</v>
      </c>
    </row>
    <row r="27" spans="1:4" ht="288" x14ac:dyDescent="0.2">
      <c r="A27" t="s">
        <v>292</v>
      </c>
      <c r="B27" s="3" t="s">
        <v>293</v>
      </c>
      <c r="C27" s="3" t="s">
        <v>294</v>
      </c>
      <c r="D27" s="3" t="s">
        <v>295</v>
      </c>
    </row>
    <row r="28" spans="1:4" ht="224" x14ac:dyDescent="0.2">
      <c r="A28" t="s">
        <v>296</v>
      </c>
      <c r="B28" s="3" t="s">
        <v>297</v>
      </c>
      <c r="C28" s="3" t="s">
        <v>298</v>
      </c>
      <c r="D28" s="3" t="s">
        <v>299</v>
      </c>
    </row>
    <row r="29" spans="1:4" ht="272" x14ac:dyDescent="0.2">
      <c r="A29" t="s">
        <v>300</v>
      </c>
      <c r="B29" s="3" t="s">
        <v>301</v>
      </c>
      <c r="C29" s="3" t="s">
        <v>302</v>
      </c>
      <c r="D29" s="3" t="s">
        <v>303</v>
      </c>
    </row>
    <row r="30" spans="1:4" ht="96" x14ac:dyDescent="0.2">
      <c r="A30" t="s">
        <v>304</v>
      </c>
      <c r="B30" s="3" t="s">
        <v>305</v>
      </c>
      <c r="C30" s="3" t="s">
        <v>306</v>
      </c>
      <c r="D30" s="3" t="s">
        <v>307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8"/>
  <sheetViews>
    <sheetView workbookViewId="0">
      <pane ySplit="1" topLeftCell="A2" activePane="bottomLeft" state="frozen"/>
      <selection pane="bottomLeft" activeCell="D9" sqref="D9"/>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x14ac:dyDescent="0.2">
      <c r="A2" t="s">
        <v>335</v>
      </c>
      <c r="B2" t="s">
        <v>336</v>
      </c>
      <c r="C2" t="s">
        <v>337</v>
      </c>
      <c r="D2" t="s">
        <v>338</v>
      </c>
      <c r="E2" t="s">
        <v>339</v>
      </c>
      <c r="F2" t="s">
        <v>340</v>
      </c>
      <c r="G2" t="s">
        <v>341</v>
      </c>
      <c r="H2" t="s">
        <v>342</v>
      </c>
      <c r="I2" t="s">
        <v>343</v>
      </c>
      <c r="J2" t="s">
        <v>344</v>
      </c>
      <c r="K2" t="s">
        <v>345</v>
      </c>
      <c r="L2" t="s">
        <v>346</v>
      </c>
      <c r="M2" t="s">
        <v>347</v>
      </c>
      <c r="N2" t="s">
        <v>348</v>
      </c>
      <c r="O2" t="s">
        <v>349</v>
      </c>
      <c r="P2" t="s">
        <v>350</v>
      </c>
      <c r="Q2" t="s">
        <v>351</v>
      </c>
      <c r="T2" t="s">
        <v>352</v>
      </c>
      <c r="U2" t="s">
        <v>353</v>
      </c>
      <c r="Y2" t="s">
        <v>354</v>
      </c>
      <c r="Z2" t="s">
        <v>355</v>
      </c>
      <c r="AA2" t="s">
        <v>356</v>
      </c>
      <c r="AB2" t="s">
        <v>357</v>
      </c>
    </row>
    <row r="3" spans="1:28" x14ac:dyDescent="0.2">
      <c r="A3" t="s">
        <v>358</v>
      </c>
      <c r="B3" t="s">
        <v>359</v>
      </c>
      <c r="C3" t="s">
        <v>337</v>
      </c>
      <c r="D3" t="s">
        <v>360</v>
      </c>
      <c r="E3" t="s">
        <v>361</v>
      </c>
      <c r="F3" t="s">
        <v>362</v>
      </c>
      <c r="G3" t="s">
        <v>363</v>
      </c>
      <c r="H3" t="s">
        <v>364</v>
      </c>
      <c r="I3" t="s">
        <v>365</v>
      </c>
      <c r="J3" t="s">
        <v>366</v>
      </c>
      <c r="K3" t="s">
        <v>367</v>
      </c>
      <c r="L3" t="s">
        <v>368</v>
      </c>
      <c r="M3" t="s">
        <v>347</v>
      </c>
      <c r="N3" t="s">
        <v>348</v>
      </c>
      <c r="O3" t="s">
        <v>369</v>
      </c>
      <c r="P3" t="s">
        <v>370</v>
      </c>
      <c r="Q3" t="s">
        <v>371</v>
      </c>
      <c r="S3" t="s">
        <v>372</v>
      </c>
      <c r="T3" t="s">
        <v>373</v>
      </c>
      <c r="V3" t="s">
        <v>374</v>
      </c>
      <c r="Y3" t="s">
        <v>354</v>
      </c>
      <c r="Z3" t="s">
        <v>355</v>
      </c>
      <c r="AA3" t="s">
        <v>375</v>
      </c>
      <c r="AB3" t="s">
        <v>376</v>
      </c>
    </row>
    <row r="4" spans="1:28" x14ac:dyDescent="0.2">
      <c r="A4" t="s">
        <v>377</v>
      </c>
      <c r="B4" t="s">
        <v>378</v>
      </c>
      <c r="C4" t="s">
        <v>337</v>
      </c>
      <c r="D4" t="s">
        <v>379</v>
      </c>
      <c r="E4" t="s">
        <v>380</v>
      </c>
      <c r="F4" t="s">
        <v>381</v>
      </c>
      <c r="G4" t="s">
        <v>382</v>
      </c>
      <c r="H4" t="s">
        <v>383</v>
      </c>
      <c r="I4" t="s">
        <v>384</v>
      </c>
      <c r="J4" t="s">
        <v>385</v>
      </c>
      <c r="K4" t="s">
        <v>345</v>
      </c>
      <c r="L4" t="s">
        <v>346</v>
      </c>
      <c r="M4" t="s">
        <v>347</v>
      </c>
      <c r="N4" t="s">
        <v>348</v>
      </c>
      <c r="O4" t="s">
        <v>386</v>
      </c>
      <c r="P4" t="s">
        <v>387</v>
      </c>
      <c r="Q4" t="s">
        <v>388</v>
      </c>
      <c r="T4" t="s">
        <v>389</v>
      </c>
      <c r="Y4" t="s">
        <v>354</v>
      </c>
      <c r="Z4" t="s">
        <v>355</v>
      </c>
      <c r="AA4" t="s">
        <v>390</v>
      </c>
      <c r="AB4" t="s">
        <v>391</v>
      </c>
    </row>
    <row r="5" spans="1:28" x14ac:dyDescent="0.2">
      <c r="A5" t="s">
        <v>392</v>
      </c>
      <c r="B5" t="s">
        <v>393</v>
      </c>
      <c r="C5" t="s">
        <v>337</v>
      </c>
      <c r="D5" t="s">
        <v>394</v>
      </c>
      <c r="E5" t="s">
        <v>395</v>
      </c>
      <c r="F5" t="s">
        <v>396</v>
      </c>
      <c r="G5" t="s">
        <v>397</v>
      </c>
      <c r="H5" t="s">
        <v>398</v>
      </c>
      <c r="I5" t="s">
        <v>399</v>
      </c>
      <c r="J5" t="s">
        <v>400</v>
      </c>
      <c r="K5" t="s">
        <v>401</v>
      </c>
      <c r="L5" t="s">
        <v>402</v>
      </c>
      <c r="M5" t="s">
        <v>403</v>
      </c>
      <c r="N5" t="s">
        <v>404</v>
      </c>
      <c r="O5" t="s">
        <v>349</v>
      </c>
      <c r="P5" t="s">
        <v>405</v>
      </c>
      <c r="Q5" t="s">
        <v>406</v>
      </c>
      <c r="T5" t="s">
        <v>407</v>
      </c>
      <c r="Y5" t="s">
        <v>354</v>
      </c>
      <c r="Z5" t="s">
        <v>355</v>
      </c>
      <c r="AA5" t="s">
        <v>408</v>
      </c>
      <c r="AB5" t="s">
        <v>409</v>
      </c>
    </row>
    <row r="6" spans="1:28" x14ac:dyDescent="0.2">
      <c r="A6" t="s">
        <v>410</v>
      </c>
      <c r="B6" t="s">
        <v>411</v>
      </c>
      <c r="C6" t="s">
        <v>337</v>
      </c>
      <c r="D6" t="s">
        <v>412</v>
      </c>
      <c r="E6" t="s">
        <v>413</v>
      </c>
      <c r="F6" t="s">
        <v>414</v>
      </c>
      <c r="G6" t="s">
        <v>415</v>
      </c>
      <c r="H6" t="s">
        <v>416</v>
      </c>
      <c r="I6" t="s">
        <v>417</v>
      </c>
      <c r="J6" t="s">
        <v>418</v>
      </c>
      <c r="K6" t="s">
        <v>345</v>
      </c>
      <c r="L6" t="s">
        <v>346</v>
      </c>
      <c r="M6" t="s">
        <v>403</v>
      </c>
      <c r="N6" t="s">
        <v>404</v>
      </c>
      <c r="O6" t="s">
        <v>354</v>
      </c>
      <c r="P6" t="s">
        <v>419</v>
      </c>
      <c r="Q6" t="s">
        <v>420</v>
      </c>
      <c r="T6" t="s">
        <v>407</v>
      </c>
      <c r="Y6" t="s">
        <v>354</v>
      </c>
      <c r="Z6" t="s">
        <v>355</v>
      </c>
      <c r="AA6" t="s">
        <v>421</v>
      </c>
      <c r="AB6" t="s">
        <v>357</v>
      </c>
    </row>
    <row r="7" spans="1:28" x14ac:dyDescent="0.2">
      <c r="A7" t="s">
        <v>422</v>
      </c>
      <c r="B7" t="s">
        <v>411</v>
      </c>
      <c r="C7" t="s">
        <v>337</v>
      </c>
      <c r="D7" t="s">
        <v>423</v>
      </c>
      <c r="E7" t="s">
        <v>424</v>
      </c>
      <c r="F7" t="s">
        <v>425</v>
      </c>
      <c r="G7" t="s">
        <v>426</v>
      </c>
      <c r="H7" t="s">
        <v>427</v>
      </c>
      <c r="I7" t="s">
        <v>428</v>
      </c>
      <c r="J7" t="s">
        <v>418</v>
      </c>
      <c r="K7" t="s">
        <v>345</v>
      </c>
      <c r="L7" t="s">
        <v>402</v>
      </c>
      <c r="M7" t="s">
        <v>347</v>
      </c>
      <c r="N7" t="s">
        <v>404</v>
      </c>
      <c r="O7" t="s">
        <v>354</v>
      </c>
      <c r="P7" t="s">
        <v>429</v>
      </c>
      <c r="Q7" t="s">
        <v>430</v>
      </c>
      <c r="T7" t="s">
        <v>407</v>
      </c>
      <c r="U7" t="s">
        <v>431</v>
      </c>
      <c r="Y7" t="s">
        <v>354</v>
      </c>
      <c r="Z7" t="s">
        <v>355</v>
      </c>
      <c r="AA7" t="s">
        <v>432</v>
      </c>
      <c r="AB7" t="s">
        <v>433</v>
      </c>
    </row>
    <row r="8" spans="1:28" x14ac:dyDescent="0.2">
      <c r="A8" t="s">
        <v>434</v>
      </c>
      <c r="B8" t="s">
        <v>411</v>
      </c>
      <c r="C8" t="s">
        <v>337</v>
      </c>
      <c r="D8" t="s">
        <v>435</v>
      </c>
      <c r="E8" t="s">
        <v>436</v>
      </c>
      <c r="F8" t="s">
        <v>437</v>
      </c>
      <c r="H8" t="s">
        <v>438</v>
      </c>
      <c r="I8" t="s">
        <v>439</v>
      </c>
      <c r="J8" t="s">
        <v>418</v>
      </c>
      <c r="K8" t="s">
        <v>345</v>
      </c>
      <c r="L8" t="s">
        <v>440</v>
      </c>
      <c r="M8" t="s">
        <v>403</v>
      </c>
      <c r="N8" t="s">
        <v>404</v>
      </c>
      <c r="O8" t="s">
        <v>354</v>
      </c>
      <c r="P8" t="s">
        <v>441</v>
      </c>
      <c r="Q8" t="s">
        <v>442</v>
      </c>
      <c r="T8" t="s">
        <v>407</v>
      </c>
      <c r="Y8" t="s">
        <v>354</v>
      </c>
      <c r="Z8" t="s">
        <v>355</v>
      </c>
      <c r="AA8" t="s">
        <v>443</v>
      </c>
      <c r="AB8" t="s">
        <v>444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x14ac:dyDescent="0.2">
      <c r="A2" t="s">
        <v>445</v>
      </c>
      <c r="B2" t="s">
        <v>446</v>
      </c>
      <c r="C2" t="s">
        <v>337</v>
      </c>
      <c r="D2" t="s">
        <v>447</v>
      </c>
      <c r="E2" t="s">
        <v>448</v>
      </c>
      <c r="F2" t="s">
        <v>449</v>
      </c>
      <c r="G2" t="s">
        <v>450</v>
      </c>
      <c r="H2" t="s">
        <v>451</v>
      </c>
      <c r="I2" t="s">
        <v>452</v>
      </c>
      <c r="J2" t="s">
        <v>453</v>
      </c>
      <c r="K2" t="s">
        <v>454</v>
      </c>
      <c r="L2" t="s">
        <v>455</v>
      </c>
      <c r="M2" t="s">
        <v>347</v>
      </c>
      <c r="N2" t="s">
        <v>348</v>
      </c>
      <c r="O2" t="s">
        <v>456</v>
      </c>
      <c r="P2" t="s">
        <v>405</v>
      </c>
      <c r="Q2" t="s">
        <v>388</v>
      </c>
      <c r="R2" t="s">
        <v>457</v>
      </c>
      <c r="S2" t="s">
        <v>458</v>
      </c>
      <c r="T2" t="s">
        <v>407</v>
      </c>
      <c r="V2" t="s">
        <v>459</v>
      </c>
      <c r="Y2" t="s">
        <v>354</v>
      </c>
      <c r="Z2" t="s">
        <v>355</v>
      </c>
      <c r="AA2" t="s">
        <v>443</v>
      </c>
      <c r="AB2" t="s">
        <v>357</v>
      </c>
    </row>
    <row r="3" spans="1:28" x14ac:dyDescent="0.2">
      <c r="A3" t="s">
        <v>460</v>
      </c>
      <c r="B3" t="s">
        <v>446</v>
      </c>
      <c r="C3" t="s">
        <v>337</v>
      </c>
      <c r="D3" t="s">
        <v>461</v>
      </c>
      <c r="E3" t="s">
        <v>462</v>
      </c>
      <c r="F3" t="s">
        <v>463</v>
      </c>
      <c r="G3" t="s">
        <v>464</v>
      </c>
      <c r="H3" t="s">
        <v>465</v>
      </c>
      <c r="I3" t="s">
        <v>466</v>
      </c>
      <c r="J3" t="s">
        <v>418</v>
      </c>
      <c r="K3" t="s">
        <v>345</v>
      </c>
      <c r="L3" t="s">
        <v>467</v>
      </c>
      <c r="M3" t="s">
        <v>347</v>
      </c>
      <c r="N3" t="s">
        <v>348</v>
      </c>
      <c r="O3" t="s">
        <v>354</v>
      </c>
      <c r="P3" t="s">
        <v>468</v>
      </c>
      <c r="Q3" t="s">
        <v>469</v>
      </c>
      <c r="T3" t="s">
        <v>407</v>
      </c>
      <c r="Y3" t="s">
        <v>354</v>
      </c>
      <c r="Z3" t="s">
        <v>355</v>
      </c>
      <c r="AA3" t="s">
        <v>443</v>
      </c>
      <c r="AB3" t="s">
        <v>357</v>
      </c>
    </row>
    <row r="4" spans="1:28" x14ac:dyDescent="0.2">
      <c r="A4" t="s">
        <v>470</v>
      </c>
      <c r="B4" t="s">
        <v>446</v>
      </c>
      <c r="C4" t="s">
        <v>337</v>
      </c>
      <c r="D4" t="s">
        <v>471</v>
      </c>
      <c r="E4" t="s">
        <v>472</v>
      </c>
      <c r="F4" t="s">
        <v>473</v>
      </c>
      <c r="H4" t="s">
        <v>474</v>
      </c>
      <c r="I4" t="s">
        <v>475</v>
      </c>
      <c r="J4" t="s">
        <v>418</v>
      </c>
      <c r="K4" t="s">
        <v>345</v>
      </c>
      <c r="L4" t="s">
        <v>467</v>
      </c>
      <c r="M4" t="s">
        <v>347</v>
      </c>
      <c r="N4" t="s">
        <v>348</v>
      </c>
      <c r="O4" t="s">
        <v>354</v>
      </c>
      <c r="P4" t="s">
        <v>441</v>
      </c>
      <c r="Q4" t="s">
        <v>442</v>
      </c>
      <c r="T4" t="s">
        <v>407</v>
      </c>
      <c r="U4" t="s">
        <v>476</v>
      </c>
      <c r="Y4" t="s">
        <v>354</v>
      </c>
      <c r="Z4" t="s">
        <v>355</v>
      </c>
      <c r="AA4" t="s">
        <v>443</v>
      </c>
      <c r="AB4" t="s">
        <v>444</v>
      </c>
    </row>
    <row r="5" spans="1:28" x14ac:dyDescent="0.2">
      <c r="A5" t="s">
        <v>477</v>
      </c>
      <c r="B5" t="s">
        <v>446</v>
      </c>
      <c r="C5" t="s">
        <v>337</v>
      </c>
      <c r="D5" t="s">
        <v>478</v>
      </c>
      <c r="E5" t="s">
        <v>479</v>
      </c>
      <c r="F5" t="s">
        <v>437</v>
      </c>
      <c r="H5" t="s">
        <v>480</v>
      </c>
      <c r="I5" t="s">
        <v>439</v>
      </c>
      <c r="J5" t="s">
        <v>418</v>
      </c>
      <c r="K5" t="s">
        <v>401</v>
      </c>
      <c r="L5" t="s">
        <v>440</v>
      </c>
      <c r="M5" t="s">
        <v>347</v>
      </c>
      <c r="N5" t="s">
        <v>348</v>
      </c>
      <c r="O5" t="s">
        <v>354</v>
      </c>
      <c r="P5" t="s">
        <v>441</v>
      </c>
      <c r="Q5" t="s">
        <v>442</v>
      </c>
      <c r="T5" t="s">
        <v>407</v>
      </c>
      <c r="Y5" t="s">
        <v>354</v>
      </c>
      <c r="Z5" t="s">
        <v>355</v>
      </c>
      <c r="AA5" t="s">
        <v>443</v>
      </c>
      <c r="AB5" t="s">
        <v>444</v>
      </c>
    </row>
    <row r="6" spans="1:28" x14ac:dyDescent="0.2">
      <c r="B6" t="s">
        <v>446</v>
      </c>
      <c r="C6" t="s">
        <v>481</v>
      </c>
      <c r="D6" t="s">
        <v>482</v>
      </c>
      <c r="E6" t="s">
        <v>482</v>
      </c>
      <c r="F6" t="s">
        <v>482</v>
      </c>
      <c r="X6" t="s">
        <v>354</v>
      </c>
      <c r="Y6" t="s">
        <v>483</v>
      </c>
    </row>
    <row r="7" spans="1:28" x14ac:dyDescent="0.2">
      <c r="B7" t="s">
        <v>446</v>
      </c>
      <c r="C7" t="s">
        <v>484</v>
      </c>
      <c r="D7" t="s">
        <v>482</v>
      </c>
      <c r="E7" t="s">
        <v>482</v>
      </c>
      <c r="F7" t="s">
        <v>482</v>
      </c>
      <c r="X7" t="s">
        <v>354</v>
      </c>
      <c r="Y7" t="s">
        <v>483</v>
      </c>
    </row>
    <row r="8" spans="1:28" x14ac:dyDescent="0.2">
      <c r="B8" t="s">
        <v>446</v>
      </c>
      <c r="C8" t="s">
        <v>485</v>
      </c>
      <c r="D8" t="s">
        <v>482</v>
      </c>
      <c r="E8" t="s">
        <v>482</v>
      </c>
      <c r="F8" t="s">
        <v>482</v>
      </c>
      <c r="X8" t="s">
        <v>354</v>
      </c>
      <c r="Y8" t="s">
        <v>483</v>
      </c>
    </row>
    <row r="9" spans="1:28" x14ac:dyDescent="0.2">
      <c r="B9" t="s">
        <v>446</v>
      </c>
      <c r="C9" t="s">
        <v>486</v>
      </c>
      <c r="D9" t="s">
        <v>482</v>
      </c>
      <c r="E9" t="s">
        <v>482</v>
      </c>
      <c r="F9" t="s">
        <v>482</v>
      </c>
      <c r="X9" t="s">
        <v>354</v>
      </c>
      <c r="Y9" t="s">
        <v>483</v>
      </c>
    </row>
    <row r="10" spans="1:28" x14ac:dyDescent="0.2">
      <c r="B10" t="s">
        <v>446</v>
      </c>
      <c r="C10" t="s">
        <v>487</v>
      </c>
      <c r="D10" t="s">
        <v>482</v>
      </c>
      <c r="E10" t="s">
        <v>482</v>
      </c>
      <c r="F10" t="s">
        <v>482</v>
      </c>
      <c r="X10" t="s">
        <v>354</v>
      </c>
      <c r="Y10" t="s">
        <v>488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B49"/>
  <sheetViews>
    <sheetView tabSelected="1" topLeftCell="C1" zoomScale="162" workbookViewId="0">
      <pane ySplit="1" topLeftCell="A35" activePane="bottomLeft" state="frozen"/>
      <selection pane="bottomLeft" activeCell="H36" sqref="H36"/>
    </sheetView>
  </sheetViews>
  <sheetFormatPr baseColWidth="10" defaultColWidth="8.83203125" defaultRowHeight="15" x14ac:dyDescent="0.2"/>
  <cols>
    <col min="1" max="1" width="17" style="8" customWidth="1"/>
    <col min="2" max="2" width="11.83203125" style="8" customWidth="1"/>
    <col min="3" max="3" width="15.5" style="8" customWidth="1"/>
    <col min="4" max="4" width="22" style="8" customWidth="1"/>
    <col min="5" max="6" width="33" style="8" customWidth="1"/>
    <col min="7" max="7" width="19" style="8" customWidth="1"/>
    <col min="8" max="8" width="30" style="8" customWidth="1"/>
    <col min="9" max="9" width="26" style="8" customWidth="1"/>
    <col min="10" max="10" width="23" style="8" customWidth="1"/>
    <col min="11" max="12" width="42" style="8" customWidth="1"/>
    <col min="13" max="13" width="35" style="8" customWidth="1"/>
    <col min="14" max="15" width="42" style="8" customWidth="1"/>
    <col min="16" max="16" width="40" style="8" customWidth="1"/>
    <col min="17" max="18" width="42" style="8" customWidth="1"/>
    <col min="19" max="19" width="37" style="8" customWidth="1"/>
    <col min="20" max="20" width="22" style="8" customWidth="1"/>
    <col min="21" max="21" width="28" style="8" customWidth="1"/>
    <col min="22" max="22" width="36" style="8" customWidth="1"/>
    <col min="23" max="24" width="41" style="8" customWidth="1"/>
    <col min="25" max="25" width="20" style="8" customWidth="1"/>
    <col min="26" max="26" width="18" style="8" customWidth="1"/>
    <col min="27" max="27" width="73.1640625" style="8" customWidth="1"/>
    <col min="28" max="28" width="42" style="8" customWidth="1"/>
    <col min="29" max="16384" width="8.83203125" style="8"/>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ht="409.6" hidden="1" x14ac:dyDescent="0.2">
      <c r="A2" s="8" t="s">
        <v>489</v>
      </c>
      <c r="B2" s="8" t="s">
        <v>490</v>
      </c>
      <c r="C2" s="8" t="s">
        <v>337</v>
      </c>
      <c r="D2" s="8" t="s">
        <v>491</v>
      </c>
      <c r="E2" s="8" t="s">
        <v>492</v>
      </c>
      <c r="F2" s="8" t="s">
        <v>493</v>
      </c>
      <c r="G2" s="8" t="s">
        <v>494</v>
      </c>
      <c r="H2" s="8" t="s">
        <v>495</v>
      </c>
      <c r="I2" s="8" t="s">
        <v>496</v>
      </c>
      <c r="J2" s="8" t="s">
        <v>497</v>
      </c>
      <c r="K2" s="8" t="s">
        <v>345</v>
      </c>
      <c r="L2" s="8" t="s">
        <v>498</v>
      </c>
      <c r="M2" s="8" t="s">
        <v>347</v>
      </c>
      <c r="N2" s="8" t="s">
        <v>348</v>
      </c>
      <c r="O2" s="8" t="s">
        <v>499</v>
      </c>
      <c r="P2" s="8" t="s">
        <v>500</v>
      </c>
      <c r="Q2" s="8" t="s">
        <v>501</v>
      </c>
      <c r="S2" s="8" t="s">
        <v>502</v>
      </c>
      <c r="T2" s="8" t="s">
        <v>407</v>
      </c>
      <c r="V2" s="8" t="s">
        <v>503</v>
      </c>
      <c r="Y2" s="8" t="s">
        <v>354</v>
      </c>
      <c r="Z2" s="8" t="s">
        <v>355</v>
      </c>
      <c r="AA2" s="8" t="s">
        <v>504</v>
      </c>
      <c r="AB2" s="8" t="s">
        <v>505</v>
      </c>
    </row>
    <row r="3" spans="1:28" ht="380" hidden="1" x14ac:dyDescent="0.2">
      <c r="A3" s="8" t="s">
        <v>506</v>
      </c>
      <c r="B3" s="8" t="s">
        <v>490</v>
      </c>
      <c r="C3" s="8" t="s">
        <v>337</v>
      </c>
      <c r="D3" s="8" t="s">
        <v>507</v>
      </c>
      <c r="E3" s="8" t="s">
        <v>508</v>
      </c>
      <c r="F3" s="8" t="s">
        <v>509</v>
      </c>
      <c r="G3" s="8" t="s">
        <v>510</v>
      </c>
      <c r="H3" s="8" t="s">
        <v>511</v>
      </c>
      <c r="I3" s="8" t="s">
        <v>512</v>
      </c>
      <c r="J3" s="8" t="s">
        <v>513</v>
      </c>
      <c r="K3" s="8" t="s">
        <v>401</v>
      </c>
      <c r="L3" s="8" t="s">
        <v>514</v>
      </c>
      <c r="M3" s="8" t="s">
        <v>347</v>
      </c>
      <c r="N3" s="8" t="s">
        <v>515</v>
      </c>
      <c r="O3" s="8" t="s">
        <v>349</v>
      </c>
      <c r="P3" s="8" t="s">
        <v>405</v>
      </c>
      <c r="Q3" s="8" t="s">
        <v>516</v>
      </c>
      <c r="S3" s="8" t="s">
        <v>517</v>
      </c>
      <c r="T3" s="8" t="s">
        <v>407</v>
      </c>
      <c r="V3" s="8" t="s">
        <v>518</v>
      </c>
      <c r="Y3" s="8" t="s">
        <v>354</v>
      </c>
      <c r="Z3" s="8" t="s">
        <v>355</v>
      </c>
      <c r="AA3" s="8" t="s">
        <v>519</v>
      </c>
      <c r="AB3" s="8" t="s">
        <v>357</v>
      </c>
    </row>
    <row r="4" spans="1:28" ht="409.6" hidden="1" x14ac:dyDescent="0.2">
      <c r="A4" s="8" t="s">
        <v>520</v>
      </c>
      <c r="B4" s="8" t="s">
        <v>490</v>
      </c>
      <c r="C4" s="8" t="s">
        <v>337</v>
      </c>
      <c r="D4" s="8" t="s">
        <v>521</v>
      </c>
      <c r="E4" s="8" t="s">
        <v>522</v>
      </c>
      <c r="F4" s="8" t="s">
        <v>493</v>
      </c>
      <c r="G4" s="8" t="s">
        <v>494</v>
      </c>
      <c r="H4" s="8" t="s">
        <v>495</v>
      </c>
      <c r="I4" s="8" t="s">
        <v>496</v>
      </c>
      <c r="J4" s="8" t="s">
        <v>497</v>
      </c>
      <c r="K4" s="8" t="s">
        <v>345</v>
      </c>
      <c r="L4" s="8" t="s">
        <v>498</v>
      </c>
      <c r="M4" s="8" t="s">
        <v>347</v>
      </c>
      <c r="N4" s="8" t="s">
        <v>348</v>
      </c>
      <c r="O4" s="8" t="s">
        <v>499</v>
      </c>
      <c r="P4" s="8" t="s">
        <v>500</v>
      </c>
      <c r="Q4" s="8" t="s">
        <v>501</v>
      </c>
      <c r="S4" s="8" t="s">
        <v>502</v>
      </c>
      <c r="T4" s="8" t="s">
        <v>407</v>
      </c>
      <c r="Y4" s="8" t="s">
        <v>354</v>
      </c>
      <c r="Z4" s="8" t="s">
        <v>355</v>
      </c>
      <c r="AA4" s="8" t="s">
        <v>504</v>
      </c>
      <c r="AB4" s="8" t="s">
        <v>505</v>
      </c>
    </row>
    <row r="5" spans="1:28" ht="365" hidden="1" x14ac:dyDescent="0.2">
      <c r="A5" s="8" t="s">
        <v>523</v>
      </c>
      <c r="B5" s="8" t="s">
        <v>490</v>
      </c>
      <c r="C5" s="8" t="s">
        <v>337</v>
      </c>
      <c r="D5" s="8" t="s">
        <v>524</v>
      </c>
      <c r="E5" s="8" t="s">
        <v>525</v>
      </c>
      <c r="F5" s="8" t="s">
        <v>526</v>
      </c>
      <c r="G5" s="8" t="s">
        <v>527</v>
      </c>
      <c r="H5" s="8" t="s">
        <v>528</v>
      </c>
      <c r="I5" s="8" t="s">
        <v>529</v>
      </c>
      <c r="J5" s="8" t="s">
        <v>530</v>
      </c>
      <c r="K5" s="8" t="s">
        <v>345</v>
      </c>
      <c r="L5" s="8" t="s">
        <v>346</v>
      </c>
      <c r="M5" s="8" t="s">
        <v>531</v>
      </c>
      <c r="N5" s="8" t="s">
        <v>348</v>
      </c>
      <c r="O5" s="8" t="s">
        <v>349</v>
      </c>
      <c r="P5" s="8" t="s">
        <v>532</v>
      </c>
      <c r="Q5" s="8" t="s">
        <v>533</v>
      </c>
      <c r="T5" s="8" t="s">
        <v>407</v>
      </c>
      <c r="Y5" s="8" t="s">
        <v>354</v>
      </c>
      <c r="Z5" s="8" t="s">
        <v>355</v>
      </c>
      <c r="AA5" s="8" t="s">
        <v>504</v>
      </c>
      <c r="AB5" s="8" t="s">
        <v>357</v>
      </c>
    </row>
    <row r="6" spans="1:28" ht="365" hidden="1" x14ac:dyDescent="0.2">
      <c r="A6" s="8" t="s">
        <v>534</v>
      </c>
      <c r="B6" s="8" t="s">
        <v>490</v>
      </c>
      <c r="C6" s="8" t="s">
        <v>337</v>
      </c>
      <c r="D6" s="8" t="s">
        <v>535</v>
      </c>
      <c r="E6" s="8" t="s">
        <v>536</v>
      </c>
      <c r="F6" s="8" t="s">
        <v>537</v>
      </c>
      <c r="G6" s="8" t="s">
        <v>538</v>
      </c>
      <c r="H6" s="8" t="s">
        <v>539</v>
      </c>
      <c r="I6" s="8" t="s">
        <v>540</v>
      </c>
      <c r="J6" s="8" t="s">
        <v>385</v>
      </c>
      <c r="K6" s="8" t="s">
        <v>345</v>
      </c>
      <c r="L6" s="8" t="s">
        <v>346</v>
      </c>
      <c r="M6" s="8" t="s">
        <v>347</v>
      </c>
      <c r="N6" s="8" t="s">
        <v>348</v>
      </c>
      <c r="O6" s="8" t="s">
        <v>541</v>
      </c>
      <c r="P6" s="8" t="s">
        <v>542</v>
      </c>
      <c r="Q6" s="8" t="s">
        <v>543</v>
      </c>
      <c r="R6" s="8" t="s">
        <v>544</v>
      </c>
      <c r="S6" s="8" t="s">
        <v>545</v>
      </c>
      <c r="T6" s="8" t="s">
        <v>546</v>
      </c>
      <c r="V6" s="8" t="s">
        <v>547</v>
      </c>
      <c r="Y6" s="8" t="s">
        <v>354</v>
      </c>
      <c r="Z6" s="8" t="s">
        <v>355</v>
      </c>
      <c r="AA6" s="8" t="s">
        <v>504</v>
      </c>
      <c r="AB6" s="8" t="s">
        <v>548</v>
      </c>
    </row>
    <row r="7" spans="1:28" ht="160" hidden="1" x14ac:dyDescent="0.2">
      <c r="A7" s="8" t="s">
        <v>549</v>
      </c>
      <c r="B7" s="8" t="s">
        <v>490</v>
      </c>
      <c r="C7" s="8" t="s">
        <v>337</v>
      </c>
      <c r="D7" s="8" t="s">
        <v>550</v>
      </c>
      <c r="E7" s="8" t="s">
        <v>551</v>
      </c>
      <c r="F7" s="8" t="s">
        <v>437</v>
      </c>
      <c r="J7" s="8" t="s">
        <v>418</v>
      </c>
      <c r="K7" s="8" t="s">
        <v>345</v>
      </c>
      <c r="L7" s="8" t="s">
        <v>440</v>
      </c>
      <c r="M7" s="8" t="s">
        <v>347</v>
      </c>
      <c r="N7" s="8" t="s">
        <v>348</v>
      </c>
      <c r="O7" s="8" t="s">
        <v>354</v>
      </c>
      <c r="P7" s="8" t="s">
        <v>441</v>
      </c>
      <c r="Q7" s="8" t="s">
        <v>442</v>
      </c>
      <c r="S7" s="8" t="s">
        <v>552</v>
      </c>
      <c r="T7" s="8" t="s">
        <v>407</v>
      </c>
      <c r="Y7" s="8" t="s">
        <v>354</v>
      </c>
      <c r="Z7" s="8" t="s">
        <v>355</v>
      </c>
      <c r="AA7" s="8" t="s">
        <v>553</v>
      </c>
      <c r="AB7" s="8" t="s">
        <v>444</v>
      </c>
    </row>
    <row r="8" spans="1:28" ht="409.6" hidden="1" x14ac:dyDescent="0.2">
      <c r="A8" s="8" t="s">
        <v>554</v>
      </c>
      <c r="B8" s="8" t="s">
        <v>490</v>
      </c>
      <c r="C8" s="8" t="s">
        <v>337</v>
      </c>
      <c r="D8" s="8" t="s">
        <v>555</v>
      </c>
      <c r="E8" s="8" t="s">
        <v>556</v>
      </c>
      <c r="F8" s="8" t="s">
        <v>557</v>
      </c>
      <c r="G8" s="8" t="s">
        <v>558</v>
      </c>
      <c r="H8" s="8" t="s">
        <v>559</v>
      </c>
      <c r="I8" s="8" t="s">
        <v>560</v>
      </c>
      <c r="J8" s="8" t="s">
        <v>561</v>
      </c>
      <c r="K8" s="8" t="s">
        <v>345</v>
      </c>
      <c r="L8" s="8" t="s">
        <v>346</v>
      </c>
      <c r="M8" s="8" t="s">
        <v>562</v>
      </c>
      <c r="N8" s="8" t="s">
        <v>348</v>
      </c>
      <c r="O8" s="8" t="s">
        <v>541</v>
      </c>
      <c r="P8" s="8" t="s">
        <v>563</v>
      </c>
      <c r="Q8" s="8" t="s">
        <v>564</v>
      </c>
      <c r="R8" s="8" t="s">
        <v>565</v>
      </c>
      <c r="T8" s="8" t="s">
        <v>407</v>
      </c>
      <c r="V8" s="8" t="s">
        <v>566</v>
      </c>
      <c r="Y8" s="8" t="s">
        <v>354</v>
      </c>
      <c r="Z8" s="8" t="s">
        <v>355</v>
      </c>
      <c r="AA8" s="8" t="s">
        <v>567</v>
      </c>
      <c r="AB8" s="8" t="s">
        <v>357</v>
      </c>
    </row>
    <row r="9" spans="1:28" ht="409.6" hidden="1" x14ac:dyDescent="0.2">
      <c r="A9" s="8" t="s">
        <v>568</v>
      </c>
      <c r="B9" s="8" t="s">
        <v>490</v>
      </c>
      <c r="C9" s="8" t="s">
        <v>337</v>
      </c>
      <c r="D9" s="8" t="s">
        <v>569</v>
      </c>
      <c r="E9" s="8" t="s">
        <v>570</v>
      </c>
      <c r="F9" s="8" t="s">
        <v>571</v>
      </c>
      <c r="G9" s="8" t="s">
        <v>572</v>
      </c>
      <c r="H9" s="8" t="s">
        <v>573</v>
      </c>
      <c r="I9" s="8" t="s">
        <v>574</v>
      </c>
      <c r="J9" s="8" t="s">
        <v>575</v>
      </c>
      <c r="K9" s="8" t="s">
        <v>576</v>
      </c>
      <c r="L9" s="8" t="s">
        <v>346</v>
      </c>
      <c r="M9" s="8" t="s">
        <v>531</v>
      </c>
      <c r="N9" s="8" t="s">
        <v>348</v>
      </c>
      <c r="O9" s="8" t="s">
        <v>577</v>
      </c>
      <c r="P9" s="8" t="s">
        <v>578</v>
      </c>
      <c r="Q9" s="8" t="s">
        <v>579</v>
      </c>
      <c r="R9" s="8" t="s">
        <v>580</v>
      </c>
      <c r="S9" s="8" t="s">
        <v>581</v>
      </c>
      <c r="T9" s="8" t="s">
        <v>407</v>
      </c>
      <c r="V9" s="8" t="s">
        <v>582</v>
      </c>
      <c r="Y9" s="8" t="s">
        <v>354</v>
      </c>
      <c r="Z9" s="8" t="s">
        <v>355</v>
      </c>
      <c r="AA9" s="8" t="s">
        <v>567</v>
      </c>
      <c r="AB9" s="8" t="s">
        <v>583</v>
      </c>
    </row>
    <row r="10" spans="1:28" ht="365" hidden="1" x14ac:dyDescent="0.2">
      <c r="A10" s="8" t="s">
        <v>584</v>
      </c>
      <c r="B10" s="8" t="s">
        <v>490</v>
      </c>
      <c r="C10" s="8" t="s">
        <v>337</v>
      </c>
      <c r="D10" s="8" t="s">
        <v>585</v>
      </c>
      <c r="E10" s="8" t="s">
        <v>586</v>
      </c>
      <c r="F10" s="8" t="s">
        <v>587</v>
      </c>
      <c r="G10" s="8" t="s">
        <v>588</v>
      </c>
      <c r="H10" s="8" t="s">
        <v>589</v>
      </c>
      <c r="I10" s="8" t="s">
        <v>590</v>
      </c>
      <c r="J10" s="8" t="s">
        <v>591</v>
      </c>
      <c r="K10" s="8" t="s">
        <v>345</v>
      </c>
      <c r="L10" s="8" t="s">
        <v>346</v>
      </c>
      <c r="M10" s="8" t="s">
        <v>592</v>
      </c>
      <c r="N10" s="8" t="s">
        <v>348</v>
      </c>
      <c r="O10" s="8" t="s">
        <v>593</v>
      </c>
      <c r="P10" s="8" t="s">
        <v>594</v>
      </c>
      <c r="Q10" s="8" t="s">
        <v>595</v>
      </c>
      <c r="T10" s="8" t="s">
        <v>407</v>
      </c>
      <c r="Y10" s="8" t="s">
        <v>354</v>
      </c>
      <c r="Z10" s="8" t="s">
        <v>355</v>
      </c>
      <c r="AA10" s="8" t="s">
        <v>504</v>
      </c>
      <c r="AB10" s="8" t="s">
        <v>596</v>
      </c>
    </row>
    <row r="11" spans="1:28" ht="365" hidden="1" x14ac:dyDescent="0.2">
      <c r="A11" s="8" t="s">
        <v>597</v>
      </c>
      <c r="B11" s="8" t="s">
        <v>490</v>
      </c>
      <c r="C11" s="8" t="s">
        <v>337</v>
      </c>
      <c r="D11" s="8" t="s">
        <v>598</v>
      </c>
      <c r="E11" s="8" t="s">
        <v>599</v>
      </c>
      <c r="F11" s="8" t="s">
        <v>587</v>
      </c>
      <c r="G11" s="8" t="s">
        <v>588</v>
      </c>
      <c r="H11" s="8" t="s">
        <v>589</v>
      </c>
      <c r="I11" s="8" t="s">
        <v>590</v>
      </c>
      <c r="J11" s="8" t="s">
        <v>591</v>
      </c>
      <c r="K11" s="8" t="s">
        <v>345</v>
      </c>
      <c r="L11" s="8" t="s">
        <v>346</v>
      </c>
      <c r="M11" s="8" t="s">
        <v>592</v>
      </c>
      <c r="N11" s="8" t="s">
        <v>348</v>
      </c>
      <c r="O11" s="8" t="s">
        <v>593</v>
      </c>
      <c r="P11" s="8" t="s">
        <v>594</v>
      </c>
      <c r="Q11" s="8" t="s">
        <v>595</v>
      </c>
      <c r="T11" s="8" t="s">
        <v>407</v>
      </c>
      <c r="Y11" s="8" t="s">
        <v>354</v>
      </c>
      <c r="Z11" s="8" t="s">
        <v>355</v>
      </c>
      <c r="AA11" s="8" t="s">
        <v>504</v>
      </c>
      <c r="AB11" s="8" t="s">
        <v>596</v>
      </c>
    </row>
    <row r="12" spans="1:28" ht="208" hidden="1" x14ac:dyDescent="0.2">
      <c r="A12" s="8" t="s">
        <v>600</v>
      </c>
      <c r="B12" s="8" t="s">
        <v>490</v>
      </c>
      <c r="C12" s="8" t="s">
        <v>337</v>
      </c>
      <c r="D12" s="8" t="s">
        <v>601</v>
      </c>
      <c r="E12" s="8" t="s">
        <v>602</v>
      </c>
      <c r="F12" s="8" t="s">
        <v>603</v>
      </c>
      <c r="G12" s="8" t="s">
        <v>604</v>
      </c>
      <c r="H12" s="8" t="s">
        <v>605</v>
      </c>
      <c r="I12" s="8" t="s">
        <v>606</v>
      </c>
      <c r="J12" s="8" t="s">
        <v>607</v>
      </c>
      <c r="K12" s="8" t="s">
        <v>345</v>
      </c>
      <c r="L12" s="8" t="s">
        <v>467</v>
      </c>
      <c r="M12" s="8" t="s">
        <v>592</v>
      </c>
      <c r="N12" s="8" t="s">
        <v>348</v>
      </c>
      <c r="O12" s="8" t="s">
        <v>608</v>
      </c>
      <c r="P12" s="8" t="s">
        <v>609</v>
      </c>
      <c r="Q12" s="8" t="s">
        <v>610</v>
      </c>
      <c r="T12" s="8" t="s">
        <v>407</v>
      </c>
      <c r="Y12" s="8" t="s">
        <v>354</v>
      </c>
      <c r="Z12" s="8" t="s">
        <v>355</v>
      </c>
      <c r="AA12" s="8" t="s">
        <v>611</v>
      </c>
      <c r="AB12" s="8" t="s">
        <v>612</v>
      </c>
    </row>
    <row r="13" spans="1:28" ht="365" hidden="1" x14ac:dyDescent="0.2">
      <c r="A13" s="8" t="s">
        <v>613</v>
      </c>
      <c r="B13" s="8" t="s">
        <v>490</v>
      </c>
      <c r="C13" s="8" t="s">
        <v>337</v>
      </c>
      <c r="D13" s="8" t="s">
        <v>614</v>
      </c>
      <c r="E13" s="8" t="s">
        <v>615</v>
      </c>
      <c r="F13" s="8" t="s">
        <v>587</v>
      </c>
      <c r="G13" s="8" t="s">
        <v>588</v>
      </c>
      <c r="H13" s="8" t="s">
        <v>589</v>
      </c>
      <c r="I13" s="8" t="s">
        <v>590</v>
      </c>
      <c r="J13" s="8" t="s">
        <v>591</v>
      </c>
      <c r="K13" s="8" t="s">
        <v>345</v>
      </c>
      <c r="L13" s="8" t="s">
        <v>346</v>
      </c>
      <c r="M13" s="8" t="s">
        <v>592</v>
      </c>
      <c r="N13" s="8" t="s">
        <v>348</v>
      </c>
      <c r="O13" s="8" t="s">
        <v>593</v>
      </c>
      <c r="P13" s="8" t="s">
        <v>594</v>
      </c>
      <c r="Q13" s="8" t="s">
        <v>595</v>
      </c>
      <c r="T13" s="8" t="s">
        <v>407</v>
      </c>
      <c r="Y13" s="8" t="s">
        <v>354</v>
      </c>
      <c r="Z13" s="8" t="s">
        <v>355</v>
      </c>
      <c r="AA13" s="8" t="s">
        <v>504</v>
      </c>
      <c r="AB13" s="8" t="s">
        <v>596</v>
      </c>
    </row>
    <row r="14" spans="1:28" ht="112" hidden="1" x14ac:dyDescent="0.2">
      <c r="A14" s="8" t="s">
        <v>616</v>
      </c>
      <c r="B14" s="8" t="s">
        <v>490</v>
      </c>
      <c r="C14" s="8" t="s">
        <v>337</v>
      </c>
      <c r="D14" s="8" t="s">
        <v>617</v>
      </c>
      <c r="E14" s="8" t="s">
        <v>618</v>
      </c>
      <c r="F14" s="8" t="s">
        <v>437</v>
      </c>
      <c r="H14" s="8" t="s">
        <v>619</v>
      </c>
      <c r="I14" s="8" t="s">
        <v>439</v>
      </c>
      <c r="J14" s="8" t="s">
        <v>418</v>
      </c>
      <c r="K14" s="8" t="s">
        <v>620</v>
      </c>
      <c r="L14" s="8" t="s">
        <v>440</v>
      </c>
      <c r="M14" s="8" t="s">
        <v>403</v>
      </c>
      <c r="N14" s="8" t="s">
        <v>348</v>
      </c>
      <c r="O14" s="8" t="s">
        <v>354</v>
      </c>
      <c r="P14" s="8" t="s">
        <v>441</v>
      </c>
      <c r="Q14" s="8" t="s">
        <v>442</v>
      </c>
      <c r="T14" s="8" t="s">
        <v>407</v>
      </c>
      <c r="Y14" s="8" t="s">
        <v>354</v>
      </c>
      <c r="Z14" s="8" t="s">
        <v>355</v>
      </c>
      <c r="AA14" s="8" t="s">
        <v>443</v>
      </c>
      <c r="AB14" s="8" t="s">
        <v>444</v>
      </c>
    </row>
    <row r="15" spans="1:28" ht="409.6" hidden="1" x14ac:dyDescent="0.2">
      <c r="A15" s="8" t="s">
        <v>621</v>
      </c>
      <c r="B15" s="8" t="s">
        <v>490</v>
      </c>
      <c r="C15" s="8" t="s">
        <v>337</v>
      </c>
      <c r="D15" s="8" t="s">
        <v>622</v>
      </c>
      <c r="E15" s="8" t="s">
        <v>623</v>
      </c>
      <c r="F15" s="8" t="s">
        <v>624</v>
      </c>
      <c r="G15" s="8" t="s">
        <v>625</v>
      </c>
      <c r="H15" s="8" t="s">
        <v>626</v>
      </c>
      <c r="I15" s="8" t="s">
        <v>627</v>
      </c>
      <c r="J15" s="8" t="s">
        <v>628</v>
      </c>
      <c r="K15" s="8" t="s">
        <v>345</v>
      </c>
      <c r="L15" s="8" t="s">
        <v>402</v>
      </c>
      <c r="M15" s="8" t="s">
        <v>347</v>
      </c>
      <c r="N15" s="8" t="s">
        <v>348</v>
      </c>
      <c r="O15" s="8" t="s">
        <v>629</v>
      </c>
      <c r="P15" s="8" t="s">
        <v>630</v>
      </c>
      <c r="Q15" s="8" t="s">
        <v>631</v>
      </c>
      <c r="R15" s="8" t="s">
        <v>544</v>
      </c>
      <c r="S15" s="8" t="s">
        <v>545</v>
      </c>
      <c r="T15" s="8" t="s">
        <v>546</v>
      </c>
      <c r="Y15" s="8" t="s">
        <v>354</v>
      </c>
      <c r="Z15" s="8" t="s">
        <v>355</v>
      </c>
      <c r="AA15" s="8" t="s">
        <v>432</v>
      </c>
      <c r="AB15" s="8" t="s">
        <v>632</v>
      </c>
    </row>
    <row r="16" spans="1:28" ht="409.6" hidden="1" x14ac:dyDescent="0.2">
      <c r="A16" s="8" t="s">
        <v>633</v>
      </c>
      <c r="B16" s="8" t="s">
        <v>490</v>
      </c>
      <c r="C16" s="8" t="s">
        <v>337</v>
      </c>
      <c r="D16" s="8" t="s">
        <v>634</v>
      </c>
      <c r="E16" s="8" t="s">
        <v>635</v>
      </c>
      <c r="F16" s="8" t="s">
        <v>636</v>
      </c>
      <c r="G16" s="8" t="s">
        <v>637</v>
      </c>
      <c r="H16" s="8" t="s">
        <v>638</v>
      </c>
      <c r="I16" s="8" t="s">
        <v>639</v>
      </c>
      <c r="J16" s="8" t="s">
        <v>640</v>
      </c>
      <c r="K16" s="8" t="s">
        <v>641</v>
      </c>
      <c r="L16" s="8" t="s">
        <v>642</v>
      </c>
      <c r="M16" s="8" t="s">
        <v>347</v>
      </c>
      <c r="N16" s="8" t="s">
        <v>643</v>
      </c>
      <c r="O16" s="8" t="s">
        <v>644</v>
      </c>
      <c r="P16" s="8" t="s">
        <v>645</v>
      </c>
      <c r="Q16" s="8" t="s">
        <v>646</v>
      </c>
      <c r="S16" s="8" t="s">
        <v>647</v>
      </c>
      <c r="T16" s="8" t="s">
        <v>648</v>
      </c>
      <c r="U16" s="8" t="s">
        <v>649</v>
      </c>
      <c r="V16" s="8" t="s">
        <v>650</v>
      </c>
      <c r="Y16" s="8" t="s">
        <v>354</v>
      </c>
      <c r="Z16" s="8" t="s">
        <v>355</v>
      </c>
      <c r="AA16" s="8" t="s">
        <v>651</v>
      </c>
      <c r="AB16" s="8" t="s">
        <v>652</v>
      </c>
    </row>
    <row r="17" spans="1:28" ht="365" hidden="1" x14ac:dyDescent="0.2">
      <c r="A17" s="8" t="s">
        <v>653</v>
      </c>
      <c r="B17" s="8" t="s">
        <v>490</v>
      </c>
      <c r="C17" s="8" t="s">
        <v>337</v>
      </c>
      <c r="D17" s="8" t="s">
        <v>654</v>
      </c>
      <c r="E17" s="8" t="s">
        <v>339</v>
      </c>
      <c r="F17" s="8" t="s">
        <v>340</v>
      </c>
      <c r="G17" s="8" t="s">
        <v>341</v>
      </c>
      <c r="H17" s="8" t="s">
        <v>342</v>
      </c>
      <c r="I17" s="8" t="s">
        <v>343</v>
      </c>
      <c r="J17" s="8" t="s">
        <v>344</v>
      </c>
      <c r="K17" s="8" t="s">
        <v>345</v>
      </c>
      <c r="L17" s="8" t="s">
        <v>346</v>
      </c>
      <c r="M17" s="8" t="s">
        <v>347</v>
      </c>
      <c r="N17" s="8" t="s">
        <v>348</v>
      </c>
      <c r="O17" s="8" t="s">
        <v>349</v>
      </c>
      <c r="P17" s="8" t="s">
        <v>350</v>
      </c>
      <c r="Q17" s="8" t="s">
        <v>351</v>
      </c>
      <c r="T17" s="8" t="s">
        <v>352</v>
      </c>
      <c r="U17" s="8" t="s">
        <v>655</v>
      </c>
      <c r="Y17" s="8" t="s">
        <v>354</v>
      </c>
      <c r="Z17" s="8" t="s">
        <v>355</v>
      </c>
      <c r="AA17" s="8" t="s">
        <v>504</v>
      </c>
      <c r="AB17" s="8" t="s">
        <v>357</v>
      </c>
    </row>
    <row r="18" spans="1:28" ht="395" hidden="1" x14ac:dyDescent="0.2">
      <c r="A18" s="8" t="s">
        <v>656</v>
      </c>
      <c r="B18" s="8" t="s">
        <v>490</v>
      </c>
      <c r="C18" s="8" t="s">
        <v>337</v>
      </c>
      <c r="D18" s="8" t="s">
        <v>657</v>
      </c>
      <c r="E18" s="8" t="s">
        <v>658</v>
      </c>
      <c r="F18" s="8" t="s">
        <v>659</v>
      </c>
      <c r="G18" s="8" t="s">
        <v>660</v>
      </c>
      <c r="H18" s="8" t="s">
        <v>661</v>
      </c>
      <c r="I18" s="8" t="s">
        <v>662</v>
      </c>
      <c r="J18" s="8" t="s">
        <v>663</v>
      </c>
      <c r="K18" s="8" t="s">
        <v>345</v>
      </c>
      <c r="L18" s="8" t="s">
        <v>346</v>
      </c>
      <c r="M18" s="8" t="s">
        <v>592</v>
      </c>
      <c r="N18" s="8" t="s">
        <v>348</v>
      </c>
      <c r="O18" s="8" t="s">
        <v>593</v>
      </c>
      <c r="P18" s="8" t="s">
        <v>664</v>
      </c>
      <c r="Q18" s="8" t="s">
        <v>665</v>
      </c>
      <c r="T18" s="8" t="s">
        <v>352</v>
      </c>
      <c r="Y18" s="8" t="s">
        <v>354</v>
      </c>
      <c r="Z18" s="8" t="s">
        <v>355</v>
      </c>
      <c r="AA18" s="8" t="s">
        <v>504</v>
      </c>
      <c r="AB18" s="8" t="s">
        <v>596</v>
      </c>
    </row>
    <row r="19" spans="1:28" ht="160" hidden="1" x14ac:dyDescent="0.2">
      <c r="A19" s="8" t="s">
        <v>666</v>
      </c>
      <c r="B19" s="8" t="s">
        <v>490</v>
      </c>
      <c r="C19" s="8" t="s">
        <v>667</v>
      </c>
      <c r="D19" s="8" t="s">
        <v>668</v>
      </c>
      <c r="E19" s="8" t="s">
        <v>669</v>
      </c>
      <c r="F19" s="8" t="s">
        <v>670</v>
      </c>
      <c r="G19" s="8" t="s">
        <v>671</v>
      </c>
      <c r="H19" s="8" t="s">
        <v>672</v>
      </c>
      <c r="I19" s="8" t="s">
        <v>673</v>
      </c>
      <c r="J19" s="8" t="s">
        <v>674</v>
      </c>
      <c r="K19" s="8" t="s">
        <v>345</v>
      </c>
      <c r="L19" s="8" t="s">
        <v>675</v>
      </c>
      <c r="M19" s="8" t="s">
        <v>347</v>
      </c>
      <c r="N19" s="8" t="s">
        <v>348</v>
      </c>
      <c r="O19" s="8" t="s">
        <v>349</v>
      </c>
      <c r="P19" s="8" t="s">
        <v>405</v>
      </c>
      <c r="Q19" s="8" t="s">
        <v>676</v>
      </c>
      <c r="R19" s="8" t="s">
        <v>677</v>
      </c>
      <c r="T19" s="8" t="s">
        <v>407</v>
      </c>
      <c r="U19" s="8" t="s">
        <v>678</v>
      </c>
      <c r="V19" s="8" t="s">
        <v>679</v>
      </c>
      <c r="Y19" s="8" t="s">
        <v>354</v>
      </c>
      <c r="Z19" s="8" t="s">
        <v>355</v>
      </c>
      <c r="AA19" s="8" t="s">
        <v>443</v>
      </c>
      <c r="AB19" s="8" t="s">
        <v>680</v>
      </c>
    </row>
    <row r="20" spans="1:28" ht="112" hidden="1" x14ac:dyDescent="0.2">
      <c r="A20" s="8" t="s">
        <v>681</v>
      </c>
      <c r="B20" s="8" t="s">
        <v>490</v>
      </c>
      <c r="C20" s="8" t="s">
        <v>667</v>
      </c>
      <c r="D20" s="8" t="s">
        <v>682</v>
      </c>
      <c r="E20" s="8" t="s">
        <v>683</v>
      </c>
      <c r="F20" s="8" t="s">
        <v>473</v>
      </c>
      <c r="H20" s="8" t="s">
        <v>684</v>
      </c>
      <c r="I20" s="8" t="s">
        <v>685</v>
      </c>
      <c r="J20" s="8" t="s">
        <v>418</v>
      </c>
      <c r="K20" s="8" t="s">
        <v>345</v>
      </c>
      <c r="L20" s="8" t="s">
        <v>346</v>
      </c>
      <c r="M20" s="8" t="s">
        <v>347</v>
      </c>
      <c r="N20" s="8" t="s">
        <v>348</v>
      </c>
      <c r="O20" s="8" t="s">
        <v>354</v>
      </c>
      <c r="P20" s="8" t="s">
        <v>441</v>
      </c>
      <c r="Q20" s="8" t="s">
        <v>442</v>
      </c>
      <c r="T20" s="8" t="s">
        <v>407</v>
      </c>
      <c r="V20" s="8" t="s">
        <v>686</v>
      </c>
      <c r="Y20" s="8" t="s">
        <v>354</v>
      </c>
      <c r="Z20" s="8" t="s">
        <v>355</v>
      </c>
      <c r="AA20" s="8" t="s">
        <v>443</v>
      </c>
      <c r="AB20" s="8" t="s">
        <v>444</v>
      </c>
    </row>
    <row r="21" spans="1:28" ht="409.6" hidden="1" x14ac:dyDescent="0.2">
      <c r="A21" s="8" t="s">
        <v>687</v>
      </c>
      <c r="B21" s="8" t="s">
        <v>490</v>
      </c>
      <c r="C21" s="8" t="s">
        <v>667</v>
      </c>
      <c r="D21" s="8" t="s">
        <v>688</v>
      </c>
      <c r="E21" s="8" t="s">
        <v>689</v>
      </c>
      <c r="F21" s="8" t="s">
        <v>571</v>
      </c>
      <c r="G21" s="8" t="s">
        <v>572</v>
      </c>
      <c r="H21" s="8" t="s">
        <v>573</v>
      </c>
      <c r="I21" s="8" t="s">
        <v>574</v>
      </c>
      <c r="J21" s="8" t="s">
        <v>575</v>
      </c>
      <c r="K21" s="8" t="s">
        <v>576</v>
      </c>
      <c r="L21" s="8" t="s">
        <v>346</v>
      </c>
      <c r="M21" s="8" t="s">
        <v>531</v>
      </c>
      <c r="N21" s="8" t="s">
        <v>348</v>
      </c>
      <c r="O21" s="8" t="s">
        <v>577</v>
      </c>
      <c r="P21" s="8" t="s">
        <v>578</v>
      </c>
      <c r="Q21" s="8" t="s">
        <v>579</v>
      </c>
      <c r="R21" s="8" t="s">
        <v>580</v>
      </c>
      <c r="S21" s="8" t="s">
        <v>581</v>
      </c>
      <c r="T21" s="8" t="s">
        <v>407</v>
      </c>
      <c r="Y21" s="8" t="s">
        <v>354</v>
      </c>
      <c r="Z21" s="8" t="s">
        <v>355</v>
      </c>
      <c r="AA21" s="8" t="s">
        <v>567</v>
      </c>
      <c r="AB21" s="8" t="s">
        <v>583</v>
      </c>
    </row>
    <row r="22" spans="1:28" ht="112" hidden="1" x14ac:dyDescent="0.2">
      <c r="A22" s="8" t="s">
        <v>690</v>
      </c>
      <c r="B22" s="8" t="s">
        <v>490</v>
      </c>
      <c r="C22" s="8" t="s">
        <v>667</v>
      </c>
      <c r="D22" s="8" t="s">
        <v>691</v>
      </c>
      <c r="E22" s="8" t="s">
        <v>692</v>
      </c>
      <c r="F22" s="8" t="s">
        <v>473</v>
      </c>
      <c r="H22" s="8" t="s">
        <v>693</v>
      </c>
      <c r="I22" s="8" t="s">
        <v>694</v>
      </c>
      <c r="J22" s="8" t="s">
        <v>418</v>
      </c>
      <c r="K22" s="8" t="s">
        <v>345</v>
      </c>
      <c r="L22" s="8" t="s">
        <v>346</v>
      </c>
      <c r="M22" s="8" t="s">
        <v>695</v>
      </c>
      <c r="N22" s="8" t="s">
        <v>348</v>
      </c>
      <c r="O22" s="8" t="s">
        <v>354</v>
      </c>
      <c r="P22" s="8" t="s">
        <v>441</v>
      </c>
      <c r="Q22" s="8" t="s">
        <v>442</v>
      </c>
      <c r="T22" s="8" t="s">
        <v>407</v>
      </c>
      <c r="Y22" s="8" t="s">
        <v>354</v>
      </c>
      <c r="Z22" s="8" t="s">
        <v>355</v>
      </c>
      <c r="AA22" s="8" t="s">
        <v>443</v>
      </c>
      <c r="AB22" s="8" t="s">
        <v>444</v>
      </c>
    </row>
    <row r="23" spans="1:28" ht="288" hidden="1" x14ac:dyDescent="0.2">
      <c r="A23" s="8" t="s">
        <v>696</v>
      </c>
      <c r="B23" s="8" t="s">
        <v>490</v>
      </c>
      <c r="C23" s="8" t="s">
        <v>667</v>
      </c>
      <c r="D23" s="8" t="s">
        <v>697</v>
      </c>
      <c r="E23" s="8" t="s">
        <v>698</v>
      </c>
      <c r="F23" s="8" t="s">
        <v>699</v>
      </c>
      <c r="G23" s="8" t="s">
        <v>700</v>
      </c>
      <c r="H23" s="8" t="s">
        <v>701</v>
      </c>
      <c r="I23" s="8" t="s">
        <v>702</v>
      </c>
      <c r="J23" s="8" t="s">
        <v>703</v>
      </c>
      <c r="K23" s="8" t="s">
        <v>576</v>
      </c>
      <c r="L23" s="8" t="s">
        <v>467</v>
      </c>
      <c r="M23" s="8" t="s">
        <v>347</v>
      </c>
      <c r="N23" s="8" t="s">
        <v>348</v>
      </c>
      <c r="O23" s="8" t="s">
        <v>349</v>
      </c>
      <c r="P23" s="8" t="s">
        <v>405</v>
      </c>
      <c r="Q23" s="8" t="s">
        <v>704</v>
      </c>
      <c r="T23" s="8" t="s">
        <v>407</v>
      </c>
      <c r="Y23" s="8" t="s">
        <v>354</v>
      </c>
      <c r="Z23" s="8" t="s">
        <v>355</v>
      </c>
      <c r="AA23" s="8" t="s">
        <v>519</v>
      </c>
      <c r="AB23" s="8" t="s">
        <v>705</v>
      </c>
    </row>
    <row r="24" spans="1:28" ht="240" hidden="1" x14ac:dyDescent="0.2">
      <c r="A24" s="8" t="s">
        <v>706</v>
      </c>
      <c r="B24" s="8" t="s">
        <v>490</v>
      </c>
      <c r="C24" s="8" t="s">
        <v>667</v>
      </c>
      <c r="D24" s="8" t="s">
        <v>707</v>
      </c>
      <c r="E24" s="8" t="s">
        <v>708</v>
      </c>
      <c r="F24" s="8" t="s">
        <v>709</v>
      </c>
      <c r="G24" s="8" t="s">
        <v>710</v>
      </c>
      <c r="H24" s="8" t="s">
        <v>711</v>
      </c>
      <c r="I24" s="8" t="s">
        <v>712</v>
      </c>
      <c r="J24" s="8" t="s">
        <v>713</v>
      </c>
      <c r="K24" s="8" t="s">
        <v>345</v>
      </c>
      <c r="L24" s="8" t="s">
        <v>346</v>
      </c>
      <c r="M24" s="8" t="s">
        <v>714</v>
      </c>
      <c r="N24" s="8" t="s">
        <v>348</v>
      </c>
      <c r="O24" s="8" t="s">
        <v>349</v>
      </c>
      <c r="P24" s="8" t="s">
        <v>405</v>
      </c>
      <c r="Q24" s="8" t="s">
        <v>715</v>
      </c>
      <c r="R24" s="8" t="s">
        <v>716</v>
      </c>
      <c r="T24" s="8" t="s">
        <v>407</v>
      </c>
      <c r="V24" s="8" t="s">
        <v>717</v>
      </c>
      <c r="Y24" s="8" t="s">
        <v>354</v>
      </c>
      <c r="Z24" s="8" t="s">
        <v>355</v>
      </c>
      <c r="AA24" s="8" t="s">
        <v>443</v>
      </c>
      <c r="AB24" s="8" t="s">
        <v>357</v>
      </c>
    </row>
    <row r="25" spans="1:28" ht="409.6" hidden="1" x14ac:dyDescent="0.2">
      <c r="A25" s="8" t="s">
        <v>718</v>
      </c>
      <c r="B25" s="8" t="s">
        <v>490</v>
      </c>
      <c r="C25" s="8" t="s">
        <v>667</v>
      </c>
      <c r="D25" s="8" t="s">
        <v>719</v>
      </c>
      <c r="E25" s="8" t="s">
        <v>720</v>
      </c>
      <c r="F25" s="8" t="s">
        <v>721</v>
      </c>
      <c r="G25" s="8" t="s">
        <v>722</v>
      </c>
      <c r="H25" s="8" t="s">
        <v>723</v>
      </c>
      <c r="I25" s="8" t="s">
        <v>724</v>
      </c>
      <c r="J25" s="8" t="s">
        <v>725</v>
      </c>
      <c r="K25" s="8" t="s">
        <v>401</v>
      </c>
      <c r="L25" s="8" t="s">
        <v>467</v>
      </c>
      <c r="M25" s="8" t="s">
        <v>714</v>
      </c>
      <c r="N25" s="8" t="s">
        <v>726</v>
      </c>
      <c r="O25" s="8" t="s">
        <v>349</v>
      </c>
      <c r="P25" s="8" t="s">
        <v>727</v>
      </c>
      <c r="Q25" s="8" t="s">
        <v>351</v>
      </c>
      <c r="T25" s="8" t="s">
        <v>407</v>
      </c>
      <c r="U25" s="8" t="s">
        <v>728</v>
      </c>
      <c r="V25" s="8" t="s">
        <v>729</v>
      </c>
      <c r="Y25" s="8" t="s">
        <v>354</v>
      </c>
      <c r="Z25" s="8" t="s">
        <v>355</v>
      </c>
      <c r="AA25" s="8" t="s">
        <v>730</v>
      </c>
      <c r="AB25" s="8" t="s">
        <v>357</v>
      </c>
    </row>
    <row r="26" spans="1:28" ht="176" hidden="1" x14ac:dyDescent="0.2">
      <c r="A26" s="8" t="s">
        <v>731</v>
      </c>
      <c r="B26" s="8" t="s">
        <v>490</v>
      </c>
      <c r="C26" s="8" t="s">
        <v>667</v>
      </c>
      <c r="D26" s="8" t="s">
        <v>732</v>
      </c>
      <c r="E26" s="8" t="s">
        <v>733</v>
      </c>
      <c r="F26" s="8" t="s">
        <v>734</v>
      </c>
      <c r="G26" s="8" t="s">
        <v>735</v>
      </c>
      <c r="H26" s="8" t="s">
        <v>736</v>
      </c>
      <c r="I26" s="8" t="s">
        <v>737</v>
      </c>
      <c r="J26" s="8" t="s">
        <v>738</v>
      </c>
      <c r="K26" s="8" t="s">
        <v>739</v>
      </c>
      <c r="L26" s="8" t="s">
        <v>402</v>
      </c>
      <c r="M26" s="8" t="s">
        <v>714</v>
      </c>
      <c r="N26" s="8" t="s">
        <v>740</v>
      </c>
      <c r="O26" s="8" t="s">
        <v>349</v>
      </c>
      <c r="P26" s="8" t="s">
        <v>405</v>
      </c>
      <c r="Q26" s="8" t="s">
        <v>741</v>
      </c>
      <c r="T26" s="8" t="s">
        <v>407</v>
      </c>
      <c r="Y26" s="8" t="s">
        <v>354</v>
      </c>
      <c r="Z26" s="8" t="s">
        <v>355</v>
      </c>
      <c r="AA26" s="8" t="s">
        <v>742</v>
      </c>
      <c r="AB26" s="8" t="s">
        <v>743</v>
      </c>
    </row>
    <row r="27" spans="1:28" ht="409.6" hidden="1" x14ac:dyDescent="0.2">
      <c r="A27" s="8" t="s">
        <v>744</v>
      </c>
      <c r="B27" s="8" t="s">
        <v>490</v>
      </c>
      <c r="C27" s="8" t="s">
        <v>667</v>
      </c>
      <c r="D27" s="8" t="s">
        <v>745</v>
      </c>
      <c r="E27" s="8" t="s">
        <v>746</v>
      </c>
      <c r="F27" s="8" t="s">
        <v>747</v>
      </c>
      <c r="G27" s="8" t="s">
        <v>748</v>
      </c>
      <c r="H27" s="8" t="s">
        <v>749</v>
      </c>
      <c r="I27" s="8" t="s">
        <v>750</v>
      </c>
      <c r="J27" s="8" t="s">
        <v>751</v>
      </c>
      <c r="K27" s="8" t="s">
        <v>401</v>
      </c>
      <c r="L27" s="8" t="s">
        <v>752</v>
      </c>
      <c r="M27" s="8" t="s">
        <v>714</v>
      </c>
      <c r="N27" s="8" t="s">
        <v>348</v>
      </c>
      <c r="O27" s="8" t="s">
        <v>753</v>
      </c>
      <c r="P27" s="8" t="s">
        <v>754</v>
      </c>
      <c r="Q27" s="8" t="s">
        <v>755</v>
      </c>
      <c r="T27" s="8" t="s">
        <v>407</v>
      </c>
      <c r="V27" s="8" t="s">
        <v>756</v>
      </c>
      <c r="Y27" s="8" t="s">
        <v>354</v>
      </c>
      <c r="Z27" s="8" t="s">
        <v>355</v>
      </c>
      <c r="AA27" s="8" t="s">
        <v>757</v>
      </c>
      <c r="AB27" s="8" t="s">
        <v>758</v>
      </c>
    </row>
    <row r="28" spans="1:28" ht="409.6" hidden="1" x14ac:dyDescent="0.2">
      <c r="A28" s="8" t="s">
        <v>759</v>
      </c>
      <c r="B28" s="8" t="s">
        <v>490</v>
      </c>
      <c r="C28" s="8" t="s">
        <v>667</v>
      </c>
      <c r="D28" s="8" t="s">
        <v>760</v>
      </c>
      <c r="E28" s="8" t="s">
        <v>761</v>
      </c>
      <c r="F28" s="8" t="s">
        <v>762</v>
      </c>
      <c r="G28" s="8" t="s">
        <v>763</v>
      </c>
      <c r="H28" s="8" t="s">
        <v>764</v>
      </c>
      <c r="I28" s="8" t="s">
        <v>765</v>
      </c>
      <c r="J28" s="8" t="s">
        <v>766</v>
      </c>
      <c r="K28" s="8" t="s">
        <v>401</v>
      </c>
      <c r="L28" s="8" t="s">
        <v>767</v>
      </c>
      <c r="M28" s="8" t="s">
        <v>714</v>
      </c>
      <c r="N28" s="8" t="s">
        <v>348</v>
      </c>
      <c r="O28" s="8" t="s">
        <v>768</v>
      </c>
      <c r="P28" s="8" t="s">
        <v>769</v>
      </c>
      <c r="Q28" s="8" t="s">
        <v>770</v>
      </c>
      <c r="T28" s="8" t="s">
        <v>407</v>
      </c>
      <c r="Y28" s="8" t="s">
        <v>354</v>
      </c>
      <c r="Z28" s="8" t="s">
        <v>355</v>
      </c>
      <c r="AA28" s="8" t="s">
        <v>771</v>
      </c>
      <c r="AB28" s="8" t="s">
        <v>357</v>
      </c>
    </row>
    <row r="29" spans="1:28" ht="256" hidden="1" x14ac:dyDescent="0.2">
      <c r="A29" s="8" t="s">
        <v>772</v>
      </c>
      <c r="B29" s="8" t="s">
        <v>490</v>
      </c>
      <c r="C29" s="8" t="s">
        <v>667</v>
      </c>
      <c r="D29" s="8" t="s">
        <v>773</v>
      </c>
      <c r="E29" s="8" t="s">
        <v>774</v>
      </c>
      <c r="F29" s="8" t="s">
        <v>473</v>
      </c>
      <c r="H29" s="8" t="s">
        <v>775</v>
      </c>
      <c r="I29" s="8" t="s">
        <v>776</v>
      </c>
      <c r="J29" s="8" t="s">
        <v>418</v>
      </c>
      <c r="K29" s="8" t="s">
        <v>401</v>
      </c>
      <c r="L29" s="8" t="s">
        <v>467</v>
      </c>
      <c r="M29" s="8" t="s">
        <v>714</v>
      </c>
      <c r="N29" s="8" t="s">
        <v>348</v>
      </c>
      <c r="O29" s="8" t="s">
        <v>354</v>
      </c>
      <c r="P29" s="8" t="s">
        <v>441</v>
      </c>
      <c r="Q29" s="8" t="s">
        <v>442</v>
      </c>
      <c r="T29" s="8" t="s">
        <v>407</v>
      </c>
      <c r="Y29" s="8" t="s">
        <v>354</v>
      </c>
      <c r="Z29" s="8" t="s">
        <v>355</v>
      </c>
      <c r="AA29" s="8" t="s">
        <v>777</v>
      </c>
      <c r="AB29" s="8" t="s">
        <v>444</v>
      </c>
    </row>
    <row r="30" spans="1:28" ht="112" x14ac:dyDescent="0.2">
      <c r="A30" s="8" t="s">
        <v>778</v>
      </c>
      <c r="B30" s="8" t="s">
        <v>490</v>
      </c>
      <c r="C30" s="8" t="s">
        <v>779</v>
      </c>
      <c r="D30" s="8" t="s">
        <v>780</v>
      </c>
      <c r="E30" s="8" t="s">
        <v>781</v>
      </c>
      <c r="F30" s="8" t="s">
        <v>473</v>
      </c>
      <c r="H30" s="8" t="s">
        <v>782</v>
      </c>
      <c r="I30" s="8" t="s">
        <v>783</v>
      </c>
      <c r="J30" s="8" t="s">
        <v>418</v>
      </c>
      <c r="K30" s="8" t="s">
        <v>454</v>
      </c>
      <c r="L30" s="8" t="s">
        <v>467</v>
      </c>
      <c r="M30" s="8" t="s">
        <v>347</v>
      </c>
      <c r="N30" s="8" t="s">
        <v>348</v>
      </c>
      <c r="O30" s="8" t="s">
        <v>354</v>
      </c>
      <c r="P30" s="8" t="s">
        <v>441</v>
      </c>
      <c r="Q30" s="8" t="s">
        <v>442</v>
      </c>
      <c r="T30" s="8" t="s">
        <v>407</v>
      </c>
      <c r="Y30" s="8" t="s">
        <v>354</v>
      </c>
      <c r="Z30" s="8" t="s">
        <v>355</v>
      </c>
      <c r="AA30" s="8" t="s">
        <v>443</v>
      </c>
      <c r="AB30" s="8" t="s">
        <v>444</v>
      </c>
    </row>
    <row r="31" spans="1:28" ht="240" x14ac:dyDescent="0.2">
      <c r="A31" s="8" t="s">
        <v>784</v>
      </c>
      <c r="B31" s="8" t="s">
        <v>490</v>
      </c>
      <c r="C31" s="8" t="s">
        <v>779</v>
      </c>
      <c r="D31" s="8" t="s">
        <v>785</v>
      </c>
      <c r="E31" s="8" t="s">
        <v>786</v>
      </c>
      <c r="F31" s="8" t="s">
        <v>787</v>
      </c>
      <c r="G31" s="8" t="s">
        <v>788</v>
      </c>
      <c r="H31" s="8" t="s">
        <v>789</v>
      </c>
      <c r="I31" s="8" t="s">
        <v>790</v>
      </c>
      <c r="J31" s="8" t="s">
        <v>791</v>
      </c>
      <c r="K31" s="8" t="s">
        <v>345</v>
      </c>
      <c r="L31" s="8" t="s">
        <v>467</v>
      </c>
      <c r="M31" s="8" t="s">
        <v>695</v>
      </c>
      <c r="N31" s="8" t="s">
        <v>348</v>
      </c>
      <c r="O31" s="8" t="s">
        <v>792</v>
      </c>
      <c r="P31" s="8" t="s">
        <v>793</v>
      </c>
      <c r="Q31" s="8" t="s">
        <v>794</v>
      </c>
      <c r="R31" s="8" t="s">
        <v>795</v>
      </c>
      <c r="S31" s="8" t="s">
        <v>796</v>
      </c>
      <c r="T31" s="8" t="s">
        <v>797</v>
      </c>
      <c r="U31" s="8" t="s">
        <v>798</v>
      </c>
      <c r="V31" s="8" t="s">
        <v>799</v>
      </c>
      <c r="W31" s="8" t="s">
        <v>5810</v>
      </c>
      <c r="Y31" s="8" t="s">
        <v>354</v>
      </c>
      <c r="Z31" s="8" t="s">
        <v>355</v>
      </c>
      <c r="AA31" s="8" t="s">
        <v>504</v>
      </c>
      <c r="AB31" s="8" t="s">
        <v>357</v>
      </c>
    </row>
    <row r="32" spans="1:28" ht="96" x14ac:dyDescent="0.2">
      <c r="A32" s="8" t="s">
        <v>800</v>
      </c>
      <c r="B32" s="8" t="s">
        <v>490</v>
      </c>
      <c r="C32" s="8" t="s">
        <v>779</v>
      </c>
      <c r="D32" s="8" t="s">
        <v>801</v>
      </c>
      <c r="E32" s="8" t="s">
        <v>802</v>
      </c>
      <c r="F32" s="8" t="s">
        <v>803</v>
      </c>
      <c r="G32" s="8" t="s">
        <v>804</v>
      </c>
      <c r="H32" s="8" t="s">
        <v>805</v>
      </c>
      <c r="I32" s="8" t="s">
        <v>806</v>
      </c>
      <c r="J32" s="8" t="s">
        <v>807</v>
      </c>
      <c r="K32" s="8" t="s">
        <v>576</v>
      </c>
      <c r="L32" s="8" t="s">
        <v>346</v>
      </c>
      <c r="M32" s="8" t="s">
        <v>695</v>
      </c>
      <c r="N32" s="8" t="s">
        <v>348</v>
      </c>
      <c r="O32" s="8" t="s">
        <v>349</v>
      </c>
      <c r="P32" s="8" t="s">
        <v>405</v>
      </c>
      <c r="Q32" s="8" t="s">
        <v>808</v>
      </c>
      <c r="S32" s="8" t="s">
        <v>809</v>
      </c>
      <c r="T32" s="8" t="s">
        <v>407</v>
      </c>
      <c r="V32" s="8" t="s">
        <v>810</v>
      </c>
      <c r="W32" s="8" t="s">
        <v>5811</v>
      </c>
      <c r="Y32" s="8" t="s">
        <v>354</v>
      </c>
      <c r="Z32" s="8" t="s">
        <v>355</v>
      </c>
      <c r="AA32" s="8" t="s">
        <v>443</v>
      </c>
      <c r="AB32" s="8" t="s">
        <v>811</v>
      </c>
    </row>
    <row r="33" spans="1:28" ht="365" x14ac:dyDescent="0.2">
      <c r="A33" s="8" t="s">
        <v>812</v>
      </c>
      <c r="B33" s="8" t="s">
        <v>490</v>
      </c>
      <c r="C33" s="8" t="s">
        <v>779</v>
      </c>
      <c r="D33" s="8" t="s">
        <v>813</v>
      </c>
      <c r="E33" s="8" t="s">
        <v>814</v>
      </c>
      <c r="F33" s="8" t="s">
        <v>815</v>
      </c>
      <c r="G33" s="8" t="s">
        <v>816</v>
      </c>
      <c r="H33" s="8" t="s">
        <v>817</v>
      </c>
      <c r="I33" s="8" t="s">
        <v>818</v>
      </c>
      <c r="J33" s="8" t="s">
        <v>819</v>
      </c>
      <c r="K33" s="8" t="s">
        <v>454</v>
      </c>
      <c r="L33" s="8" t="s">
        <v>346</v>
      </c>
      <c r="M33" s="8" t="s">
        <v>695</v>
      </c>
      <c r="N33" s="8" t="s">
        <v>348</v>
      </c>
      <c r="O33" s="8" t="s">
        <v>349</v>
      </c>
      <c r="P33" s="8" t="s">
        <v>820</v>
      </c>
      <c r="Q33" s="8" t="s">
        <v>821</v>
      </c>
      <c r="S33" s="8" t="s">
        <v>822</v>
      </c>
      <c r="T33" s="8" t="s">
        <v>823</v>
      </c>
      <c r="Y33" s="8" t="s">
        <v>354</v>
      </c>
      <c r="Z33" s="8" t="s">
        <v>355</v>
      </c>
      <c r="AA33" s="8" t="s">
        <v>504</v>
      </c>
      <c r="AB33" s="8" t="s">
        <v>824</v>
      </c>
    </row>
    <row r="34" spans="1:28" ht="365" x14ac:dyDescent="0.2">
      <c r="A34" s="8" t="s">
        <v>825</v>
      </c>
      <c r="B34" s="8" t="s">
        <v>490</v>
      </c>
      <c r="C34" s="8" t="s">
        <v>779</v>
      </c>
      <c r="D34" s="8" t="s">
        <v>826</v>
      </c>
      <c r="E34" s="8" t="s">
        <v>827</v>
      </c>
      <c r="F34" s="8" t="s">
        <v>815</v>
      </c>
      <c r="G34" s="8" t="s">
        <v>816</v>
      </c>
      <c r="H34" s="8" t="s">
        <v>817</v>
      </c>
      <c r="I34" s="8" t="s">
        <v>818</v>
      </c>
      <c r="J34" s="8" t="s">
        <v>819</v>
      </c>
      <c r="K34" s="8" t="s">
        <v>345</v>
      </c>
      <c r="L34" s="8" t="s">
        <v>346</v>
      </c>
      <c r="M34" s="8" t="s">
        <v>695</v>
      </c>
      <c r="N34" s="8" t="s">
        <v>348</v>
      </c>
      <c r="O34" s="8" t="s">
        <v>349</v>
      </c>
      <c r="P34" s="8" t="s">
        <v>820</v>
      </c>
      <c r="Q34" s="8" t="s">
        <v>821</v>
      </c>
      <c r="S34" s="8" t="s">
        <v>822</v>
      </c>
      <c r="T34" s="8" t="s">
        <v>823</v>
      </c>
      <c r="Y34" s="8" t="s">
        <v>354</v>
      </c>
      <c r="Z34" s="8" t="s">
        <v>355</v>
      </c>
      <c r="AA34" s="8" t="s">
        <v>504</v>
      </c>
      <c r="AB34" s="8" t="s">
        <v>824</v>
      </c>
    </row>
    <row r="35" spans="1:28" ht="112" x14ac:dyDescent="0.2">
      <c r="A35" s="8" t="s">
        <v>828</v>
      </c>
      <c r="B35" s="8" t="s">
        <v>490</v>
      </c>
      <c r="C35" s="8" t="s">
        <v>779</v>
      </c>
      <c r="D35" s="8" t="s">
        <v>829</v>
      </c>
      <c r="E35" s="8" t="s">
        <v>830</v>
      </c>
      <c r="F35" s="8" t="s">
        <v>473</v>
      </c>
      <c r="H35" s="8" t="s">
        <v>831</v>
      </c>
      <c r="I35" s="8" t="s">
        <v>832</v>
      </c>
      <c r="J35" s="8" t="s">
        <v>418</v>
      </c>
      <c r="K35" s="8" t="s">
        <v>345</v>
      </c>
      <c r="L35" s="8" t="s">
        <v>346</v>
      </c>
      <c r="M35" s="8" t="s">
        <v>347</v>
      </c>
      <c r="N35" s="8" t="s">
        <v>404</v>
      </c>
      <c r="O35" s="8" t="s">
        <v>354</v>
      </c>
      <c r="P35" s="8" t="s">
        <v>441</v>
      </c>
      <c r="Q35" s="8" t="s">
        <v>442</v>
      </c>
      <c r="T35" s="8" t="s">
        <v>407</v>
      </c>
      <c r="Y35" s="8" t="s">
        <v>354</v>
      </c>
      <c r="Z35" s="8" t="s">
        <v>355</v>
      </c>
      <c r="AA35" s="8" t="s">
        <v>443</v>
      </c>
      <c r="AB35" s="8" t="s">
        <v>444</v>
      </c>
    </row>
    <row r="36" spans="1:28" ht="288" x14ac:dyDescent="0.2">
      <c r="A36" s="8" t="s">
        <v>833</v>
      </c>
      <c r="B36" s="8" t="s">
        <v>490</v>
      </c>
      <c r="C36" s="8" t="s">
        <v>779</v>
      </c>
      <c r="D36" s="8" t="s">
        <v>834</v>
      </c>
      <c r="E36" s="8" t="s">
        <v>835</v>
      </c>
      <c r="F36" s="8" t="s">
        <v>836</v>
      </c>
      <c r="G36" s="8" t="s">
        <v>837</v>
      </c>
      <c r="H36" s="8" t="s">
        <v>838</v>
      </c>
      <c r="I36" s="8" t="s">
        <v>839</v>
      </c>
      <c r="J36" s="8" t="s">
        <v>840</v>
      </c>
      <c r="K36" s="8" t="s">
        <v>345</v>
      </c>
      <c r="L36" s="8" t="s">
        <v>841</v>
      </c>
      <c r="M36" s="8" t="s">
        <v>347</v>
      </c>
      <c r="N36" s="8" t="s">
        <v>348</v>
      </c>
      <c r="O36" s="8" t="s">
        <v>349</v>
      </c>
      <c r="P36" s="8" t="s">
        <v>405</v>
      </c>
      <c r="Q36" s="8" t="s">
        <v>842</v>
      </c>
      <c r="S36" s="8" t="s">
        <v>843</v>
      </c>
      <c r="T36" s="8" t="s">
        <v>407</v>
      </c>
      <c r="V36" s="8" t="s">
        <v>844</v>
      </c>
      <c r="Y36" s="8" t="s">
        <v>354</v>
      </c>
      <c r="Z36" s="8" t="s">
        <v>355</v>
      </c>
      <c r="AA36" s="8" t="s">
        <v>519</v>
      </c>
      <c r="AB36" s="8" t="s">
        <v>357</v>
      </c>
    </row>
    <row r="37" spans="1:28" ht="409.6" x14ac:dyDescent="0.2">
      <c r="A37" s="8" t="s">
        <v>845</v>
      </c>
      <c r="B37" s="8" t="s">
        <v>490</v>
      </c>
      <c r="C37" s="8" t="s">
        <v>779</v>
      </c>
      <c r="D37" s="8" t="s">
        <v>846</v>
      </c>
      <c r="E37" s="8" t="s">
        <v>847</v>
      </c>
      <c r="F37" s="8" t="s">
        <v>848</v>
      </c>
      <c r="G37" s="8" t="s">
        <v>849</v>
      </c>
      <c r="H37" s="8" t="s">
        <v>850</v>
      </c>
      <c r="I37" s="8" t="s">
        <v>851</v>
      </c>
      <c r="J37" s="8" t="s">
        <v>852</v>
      </c>
      <c r="K37" s="8" t="s">
        <v>345</v>
      </c>
      <c r="L37" s="8" t="s">
        <v>853</v>
      </c>
      <c r="M37" s="8" t="s">
        <v>695</v>
      </c>
      <c r="N37" s="8" t="s">
        <v>348</v>
      </c>
      <c r="O37" s="8" t="s">
        <v>349</v>
      </c>
      <c r="P37" s="8" t="s">
        <v>854</v>
      </c>
      <c r="Q37" s="8" t="s">
        <v>855</v>
      </c>
      <c r="S37" s="8" t="s">
        <v>856</v>
      </c>
      <c r="T37" s="8" t="s">
        <v>857</v>
      </c>
      <c r="V37" s="8" t="s">
        <v>858</v>
      </c>
      <c r="Y37" s="8" t="s">
        <v>354</v>
      </c>
      <c r="Z37" s="8" t="s">
        <v>355</v>
      </c>
      <c r="AA37" s="8" t="s">
        <v>859</v>
      </c>
      <c r="AB37" s="8" t="s">
        <v>860</v>
      </c>
    </row>
    <row r="38" spans="1:28" ht="409.6" x14ac:dyDescent="0.2">
      <c r="A38" s="8" t="s">
        <v>861</v>
      </c>
      <c r="B38" s="8" t="s">
        <v>490</v>
      </c>
      <c r="C38" s="8" t="s">
        <v>779</v>
      </c>
      <c r="D38" s="8" t="s">
        <v>862</v>
      </c>
      <c r="E38" s="8" t="s">
        <v>863</v>
      </c>
      <c r="F38" s="8" t="s">
        <v>848</v>
      </c>
      <c r="G38" s="8" t="s">
        <v>849</v>
      </c>
      <c r="H38" s="8" t="s">
        <v>850</v>
      </c>
      <c r="I38" s="8" t="s">
        <v>851</v>
      </c>
      <c r="J38" s="8" t="s">
        <v>852</v>
      </c>
      <c r="K38" s="8" t="s">
        <v>345</v>
      </c>
      <c r="L38" s="8" t="s">
        <v>853</v>
      </c>
      <c r="M38" s="8" t="s">
        <v>695</v>
      </c>
      <c r="N38" s="8" t="s">
        <v>348</v>
      </c>
      <c r="O38" s="8" t="s">
        <v>349</v>
      </c>
      <c r="P38" s="8" t="s">
        <v>854</v>
      </c>
      <c r="Q38" s="8" t="s">
        <v>855</v>
      </c>
      <c r="S38" s="8" t="s">
        <v>856</v>
      </c>
      <c r="T38" s="8" t="s">
        <v>857</v>
      </c>
      <c r="Y38" s="8" t="s">
        <v>354</v>
      </c>
      <c r="Z38" s="8" t="s">
        <v>355</v>
      </c>
      <c r="AA38" s="8" t="s">
        <v>859</v>
      </c>
      <c r="AB38" s="8" t="s">
        <v>860</v>
      </c>
    </row>
    <row r="39" spans="1:28" ht="112" hidden="1" x14ac:dyDescent="0.2">
      <c r="A39" s="8" t="s">
        <v>864</v>
      </c>
      <c r="B39" s="8" t="s">
        <v>490</v>
      </c>
      <c r="C39" s="8" t="s">
        <v>865</v>
      </c>
      <c r="D39" s="8" t="s">
        <v>866</v>
      </c>
      <c r="E39" s="8" t="s">
        <v>867</v>
      </c>
      <c r="F39" s="8" t="s">
        <v>473</v>
      </c>
      <c r="H39" s="8" t="s">
        <v>868</v>
      </c>
      <c r="I39" s="8" t="s">
        <v>869</v>
      </c>
      <c r="J39" s="8" t="s">
        <v>418</v>
      </c>
      <c r="K39" s="8" t="s">
        <v>345</v>
      </c>
      <c r="L39" s="8" t="s">
        <v>467</v>
      </c>
      <c r="M39" s="8" t="s">
        <v>347</v>
      </c>
      <c r="N39" s="8" t="s">
        <v>348</v>
      </c>
      <c r="O39" s="8" t="s">
        <v>354</v>
      </c>
      <c r="P39" s="8" t="s">
        <v>441</v>
      </c>
      <c r="Q39" s="8" t="s">
        <v>442</v>
      </c>
      <c r="T39" s="8" t="s">
        <v>407</v>
      </c>
      <c r="Y39" s="8" t="s">
        <v>354</v>
      </c>
      <c r="Z39" s="8" t="s">
        <v>355</v>
      </c>
      <c r="AA39" s="8" t="s">
        <v>443</v>
      </c>
      <c r="AB39" s="8" t="s">
        <v>444</v>
      </c>
    </row>
    <row r="40" spans="1:28" ht="112" hidden="1" x14ac:dyDescent="0.2">
      <c r="A40" s="8" t="s">
        <v>870</v>
      </c>
      <c r="B40" s="8" t="s">
        <v>490</v>
      </c>
      <c r="C40" s="8" t="s">
        <v>865</v>
      </c>
      <c r="D40" s="8" t="s">
        <v>871</v>
      </c>
      <c r="E40" s="8" t="s">
        <v>872</v>
      </c>
      <c r="F40" s="8" t="s">
        <v>437</v>
      </c>
      <c r="H40" s="8" t="s">
        <v>873</v>
      </c>
      <c r="I40" s="8" t="s">
        <v>439</v>
      </c>
      <c r="J40" s="8" t="s">
        <v>418</v>
      </c>
      <c r="K40" s="8" t="s">
        <v>345</v>
      </c>
      <c r="L40" s="8" t="s">
        <v>440</v>
      </c>
      <c r="M40" s="8" t="s">
        <v>347</v>
      </c>
      <c r="N40" s="8" t="s">
        <v>348</v>
      </c>
      <c r="O40" s="8" t="s">
        <v>354</v>
      </c>
      <c r="P40" s="8" t="s">
        <v>441</v>
      </c>
      <c r="Q40" s="8" t="s">
        <v>442</v>
      </c>
      <c r="T40" s="8" t="s">
        <v>407</v>
      </c>
      <c r="Y40" s="8" t="s">
        <v>354</v>
      </c>
      <c r="Z40" s="8" t="s">
        <v>355</v>
      </c>
      <c r="AA40" s="8" t="s">
        <v>443</v>
      </c>
      <c r="AB40" s="8" t="s">
        <v>444</v>
      </c>
    </row>
    <row r="41" spans="1:28" ht="365" hidden="1" x14ac:dyDescent="0.2">
      <c r="A41" s="8" t="s">
        <v>874</v>
      </c>
      <c r="B41" s="8" t="s">
        <v>490</v>
      </c>
      <c r="C41" s="8" t="s">
        <v>865</v>
      </c>
      <c r="D41" s="8" t="s">
        <v>875</v>
      </c>
      <c r="E41" s="8" t="s">
        <v>876</v>
      </c>
      <c r="F41" s="8" t="s">
        <v>787</v>
      </c>
      <c r="G41" s="8" t="s">
        <v>788</v>
      </c>
      <c r="H41" s="8" t="s">
        <v>789</v>
      </c>
      <c r="I41" s="8" t="s">
        <v>790</v>
      </c>
      <c r="J41" s="8" t="s">
        <v>791</v>
      </c>
      <c r="K41" s="8" t="s">
        <v>345</v>
      </c>
      <c r="L41" s="8" t="s">
        <v>467</v>
      </c>
      <c r="M41" s="8" t="s">
        <v>695</v>
      </c>
      <c r="N41" s="8" t="s">
        <v>348</v>
      </c>
      <c r="O41" s="8" t="s">
        <v>792</v>
      </c>
      <c r="P41" s="8" t="s">
        <v>793</v>
      </c>
      <c r="Q41" s="8" t="s">
        <v>794</v>
      </c>
      <c r="R41" s="8" t="s">
        <v>795</v>
      </c>
      <c r="S41" s="8" t="s">
        <v>796</v>
      </c>
      <c r="T41" s="8" t="s">
        <v>797</v>
      </c>
      <c r="U41" s="8" t="s">
        <v>877</v>
      </c>
      <c r="Y41" s="8" t="s">
        <v>354</v>
      </c>
      <c r="Z41" s="8" t="s">
        <v>355</v>
      </c>
      <c r="AA41" s="8" t="s">
        <v>504</v>
      </c>
      <c r="AB41" s="8" t="s">
        <v>357</v>
      </c>
    </row>
    <row r="42" spans="1:28" ht="144" hidden="1" x14ac:dyDescent="0.2">
      <c r="A42" s="8" t="s">
        <v>878</v>
      </c>
      <c r="B42" s="8" t="s">
        <v>490</v>
      </c>
      <c r="C42" s="8" t="s">
        <v>879</v>
      </c>
      <c r="D42" s="8" t="s">
        <v>880</v>
      </c>
      <c r="E42" s="8" t="s">
        <v>881</v>
      </c>
      <c r="F42" s="8" t="s">
        <v>709</v>
      </c>
      <c r="G42" s="8" t="s">
        <v>710</v>
      </c>
      <c r="H42" s="8" t="s">
        <v>711</v>
      </c>
      <c r="I42" s="8" t="s">
        <v>712</v>
      </c>
      <c r="J42" s="8" t="s">
        <v>713</v>
      </c>
      <c r="K42" s="8" t="s">
        <v>345</v>
      </c>
      <c r="L42" s="8" t="s">
        <v>346</v>
      </c>
      <c r="M42" s="8" t="s">
        <v>714</v>
      </c>
      <c r="N42" s="8" t="s">
        <v>348</v>
      </c>
      <c r="O42" s="8" t="s">
        <v>349</v>
      </c>
      <c r="P42" s="8" t="s">
        <v>405</v>
      </c>
      <c r="Q42" s="8" t="s">
        <v>715</v>
      </c>
      <c r="R42" s="8" t="s">
        <v>716</v>
      </c>
      <c r="T42" s="8" t="s">
        <v>407</v>
      </c>
      <c r="Y42" s="8" t="s">
        <v>354</v>
      </c>
      <c r="Z42" s="8" t="s">
        <v>355</v>
      </c>
      <c r="AA42" s="8" t="s">
        <v>443</v>
      </c>
      <c r="AB42" s="8" t="s">
        <v>357</v>
      </c>
    </row>
    <row r="43" spans="1:28" ht="144" hidden="1" x14ac:dyDescent="0.2">
      <c r="A43" s="8" t="s">
        <v>882</v>
      </c>
      <c r="B43" s="8" t="s">
        <v>490</v>
      </c>
      <c r="C43" s="8" t="s">
        <v>879</v>
      </c>
      <c r="D43" s="8" t="s">
        <v>883</v>
      </c>
      <c r="E43" s="8" t="s">
        <v>884</v>
      </c>
      <c r="F43" s="8" t="s">
        <v>709</v>
      </c>
      <c r="G43" s="8" t="s">
        <v>710</v>
      </c>
      <c r="H43" s="8" t="s">
        <v>711</v>
      </c>
      <c r="I43" s="8" t="s">
        <v>712</v>
      </c>
      <c r="J43" s="8" t="s">
        <v>713</v>
      </c>
      <c r="K43" s="8" t="s">
        <v>345</v>
      </c>
      <c r="L43" s="8" t="s">
        <v>346</v>
      </c>
      <c r="M43" s="8" t="s">
        <v>714</v>
      </c>
      <c r="N43" s="8" t="s">
        <v>348</v>
      </c>
      <c r="O43" s="8" t="s">
        <v>349</v>
      </c>
      <c r="P43" s="8" t="s">
        <v>405</v>
      </c>
      <c r="Q43" s="8" t="s">
        <v>715</v>
      </c>
      <c r="R43" s="8" t="s">
        <v>716</v>
      </c>
      <c r="T43" s="8" t="s">
        <v>407</v>
      </c>
      <c r="Y43" s="8" t="s">
        <v>354</v>
      </c>
      <c r="Z43" s="8" t="s">
        <v>355</v>
      </c>
      <c r="AA43" s="8" t="s">
        <v>443</v>
      </c>
      <c r="AB43" s="8" t="s">
        <v>357</v>
      </c>
    </row>
    <row r="44" spans="1:28" ht="256" hidden="1" x14ac:dyDescent="0.2">
      <c r="A44" s="8" t="s">
        <v>885</v>
      </c>
      <c r="B44" s="8" t="s">
        <v>490</v>
      </c>
      <c r="C44" s="8" t="s">
        <v>879</v>
      </c>
      <c r="D44" s="8" t="s">
        <v>886</v>
      </c>
      <c r="E44" s="8" t="s">
        <v>887</v>
      </c>
      <c r="F44" s="8" t="s">
        <v>721</v>
      </c>
      <c r="G44" s="8" t="s">
        <v>722</v>
      </c>
      <c r="H44" s="8" t="s">
        <v>723</v>
      </c>
      <c r="I44" s="8" t="s">
        <v>724</v>
      </c>
      <c r="J44" s="8" t="s">
        <v>725</v>
      </c>
      <c r="K44" s="8" t="s">
        <v>345</v>
      </c>
      <c r="L44" s="8" t="s">
        <v>467</v>
      </c>
      <c r="M44" s="8" t="s">
        <v>714</v>
      </c>
      <c r="N44" s="8" t="s">
        <v>348</v>
      </c>
      <c r="O44" s="8" t="s">
        <v>349</v>
      </c>
      <c r="P44" s="8" t="s">
        <v>727</v>
      </c>
      <c r="Q44" s="8" t="s">
        <v>351</v>
      </c>
      <c r="T44" s="8" t="s">
        <v>407</v>
      </c>
      <c r="U44" s="8" t="s">
        <v>888</v>
      </c>
      <c r="W44" s="8" t="s">
        <v>5808</v>
      </c>
      <c r="Y44" s="8" t="s">
        <v>354</v>
      </c>
      <c r="Z44" s="8" t="s">
        <v>355</v>
      </c>
      <c r="AA44" s="8" t="s">
        <v>730</v>
      </c>
      <c r="AB44" s="8" t="s">
        <v>357</v>
      </c>
    </row>
    <row r="45" spans="1:28" ht="256" hidden="1" x14ac:dyDescent="0.2">
      <c r="A45" s="8" t="s">
        <v>889</v>
      </c>
      <c r="B45" s="8" t="s">
        <v>490</v>
      </c>
      <c r="C45" s="8" t="s">
        <v>879</v>
      </c>
      <c r="D45" s="8" t="s">
        <v>890</v>
      </c>
      <c r="E45" s="8" t="s">
        <v>891</v>
      </c>
      <c r="F45" s="8" t="s">
        <v>762</v>
      </c>
      <c r="G45" s="8" t="s">
        <v>763</v>
      </c>
      <c r="H45" s="8" t="s">
        <v>764</v>
      </c>
      <c r="I45" s="8" t="s">
        <v>765</v>
      </c>
      <c r="J45" s="8" t="s">
        <v>766</v>
      </c>
      <c r="K45" s="8" t="s">
        <v>401</v>
      </c>
      <c r="L45" s="8" t="s">
        <v>767</v>
      </c>
      <c r="M45" s="8" t="s">
        <v>714</v>
      </c>
      <c r="N45" s="8" t="s">
        <v>348</v>
      </c>
      <c r="O45" s="8" t="s">
        <v>768</v>
      </c>
      <c r="P45" s="8" t="s">
        <v>769</v>
      </c>
      <c r="Q45" s="8" t="s">
        <v>770</v>
      </c>
      <c r="T45" s="8" t="s">
        <v>407</v>
      </c>
      <c r="W45" s="8" t="s">
        <v>5807</v>
      </c>
      <c r="Y45" s="8" t="s">
        <v>354</v>
      </c>
      <c r="Z45" s="8" t="s">
        <v>355</v>
      </c>
      <c r="AA45" s="8" t="s">
        <v>771</v>
      </c>
      <c r="AB45" s="8" t="s">
        <v>357</v>
      </c>
    </row>
    <row r="46" spans="1:28" ht="256" hidden="1" x14ac:dyDescent="0.2">
      <c r="A46" s="8" t="s">
        <v>892</v>
      </c>
      <c r="B46" s="8" t="s">
        <v>490</v>
      </c>
      <c r="C46" s="8" t="s">
        <v>879</v>
      </c>
      <c r="D46" s="8" t="s">
        <v>893</v>
      </c>
      <c r="E46" s="8" t="s">
        <v>894</v>
      </c>
      <c r="F46" s="8" t="s">
        <v>895</v>
      </c>
      <c r="G46" s="8" t="s">
        <v>896</v>
      </c>
      <c r="H46" s="8" t="s">
        <v>723</v>
      </c>
      <c r="I46" s="8" t="s">
        <v>897</v>
      </c>
      <c r="J46" s="8" t="s">
        <v>898</v>
      </c>
      <c r="K46" s="8" t="s">
        <v>401</v>
      </c>
      <c r="L46" s="8" t="s">
        <v>467</v>
      </c>
      <c r="M46" s="8" t="s">
        <v>714</v>
      </c>
      <c r="N46" s="8" t="s">
        <v>348</v>
      </c>
      <c r="O46" s="8" t="s">
        <v>349</v>
      </c>
      <c r="P46" s="8" t="s">
        <v>899</v>
      </c>
      <c r="Q46" s="8" t="s">
        <v>900</v>
      </c>
      <c r="R46" s="8" t="s">
        <v>716</v>
      </c>
      <c r="T46" s="8" t="s">
        <v>407</v>
      </c>
      <c r="W46" s="8" t="s">
        <v>5809</v>
      </c>
      <c r="Y46" s="8" t="s">
        <v>354</v>
      </c>
      <c r="Z46" s="8" t="s">
        <v>355</v>
      </c>
      <c r="AA46" s="8" t="s">
        <v>730</v>
      </c>
      <c r="AB46" s="8" t="s">
        <v>357</v>
      </c>
    </row>
    <row r="47" spans="1:28" ht="48" hidden="1" x14ac:dyDescent="0.2">
      <c r="B47" s="8" t="s">
        <v>490</v>
      </c>
      <c r="C47" s="8" t="s">
        <v>481</v>
      </c>
      <c r="D47" s="8" t="s">
        <v>482</v>
      </c>
      <c r="E47" s="8" t="s">
        <v>482</v>
      </c>
      <c r="F47" s="8" t="s">
        <v>482</v>
      </c>
      <c r="X47" s="8" t="s">
        <v>354</v>
      </c>
      <c r="Y47" s="8" t="s">
        <v>483</v>
      </c>
    </row>
    <row r="48" spans="1:28" ht="48" hidden="1" x14ac:dyDescent="0.2">
      <c r="B48" s="8" t="s">
        <v>490</v>
      </c>
      <c r="C48" s="8" t="s">
        <v>484</v>
      </c>
      <c r="D48" s="8" t="s">
        <v>482</v>
      </c>
      <c r="E48" s="8" t="s">
        <v>482</v>
      </c>
      <c r="F48" s="8" t="s">
        <v>482</v>
      </c>
      <c r="X48" s="8" t="s">
        <v>354</v>
      </c>
      <c r="Y48" s="8" t="s">
        <v>483</v>
      </c>
    </row>
    <row r="49" spans="2:25" ht="48" hidden="1" x14ac:dyDescent="0.2">
      <c r="B49" s="8" t="s">
        <v>490</v>
      </c>
      <c r="C49" s="8" t="s">
        <v>485</v>
      </c>
      <c r="D49" s="8" t="s">
        <v>482</v>
      </c>
      <c r="E49" s="8" t="s">
        <v>482</v>
      </c>
      <c r="F49" s="8" t="s">
        <v>482</v>
      </c>
      <c r="X49" s="8" t="s">
        <v>354</v>
      </c>
      <c r="Y49" s="8" t="s">
        <v>483</v>
      </c>
    </row>
  </sheetData>
  <autoFilter ref="A1:AB49" xr:uid="{00000000-0001-0000-0400-000000000000}">
    <filterColumn colId="2">
      <filters>
        <filter val="/holding-detail"/>
      </filters>
    </filterColumn>
  </autoFilter>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x14ac:dyDescent="0.2">
      <c r="A2" t="s">
        <v>901</v>
      </c>
      <c r="B2" t="s">
        <v>902</v>
      </c>
      <c r="C2" t="s">
        <v>337</v>
      </c>
      <c r="D2" t="s">
        <v>903</v>
      </c>
      <c r="E2" t="s">
        <v>904</v>
      </c>
      <c r="F2" t="s">
        <v>905</v>
      </c>
      <c r="G2" t="s">
        <v>906</v>
      </c>
      <c r="H2" t="s">
        <v>907</v>
      </c>
      <c r="I2" t="s">
        <v>908</v>
      </c>
      <c r="J2" t="s">
        <v>909</v>
      </c>
      <c r="K2" t="s">
        <v>345</v>
      </c>
      <c r="L2" t="s">
        <v>910</v>
      </c>
      <c r="M2" t="s">
        <v>347</v>
      </c>
      <c r="N2" t="s">
        <v>348</v>
      </c>
      <c r="O2" t="s">
        <v>349</v>
      </c>
      <c r="P2" t="s">
        <v>911</v>
      </c>
      <c r="Q2" t="s">
        <v>912</v>
      </c>
      <c r="S2" t="s">
        <v>913</v>
      </c>
      <c r="T2" t="s">
        <v>914</v>
      </c>
      <c r="U2" t="s">
        <v>915</v>
      </c>
      <c r="Y2" t="s">
        <v>354</v>
      </c>
      <c r="Z2" t="s">
        <v>355</v>
      </c>
      <c r="AA2" t="s">
        <v>504</v>
      </c>
      <c r="AB2" t="s">
        <v>916</v>
      </c>
    </row>
    <row r="3" spans="1:28" x14ac:dyDescent="0.2">
      <c r="A3" t="s">
        <v>917</v>
      </c>
      <c r="B3" t="s">
        <v>902</v>
      </c>
      <c r="C3" t="s">
        <v>337</v>
      </c>
      <c r="D3" t="s">
        <v>918</v>
      </c>
      <c r="E3" t="s">
        <v>919</v>
      </c>
      <c r="F3" t="s">
        <v>905</v>
      </c>
      <c r="G3" t="s">
        <v>906</v>
      </c>
      <c r="H3" t="s">
        <v>907</v>
      </c>
      <c r="I3" t="s">
        <v>908</v>
      </c>
      <c r="J3" t="s">
        <v>909</v>
      </c>
      <c r="K3" t="s">
        <v>401</v>
      </c>
      <c r="L3" t="s">
        <v>910</v>
      </c>
      <c r="M3" t="s">
        <v>347</v>
      </c>
      <c r="N3" t="s">
        <v>348</v>
      </c>
      <c r="O3" t="s">
        <v>349</v>
      </c>
      <c r="P3" t="s">
        <v>911</v>
      </c>
      <c r="Q3" t="s">
        <v>912</v>
      </c>
      <c r="S3" t="s">
        <v>913</v>
      </c>
      <c r="T3" t="s">
        <v>914</v>
      </c>
      <c r="Y3" t="s">
        <v>354</v>
      </c>
      <c r="Z3" t="s">
        <v>355</v>
      </c>
      <c r="AA3" t="s">
        <v>504</v>
      </c>
      <c r="AB3" t="s">
        <v>916</v>
      </c>
    </row>
    <row r="4" spans="1:28" x14ac:dyDescent="0.2">
      <c r="A4" t="s">
        <v>920</v>
      </c>
      <c r="B4" t="s">
        <v>902</v>
      </c>
      <c r="C4" t="s">
        <v>337</v>
      </c>
      <c r="D4" t="s">
        <v>921</v>
      </c>
      <c r="E4" t="s">
        <v>922</v>
      </c>
      <c r="F4" t="s">
        <v>905</v>
      </c>
      <c r="G4" t="s">
        <v>906</v>
      </c>
      <c r="H4" t="s">
        <v>907</v>
      </c>
      <c r="I4" t="s">
        <v>908</v>
      </c>
      <c r="J4" t="s">
        <v>909</v>
      </c>
      <c r="K4" t="s">
        <v>576</v>
      </c>
      <c r="L4" t="s">
        <v>910</v>
      </c>
      <c r="M4" t="s">
        <v>531</v>
      </c>
      <c r="N4" t="s">
        <v>348</v>
      </c>
      <c r="O4" t="s">
        <v>349</v>
      </c>
      <c r="P4" t="s">
        <v>911</v>
      </c>
      <c r="Q4" t="s">
        <v>912</v>
      </c>
      <c r="S4" t="s">
        <v>913</v>
      </c>
      <c r="T4" t="s">
        <v>914</v>
      </c>
      <c r="U4" t="s">
        <v>923</v>
      </c>
      <c r="Y4" t="s">
        <v>354</v>
      </c>
      <c r="Z4" t="s">
        <v>355</v>
      </c>
      <c r="AA4" t="s">
        <v>504</v>
      </c>
      <c r="AB4" t="s">
        <v>916</v>
      </c>
    </row>
    <row r="5" spans="1:28" x14ac:dyDescent="0.2">
      <c r="A5" t="s">
        <v>924</v>
      </c>
      <c r="B5" t="s">
        <v>902</v>
      </c>
      <c r="C5" t="s">
        <v>337</v>
      </c>
      <c r="D5" t="s">
        <v>925</v>
      </c>
      <c r="E5" t="s">
        <v>926</v>
      </c>
      <c r="F5" t="s">
        <v>905</v>
      </c>
      <c r="G5" t="s">
        <v>906</v>
      </c>
      <c r="H5" t="s">
        <v>907</v>
      </c>
      <c r="I5" t="s">
        <v>908</v>
      </c>
      <c r="J5" t="s">
        <v>909</v>
      </c>
      <c r="K5" t="s">
        <v>576</v>
      </c>
      <c r="L5" t="s">
        <v>910</v>
      </c>
      <c r="M5" t="s">
        <v>531</v>
      </c>
      <c r="N5" t="s">
        <v>348</v>
      </c>
      <c r="O5" t="s">
        <v>349</v>
      </c>
      <c r="P5" t="s">
        <v>911</v>
      </c>
      <c r="Q5" t="s">
        <v>912</v>
      </c>
      <c r="S5" t="s">
        <v>913</v>
      </c>
      <c r="T5" t="s">
        <v>914</v>
      </c>
      <c r="Y5" t="s">
        <v>354</v>
      </c>
      <c r="Z5" t="s">
        <v>355</v>
      </c>
      <c r="AA5" t="s">
        <v>504</v>
      </c>
      <c r="AB5" t="s">
        <v>916</v>
      </c>
    </row>
    <row r="6" spans="1:28" x14ac:dyDescent="0.2">
      <c r="A6" t="s">
        <v>927</v>
      </c>
      <c r="B6" t="s">
        <v>902</v>
      </c>
      <c r="C6" t="s">
        <v>337</v>
      </c>
      <c r="D6" t="s">
        <v>928</v>
      </c>
      <c r="E6" t="s">
        <v>929</v>
      </c>
      <c r="F6" t="s">
        <v>930</v>
      </c>
      <c r="G6" t="s">
        <v>931</v>
      </c>
      <c r="H6" t="s">
        <v>932</v>
      </c>
      <c r="I6" t="s">
        <v>933</v>
      </c>
      <c r="J6" t="s">
        <v>934</v>
      </c>
      <c r="K6" t="s">
        <v>576</v>
      </c>
      <c r="L6" t="s">
        <v>346</v>
      </c>
      <c r="M6" t="s">
        <v>531</v>
      </c>
      <c r="N6" t="s">
        <v>348</v>
      </c>
      <c r="O6" t="s">
        <v>935</v>
      </c>
      <c r="P6" t="s">
        <v>936</v>
      </c>
      <c r="Q6" t="s">
        <v>937</v>
      </c>
      <c r="T6" t="s">
        <v>407</v>
      </c>
      <c r="Y6" t="s">
        <v>354</v>
      </c>
      <c r="Z6" t="s">
        <v>355</v>
      </c>
      <c r="AA6" t="s">
        <v>504</v>
      </c>
      <c r="AB6" t="s">
        <v>357</v>
      </c>
    </row>
    <row r="7" spans="1:28" x14ac:dyDescent="0.2">
      <c r="A7" t="s">
        <v>938</v>
      </c>
      <c r="B7" t="s">
        <v>902</v>
      </c>
      <c r="C7" t="s">
        <v>337</v>
      </c>
      <c r="D7" t="s">
        <v>939</v>
      </c>
      <c r="E7" t="s">
        <v>940</v>
      </c>
      <c r="F7" t="s">
        <v>930</v>
      </c>
      <c r="G7" t="s">
        <v>931</v>
      </c>
      <c r="H7" t="s">
        <v>932</v>
      </c>
      <c r="I7" t="s">
        <v>933</v>
      </c>
      <c r="J7" t="s">
        <v>934</v>
      </c>
      <c r="K7" t="s">
        <v>401</v>
      </c>
      <c r="L7" t="s">
        <v>346</v>
      </c>
      <c r="M7" t="s">
        <v>562</v>
      </c>
      <c r="N7" t="s">
        <v>515</v>
      </c>
      <c r="O7" t="s">
        <v>935</v>
      </c>
      <c r="P7" t="s">
        <v>936</v>
      </c>
      <c r="Q7" t="s">
        <v>937</v>
      </c>
      <c r="T7" t="s">
        <v>407</v>
      </c>
      <c r="Y7" t="s">
        <v>354</v>
      </c>
      <c r="Z7" t="s">
        <v>355</v>
      </c>
      <c r="AA7" t="s">
        <v>941</v>
      </c>
      <c r="AB7" t="s">
        <v>357</v>
      </c>
    </row>
    <row r="8" spans="1:28" x14ac:dyDescent="0.2">
      <c r="A8" t="s">
        <v>942</v>
      </c>
      <c r="B8" t="s">
        <v>902</v>
      </c>
      <c r="C8" t="s">
        <v>337</v>
      </c>
      <c r="D8" t="s">
        <v>943</v>
      </c>
      <c r="E8" t="s">
        <v>944</v>
      </c>
      <c r="F8" t="s">
        <v>930</v>
      </c>
      <c r="G8" t="s">
        <v>931</v>
      </c>
      <c r="H8" t="s">
        <v>932</v>
      </c>
      <c r="I8" t="s">
        <v>933</v>
      </c>
      <c r="J8" t="s">
        <v>934</v>
      </c>
      <c r="K8" t="s">
        <v>345</v>
      </c>
      <c r="L8" t="s">
        <v>346</v>
      </c>
      <c r="M8" t="s">
        <v>347</v>
      </c>
      <c r="N8" t="s">
        <v>348</v>
      </c>
      <c r="O8" t="s">
        <v>935</v>
      </c>
      <c r="P8" t="s">
        <v>936</v>
      </c>
      <c r="Q8" t="s">
        <v>937</v>
      </c>
      <c r="T8" t="s">
        <v>407</v>
      </c>
      <c r="Y8" t="s">
        <v>354</v>
      </c>
      <c r="Z8" t="s">
        <v>355</v>
      </c>
      <c r="AA8" t="s">
        <v>941</v>
      </c>
      <c r="AB8" t="s">
        <v>357</v>
      </c>
    </row>
    <row r="9" spans="1:28" x14ac:dyDescent="0.2">
      <c r="A9" t="s">
        <v>945</v>
      </c>
      <c r="B9" t="s">
        <v>902</v>
      </c>
      <c r="C9" t="s">
        <v>337</v>
      </c>
      <c r="D9" t="s">
        <v>946</v>
      </c>
      <c r="E9" t="s">
        <v>947</v>
      </c>
      <c r="F9" t="s">
        <v>948</v>
      </c>
      <c r="G9" t="s">
        <v>949</v>
      </c>
      <c r="H9" t="s">
        <v>950</v>
      </c>
      <c r="I9" t="s">
        <v>951</v>
      </c>
      <c r="J9" t="s">
        <v>952</v>
      </c>
      <c r="K9" t="s">
        <v>345</v>
      </c>
      <c r="L9" t="s">
        <v>346</v>
      </c>
      <c r="M9" t="s">
        <v>347</v>
      </c>
      <c r="N9" t="s">
        <v>515</v>
      </c>
      <c r="O9" t="s">
        <v>349</v>
      </c>
      <c r="P9" t="s">
        <v>405</v>
      </c>
      <c r="Q9" t="s">
        <v>953</v>
      </c>
      <c r="T9" t="s">
        <v>407</v>
      </c>
      <c r="V9" t="s">
        <v>954</v>
      </c>
      <c r="Y9" t="s">
        <v>354</v>
      </c>
      <c r="Z9" t="s">
        <v>355</v>
      </c>
      <c r="AA9" t="s">
        <v>519</v>
      </c>
      <c r="AB9" t="s">
        <v>357</v>
      </c>
    </row>
    <row r="10" spans="1:28" x14ac:dyDescent="0.2">
      <c r="A10" t="s">
        <v>955</v>
      </c>
      <c r="B10" t="s">
        <v>902</v>
      </c>
      <c r="C10" t="s">
        <v>337</v>
      </c>
      <c r="D10" t="s">
        <v>956</v>
      </c>
      <c r="E10" t="s">
        <v>957</v>
      </c>
      <c r="F10" t="s">
        <v>473</v>
      </c>
      <c r="H10" t="s">
        <v>958</v>
      </c>
      <c r="I10" t="s">
        <v>959</v>
      </c>
      <c r="J10" t="s">
        <v>418</v>
      </c>
      <c r="K10" t="s">
        <v>401</v>
      </c>
      <c r="L10" t="s">
        <v>960</v>
      </c>
      <c r="M10" t="s">
        <v>347</v>
      </c>
      <c r="N10" t="s">
        <v>515</v>
      </c>
      <c r="O10" t="s">
        <v>354</v>
      </c>
      <c r="P10" t="s">
        <v>441</v>
      </c>
      <c r="Q10" t="s">
        <v>442</v>
      </c>
      <c r="T10" t="s">
        <v>961</v>
      </c>
      <c r="Y10" t="s">
        <v>354</v>
      </c>
      <c r="Z10" t="s">
        <v>355</v>
      </c>
      <c r="AA10" t="s">
        <v>962</v>
      </c>
      <c r="AB10" t="s">
        <v>444</v>
      </c>
    </row>
    <row r="11" spans="1:28" x14ac:dyDescent="0.2">
      <c r="A11" t="s">
        <v>963</v>
      </c>
      <c r="B11" t="s">
        <v>902</v>
      </c>
      <c r="C11" t="s">
        <v>964</v>
      </c>
      <c r="D11" t="s">
        <v>965</v>
      </c>
      <c r="E11" t="s">
        <v>966</v>
      </c>
      <c r="F11" t="s">
        <v>967</v>
      </c>
      <c r="G11" t="s">
        <v>968</v>
      </c>
      <c r="H11" t="s">
        <v>969</v>
      </c>
      <c r="I11" t="s">
        <v>970</v>
      </c>
      <c r="J11" t="s">
        <v>971</v>
      </c>
      <c r="K11" t="s">
        <v>401</v>
      </c>
      <c r="L11" t="s">
        <v>972</v>
      </c>
      <c r="M11" t="s">
        <v>347</v>
      </c>
      <c r="N11" t="s">
        <v>348</v>
      </c>
      <c r="O11" t="s">
        <v>973</v>
      </c>
      <c r="P11" t="s">
        <v>974</v>
      </c>
      <c r="Q11" t="s">
        <v>975</v>
      </c>
      <c r="T11" t="s">
        <v>407</v>
      </c>
      <c r="Y11" t="s">
        <v>354</v>
      </c>
      <c r="Z11" t="s">
        <v>355</v>
      </c>
      <c r="AA11" t="s">
        <v>504</v>
      </c>
      <c r="AB11" t="s">
        <v>357</v>
      </c>
    </row>
    <row r="12" spans="1:28" x14ac:dyDescent="0.2">
      <c r="A12" t="s">
        <v>976</v>
      </c>
      <c r="B12" t="s">
        <v>902</v>
      </c>
      <c r="C12" t="s">
        <v>964</v>
      </c>
      <c r="D12" t="s">
        <v>977</v>
      </c>
      <c r="E12" t="s">
        <v>978</v>
      </c>
      <c r="F12" t="s">
        <v>967</v>
      </c>
      <c r="G12" t="s">
        <v>968</v>
      </c>
      <c r="H12" t="s">
        <v>969</v>
      </c>
      <c r="I12" t="s">
        <v>970</v>
      </c>
      <c r="J12" t="s">
        <v>971</v>
      </c>
      <c r="K12" t="s">
        <v>345</v>
      </c>
      <c r="L12" t="s">
        <v>972</v>
      </c>
      <c r="M12" t="s">
        <v>347</v>
      </c>
      <c r="N12" t="s">
        <v>348</v>
      </c>
      <c r="O12" t="s">
        <v>973</v>
      </c>
      <c r="P12" t="s">
        <v>974</v>
      </c>
      <c r="Q12" t="s">
        <v>975</v>
      </c>
      <c r="T12" t="s">
        <v>407</v>
      </c>
      <c r="Y12" t="s">
        <v>354</v>
      </c>
      <c r="Z12" t="s">
        <v>355</v>
      </c>
      <c r="AA12" t="s">
        <v>504</v>
      </c>
      <c r="AB12" t="s">
        <v>357</v>
      </c>
    </row>
    <row r="13" spans="1:28" x14ac:dyDescent="0.2">
      <c r="A13" t="s">
        <v>979</v>
      </c>
      <c r="B13" t="s">
        <v>902</v>
      </c>
      <c r="C13" t="s">
        <v>964</v>
      </c>
      <c r="D13" t="s">
        <v>980</v>
      </c>
      <c r="E13" t="s">
        <v>981</v>
      </c>
      <c r="F13" t="s">
        <v>967</v>
      </c>
      <c r="G13" t="s">
        <v>968</v>
      </c>
      <c r="H13" t="s">
        <v>969</v>
      </c>
      <c r="I13" t="s">
        <v>970</v>
      </c>
      <c r="J13" t="s">
        <v>971</v>
      </c>
      <c r="K13" t="s">
        <v>345</v>
      </c>
      <c r="L13" t="s">
        <v>972</v>
      </c>
      <c r="M13" t="s">
        <v>347</v>
      </c>
      <c r="N13" t="s">
        <v>348</v>
      </c>
      <c r="O13" t="s">
        <v>973</v>
      </c>
      <c r="P13" t="s">
        <v>974</v>
      </c>
      <c r="Q13" t="s">
        <v>975</v>
      </c>
      <c r="T13" t="s">
        <v>407</v>
      </c>
      <c r="Y13" t="s">
        <v>354</v>
      </c>
      <c r="Z13" t="s">
        <v>355</v>
      </c>
      <c r="AA13" t="s">
        <v>504</v>
      </c>
      <c r="AB13" t="s">
        <v>357</v>
      </c>
    </row>
    <row r="14" spans="1:28" x14ac:dyDescent="0.2">
      <c r="B14" t="s">
        <v>902</v>
      </c>
      <c r="C14" t="s">
        <v>481</v>
      </c>
      <c r="D14" t="s">
        <v>482</v>
      </c>
      <c r="E14" t="s">
        <v>482</v>
      </c>
      <c r="F14" t="s">
        <v>482</v>
      </c>
      <c r="X14" t="s">
        <v>354</v>
      </c>
      <c r="Y14" t="s">
        <v>483</v>
      </c>
    </row>
    <row r="15" spans="1:28" x14ac:dyDescent="0.2">
      <c r="B15" t="s">
        <v>902</v>
      </c>
      <c r="C15" t="s">
        <v>484</v>
      </c>
      <c r="D15" t="s">
        <v>482</v>
      </c>
      <c r="E15" t="s">
        <v>482</v>
      </c>
      <c r="F15" t="s">
        <v>482</v>
      </c>
      <c r="X15" t="s">
        <v>354</v>
      </c>
      <c r="Y15" t="s">
        <v>483</v>
      </c>
    </row>
    <row r="16" spans="1:28" x14ac:dyDescent="0.2">
      <c r="B16" t="s">
        <v>902</v>
      </c>
      <c r="C16" t="s">
        <v>485</v>
      </c>
      <c r="D16" t="s">
        <v>482</v>
      </c>
      <c r="E16" t="s">
        <v>482</v>
      </c>
      <c r="F16" t="s">
        <v>482</v>
      </c>
      <c r="X16" t="s">
        <v>354</v>
      </c>
      <c r="Y16" t="s">
        <v>483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x14ac:dyDescent="0.2">
      <c r="A2" t="s">
        <v>982</v>
      </c>
      <c r="B2" t="s">
        <v>983</v>
      </c>
      <c r="C2" t="s">
        <v>337</v>
      </c>
      <c r="D2" t="s">
        <v>984</v>
      </c>
      <c r="E2" t="s">
        <v>985</v>
      </c>
      <c r="F2" t="s">
        <v>986</v>
      </c>
      <c r="G2" t="s">
        <v>987</v>
      </c>
      <c r="H2" t="s">
        <v>988</v>
      </c>
      <c r="I2" t="s">
        <v>989</v>
      </c>
      <c r="J2" t="s">
        <v>990</v>
      </c>
      <c r="K2" t="s">
        <v>576</v>
      </c>
      <c r="L2" t="s">
        <v>991</v>
      </c>
      <c r="M2" t="s">
        <v>531</v>
      </c>
      <c r="N2" t="s">
        <v>348</v>
      </c>
      <c r="O2" t="s">
        <v>992</v>
      </c>
      <c r="P2" t="s">
        <v>993</v>
      </c>
      <c r="Q2" t="s">
        <v>994</v>
      </c>
      <c r="T2" t="s">
        <v>407</v>
      </c>
      <c r="Y2" t="s">
        <v>354</v>
      </c>
      <c r="Z2" t="s">
        <v>355</v>
      </c>
      <c r="AA2" t="s">
        <v>504</v>
      </c>
      <c r="AB2" t="s">
        <v>357</v>
      </c>
    </row>
    <row r="3" spans="1:28" x14ac:dyDescent="0.2">
      <c r="A3" t="s">
        <v>995</v>
      </c>
      <c r="B3" t="s">
        <v>983</v>
      </c>
      <c r="C3" t="s">
        <v>337</v>
      </c>
      <c r="D3" t="s">
        <v>996</v>
      </c>
      <c r="E3" t="s">
        <v>997</v>
      </c>
      <c r="F3" t="s">
        <v>986</v>
      </c>
      <c r="G3" t="s">
        <v>987</v>
      </c>
      <c r="H3" t="s">
        <v>988</v>
      </c>
      <c r="I3" t="s">
        <v>989</v>
      </c>
      <c r="J3" t="s">
        <v>990</v>
      </c>
      <c r="K3" t="s">
        <v>367</v>
      </c>
      <c r="L3" t="s">
        <v>991</v>
      </c>
      <c r="M3" t="s">
        <v>347</v>
      </c>
      <c r="N3" t="s">
        <v>348</v>
      </c>
      <c r="O3" t="s">
        <v>992</v>
      </c>
      <c r="P3" t="s">
        <v>993</v>
      </c>
      <c r="Q3" t="s">
        <v>994</v>
      </c>
      <c r="T3" t="s">
        <v>407</v>
      </c>
      <c r="Y3" t="s">
        <v>354</v>
      </c>
      <c r="Z3" t="s">
        <v>355</v>
      </c>
      <c r="AA3" t="s">
        <v>504</v>
      </c>
      <c r="AB3" t="s">
        <v>357</v>
      </c>
    </row>
    <row r="4" spans="1:28" x14ac:dyDescent="0.2">
      <c r="A4" t="s">
        <v>998</v>
      </c>
      <c r="B4" t="s">
        <v>983</v>
      </c>
      <c r="C4" t="s">
        <v>337</v>
      </c>
      <c r="D4" t="s">
        <v>999</v>
      </c>
      <c r="E4" t="s">
        <v>1000</v>
      </c>
      <c r="F4" t="s">
        <v>473</v>
      </c>
      <c r="H4" t="s">
        <v>1001</v>
      </c>
      <c r="I4" t="s">
        <v>1002</v>
      </c>
      <c r="J4" t="s">
        <v>418</v>
      </c>
      <c r="K4" t="s">
        <v>345</v>
      </c>
      <c r="L4" t="s">
        <v>346</v>
      </c>
      <c r="M4" t="s">
        <v>347</v>
      </c>
      <c r="N4" t="s">
        <v>643</v>
      </c>
      <c r="O4" t="s">
        <v>354</v>
      </c>
      <c r="P4" t="s">
        <v>441</v>
      </c>
      <c r="Q4" t="s">
        <v>442</v>
      </c>
      <c r="T4" t="s">
        <v>407</v>
      </c>
      <c r="Y4" t="s">
        <v>354</v>
      </c>
      <c r="Z4" t="s">
        <v>355</v>
      </c>
      <c r="AA4" t="s">
        <v>443</v>
      </c>
      <c r="AB4" t="s">
        <v>444</v>
      </c>
    </row>
    <row r="5" spans="1:28" x14ac:dyDescent="0.2">
      <c r="A5" t="s">
        <v>1003</v>
      </c>
      <c r="B5" t="s">
        <v>983</v>
      </c>
      <c r="C5" t="s">
        <v>337</v>
      </c>
      <c r="D5" t="e">
        <f>Guaranteed</f>
        <v>#NAME?</v>
      </c>
      <c r="E5" t="s">
        <v>1004</v>
      </c>
      <c r="F5" t="s">
        <v>473</v>
      </c>
      <c r="H5" t="s">
        <v>1001</v>
      </c>
      <c r="I5" t="s">
        <v>1002</v>
      </c>
      <c r="J5" t="s">
        <v>418</v>
      </c>
      <c r="K5" t="s">
        <v>345</v>
      </c>
      <c r="L5" t="s">
        <v>346</v>
      </c>
      <c r="M5" t="s">
        <v>347</v>
      </c>
      <c r="N5" t="s">
        <v>348</v>
      </c>
      <c r="O5" t="s">
        <v>354</v>
      </c>
      <c r="P5" t="s">
        <v>441</v>
      </c>
      <c r="Q5" t="s">
        <v>442</v>
      </c>
      <c r="T5" t="s">
        <v>407</v>
      </c>
      <c r="Y5" t="s">
        <v>354</v>
      </c>
      <c r="Z5" t="s">
        <v>355</v>
      </c>
      <c r="AA5" t="s">
        <v>1005</v>
      </c>
      <c r="AB5" t="s">
        <v>444</v>
      </c>
    </row>
    <row r="6" spans="1:28" x14ac:dyDescent="0.2">
      <c r="A6" t="s">
        <v>1006</v>
      </c>
      <c r="B6" t="s">
        <v>983</v>
      </c>
      <c r="C6" t="s">
        <v>337</v>
      </c>
      <c r="D6" t="s">
        <v>1007</v>
      </c>
      <c r="E6" t="s">
        <v>1008</v>
      </c>
      <c r="F6" t="s">
        <v>473</v>
      </c>
      <c r="H6" t="s">
        <v>1001</v>
      </c>
      <c r="I6" t="s">
        <v>1002</v>
      </c>
      <c r="J6" t="s">
        <v>418</v>
      </c>
      <c r="K6" t="s">
        <v>345</v>
      </c>
      <c r="L6" t="s">
        <v>346</v>
      </c>
      <c r="M6" t="s">
        <v>347</v>
      </c>
      <c r="N6" t="s">
        <v>348</v>
      </c>
      <c r="O6" t="s">
        <v>354</v>
      </c>
      <c r="P6" t="s">
        <v>441</v>
      </c>
      <c r="Q6" t="s">
        <v>442</v>
      </c>
      <c r="T6" t="s">
        <v>407</v>
      </c>
      <c r="Y6" t="s">
        <v>354</v>
      </c>
      <c r="Z6" t="s">
        <v>355</v>
      </c>
      <c r="AA6" t="s">
        <v>443</v>
      </c>
      <c r="AB6" t="s">
        <v>444</v>
      </c>
    </row>
    <row r="7" spans="1:28" x14ac:dyDescent="0.2">
      <c r="A7" t="s">
        <v>1009</v>
      </c>
      <c r="B7" t="s">
        <v>983</v>
      </c>
      <c r="C7" t="s">
        <v>337</v>
      </c>
      <c r="D7" t="s">
        <v>1010</v>
      </c>
      <c r="E7" t="s">
        <v>1011</v>
      </c>
      <c r="F7" t="s">
        <v>437</v>
      </c>
      <c r="H7" t="s">
        <v>1012</v>
      </c>
      <c r="I7" t="s">
        <v>439</v>
      </c>
      <c r="J7" t="s">
        <v>418</v>
      </c>
      <c r="K7" t="s">
        <v>345</v>
      </c>
      <c r="L7" t="s">
        <v>440</v>
      </c>
      <c r="M7" t="s">
        <v>347</v>
      </c>
      <c r="N7" t="s">
        <v>348</v>
      </c>
      <c r="O7" t="s">
        <v>354</v>
      </c>
      <c r="P7" t="s">
        <v>441</v>
      </c>
      <c r="Q7" t="s">
        <v>442</v>
      </c>
      <c r="T7" t="s">
        <v>407</v>
      </c>
      <c r="Y7" t="s">
        <v>354</v>
      </c>
      <c r="Z7" t="s">
        <v>355</v>
      </c>
      <c r="AA7" t="s">
        <v>443</v>
      </c>
      <c r="AB7" t="s">
        <v>444</v>
      </c>
    </row>
    <row r="8" spans="1:28" x14ac:dyDescent="0.2">
      <c r="A8" t="s">
        <v>1013</v>
      </c>
      <c r="B8" t="s">
        <v>983</v>
      </c>
      <c r="C8" t="s">
        <v>337</v>
      </c>
      <c r="D8" t="s">
        <v>1014</v>
      </c>
      <c r="E8" t="s">
        <v>1015</v>
      </c>
      <c r="F8" t="s">
        <v>473</v>
      </c>
      <c r="H8" t="s">
        <v>1016</v>
      </c>
      <c r="I8" t="s">
        <v>1017</v>
      </c>
      <c r="J8" t="s">
        <v>418</v>
      </c>
      <c r="K8" t="s">
        <v>345</v>
      </c>
      <c r="L8" t="s">
        <v>467</v>
      </c>
      <c r="M8" t="s">
        <v>347</v>
      </c>
      <c r="N8" t="s">
        <v>348</v>
      </c>
      <c r="O8" t="s">
        <v>354</v>
      </c>
      <c r="P8" t="s">
        <v>441</v>
      </c>
      <c r="Q8" t="s">
        <v>442</v>
      </c>
      <c r="T8" t="s">
        <v>407</v>
      </c>
      <c r="Y8" t="s">
        <v>354</v>
      </c>
      <c r="Z8" t="s">
        <v>355</v>
      </c>
      <c r="AA8" t="s">
        <v>443</v>
      </c>
      <c r="AB8" t="s">
        <v>444</v>
      </c>
    </row>
    <row r="9" spans="1:28" x14ac:dyDescent="0.2">
      <c r="A9" t="s">
        <v>1018</v>
      </c>
      <c r="B9" t="s">
        <v>983</v>
      </c>
      <c r="C9" t="s">
        <v>1019</v>
      </c>
      <c r="D9" t="s">
        <v>1020</v>
      </c>
      <c r="E9" t="s">
        <v>1021</v>
      </c>
      <c r="F9" t="s">
        <v>1022</v>
      </c>
      <c r="G9" t="s">
        <v>1023</v>
      </c>
      <c r="H9" t="s">
        <v>1024</v>
      </c>
      <c r="I9" t="s">
        <v>1025</v>
      </c>
      <c r="J9" t="s">
        <v>1026</v>
      </c>
      <c r="K9" t="s">
        <v>367</v>
      </c>
      <c r="L9" t="s">
        <v>467</v>
      </c>
      <c r="M9" t="s">
        <v>347</v>
      </c>
      <c r="N9" t="s">
        <v>643</v>
      </c>
      <c r="O9" t="s">
        <v>1027</v>
      </c>
      <c r="P9" t="s">
        <v>1028</v>
      </c>
      <c r="Q9" t="s">
        <v>1029</v>
      </c>
      <c r="T9" t="s">
        <v>407</v>
      </c>
      <c r="Y9" t="s">
        <v>354</v>
      </c>
      <c r="Z9" t="s">
        <v>355</v>
      </c>
      <c r="AA9" t="s">
        <v>1030</v>
      </c>
      <c r="AB9" t="s">
        <v>357</v>
      </c>
    </row>
    <row r="10" spans="1:28" x14ac:dyDescent="0.2">
      <c r="A10" t="s">
        <v>1031</v>
      </c>
      <c r="B10" t="s">
        <v>983</v>
      </c>
      <c r="C10" t="s">
        <v>1019</v>
      </c>
      <c r="D10" t="s">
        <v>1032</v>
      </c>
      <c r="E10" t="s">
        <v>1033</v>
      </c>
      <c r="F10" t="s">
        <v>1034</v>
      </c>
      <c r="G10" t="s">
        <v>1035</v>
      </c>
      <c r="H10" t="s">
        <v>1036</v>
      </c>
      <c r="I10" t="s">
        <v>1037</v>
      </c>
      <c r="J10" t="s">
        <v>1038</v>
      </c>
      <c r="K10" t="s">
        <v>345</v>
      </c>
      <c r="L10" t="s">
        <v>467</v>
      </c>
      <c r="M10" t="s">
        <v>403</v>
      </c>
      <c r="N10" t="s">
        <v>643</v>
      </c>
      <c r="O10" t="s">
        <v>1039</v>
      </c>
      <c r="P10" t="s">
        <v>1040</v>
      </c>
      <c r="Q10" t="s">
        <v>1041</v>
      </c>
      <c r="T10" t="s">
        <v>389</v>
      </c>
      <c r="Y10" t="s">
        <v>354</v>
      </c>
      <c r="Z10" t="s">
        <v>355</v>
      </c>
      <c r="AA10" t="s">
        <v>421</v>
      </c>
      <c r="AB10" t="s">
        <v>357</v>
      </c>
    </row>
    <row r="11" spans="1:28" x14ac:dyDescent="0.2">
      <c r="A11" t="s">
        <v>1042</v>
      </c>
      <c r="B11" t="s">
        <v>983</v>
      </c>
      <c r="C11" t="s">
        <v>1019</v>
      </c>
      <c r="D11" t="s">
        <v>1043</v>
      </c>
      <c r="E11" t="s">
        <v>1044</v>
      </c>
      <c r="F11" t="s">
        <v>473</v>
      </c>
      <c r="H11" t="s">
        <v>1045</v>
      </c>
      <c r="I11" t="s">
        <v>1046</v>
      </c>
      <c r="J11" t="s">
        <v>418</v>
      </c>
      <c r="K11" t="s">
        <v>641</v>
      </c>
      <c r="L11" t="s">
        <v>467</v>
      </c>
      <c r="M11" t="s">
        <v>347</v>
      </c>
      <c r="N11" t="s">
        <v>348</v>
      </c>
      <c r="O11" t="s">
        <v>354</v>
      </c>
      <c r="P11" t="s">
        <v>441</v>
      </c>
      <c r="Q11" t="s">
        <v>442</v>
      </c>
      <c r="T11" t="s">
        <v>1047</v>
      </c>
      <c r="Y11" t="s">
        <v>354</v>
      </c>
      <c r="Z11" t="s">
        <v>355</v>
      </c>
      <c r="AA11" t="s">
        <v>443</v>
      </c>
      <c r="AB11" t="s">
        <v>444</v>
      </c>
    </row>
    <row r="12" spans="1:28" x14ac:dyDescent="0.2">
      <c r="A12" t="s">
        <v>1048</v>
      </c>
      <c r="B12" t="s">
        <v>983</v>
      </c>
      <c r="C12" t="s">
        <v>1019</v>
      </c>
      <c r="D12" t="s">
        <v>1049</v>
      </c>
      <c r="E12" t="s">
        <v>1050</v>
      </c>
      <c r="F12" t="s">
        <v>1022</v>
      </c>
      <c r="G12" t="s">
        <v>1023</v>
      </c>
      <c r="H12" t="s">
        <v>1024</v>
      </c>
      <c r="I12" t="s">
        <v>1025</v>
      </c>
      <c r="J12" t="s">
        <v>1026</v>
      </c>
      <c r="K12" t="s">
        <v>367</v>
      </c>
      <c r="L12" t="s">
        <v>467</v>
      </c>
      <c r="M12" t="s">
        <v>403</v>
      </c>
      <c r="N12" t="s">
        <v>348</v>
      </c>
      <c r="O12" t="s">
        <v>1027</v>
      </c>
      <c r="P12" t="s">
        <v>1028</v>
      </c>
      <c r="Q12" t="s">
        <v>1029</v>
      </c>
      <c r="T12" t="s">
        <v>407</v>
      </c>
      <c r="U12" t="s">
        <v>1051</v>
      </c>
      <c r="Y12" t="s">
        <v>354</v>
      </c>
      <c r="Z12" t="s">
        <v>355</v>
      </c>
      <c r="AA12" t="s">
        <v>1030</v>
      </c>
      <c r="AB12" t="s">
        <v>357</v>
      </c>
    </row>
    <row r="13" spans="1:28" x14ac:dyDescent="0.2">
      <c r="A13" t="s">
        <v>1052</v>
      </c>
      <c r="B13" t="s">
        <v>983</v>
      </c>
      <c r="C13" t="s">
        <v>1053</v>
      </c>
      <c r="D13" t="s">
        <v>1054</v>
      </c>
      <c r="E13" t="s">
        <v>1055</v>
      </c>
      <c r="F13" t="s">
        <v>473</v>
      </c>
      <c r="H13" t="s">
        <v>1056</v>
      </c>
      <c r="I13" t="s">
        <v>1057</v>
      </c>
      <c r="J13" t="s">
        <v>418</v>
      </c>
      <c r="K13" t="s">
        <v>641</v>
      </c>
      <c r="L13" t="s">
        <v>467</v>
      </c>
      <c r="M13" t="s">
        <v>347</v>
      </c>
      <c r="N13" t="s">
        <v>740</v>
      </c>
      <c r="O13" t="s">
        <v>354</v>
      </c>
      <c r="P13" t="s">
        <v>441</v>
      </c>
      <c r="Q13" t="s">
        <v>442</v>
      </c>
      <c r="T13" t="s">
        <v>1058</v>
      </c>
      <c r="Y13" t="s">
        <v>354</v>
      </c>
      <c r="Z13" t="s">
        <v>355</v>
      </c>
      <c r="AA13" t="s">
        <v>1059</v>
      </c>
      <c r="AB13" t="s">
        <v>444</v>
      </c>
    </row>
    <row r="14" spans="1:28" x14ac:dyDescent="0.2">
      <c r="A14" t="s">
        <v>1060</v>
      </c>
      <c r="B14" t="s">
        <v>983</v>
      </c>
      <c r="C14" t="s">
        <v>1053</v>
      </c>
      <c r="D14" t="s">
        <v>1061</v>
      </c>
      <c r="E14" t="s">
        <v>1062</v>
      </c>
      <c r="F14" t="s">
        <v>473</v>
      </c>
      <c r="H14" t="s">
        <v>1063</v>
      </c>
      <c r="I14" t="s">
        <v>1064</v>
      </c>
      <c r="J14" t="s">
        <v>418</v>
      </c>
      <c r="K14" t="s">
        <v>345</v>
      </c>
      <c r="L14" t="s">
        <v>1065</v>
      </c>
      <c r="M14" t="s">
        <v>347</v>
      </c>
      <c r="N14" t="s">
        <v>348</v>
      </c>
      <c r="O14" t="s">
        <v>354</v>
      </c>
      <c r="P14" t="s">
        <v>441</v>
      </c>
      <c r="Q14" t="s">
        <v>442</v>
      </c>
      <c r="T14" t="s">
        <v>1066</v>
      </c>
      <c r="V14" t="s">
        <v>1067</v>
      </c>
      <c r="Y14" t="s">
        <v>354</v>
      </c>
      <c r="Z14" t="s">
        <v>355</v>
      </c>
      <c r="AA14" t="s">
        <v>1068</v>
      </c>
      <c r="AB14" t="s">
        <v>444</v>
      </c>
    </row>
    <row r="15" spans="1:28" x14ac:dyDescent="0.2">
      <c r="A15" t="s">
        <v>1069</v>
      </c>
      <c r="B15" t="s">
        <v>983</v>
      </c>
      <c r="C15" t="s">
        <v>1053</v>
      </c>
      <c r="D15" t="s">
        <v>1070</v>
      </c>
      <c r="E15" t="s">
        <v>1071</v>
      </c>
      <c r="F15" t="s">
        <v>437</v>
      </c>
      <c r="H15" t="s">
        <v>1072</v>
      </c>
      <c r="I15" t="s">
        <v>439</v>
      </c>
      <c r="J15" t="s">
        <v>418</v>
      </c>
      <c r="K15" t="s">
        <v>345</v>
      </c>
      <c r="L15" t="s">
        <v>440</v>
      </c>
      <c r="M15" t="s">
        <v>347</v>
      </c>
      <c r="N15" t="s">
        <v>348</v>
      </c>
      <c r="O15" t="s">
        <v>354</v>
      </c>
      <c r="P15" t="s">
        <v>441</v>
      </c>
      <c r="Q15" t="s">
        <v>442</v>
      </c>
      <c r="T15" t="s">
        <v>407</v>
      </c>
      <c r="Y15" t="s">
        <v>354</v>
      </c>
      <c r="Z15" t="s">
        <v>355</v>
      </c>
      <c r="AA15" t="s">
        <v>443</v>
      </c>
      <c r="AB15" t="s">
        <v>444</v>
      </c>
    </row>
    <row r="16" spans="1:28" x14ac:dyDescent="0.2">
      <c r="A16" t="s">
        <v>1073</v>
      </c>
      <c r="B16" t="s">
        <v>983</v>
      </c>
      <c r="C16" t="s">
        <v>1053</v>
      </c>
      <c r="D16" t="s">
        <v>1074</v>
      </c>
      <c r="E16" t="s">
        <v>1075</v>
      </c>
      <c r="F16" t="s">
        <v>473</v>
      </c>
      <c r="H16" t="s">
        <v>1063</v>
      </c>
      <c r="I16" t="s">
        <v>1064</v>
      </c>
      <c r="J16" t="s">
        <v>418</v>
      </c>
      <c r="K16" t="s">
        <v>345</v>
      </c>
      <c r="L16" t="s">
        <v>1065</v>
      </c>
      <c r="M16" t="s">
        <v>347</v>
      </c>
      <c r="N16" t="s">
        <v>740</v>
      </c>
      <c r="O16" t="s">
        <v>354</v>
      </c>
      <c r="P16" t="s">
        <v>441</v>
      </c>
      <c r="Q16" t="s">
        <v>442</v>
      </c>
      <c r="T16" t="s">
        <v>1066</v>
      </c>
      <c r="Y16" t="s">
        <v>354</v>
      </c>
      <c r="Z16" t="s">
        <v>355</v>
      </c>
      <c r="AA16" t="s">
        <v>1068</v>
      </c>
      <c r="AB16" t="s">
        <v>444</v>
      </c>
    </row>
    <row r="17" spans="1:28" x14ac:dyDescent="0.2">
      <c r="A17" t="s">
        <v>1076</v>
      </c>
      <c r="B17" t="s">
        <v>983</v>
      </c>
      <c r="C17" t="s">
        <v>1053</v>
      </c>
      <c r="D17" t="s">
        <v>1077</v>
      </c>
      <c r="E17" t="s">
        <v>570</v>
      </c>
      <c r="F17" t="s">
        <v>670</v>
      </c>
      <c r="G17" t="s">
        <v>671</v>
      </c>
      <c r="H17" t="s">
        <v>672</v>
      </c>
      <c r="I17" t="s">
        <v>673</v>
      </c>
      <c r="J17" t="s">
        <v>674</v>
      </c>
      <c r="K17" t="s">
        <v>576</v>
      </c>
      <c r="L17" t="s">
        <v>675</v>
      </c>
      <c r="M17" t="s">
        <v>531</v>
      </c>
      <c r="N17" t="s">
        <v>348</v>
      </c>
      <c r="O17" t="s">
        <v>349</v>
      </c>
      <c r="P17" t="s">
        <v>405</v>
      </c>
      <c r="Q17" t="s">
        <v>676</v>
      </c>
      <c r="R17" t="s">
        <v>677</v>
      </c>
      <c r="T17" t="s">
        <v>407</v>
      </c>
      <c r="U17" t="s">
        <v>1078</v>
      </c>
      <c r="Y17" t="s">
        <v>354</v>
      </c>
      <c r="Z17" t="s">
        <v>355</v>
      </c>
      <c r="AA17" t="s">
        <v>443</v>
      </c>
      <c r="AB17" t="s">
        <v>680</v>
      </c>
    </row>
    <row r="18" spans="1:28" x14ac:dyDescent="0.2">
      <c r="A18" t="s">
        <v>1079</v>
      </c>
      <c r="B18" t="s">
        <v>983</v>
      </c>
      <c r="C18" t="s">
        <v>1080</v>
      </c>
      <c r="D18" t="s">
        <v>1081</v>
      </c>
      <c r="E18" t="s">
        <v>1082</v>
      </c>
      <c r="F18" t="s">
        <v>1083</v>
      </c>
      <c r="G18" t="s">
        <v>1084</v>
      </c>
      <c r="H18" t="s">
        <v>1085</v>
      </c>
      <c r="I18" t="s">
        <v>1086</v>
      </c>
      <c r="J18" t="s">
        <v>1087</v>
      </c>
      <c r="K18" t="s">
        <v>345</v>
      </c>
      <c r="L18" t="s">
        <v>1088</v>
      </c>
      <c r="M18" t="s">
        <v>403</v>
      </c>
      <c r="N18" t="s">
        <v>348</v>
      </c>
      <c r="O18" t="s">
        <v>1089</v>
      </c>
      <c r="P18" t="s">
        <v>1090</v>
      </c>
      <c r="Q18" t="s">
        <v>1091</v>
      </c>
      <c r="T18" t="s">
        <v>1092</v>
      </c>
      <c r="Y18" t="s">
        <v>354</v>
      </c>
      <c r="Z18" t="s">
        <v>355</v>
      </c>
      <c r="AA18" t="s">
        <v>1093</v>
      </c>
      <c r="AB18" t="s">
        <v>357</v>
      </c>
    </row>
    <row r="19" spans="1:28" x14ac:dyDescent="0.2">
      <c r="A19" t="s">
        <v>1094</v>
      </c>
      <c r="B19" t="s">
        <v>983</v>
      </c>
      <c r="C19" t="s">
        <v>1080</v>
      </c>
      <c r="D19" t="s">
        <v>1095</v>
      </c>
      <c r="E19" t="s">
        <v>1096</v>
      </c>
      <c r="F19" t="s">
        <v>1097</v>
      </c>
      <c r="G19" t="s">
        <v>1098</v>
      </c>
      <c r="H19" t="s">
        <v>1099</v>
      </c>
      <c r="I19" t="s">
        <v>1100</v>
      </c>
      <c r="J19" t="s">
        <v>1101</v>
      </c>
      <c r="K19" t="s">
        <v>345</v>
      </c>
      <c r="L19" t="s">
        <v>346</v>
      </c>
      <c r="M19" t="s">
        <v>347</v>
      </c>
      <c r="N19" t="s">
        <v>348</v>
      </c>
      <c r="O19" t="s">
        <v>1102</v>
      </c>
      <c r="P19" t="s">
        <v>1103</v>
      </c>
      <c r="Q19" t="s">
        <v>388</v>
      </c>
      <c r="T19" t="s">
        <v>407</v>
      </c>
      <c r="U19" t="s">
        <v>1104</v>
      </c>
      <c r="Y19" t="s">
        <v>354</v>
      </c>
      <c r="Z19" t="s">
        <v>355</v>
      </c>
      <c r="AA19" t="s">
        <v>443</v>
      </c>
      <c r="AB19" t="s">
        <v>357</v>
      </c>
    </row>
    <row r="20" spans="1:28" x14ac:dyDescent="0.2">
      <c r="A20" t="s">
        <v>1105</v>
      </c>
      <c r="B20" t="s">
        <v>983</v>
      </c>
      <c r="C20" t="s">
        <v>1080</v>
      </c>
      <c r="D20" t="s">
        <v>1106</v>
      </c>
      <c r="E20" t="s">
        <v>1107</v>
      </c>
      <c r="F20" t="s">
        <v>1108</v>
      </c>
      <c r="G20" t="s">
        <v>1109</v>
      </c>
      <c r="H20" t="s">
        <v>1110</v>
      </c>
      <c r="I20" t="s">
        <v>1111</v>
      </c>
      <c r="J20" t="s">
        <v>1112</v>
      </c>
      <c r="K20" t="s">
        <v>345</v>
      </c>
      <c r="L20" t="s">
        <v>1088</v>
      </c>
      <c r="M20" t="s">
        <v>403</v>
      </c>
      <c r="N20" t="s">
        <v>348</v>
      </c>
      <c r="O20" t="s">
        <v>1113</v>
      </c>
      <c r="P20" t="s">
        <v>1114</v>
      </c>
      <c r="Q20" t="s">
        <v>1115</v>
      </c>
      <c r="T20" t="s">
        <v>1116</v>
      </c>
      <c r="Y20" t="s">
        <v>354</v>
      </c>
      <c r="Z20" t="s">
        <v>355</v>
      </c>
      <c r="AA20" t="s">
        <v>1093</v>
      </c>
      <c r="AB20" t="s">
        <v>357</v>
      </c>
    </row>
    <row r="21" spans="1:28" x14ac:dyDescent="0.2">
      <c r="A21" t="s">
        <v>1117</v>
      </c>
      <c r="B21" t="s">
        <v>983</v>
      </c>
      <c r="C21" t="s">
        <v>1080</v>
      </c>
      <c r="D21" t="s">
        <v>1118</v>
      </c>
      <c r="E21" t="s">
        <v>1119</v>
      </c>
      <c r="F21" t="s">
        <v>473</v>
      </c>
      <c r="H21" t="s">
        <v>1120</v>
      </c>
      <c r="I21" t="s">
        <v>1121</v>
      </c>
      <c r="J21" t="s">
        <v>418</v>
      </c>
      <c r="K21" t="s">
        <v>641</v>
      </c>
      <c r="L21" t="s">
        <v>467</v>
      </c>
      <c r="M21" t="s">
        <v>347</v>
      </c>
      <c r="N21" t="s">
        <v>348</v>
      </c>
      <c r="O21" t="s">
        <v>354</v>
      </c>
      <c r="P21" t="s">
        <v>441</v>
      </c>
      <c r="Q21" t="s">
        <v>442</v>
      </c>
      <c r="T21" t="s">
        <v>1122</v>
      </c>
      <c r="Y21" t="s">
        <v>354</v>
      </c>
      <c r="Z21" t="s">
        <v>355</v>
      </c>
      <c r="AA21" t="s">
        <v>1123</v>
      </c>
      <c r="AB21" t="s">
        <v>444</v>
      </c>
    </row>
    <row r="22" spans="1:28" x14ac:dyDescent="0.2">
      <c r="A22" t="s">
        <v>1124</v>
      </c>
      <c r="B22" t="s">
        <v>983</v>
      </c>
      <c r="C22" t="s">
        <v>1080</v>
      </c>
      <c r="D22" t="s">
        <v>1125</v>
      </c>
      <c r="E22" t="s">
        <v>1126</v>
      </c>
      <c r="F22" t="s">
        <v>473</v>
      </c>
      <c r="H22" t="s">
        <v>1127</v>
      </c>
      <c r="I22" t="s">
        <v>1128</v>
      </c>
      <c r="J22" t="s">
        <v>418</v>
      </c>
      <c r="K22" t="s">
        <v>345</v>
      </c>
      <c r="L22" t="s">
        <v>467</v>
      </c>
      <c r="M22" t="s">
        <v>347</v>
      </c>
      <c r="N22" t="s">
        <v>348</v>
      </c>
      <c r="O22" t="s">
        <v>354</v>
      </c>
      <c r="P22" t="s">
        <v>441</v>
      </c>
      <c r="Q22" t="s">
        <v>442</v>
      </c>
      <c r="T22" t="s">
        <v>407</v>
      </c>
      <c r="Y22" t="s">
        <v>354</v>
      </c>
      <c r="Z22" t="s">
        <v>355</v>
      </c>
      <c r="AA22" t="s">
        <v>443</v>
      </c>
      <c r="AB22" t="s">
        <v>444</v>
      </c>
    </row>
    <row r="23" spans="1:28" x14ac:dyDescent="0.2">
      <c r="A23" t="s">
        <v>1129</v>
      </c>
      <c r="B23" t="s">
        <v>983</v>
      </c>
      <c r="C23" t="s">
        <v>1130</v>
      </c>
      <c r="D23" t="s">
        <v>1131</v>
      </c>
      <c r="E23" t="s">
        <v>1132</v>
      </c>
      <c r="F23" t="s">
        <v>1133</v>
      </c>
      <c r="H23" t="s">
        <v>1134</v>
      </c>
      <c r="I23" t="s">
        <v>1135</v>
      </c>
      <c r="J23" t="s">
        <v>418</v>
      </c>
      <c r="K23" t="s">
        <v>345</v>
      </c>
      <c r="L23" t="s">
        <v>1136</v>
      </c>
      <c r="M23" t="s">
        <v>347</v>
      </c>
      <c r="N23" t="s">
        <v>740</v>
      </c>
      <c r="O23" t="s">
        <v>354</v>
      </c>
      <c r="P23" t="s">
        <v>441</v>
      </c>
      <c r="Q23" t="s">
        <v>442</v>
      </c>
      <c r="T23" t="s">
        <v>407</v>
      </c>
      <c r="Y23" t="s">
        <v>354</v>
      </c>
      <c r="Z23" t="s">
        <v>355</v>
      </c>
      <c r="AA23" t="s">
        <v>443</v>
      </c>
      <c r="AB23" t="s">
        <v>444</v>
      </c>
    </row>
    <row r="24" spans="1:28" x14ac:dyDescent="0.2">
      <c r="A24" t="s">
        <v>1137</v>
      </c>
      <c r="B24" t="s">
        <v>983</v>
      </c>
      <c r="C24" t="s">
        <v>1130</v>
      </c>
      <c r="D24" t="s">
        <v>1138</v>
      </c>
      <c r="E24" t="s">
        <v>1139</v>
      </c>
      <c r="F24" t="s">
        <v>473</v>
      </c>
      <c r="H24" t="s">
        <v>1140</v>
      </c>
      <c r="I24" t="s">
        <v>1141</v>
      </c>
      <c r="J24" t="s">
        <v>418</v>
      </c>
      <c r="K24" t="s">
        <v>345</v>
      </c>
      <c r="L24" t="s">
        <v>346</v>
      </c>
      <c r="M24" t="s">
        <v>347</v>
      </c>
      <c r="N24" t="s">
        <v>348</v>
      </c>
      <c r="O24" t="s">
        <v>354</v>
      </c>
      <c r="P24" t="s">
        <v>441</v>
      </c>
      <c r="Q24" t="s">
        <v>442</v>
      </c>
      <c r="T24" t="s">
        <v>407</v>
      </c>
      <c r="Y24" t="s">
        <v>354</v>
      </c>
      <c r="Z24" t="s">
        <v>355</v>
      </c>
      <c r="AA24" t="s">
        <v>1142</v>
      </c>
      <c r="AB24" t="s">
        <v>444</v>
      </c>
    </row>
    <row r="25" spans="1:28" x14ac:dyDescent="0.2">
      <c r="A25" t="s">
        <v>1143</v>
      </c>
      <c r="B25" t="s">
        <v>983</v>
      </c>
      <c r="C25" t="s">
        <v>1130</v>
      </c>
      <c r="D25" t="s">
        <v>1144</v>
      </c>
      <c r="E25" t="s">
        <v>1145</v>
      </c>
      <c r="F25" t="s">
        <v>473</v>
      </c>
      <c r="H25" t="s">
        <v>1146</v>
      </c>
      <c r="I25" t="s">
        <v>1147</v>
      </c>
      <c r="J25" t="s">
        <v>418</v>
      </c>
      <c r="K25" t="s">
        <v>345</v>
      </c>
      <c r="L25" t="s">
        <v>346</v>
      </c>
      <c r="M25" t="s">
        <v>347</v>
      </c>
      <c r="N25" t="s">
        <v>348</v>
      </c>
      <c r="O25" t="s">
        <v>354</v>
      </c>
      <c r="P25" t="s">
        <v>441</v>
      </c>
      <c r="Q25" t="s">
        <v>442</v>
      </c>
      <c r="T25" t="s">
        <v>407</v>
      </c>
      <c r="Y25" t="s">
        <v>354</v>
      </c>
      <c r="Z25" t="s">
        <v>355</v>
      </c>
      <c r="AA25" t="s">
        <v>443</v>
      </c>
      <c r="AB25" t="s">
        <v>444</v>
      </c>
    </row>
    <row r="26" spans="1:28" x14ac:dyDescent="0.2">
      <c r="A26" t="s">
        <v>1148</v>
      </c>
      <c r="B26" t="s">
        <v>983</v>
      </c>
      <c r="C26" t="s">
        <v>1149</v>
      </c>
      <c r="D26" t="s">
        <v>1150</v>
      </c>
      <c r="E26" t="s">
        <v>1151</v>
      </c>
      <c r="F26" t="s">
        <v>1133</v>
      </c>
      <c r="H26" t="s">
        <v>1134</v>
      </c>
      <c r="I26" t="s">
        <v>1135</v>
      </c>
      <c r="J26" t="s">
        <v>418</v>
      </c>
      <c r="K26" t="s">
        <v>345</v>
      </c>
      <c r="L26" t="s">
        <v>1136</v>
      </c>
      <c r="M26" t="s">
        <v>347</v>
      </c>
      <c r="N26" t="s">
        <v>348</v>
      </c>
      <c r="O26" t="s">
        <v>354</v>
      </c>
      <c r="P26" t="s">
        <v>441</v>
      </c>
      <c r="Q26" t="s">
        <v>442</v>
      </c>
      <c r="T26" t="s">
        <v>407</v>
      </c>
      <c r="Y26" t="s">
        <v>354</v>
      </c>
      <c r="Z26" t="s">
        <v>355</v>
      </c>
      <c r="AA26" t="s">
        <v>443</v>
      </c>
      <c r="AB26" t="s">
        <v>444</v>
      </c>
    </row>
    <row r="27" spans="1:28" x14ac:dyDescent="0.2">
      <c r="A27" t="s">
        <v>1152</v>
      </c>
      <c r="B27" t="s">
        <v>983</v>
      </c>
      <c r="C27" t="s">
        <v>1149</v>
      </c>
      <c r="D27" t="s">
        <v>1153</v>
      </c>
      <c r="E27" t="s">
        <v>1154</v>
      </c>
      <c r="F27" t="s">
        <v>636</v>
      </c>
      <c r="G27" t="s">
        <v>637</v>
      </c>
      <c r="H27" t="s">
        <v>638</v>
      </c>
      <c r="I27" t="s">
        <v>639</v>
      </c>
      <c r="J27" t="s">
        <v>640</v>
      </c>
      <c r="K27" t="s">
        <v>345</v>
      </c>
      <c r="L27" t="s">
        <v>642</v>
      </c>
      <c r="M27" t="s">
        <v>347</v>
      </c>
      <c r="N27" t="s">
        <v>643</v>
      </c>
      <c r="O27" t="s">
        <v>644</v>
      </c>
      <c r="P27" t="s">
        <v>645</v>
      </c>
      <c r="Q27" t="s">
        <v>646</v>
      </c>
      <c r="S27" t="s">
        <v>647</v>
      </c>
      <c r="T27" t="s">
        <v>648</v>
      </c>
      <c r="Y27" t="s">
        <v>354</v>
      </c>
      <c r="Z27" t="s">
        <v>355</v>
      </c>
      <c r="AA27" t="s">
        <v>651</v>
      </c>
      <c r="AB27" t="s">
        <v>652</v>
      </c>
    </row>
    <row r="28" spans="1:28" x14ac:dyDescent="0.2">
      <c r="A28" t="s">
        <v>1155</v>
      </c>
      <c r="B28" t="s">
        <v>983</v>
      </c>
      <c r="C28" t="s">
        <v>1149</v>
      </c>
      <c r="D28" t="s">
        <v>1156</v>
      </c>
      <c r="E28" t="s">
        <v>1157</v>
      </c>
      <c r="F28" t="s">
        <v>437</v>
      </c>
      <c r="H28" t="s">
        <v>1158</v>
      </c>
      <c r="I28" t="s">
        <v>439</v>
      </c>
      <c r="J28" t="s">
        <v>418</v>
      </c>
      <c r="K28" t="s">
        <v>345</v>
      </c>
      <c r="L28" t="s">
        <v>440</v>
      </c>
      <c r="M28" t="s">
        <v>347</v>
      </c>
      <c r="N28" t="s">
        <v>348</v>
      </c>
      <c r="O28" t="s">
        <v>354</v>
      </c>
      <c r="P28" t="s">
        <v>441</v>
      </c>
      <c r="Q28" t="s">
        <v>442</v>
      </c>
      <c r="T28" t="s">
        <v>407</v>
      </c>
      <c r="Y28" t="s">
        <v>354</v>
      </c>
      <c r="Z28" t="s">
        <v>355</v>
      </c>
      <c r="AA28" t="s">
        <v>443</v>
      </c>
      <c r="AB28" t="s">
        <v>444</v>
      </c>
    </row>
    <row r="29" spans="1:28" x14ac:dyDescent="0.2">
      <c r="A29" t="s">
        <v>1159</v>
      </c>
      <c r="B29" t="s">
        <v>983</v>
      </c>
      <c r="C29" t="s">
        <v>1160</v>
      </c>
      <c r="D29" t="s">
        <v>1161</v>
      </c>
      <c r="E29" t="s">
        <v>1162</v>
      </c>
      <c r="F29" t="s">
        <v>1133</v>
      </c>
      <c r="H29" t="s">
        <v>1163</v>
      </c>
      <c r="I29" t="s">
        <v>1164</v>
      </c>
      <c r="J29" t="s">
        <v>418</v>
      </c>
      <c r="K29" t="s">
        <v>345</v>
      </c>
      <c r="L29" t="s">
        <v>1136</v>
      </c>
      <c r="M29" t="s">
        <v>1165</v>
      </c>
      <c r="N29" t="s">
        <v>348</v>
      </c>
      <c r="O29" t="s">
        <v>354</v>
      </c>
      <c r="P29" t="s">
        <v>441</v>
      </c>
      <c r="Q29" t="s">
        <v>442</v>
      </c>
      <c r="T29" t="s">
        <v>407</v>
      </c>
      <c r="Y29" t="s">
        <v>354</v>
      </c>
      <c r="Z29" t="s">
        <v>355</v>
      </c>
      <c r="AA29" t="s">
        <v>443</v>
      </c>
      <c r="AB29" t="s">
        <v>444</v>
      </c>
    </row>
    <row r="30" spans="1:28" x14ac:dyDescent="0.2">
      <c r="A30" t="s">
        <v>1166</v>
      </c>
      <c r="B30" t="s">
        <v>983</v>
      </c>
      <c r="C30" t="s">
        <v>1160</v>
      </c>
      <c r="D30" t="s">
        <v>1167</v>
      </c>
      <c r="E30" t="s">
        <v>1168</v>
      </c>
      <c r="F30" t="s">
        <v>1022</v>
      </c>
      <c r="G30" t="s">
        <v>1023</v>
      </c>
      <c r="H30" t="s">
        <v>1024</v>
      </c>
      <c r="I30" t="s">
        <v>1025</v>
      </c>
      <c r="J30" t="s">
        <v>1026</v>
      </c>
      <c r="K30" t="s">
        <v>367</v>
      </c>
      <c r="L30" t="s">
        <v>467</v>
      </c>
      <c r="M30" t="s">
        <v>347</v>
      </c>
      <c r="N30" t="s">
        <v>643</v>
      </c>
      <c r="O30" t="s">
        <v>1027</v>
      </c>
      <c r="P30" t="s">
        <v>1028</v>
      </c>
      <c r="Q30" t="s">
        <v>1029</v>
      </c>
      <c r="T30" t="s">
        <v>407</v>
      </c>
      <c r="U30" t="s">
        <v>1169</v>
      </c>
      <c r="Y30" t="s">
        <v>354</v>
      </c>
      <c r="Z30" t="s">
        <v>355</v>
      </c>
      <c r="AA30" t="s">
        <v>1030</v>
      </c>
      <c r="AB30" t="s">
        <v>357</v>
      </c>
    </row>
    <row r="31" spans="1:28" x14ac:dyDescent="0.2">
      <c r="A31" t="s">
        <v>1170</v>
      </c>
      <c r="B31" t="s">
        <v>983</v>
      </c>
      <c r="C31" t="s">
        <v>1160</v>
      </c>
      <c r="D31" t="s">
        <v>1171</v>
      </c>
      <c r="E31" t="s">
        <v>1172</v>
      </c>
      <c r="F31" t="s">
        <v>1133</v>
      </c>
      <c r="H31" t="s">
        <v>1134</v>
      </c>
      <c r="I31" t="s">
        <v>1135</v>
      </c>
      <c r="J31" t="s">
        <v>418</v>
      </c>
      <c r="K31" t="s">
        <v>345</v>
      </c>
      <c r="L31" t="s">
        <v>1136</v>
      </c>
      <c r="M31" t="s">
        <v>592</v>
      </c>
      <c r="N31" t="s">
        <v>348</v>
      </c>
      <c r="O31" t="s">
        <v>354</v>
      </c>
      <c r="P31" t="s">
        <v>441</v>
      </c>
      <c r="Q31" t="s">
        <v>442</v>
      </c>
      <c r="S31" t="s">
        <v>1173</v>
      </c>
      <c r="T31" t="s">
        <v>407</v>
      </c>
      <c r="Y31" t="s">
        <v>354</v>
      </c>
      <c r="Z31" t="s">
        <v>355</v>
      </c>
      <c r="AA31" t="s">
        <v>443</v>
      </c>
      <c r="AB31" t="s">
        <v>444</v>
      </c>
    </row>
    <row r="32" spans="1:28" x14ac:dyDescent="0.2">
      <c r="A32" t="s">
        <v>1174</v>
      </c>
      <c r="B32" t="s">
        <v>983</v>
      </c>
      <c r="C32" t="s">
        <v>1160</v>
      </c>
      <c r="D32" t="s">
        <v>1175</v>
      </c>
      <c r="E32" t="s">
        <v>1176</v>
      </c>
      <c r="F32" t="s">
        <v>473</v>
      </c>
      <c r="H32" t="s">
        <v>1177</v>
      </c>
      <c r="I32" t="s">
        <v>1178</v>
      </c>
      <c r="J32" t="s">
        <v>418</v>
      </c>
      <c r="K32" t="s">
        <v>345</v>
      </c>
      <c r="L32" t="s">
        <v>402</v>
      </c>
      <c r="M32" t="s">
        <v>592</v>
      </c>
      <c r="N32" t="s">
        <v>348</v>
      </c>
      <c r="O32" t="s">
        <v>354</v>
      </c>
      <c r="P32" t="s">
        <v>441</v>
      </c>
      <c r="Q32" t="s">
        <v>442</v>
      </c>
      <c r="T32" t="s">
        <v>407</v>
      </c>
      <c r="Y32" t="s">
        <v>354</v>
      </c>
      <c r="Z32" t="s">
        <v>355</v>
      </c>
      <c r="AA32" t="s">
        <v>1179</v>
      </c>
      <c r="AB32" t="s">
        <v>444</v>
      </c>
    </row>
    <row r="33" spans="1:28" x14ac:dyDescent="0.2">
      <c r="A33" t="s">
        <v>1180</v>
      </c>
      <c r="B33" t="s">
        <v>983</v>
      </c>
      <c r="C33" t="s">
        <v>1181</v>
      </c>
      <c r="D33" t="s">
        <v>1182</v>
      </c>
      <c r="E33" t="s">
        <v>1183</v>
      </c>
      <c r="F33" t="s">
        <v>1097</v>
      </c>
      <c r="G33" t="s">
        <v>1098</v>
      </c>
      <c r="H33" t="s">
        <v>1099</v>
      </c>
      <c r="I33" t="s">
        <v>1100</v>
      </c>
      <c r="J33" t="s">
        <v>1101</v>
      </c>
      <c r="K33" t="s">
        <v>641</v>
      </c>
      <c r="L33" t="s">
        <v>346</v>
      </c>
      <c r="M33" t="s">
        <v>347</v>
      </c>
      <c r="N33" t="s">
        <v>348</v>
      </c>
      <c r="O33" t="s">
        <v>1102</v>
      </c>
      <c r="P33" t="s">
        <v>1103</v>
      </c>
      <c r="Q33" t="s">
        <v>388</v>
      </c>
      <c r="T33" t="s">
        <v>407</v>
      </c>
      <c r="U33" t="s">
        <v>1104</v>
      </c>
      <c r="Y33" t="s">
        <v>354</v>
      </c>
      <c r="Z33" t="s">
        <v>355</v>
      </c>
      <c r="AA33" t="s">
        <v>443</v>
      </c>
      <c r="AB33" t="s">
        <v>357</v>
      </c>
    </row>
    <row r="34" spans="1:28" x14ac:dyDescent="0.2">
      <c r="A34" t="s">
        <v>1184</v>
      </c>
      <c r="B34" t="s">
        <v>983</v>
      </c>
      <c r="C34" t="s">
        <v>1181</v>
      </c>
      <c r="D34" t="s">
        <v>1185</v>
      </c>
      <c r="E34" t="s">
        <v>1186</v>
      </c>
      <c r="F34" t="s">
        <v>636</v>
      </c>
      <c r="G34" t="s">
        <v>637</v>
      </c>
      <c r="H34" t="s">
        <v>638</v>
      </c>
      <c r="I34" t="s">
        <v>639</v>
      </c>
      <c r="J34" t="s">
        <v>640</v>
      </c>
      <c r="K34" t="s">
        <v>401</v>
      </c>
      <c r="L34" t="s">
        <v>642</v>
      </c>
      <c r="M34" t="s">
        <v>347</v>
      </c>
      <c r="N34" t="s">
        <v>726</v>
      </c>
      <c r="O34" t="s">
        <v>644</v>
      </c>
      <c r="P34" t="s">
        <v>645</v>
      </c>
      <c r="Q34" t="s">
        <v>646</v>
      </c>
      <c r="S34" t="s">
        <v>647</v>
      </c>
      <c r="T34" t="s">
        <v>648</v>
      </c>
      <c r="U34" t="s">
        <v>1187</v>
      </c>
      <c r="Y34" t="s">
        <v>354</v>
      </c>
      <c r="Z34" t="s">
        <v>355</v>
      </c>
      <c r="AA34" t="s">
        <v>651</v>
      </c>
      <c r="AB34" t="s">
        <v>652</v>
      </c>
    </row>
    <row r="35" spans="1:28" x14ac:dyDescent="0.2">
      <c r="A35" t="s">
        <v>1188</v>
      </c>
      <c r="B35" t="s">
        <v>983</v>
      </c>
      <c r="C35" t="s">
        <v>1181</v>
      </c>
      <c r="D35" t="s">
        <v>1189</v>
      </c>
      <c r="E35" t="s">
        <v>1190</v>
      </c>
      <c r="F35" t="s">
        <v>362</v>
      </c>
      <c r="G35" t="s">
        <v>363</v>
      </c>
      <c r="H35" t="s">
        <v>364</v>
      </c>
      <c r="I35" t="s">
        <v>365</v>
      </c>
      <c r="J35" t="s">
        <v>366</v>
      </c>
      <c r="K35" t="s">
        <v>367</v>
      </c>
      <c r="L35" t="s">
        <v>368</v>
      </c>
      <c r="M35" t="s">
        <v>347</v>
      </c>
      <c r="N35" t="s">
        <v>515</v>
      </c>
      <c r="O35" t="s">
        <v>369</v>
      </c>
      <c r="P35" t="s">
        <v>370</v>
      </c>
      <c r="Q35" t="s">
        <v>371</v>
      </c>
      <c r="S35" t="s">
        <v>372</v>
      </c>
      <c r="T35" t="s">
        <v>373</v>
      </c>
      <c r="Y35" t="s">
        <v>354</v>
      </c>
      <c r="Z35" t="s">
        <v>355</v>
      </c>
      <c r="AA35" t="s">
        <v>1030</v>
      </c>
      <c r="AB35" t="s">
        <v>376</v>
      </c>
    </row>
    <row r="36" spans="1:28" x14ac:dyDescent="0.2">
      <c r="A36" t="s">
        <v>1191</v>
      </c>
      <c r="B36" t="s">
        <v>983</v>
      </c>
      <c r="C36" t="s">
        <v>1181</v>
      </c>
      <c r="D36" t="s">
        <v>1192</v>
      </c>
      <c r="E36" t="s">
        <v>1193</v>
      </c>
      <c r="F36" t="s">
        <v>1133</v>
      </c>
      <c r="H36" t="s">
        <v>1194</v>
      </c>
      <c r="I36" t="s">
        <v>1195</v>
      </c>
      <c r="J36" t="s">
        <v>418</v>
      </c>
      <c r="K36" t="s">
        <v>641</v>
      </c>
      <c r="L36" t="s">
        <v>1136</v>
      </c>
      <c r="M36" t="s">
        <v>347</v>
      </c>
      <c r="N36" t="s">
        <v>643</v>
      </c>
      <c r="O36" t="s">
        <v>354</v>
      </c>
      <c r="P36" t="s">
        <v>441</v>
      </c>
      <c r="Q36" t="s">
        <v>442</v>
      </c>
      <c r="T36" t="s">
        <v>407</v>
      </c>
      <c r="Y36" t="s">
        <v>354</v>
      </c>
      <c r="Z36" t="s">
        <v>355</v>
      </c>
      <c r="AA36" t="s">
        <v>443</v>
      </c>
      <c r="AB36" t="s">
        <v>444</v>
      </c>
    </row>
    <row r="37" spans="1:28" x14ac:dyDescent="0.2">
      <c r="A37" t="s">
        <v>1196</v>
      </c>
      <c r="B37" t="s">
        <v>983</v>
      </c>
      <c r="C37" t="s">
        <v>1197</v>
      </c>
      <c r="D37" t="s">
        <v>1198</v>
      </c>
      <c r="E37" t="s">
        <v>1199</v>
      </c>
      <c r="F37" t="s">
        <v>473</v>
      </c>
      <c r="H37" t="s">
        <v>1200</v>
      </c>
      <c r="I37" t="s">
        <v>1201</v>
      </c>
      <c r="J37" t="s">
        <v>418</v>
      </c>
      <c r="K37" t="s">
        <v>345</v>
      </c>
      <c r="L37" t="s">
        <v>402</v>
      </c>
      <c r="M37" t="s">
        <v>347</v>
      </c>
      <c r="N37" t="s">
        <v>348</v>
      </c>
      <c r="O37" t="s">
        <v>354</v>
      </c>
      <c r="P37" t="s">
        <v>441</v>
      </c>
      <c r="Q37" t="s">
        <v>442</v>
      </c>
      <c r="T37" t="s">
        <v>1202</v>
      </c>
      <c r="V37" t="s">
        <v>1203</v>
      </c>
      <c r="Y37" t="s">
        <v>354</v>
      </c>
      <c r="Z37" t="s">
        <v>355</v>
      </c>
      <c r="AA37" t="s">
        <v>1204</v>
      </c>
      <c r="AB37" t="s">
        <v>444</v>
      </c>
    </row>
    <row r="38" spans="1:28" x14ac:dyDescent="0.2">
      <c r="A38" t="s">
        <v>1205</v>
      </c>
      <c r="B38" t="s">
        <v>983</v>
      </c>
      <c r="C38" t="s">
        <v>1197</v>
      </c>
      <c r="D38" t="s">
        <v>1206</v>
      </c>
      <c r="E38" t="s">
        <v>1207</v>
      </c>
      <c r="F38" t="s">
        <v>473</v>
      </c>
      <c r="H38" t="s">
        <v>1200</v>
      </c>
      <c r="I38" t="s">
        <v>1201</v>
      </c>
      <c r="J38" t="s">
        <v>418</v>
      </c>
      <c r="K38" t="s">
        <v>345</v>
      </c>
      <c r="L38" t="s">
        <v>402</v>
      </c>
      <c r="M38" t="s">
        <v>347</v>
      </c>
      <c r="N38" t="s">
        <v>348</v>
      </c>
      <c r="O38" t="s">
        <v>354</v>
      </c>
      <c r="P38" t="s">
        <v>441</v>
      </c>
      <c r="Q38" t="s">
        <v>442</v>
      </c>
      <c r="T38" t="s">
        <v>1202</v>
      </c>
      <c r="Y38" t="s">
        <v>354</v>
      </c>
      <c r="Z38" t="s">
        <v>355</v>
      </c>
      <c r="AA38" t="s">
        <v>1204</v>
      </c>
      <c r="AB38" t="s">
        <v>444</v>
      </c>
    </row>
    <row r="39" spans="1:28" x14ac:dyDescent="0.2">
      <c r="B39" t="s">
        <v>983</v>
      </c>
      <c r="C39" t="s">
        <v>481</v>
      </c>
      <c r="D39" t="s">
        <v>482</v>
      </c>
      <c r="E39" t="s">
        <v>482</v>
      </c>
      <c r="F39" t="s">
        <v>482</v>
      </c>
      <c r="X39" t="s">
        <v>354</v>
      </c>
      <c r="Y39" t="s">
        <v>483</v>
      </c>
    </row>
    <row r="40" spans="1:28" x14ac:dyDescent="0.2">
      <c r="B40" t="s">
        <v>983</v>
      </c>
      <c r="C40" t="s">
        <v>484</v>
      </c>
      <c r="D40" t="s">
        <v>482</v>
      </c>
      <c r="E40" t="s">
        <v>482</v>
      </c>
      <c r="F40" t="s">
        <v>482</v>
      </c>
      <c r="X40" t="s">
        <v>354</v>
      </c>
      <c r="Y40" t="s">
        <v>483</v>
      </c>
    </row>
    <row r="41" spans="1:28" x14ac:dyDescent="0.2">
      <c r="B41" t="s">
        <v>983</v>
      </c>
      <c r="C41" t="s">
        <v>485</v>
      </c>
      <c r="D41" t="s">
        <v>482</v>
      </c>
      <c r="E41" t="s">
        <v>482</v>
      </c>
      <c r="F41" t="s">
        <v>482</v>
      </c>
      <c r="X41" t="s">
        <v>354</v>
      </c>
      <c r="Y41" t="s">
        <v>483</v>
      </c>
    </row>
    <row r="42" spans="1:28" x14ac:dyDescent="0.2">
      <c r="B42" t="s">
        <v>983</v>
      </c>
      <c r="C42" t="s">
        <v>487</v>
      </c>
      <c r="D42" t="s">
        <v>482</v>
      </c>
      <c r="E42" t="s">
        <v>482</v>
      </c>
      <c r="F42" t="s">
        <v>482</v>
      </c>
      <c r="X42" t="s">
        <v>354</v>
      </c>
      <c r="Y42" t="s">
        <v>488</v>
      </c>
    </row>
    <row r="43" spans="1:28" x14ac:dyDescent="0.2">
      <c r="B43" t="s">
        <v>983</v>
      </c>
      <c r="C43" t="s">
        <v>1208</v>
      </c>
      <c r="D43" t="s">
        <v>482</v>
      </c>
      <c r="E43" t="s">
        <v>482</v>
      </c>
      <c r="F43" t="s">
        <v>482</v>
      </c>
      <c r="X43" t="s">
        <v>354</v>
      </c>
      <c r="Y43" t="s">
        <v>483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34"/>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x14ac:dyDescent="0.2">
      <c r="A2" t="s">
        <v>1209</v>
      </c>
      <c r="B2" t="s">
        <v>1210</v>
      </c>
      <c r="C2" t="s">
        <v>337</v>
      </c>
      <c r="D2" t="s">
        <v>1211</v>
      </c>
      <c r="E2" t="s">
        <v>1212</v>
      </c>
      <c r="F2" t="s">
        <v>473</v>
      </c>
      <c r="H2" t="s">
        <v>1213</v>
      </c>
      <c r="I2" t="s">
        <v>1214</v>
      </c>
      <c r="J2" t="s">
        <v>418</v>
      </c>
      <c r="K2" t="s">
        <v>345</v>
      </c>
      <c r="L2" t="s">
        <v>346</v>
      </c>
      <c r="M2" t="s">
        <v>347</v>
      </c>
      <c r="N2" t="s">
        <v>348</v>
      </c>
      <c r="O2" t="s">
        <v>354</v>
      </c>
      <c r="P2" t="s">
        <v>441</v>
      </c>
      <c r="Q2" t="s">
        <v>442</v>
      </c>
      <c r="T2" t="s">
        <v>407</v>
      </c>
      <c r="Y2" t="s">
        <v>354</v>
      </c>
      <c r="Z2" t="s">
        <v>355</v>
      </c>
      <c r="AA2" t="s">
        <v>443</v>
      </c>
      <c r="AB2" t="s">
        <v>444</v>
      </c>
    </row>
    <row r="3" spans="1:28" x14ac:dyDescent="0.2">
      <c r="A3" t="s">
        <v>1215</v>
      </c>
      <c r="B3" t="s">
        <v>1210</v>
      </c>
      <c r="C3" t="s">
        <v>337</v>
      </c>
      <c r="D3" t="s">
        <v>1216</v>
      </c>
      <c r="E3" t="s">
        <v>1217</v>
      </c>
      <c r="F3" t="s">
        <v>473</v>
      </c>
      <c r="H3" t="s">
        <v>1213</v>
      </c>
      <c r="I3" t="s">
        <v>1214</v>
      </c>
      <c r="J3" t="s">
        <v>418</v>
      </c>
      <c r="K3" t="s">
        <v>345</v>
      </c>
      <c r="L3" t="s">
        <v>346</v>
      </c>
      <c r="M3" t="s">
        <v>347</v>
      </c>
      <c r="N3" t="s">
        <v>348</v>
      </c>
      <c r="O3" t="s">
        <v>354</v>
      </c>
      <c r="P3" t="s">
        <v>441</v>
      </c>
      <c r="Q3" t="s">
        <v>442</v>
      </c>
      <c r="T3" t="s">
        <v>407</v>
      </c>
      <c r="Y3" t="s">
        <v>354</v>
      </c>
      <c r="Z3" t="s">
        <v>355</v>
      </c>
      <c r="AA3" t="s">
        <v>443</v>
      </c>
      <c r="AB3" t="s">
        <v>444</v>
      </c>
    </row>
    <row r="4" spans="1:28" x14ac:dyDescent="0.2">
      <c r="A4" t="s">
        <v>1218</v>
      </c>
      <c r="B4" t="s">
        <v>1210</v>
      </c>
      <c r="C4" t="s">
        <v>337</v>
      </c>
      <c r="D4" t="e">
        <f>Planned surplus</f>
        <v>#NAME?</v>
      </c>
      <c r="E4" t="s">
        <v>1219</v>
      </c>
      <c r="F4" t="s">
        <v>437</v>
      </c>
      <c r="H4" t="s">
        <v>1220</v>
      </c>
      <c r="I4" t="s">
        <v>439</v>
      </c>
      <c r="J4" t="s">
        <v>418</v>
      </c>
      <c r="K4" t="s">
        <v>345</v>
      </c>
      <c r="L4" t="s">
        <v>440</v>
      </c>
      <c r="M4" t="s">
        <v>347</v>
      </c>
      <c r="N4" t="s">
        <v>348</v>
      </c>
      <c r="O4" t="s">
        <v>354</v>
      </c>
      <c r="P4" t="s">
        <v>441</v>
      </c>
      <c r="Q4" t="s">
        <v>442</v>
      </c>
      <c r="T4" t="s">
        <v>407</v>
      </c>
      <c r="Y4" t="s">
        <v>354</v>
      </c>
      <c r="Z4" t="s">
        <v>355</v>
      </c>
      <c r="AA4" t="s">
        <v>1005</v>
      </c>
      <c r="AB4" t="s">
        <v>444</v>
      </c>
    </row>
    <row r="5" spans="1:28" x14ac:dyDescent="0.2">
      <c r="A5" t="s">
        <v>1221</v>
      </c>
      <c r="B5" t="s">
        <v>1210</v>
      </c>
      <c r="C5" t="s">
        <v>337</v>
      </c>
      <c r="D5" t="s">
        <v>1222</v>
      </c>
      <c r="E5" t="s">
        <v>1223</v>
      </c>
      <c r="F5" t="s">
        <v>414</v>
      </c>
      <c r="G5" t="s">
        <v>415</v>
      </c>
      <c r="H5" t="s">
        <v>416</v>
      </c>
      <c r="I5" t="s">
        <v>417</v>
      </c>
      <c r="J5" t="s">
        <v>418</v>
      </c>
      <c r="K5" t="s">
        <v>345</v>
      </c>
      <c r="L5" t="s">
        <v>346</v>
      </c>
      <c r="M5" t="s">
        <v>592</v>
      </c>
      <c r="N5" t="s">
        <v>348</v>
      </c>
      <c r="O5" t="s">
        <v>354</v>
      </c>
      <c r="P5" t="s">
        <v>419</v>
      </c>
      <c r="Q5" t="s">
        <v>420</v>
      </c>
      <c r="T5" t="s">
        <v>407</v>
      </c>
      <c r="Y5" t="s">
        <v>354</v>
      </c>
      <c r="Z5" t="s">
        <v>355</v>
      </c>
      <c r="AA5" t="s">
        <v>421</v>
      </c>
      <c r="AB5" t="s">
        <v>357</v>
      </c>
    </row>
    <row r="6" spans="1:28" x14ac:dyDescent="0.2">
      <c r="A6" t="s">
        <v>1224</v>
      </c>
      <c r="B6" t="s">
        <v>1210</v>
      </c>
      <c r="C6" t="s">
        <v>337</v>
      </c>
      <c r="D6" t="e">
        <f>surplus</f>
        <v>#NAME?</v>
      </c>
      <c r="E6" t="s">
        <v>1225</v>
      </c>
      <c r="F6" t="s">
        <v>437</v>
      </c>
      <c r="H6" t="s">
        <v>1226</v>
      </c>
      <c r="I6" t="s">
        <v>439</v>
      </c>
      <c r="J6" t="s">
        <v>418</v>
      </c>
      <c r="K6" t="s">
        <v>345</v>
      </c>
      <c r="L6" t="s">
        <v>440</v>
      </c>
      <c r="M6" t="s">
        <v>347</v>
      </c>
      <c r="N6" t="s">
        <v>348</v>
      </c>
      <c r="O6" t="s">
        <v>354</v>
      </c>
      <c r="P6" t="s">
        <v>441</v>
      </c>
      <c r="Q6" t="s">
        <v>442</v>
      </c>
      <c r="T6" t="s">
        <v>407</v>
      </c>
      <c r="Y6" t="s">
        <v>354</v>
      </c>
      <c r="Z6" t="s">
        <v>355</v>
      </c>
      <c r="AA6" t="s">
        <v>1005</v>
      </c>
      <c r="AB6" t="s">
        <v>444</v>
      </c>
    </row>
    <row r="7" spans="1:28" x14ac:dyDescent="0.2">
      <c r="A7" t="s">
        <v>1227</v>
      </c>
      <c r="B7" t="s">
        <v>1210</v>
      </c>
      <c r="C7" t="s">
        <v>337</v>
      </c>
      <c r="D7" t="s">
        <v>1228</v>
      </c>
      <c r="E7" t="s">
        <v>1229</v>
      </c>
      <c r="F7" t="s">
        <v>1230</v>
      </c>
      <c r="G7" t="s">
        <v>1231</v>
      </c>
      <c r="H7" t="s">
        <v>1232</v>
      </c>
      <c r="I7" t="s">
        <v>1233</v>
      </c>
      <c r="J7" t="s">
        <v>1234</v>
      </c>
      <c r="K7" t="s">
        <v>345</v>
      </c>
      <c r="L7" t="s">
        <v>402</v>
      </c>
      <c r="M7" t="s">
        <v>347</v>
      </c>
      <c r="N7" t="s">
        <v>348</v>
      </c>
      <c r="O7" t="s">
        <v>1235</v>
      </c>
      <c r="P7" t="s">
        <v>1236</v>
      </c>
      <c r="Q7" t="s">
        <v>1237</v>
      </c>
      <c r="T7" t="s">
        <v>407</v>
      </c>
      <c r="Y7" t="s">
        <v>354</v>
      </c>
      <c r="Z7" t="s">
        <v>355</v>
      </c>
      <c r="AA7" t="s">
        <v>432</v>
      </c>
      <c r="AB7" t="s">
        <v>1238</v>
      </c>
    </row>
    <row r="8" spans="1:28" x14ac:dyDescent="0.2">
      <c r="A8" t="s">
        <v>1239</v>
      </c>
      <c r="B8" t="s">
        <v>1210</v>
      </c>
      <c r="C8" t="s">
        <v>337</v>
      </c>
      <c r="D8" t="s">
        <v>1240</v>
      </c>
      <c r="E8" t="s">
        <v>1241</v>
      </c>
      <c r="F8" t="s">
        <v>1230</v>
      </c>
      <c r="G8" t="s">
        <v>1231</v>
      </c>
      <c r="H8" t="s">
        <v>1232</v>
      </c>
      <c r="I8" t="s">
        <v>1233</v>
      </c>
      <c r="J8" t="s">
        <v>1234</v>
      </c>
      <c r="K8" t="s">
        <v>345</v>
      </c>
      <c r="L8" t="s">
        <v>402</v>
      </c>
      <c r="M8" t="s">
        <v>347</v>
      </c>
      <c r="N8" t="s">
        <v>348</v>
      </c>
      <c r="O8" t="s">
        <v>1235</v>
      </c>
      <c r="P8" t="s">
        <v>1236</v>
      </c>
      <c r="Q8" t="s">
        <v>1237</v>
      </c>
      <c r="T8" t="s">
        <v>407</v>
      </c>
      <c r="Y8" t="s">
        <v>354</v>
      </c>
      <c r="Z8" t="s">
        <v>355</v>
      </c>
      <c r="AA8" t="s">
        <v>432</v>
      </c>
      <c r="AB8" t="s">
        <v>1238</v>
      </c>
    </row>
    <row r="9" spans="1:28" x14ac:dyDescent="0.2">
      <c r="A9" t="s">
        <v>1242</v>
      </c>
      <c r="B9" t="s">
        <v>1210</v>
      </c>
      <c r="C9" t="s">
        <v>337</v>
      </c>
      <c r="D9" t="s">
        <v>1243</v>
      </c>
      <c r="E9" t="s">
        <v>1244</v>
      </c>
      <c r="F9" t="s">
        <v>1230</v>
      </c>
      <c r="G9" t="s">
        <v>1231</v>
      </c>
      <c r="H9" t="s">
        <v>1232</v>
      </c>
      <c r="I9" t="s">
        <v>1233</v>
      </c>
      <c r="J9" t="s">
        <v>1234</v>
      </c>
      <c r="K9" t="s">
        <v>345</v>
      </c>
      <c r="L9" t="s">
        <v>402</v>
      </c>
      <c r="M9" t="s">
        <v>347</v>
      </c>
      <c r="N9" t="s">
        <v>348</v>
      </c>
      <c r="O9" t="s">
        <v>1235</v>
      </c>
      <c r="P9" t="s">
        <v>1236</v>
      </c>
      <c r="Q9" t="s">
        <v>1237</v>
      </c>
      <c r="T9" t="s">
        <v>407</v>
      </c>
      <c r="Y9" t="s">
        <v>354</v>
      </c>
      <c r="Z9" t="s">
        <v>355</v>
      </c>
      <c r="AA9" t="s">
        <v>432</v>
      </c>
      <c r="AB9" t="s">
        <v>1238</v>
      </c>
    </row>
    <row r="10" spans="1:28" x14ac:dyDescent="0.2">
      <c r="A10" t="s">
        <v>1245</v>
      </c>
      <c r="B10" t="s">
        <v>1210</v>
      </c>
      <c r="C10" t="s">
        <v>337</v>
      </c>
      <c r="D10" t="s">
        <v>1246</v>
      </c>
      <c r="E10" t="s">
        <v>1247</v>
      </c>
      <c r="F10" t="s">
        <v>473</v>
      </c>
      <c r="H10" t="s">
        <v>1248</v>
      </c>
      <c r="I10" t="s">
        <v>1249</v>
      </c>
      <c r="J10" t="s">
        <v>418</v>
      </c>
      <c r="K10" t="s">
        <v>345</v>
      </c>
      <c r="L10" t="s">
        <v>402</v>
      </c>
      <c r="M10" t="s">
        <v>347</v>
      </c>
      <c r="N10" t="s">
        <v>348</v>
      </c>
      <c r="O10" t="s">
        <v>354</v>
      </c>
      <c r="P10" t="s">
        <v>441</v>
      </c>
      <c r="Q10" t="s">
        <v>442</v>
      </c>
      <c r="T10" t="s">
        <v>407</v>
      </c>
      <c r="Y10" t="s">
        <v>354</v>
      </c>
      <c r="Z10" t="s">
        <v>355</v>
      </c>
      <c r="AA10" t="s">
        <v>443</v>
      </c>
      <c r="AB10" t="s">
        <v>444</v>
      </c>
    </row>
    <row r="11" spans="1:28" x14ac:dyDescent="0.2">
      <c r="A11" t="s">
        <v>1250</v>
      </c>
      <c r="B11" t="s">
        <v>1210</v>
      </c>
      <c r="C11" t="s">
        <v>337</v>
      </c>
      <c r="D11" t="s">
        <v>1251</v>
      </c>
      <c r="E11" t="s">
        <v>1252</v>
      </c>
      <c r="F11" t="s">
        <v>1253</v>
      </c>
      <c r="G11" t="s">
        <v>1254</v>
      </c>
      <c r="H11" t="s">
        <v>1255</v>
      </c>
      <c r="I11" t="s">
        <v>1256</v>
      </c>
      <c r="J11" t="s">
        <v>1257</v>
      </c>
      <c r="K11" t="s">
        <v>345</v>
      </c>
      <c r="L11" t="s">
        <v>467</v>
      </c>
      <c r="M11" t="s">
        <v>347</v>
      </c>
      <c r="N11" t="s">
        <v>348</v>
      </c>
      <c r="O11" t="s">
        <v>1258</v>
      </c>
      <c r="P11" t="s">
        <v>1259</v>
      </c>
      <c r="Q11" t="s">
        <v>1260</v>
      </c>
      <c r="T11" t="s">
        <v>407</v>
      </c>
      <c r="Y11" t="s">
        <v>354</v>
      </c>
      <c r="Z11" t="s">
        <v>355</v>
      </c>
      <c r="AA11" t="s">
        <v>519</v>
      </c>
      <c r="AB11" t="s">
        <v>1261</v>
      </c>
    </row>
    <row r="12" spans="1:28" x14ac:dyDescent="0.2">
      <c r="A12" t="s">
        <v>1262</v>
      </c>
      <c r="B12" t="s">
        <v>1210</v>
      </c>
      <c r="C12" t="s">
        <v>337</v>
      </c>
      <c r="D12" t="s">
        <v>1263</v>
      </c>
      <c r="E12" t="s">
        <v>1264</v>
      </c>
      <c r="F12" t="s">
        <v>1097</v>
      </c>
      <c r="G12" t="s">
        <v>1098</v>
      </c>
      <c r="H12" t="s">
        <v>1099</v>
      </c>
      <c r="I12" t="s">
        <v>1100</v>
      </c>
      <c r="J12" t="s">
        <v>1101</v>
      </c>
      <c r="K12" t="s">
        <v>345</v>
      </c>
      <c r="L12" t="s">
        <v>346</v>
      </c>
      <c r="M12" t="s">
        <v>347</v>
      </c>
      <c r="N12" t="s">
        <v>348</v>
      </c>
      <c r="O12" t="s">
        <v>1102</v>
      </c>
      <c r="P12" t="s">
        <v>1103</v>
      </c>
      <c r="Q12" t="s">
        <v>388</v>
      </c>
      <c r="T12" t="s">
        <v>407</v>
      </c>
      <c r="U12" t="s">
        <v>1265</v>
      </c>
      <c r="Y12" t="s">
        <v>354</v>
      </c>
      <c r="Z12" t="s">
        <v>355</v>
      </c>
      <c r="AA12" t="s">
        <v>443</v>
      </c>
      <c r="AB12" t="s">
        <v>357</v>
      </c>
    </row>
    <row r="13" spans="1:28" x14ac:dyDescent="0.2">
      <c r="A13" t="s">
        <v>1266</v>
      </c>
      <c r="B13" t="s">
        <v>1210</v>
      </c>
      <c r="C13" t="s">
        <v>337</v>
      </c>
      <c r="D13" t="s">
        <v>1267</v>
      </c>
      <c r="E13" t="s">
        <v>1268</v>
      </c>
      <c r="F13" t="s">
        <v>473</v>
      </c>
      <c r="H13" t="s">
        <v>1269</v>
      </c>
      <c r="I13" t="s">
        <v>1270</v>
      </c>
      <c r="J13" t="s">
        <v>418</v>
      </c>
      <c r="K13" t="s">
        <v>345</v>
      </c>
      <c r="L13" t="s">
        <v>467</v>
      </c>
      <c r="M13" t="s">
        <v>403</v>
      </c>
      <c r="N13" t="s">
        <v>404</v>
      </c>
      <c r="O13" t="s">
        <v>354</v>
      </c>
      <c r="P13" t="s">
        <v>441</v>
      </c>
      <c r="Q13" t="s">
        <v>442</v>
      </c>
      <c r="T13" t="s">
        <v>407</v>
      </c>
      <c r="Y13" t="s">
        <v>354</v>
      </c>
      <c r="Z13" t="s">
        <v>355</v>
      </c>
      <c r="AA13" t="s">
        <v>443</v>
      </c>
      <c r="AB13" t="s">
        <v>444</v>
      </c>
    </row>
    <row r="14" spans="1:28" x14ac:dyDescent="0.2">
      <c r="A14" t="s">
        <v>1271</v>
      </c>
      <c r="B14" t="s">
        <v>1210</v>
      </c>
      <c r="C14" t="s">
        <v>337</v>
      </c>
      <c r="D14" t="s">
        <v>1272</v>
      </c>
      <c r="E14" t="s">
        <v>1273</v>
      </c>
      <c r="F14" t="s">
        <v>1274</v>
      </c>
      <c r="G14" t="s">
        <v>1275</v>
      </c>
      <c r="H14" t="s">
        <v>1276</v>
      </c>
      <c r="I14" t="s">
        <v>1277</v>
      </c>
      <c r="J14" t="s">
        <v>1278</v>
      </c>
      <c r="K14" t="s">
        <v>345</v>
      </c>
      <c r="L14" t="s">
        <v>346</v>
      </c>
      <c r="M14" t="s">
        <v>403</v>
      </c>
      <c r="N14" t="s">
        <v>348</v>
      </c>
      <c r="O14" t="s">
        <v>1279</v>
      </c>
      <c r="P14" t="s">
        <v>1280</v>
      </c>
      <c r="Q14" t="s">
        <v>1281</v>
      </c>
      <c r="T14" t="s">
        <v>407</v>
      </c>
      <c r="Y14" t="s">
        <v>354</v>
      </c>
      <c r="Z14" t="s">
        <v>355</v>
      </c>
      <c r="AA14" t="s">
        <v>421</v>
      </c>
      <c r="AB14" t="s">
        <v>1282</v>
      </c>
    </row>
    <row r="15" spans="1:28" x14ac:dyDescent="0.2">
      <c r="A15" t="s">
        <v>1283</v>
      </c>
      <c r="B15" t="s">
        <v>1210</v>
      </c>
      <c r="C15" t="s">
        <v>337</v>
      </c>
      <c r="D15" t="s">
        <v>1284</v>
      </c>
      <c r="E15" t="s">
        <v>1285</v>
      </c>
      <c r="F15" t="s">
        <v>1274</v>
      </c>
      <c r="G15" t="s">
        <v>1275</v>
      </c>
      <c r="H15" t="s">
        <v>1276</v>
      </c>
      <c r="I15" t="s">
        <v>1277</v>
      </c>
      <c r="J15" t="s">
        <v>1278</v>
      </c>
      <c r="K15" t="s">
        <v>345</v>
      </c>
      <c r="L15" t="s">
        <v>346</v>
      </c>
      <c r="M15" t="s">
        <v>347</v>
      </c>
      <c r="N15" t="s">
        <v>348</v>
      </c>
      <c r="O15" t="s">
        <v>1279</v>
      </c>
      <c r="P15" t="s">
        <v>1280</v>
      </c>
      <c r="Q15" t="s">
        <v>1281</v>
      </c>
      <c r="T15" t="s">
        <v>407</v>
      </c>
      <c r="Y15" t="s">
        <v>354</v>
      </c>
      <c r="Z15" t="s">
        <v>355</v>
      </c>
      <c r="AA15" t="s">
        <v>421</v>
      </c>
      <c r="AB15" t="s">
        <v>1282</v>
      </c>
    </row>
    <row r="16" spans="1:28" x14ac:dyDescent="0.2">
      <c r="A16" t="s">
        <v>1286</v>
      </c>
      <c r="B16" t="s">
        <v>1210</v>
      </c>
      <c r="C16" t="s">
        <v>337</v>
      </c>
      <c r="D16" t="s">
        <v>1287</v>
      </c>
      <c r="E16" t="s">
        <v>1288</v>
      </c>
      <c r="F16" t="s">
        <v>1289</v>
      </c>
      <c r="G16" t="s">
        <v>1290</v>
      </c>
      <c r="H16" t="s">
        <v>1291</v>
      </c>
      <c r="I16" t="s">
        <v>1292</v>
      </c>
      <c r="J16" t="s">
        <v>1293</v>
      </c>
      <c r="K16" t="s">
        <v>345</v>
      </c>
      <c r="L16" t="s">
        <v>346</v>
      </c>
      <c r="M16" t="s">
        <v>562</v>
      </c>
      <c r="N16" t="s">
        <v>348</v>
      </c>
      <c r="O16" t="s">
        <v>1294</v>
      </c>
      <c r="P16" t="s">
        <v>1295</v>
      </c>
      <c r="Q16" t="s">
        <v>1296</v>
      </c>
      <c r="T16" t="s">
        <v>407</v>
      </c>
      <c r="U16" t="s">
        <v>1297</v>
      </c>
      <c r="Y16" t="s">
        <v>354</v>
      </c>
      <c r="Z16" t="s">
        <v>355</v>
      </c>
      <c r="AA16" t="s">
        <v>432</v>
      </c>
      <c r="AB16" t="s">
        <v>357</v>
      </c>
    </row>
    <row r="17" spans="1:28" x14ac:dyDescent="0.2">
      <c r="A17" t="s">
        <v>1298</v>
      </c>
      <c r="B17" t="s">
        <v>1210</v>
      </c>
      <c r="C17" t="s">
        <v>337</v>
      </c>
      <c r="D17" t="s">
        <v>1299</v>
      </c>
      <c r="E17" t="s">
        <v>1300</v>
      </c>
      <c r="F17" t="s">
        <v>473</v>
      </c>
      <c r="H17" t="s">
        <v>1301</v>
      </c>
      <c r="I17" t="s">
        <v>1302</v>
      </c>
      <c r="J17" t="s">
        <v>418</v>
      </c>
      <c r="K17" t="s">
        <v>345</v>
      </c>
      <c r="L17" t="s">
        <v>467</v>
      </c>
      <c r="M17" t="s">
        <v>403</v>
      </c>
      <c r="N17" t="s">
        <v>348</v>
      </c>
      <c r="O17" t="s">
        <v>354</v>
      </c>
      <c r="P17" t="s">
        <v>441</v>
      </c>
      <c r="Q17" t="s">
        <v>442</v>
      </c>
      <c r="T17" t="s">
        <v>407</v>
      </c>
      <c r="Y17" t="s">
        <v>354</v>
      </c>
      <c r="Z17" t="s">
        <v>355</v>
      </c>
      <c r="AA17" t="s">
        <v>443</v>
      </c>
      <c r="AB17" t="s">
        <v>444</v>
      </c>
    </row>
    <row r="18" spans="1:28" x14ac:dyDescent="0.2">
      <c r="A18" t="s">
        <v>1303</v>
      </c>
      <c r="B18" t="s">
        <v>1210</v>
      </c>
      <c r="C18" t="s">
        <v>337</v>
      </c>
      <c r="D18" t="s">
        <v>1304</v>
      </c>
      <c r="E18" t="s">
        <v>1285</v>
      </c>
      <c r="F18" t="s">
        <v>473</v>
      </c>
      <c r="H18" t="s">
        <v>1305</v>
      </c>
      <c r="I18" t="s">
        <v>1306</v>
      </c>
      <c r="J18" t="s">
        <v>418</v>
      </c>
      <c r="K18" t="s">
        <v>345</v>
      </c>
      <c r="L18" t="s">
        <v>467</v>
      </c>
      <c r="M18" t="s">
        <v>562</v>
      </c>
      <c r="N18" t="s">
        <v>348</v>
      </c>
      <c r="O18" t="s">
        <v>354</v>
      </c>
      <c r="P18" t="s">
        <v>441</v>
      </c>
      <c r="Q18" t="s">
        <v>442</v>
      </c>
      <c r="T18" t="s">
        <v>407</v>
      </c>
      <c r="Y18" t="s">
        <v>354</v>
      </c>
      <c r="Z18" t="s">
        <v>355</v>
      </c>
      <c r="AA18" t="s">
        <v>443</v>
      </c>
      <c r="AB18" t="s">
        <v>444</v>
      </c>
    </row>
    <row r="19" spans="1:28" x14ac:dyDescent="0.2">
      <c r="A19" t="s">
        <v>1307</v>
      </c>
      <c r="B19" t="s">
        <v>1210</v>
      </c>
      <c r="C19" t="s">
        <v>337</v>
      </c>
      <c r="D19" t="s">
        <v>1308</v>
      </c>
      <c r="E19" t="s">
        <v>1309</v>
      </c>
      <c r="F19" t="s">
        <v>425</v>
      </c>
      <c r="G19" t="s">
        <v>426</v>
      </c>
      <c r="H19" t="s">
        <v>427</v>
      </c>
      <c r="I19" t="s">
        <v>428</v>
      </c>
      <c r="J19" t="s">
        <v>418</v>
      </c>
      <c r="K19" t="s">
        <v>345</v>
      </c>
      <c r="L19" t="s">
        <v>402</v>
      </c>
      <c r="M19" t="s">
        <v>403</v>
      </c>
      <c r="N19" t="s">
        <v>404</v>
      </c>
      <c r="O19" t="s">
        <v>354</v>
      </c>
      <c r="P19" t="s">
        <v>429</v>
      </c>
      <c r="Q19" t="s">
        <v>430</v>
      </c>
      <c r="T19" t="s">
        <v>407</v>
      </c>
      <c r="U19" t="s">
        <v>1310</v>
      </c>
      <c r="Y19" t="s">
        <v>354</v>
      </c>
      <c r="Z19" t="s">
        <v>355</v>
      </c>
      <c r="AA19" t="s">
        <v>432</v>
      </c>
      <c r="AB19" t="s">
        <v>433</v>
      </c>
    </row>
    <row r="20" spans="1:28" x14ac:dyDescent="0.2">
      <c r="A20" t="s">
        <v>1311</v>
      </c>
      <c r="B20" t="s">
        <v>1210</v>
      </c>
      <c r="C20" t="s">
        <v>337</v>
      </c>
      <c r="D20" t="s">
        <v>1312</v>
      </c>
      <c r="E20" t="s">
        <v>1313</v>
      </c>
      <c r="F20" t="s">
        <v>1314</v>
      </c>
      <c r="G20" t="s">
        <v>1315</v>
      </c>
      <c r="H20" t="s">
        <v>1316</v>
      </c>
      <c r="I20" t="s">
        <v>1317</v>
      </c>
      <c r="J20" t="s">
        <v>1318</v>
      </c>
      <c r="K20" t="s">
        <v>345</v>
      </c>
      <c r="L20" t="s">
        <v>346</v>
      </c>
      <c r="M20" t="s">
        <v>592</v>
      </c>
      <c r="N20" t="s">
        <v>404</v>
      </c>
      <c r="O20" t="s">
        <v>1319</v>
      </c>
      <c r="P20" t="s">
        <v>1320</v>
      </c>
      <c r="Q20" t="s">
        <v>1321</v>
      </c>
      <c r="T20" t="s">
        <v>407</v>
      </c>
      <c r="Y20" t="s">
        <v>354</v>
      </c>
      <c r="Z20" t="s">
        <v>355</v>
      </c>
      <c r="AA20" t="s">
        <v>421</v>
      </c>
      <c r="AB20" t="s">
        <v>1322</v>
      </c>
    </row>
    <row r="21" spans="1:28" x14ac:dyDescent="0.2">
      <c r="A21" t="s">
        <v>1323</v>
      </c>
      <c r="B21" t="s">
        <v>1210</v>
      </c>
      <c r="C21" t="s">
        <v>337</v>
      </c>
      <c r="D21" t="s">
        <v>1324</v>
      </c>
      <c r="E21" t="s">
        <v>1325</v>
      </c>
      <c r="F21" t="s">
        <v>437</v>
      </c>
      <c r="H21" t="s">
        <v>1326</v>
      </c>
      <c r="I21" t="s">
        <v>439</v>
      </c>
      <c r="J21" t="s">
        <v>418</v>
      </c>
      <c r="K21" t="s">
        <v>345</v>
      </c>
      <c r="L21" t="s">
        <v>440</v>
      </c>
      <c r="M21" t="s">
        <v>403</v>
      </c>
      <c r="N21" t="s">
        <v>404</v>
      </c>
      <c r="O21" t="s">
        <v>354</v>
      </c>
      <c r="P21" t="s">
        <v>441</v>
      </c>
      <c r="Q21" t="s">
        <v>442</v>
      </c>
      <c r="T21" t="s">
        <v>407</v>
      </c>
      <c r="Y21" t="s">
        <v>354</v>
      </c>
      <c r="Z21" t="s">
        <v>355</v>
      </c>
      <c r="AA21" t="s">
        <v>443</v>
      </c>
      <c r="AB21" t="s">
        <v>444</v>
      </c>
    </row>
    <row r="22" spans="1:28" x14ac:dyDescent="0.2">
      <c r="A22" t="s">
        <v>1327</v>
      </c>
      <c r="B22" t="s">
        <v>1210</v>
      </c>
      <c r="C22" t="s">
        <v>337</v>
      </c>
      <c r="D22" t="s">
        <v>1328</v>
      </c>
      <c r="E22" t="s">
        <v>1329</v>
      </c>
      <c r="F22" t="s">
        <v>473</v>
      </c>
      <c r="H22" t="s">
        <v>1330</v>
      </c>
      <c r="I22" t="s">
        <v>1331</v>
      </c>
      <c r="J22" t="s">
        <v>418</v>
      </c>
      <c r="K22" t="s">
        <v>345</v>
      </c>
      <c r="L22" t="s">
        <v>346</v>
      </c>
      <c r="M22" t="s">
        <v>1165</v>
      </c>
      <c r="N22" t="s">
        <v>348</v>
      </c>
      <c r="O22" t="s">
        <v>354</v>
      </c>
      <c r="P22" t="s">
        <v>441</v>
      </c>
      <c r="Q22" t="s">
        <v>442</v>
      </c>
      <c r="T22" t="s">
        <v>407</v>
      </c>
      <c r="Y22" t="s">
        <v>354</v>
      </c>
      <c r="Z22" t="s">
        <v>355</v>
      </c>
      <c r="AA22" t="s">
        <v>443</v>
      </c>
      <c r="AB22" t="s">
        <v>444</v>
      </c>
    </row>
    <row r="23" spans="1:28" x14ac:dyDescent="0.2">
      <c r="A23" t="s">
        <v>1332</v>
      </c>
      <c r="B23" t="s">
        <v>1210</v>
      </c>
      <c r="C23" t="s">
        <v>337</v>
      </c>
      <c r="D23" t="s">
        <v>1333</v>
      </c>
      <c r="E23" t="s">
        <v>1334</v>
      </c>
      <c r="F23" t="s">
        <v>636</v>
      </c>
      <c r="G23" t="s">
        <v>637</v>
      </c>
      <c r="H23" t="s">
        <v>638</v>
      </c>
      <c r="I23" t="s">
        <v>639</v>
      </c>
      <c r="J23" t="s">
        <v>640</v>
      </c>
      <c r="K23" t="s">
        <v>641</v>
      </c>
      <c r="L23" t="s">
        <v>642</v>
      </c>
      <c r="M23" t="s">
        <v>347</v>
      </c>
      <c r="N23" t="s">
        <v>348</v>
      </c>
      <c r="O23" t="s">
        <v>644</v>
      </c>
      <c r="P23" t="s">
        <v>645</v>
      </c>
      <c r="Q23" t="s">
        <v>646</v>
      </c>
      <c r="S23" t="s">
        <v>647</v>
      </c>
      <c r="T23" t="s">
        <v>648</v>
      </c>
      <c r="Y23" t="s">
        <v>354</v>
      </c>
      <c r="Z23" t="s">
        <v>355</v>
      </c>
      <c r="AA23" t="s">
        <v>651</v>
      </c>
      <c r="AB23" t="s">
        <v>652</v>
      </c>
    </row>
    <row r="24" spans="1:28" x14ac:dyDescent="0.2">
      <c r="A24" t="s">
        <v>1335</v>
      </c>
      <c r="B24" t="s">
        <v>1210</v>
      </c>
      <c r="C24" t="s">
        <v>337</v>
      </c>
      <c r="D24" t="s">
        <v>1336</v>
      </c>
      <c r="E24" t="s">
        <v>1337</v>
      </c>
      <c r="F24" t="s">
        <v>1338</v>
      </c>
      <c r="G24" t="s">
        <v>1339</v>
      </c>
      <c r="H24" t="s">
        <v>1340</v>
      </c>
      <c r="I24" t="s">
        <v>1341</v>
      </c>
      <c r="J24" t="s">
        <v>1342</v>
      </c>
      <c r="K24" t="s">
        <v>345</v>
      </c>
      <c r="L24" t="s">
        <v>467</v>
      </c>
      <c r="M24" t="s">
        <v>347</v>
      </c>
      <c r="N24" t="s">
        <v>348</v>
      </c>
      <c r="O24" t="s">
        <v>1279</v>
      </c>
      <c r="P24" t="s">
        <v>1343</v>
      </c>
      <c r="Q24" t="s">
        <v>388</v>
      </c>
      <c r="T24" t="s">
        <v>407</v>
      </c>
      <c r="Y24" t="s">
        <v>354</v>
      </c>
      <c r="Z24" t="s">
        <v>355</v>
      </c>
      <c r="AA24" t="s">
        <v>443</v>
      </c>
      <c r="AB24" t="s">
        <v>357</v>
      </c>
    </row>
    <row r="25" spans="1:28" x14ac:dyDescent="0.2">
      <c r="A25" t="s">
        <v>1344</v>
      </c>
      <c r="B25" t="s">
        <v>1210</v>
      </c>
      <c r="C25" t="s">
        <v>1345</v>
      </c>
      <c r="D25" t="s">
        <v>1346</v>
      </c>
      <c r="E25" t="s">
        <v>1000</v>
      </c>
      <c r="F25" t="s">
        <v>1097</v>
      </c>
      <c r="G25" t="s">
        <v>1098</v>
      </c>
      <c r="H25" t="s">
        <v>1099</v>
      </c>
      <c r="I25" t="s">
        <v>1100</v>
      </c>
      <c r="J25" t="s">
        <v>1101</v>
      </c>
      <c r="K25" t="s">
        <v>345</v>
      </c>
      <c r="L25" t="s">
        <v>346</v>
      </c>
      <c r="M25" t="s">
        <v>347</v>
      </c>
      <c r="N25" t="s">
        <v>348</v>
      </c>
      <c r="O25" t="s">
        <v>1102</v>
      </c>
      <c r="P25" t="s">
        <v>1103</v>
      </c>
      <c r="Q25" t="s">
        <v>388</v>
      </c>
      <c r="T25" t="s">
        <v>407</v>
      </c>
      <c r="U25" t="s">
        <v>1104</v>
      </c>
      <c r="Y25" t="s">
        <v>354</v>
      </c>
      <c r="Z25" t="s">
        <v>355</v>
      </c>
      <c r="AA25" t="s">
        <v>443</v>
      </c>
      <c r="AB25" t="s">
        <v>357</v>
      </c>
    </row>
    <row r="26" spans="1:28" x14ac:dyDescent="0.2">
      <c r="A26" t="s">
        <v>1347</v>
      </c>
      <c r="B26" t="s">
        <v>1210</v>
      </c>
      <c r="C26" t="s">
        <v>1348</v>
      </c>
      <c r="D26" t="s">
        <v>1349</v>
      </c>
      <c r="E26" t="s">
        <v>1350</v>
      </c>
      <c r="F26" t="s">
        <v>473</v>
      </c>
      <c r="H26" t="s">
        <v>1351</v>
      </c>
      <c r="I26" t="s">
        <v>1352</v>
      </c>
      <c r="J26" t="s">
        <v>418</v>
      </c>
      <c r="K26" t="s">
        <v>345</v>
      </c>
      <c r="L26" t="s">
        <v>467</v>
      </c>
      <c r="M26" t="s">
        <v>403</v>
      </c>
      <c r="N26" t="s">
        <v>348</v>
      </c>
      <c r="O26" t="s">
        <v>354</v>
      </c>
      <c r="P26" t="s">
        <v>441</v>
      </c>
      <c r="Q26" t="s">
        <v>442</v>
      </c>
      <c r="T26" t="s">
        <v>407</v>
      </c>
      <c r="Y26" t="s">
        <v>354</v>
      </c>
      <c r="Z26" t="s">
        <v>355</v>
      </c>
      <c r="AA26" t="s">
        <v>443</v>
      </c>
      <c r="AB26" t="s">
        <v>444</v>
      </c>
    </row>
    <row r="27" spans="1:28" x14ac:dyDescent="0.2">
      <c r="A27" t="s">
        <v>1353</v>
      </c>
      <c r="B27" t="s">
        <v>1210</v>
      </c>
      <c r="C27" t="s">
        <v>1354</v>
      </c>
      <c r="D27" t="s">
        <v>1355</v>
      </c>
      <c r="E27" t="s">
        <v>1356</v>
      </c>
      <c r="F27" t="s">
        <v>473</v>
      </c>
      <c r="H27" t="s">
        <v>1357</v>
      </c>
      <c r="I27" t="s">
        <v>1358</v>
      </c>
      <c r="J27" t="s">
        <v>418</v>
      </c>
      <c r="K27" t="s">
        <v>620</v>
      </c>
      <c r="L27" t="s">
        <v>467</v>
      </c>
      <c r="M27" t="s">
        <v>403</v>
      </c>
      <c r="N27" t="s">
        <v>348</v>
      </c>
      <c r="O27" t="s">
        <v>354</v>
      </c>
      <c r="P27" t="s">
        <v>441</v>
      </c>
      <c r="Q27" t="s">
        <v>442</v>
      </c>
      <c r="T27" t="s">
        <v>1359</v>
      </c>
      <c r="V27" t="s">
        <v>1360</v>
      </c>
      <c r="Y27" t="s">
        <v>354</v>
      </c>
      <c r="Z27" t="s">
        <v>355</v>
      </c>
      <c r="AA27" t="s">
        <v>443</v>
      </c>
      <c r="AB27" t="s">
        <v>444</v>
      </c>
    </row>
    <row r="28" spans="1:28" x14ac:dyDescent="0.2">
      <c r="A28" t="s">
        <v>1361</v>
      </c>
      <c r="B28" t="s">
        <v>1210</v>
      </c>
      <c r="C28" t="s">
        <v>1362</v>
      </c>
      <c r="D28" t="s">
        <v>1363</v>
      </c>
      <c r="E28" t="s">
        <v>1364</v>
      </c>
      <c r="F28" t="s">
        <v>1230</v>
      </c>
      <c r="G28" t="s">
        <v>1231</v>
      </c>
      <c r="H28" t="s">
        <v>1232</v>
      </c>
      <c r="I28" t="s">
        <v>1233</v>
      </c>
      <c r="J28" t="s">
        <v>1234</v>
      </c>
      <c r="K28" t="s">
        <v>345</v>
      </c>
      <c r="L28" t="s">
        <v>402</v>
      </c>
      <c r="M28" t="s">
        <v>347</v>
      </c>
      <c r="N28" t="s">
        <v>348</v>
      </c>
      <c r="O28" t="s">
        <v>1235</v>
      </c>
      <c r="P28" t="s">
        <v>1236</v>
      </c>
      <c r="Q28" t="s">
        <v>1237</v>
      </c>
      <c r="T28" t="s">
        <v>407</v>
      </c>
      <c r="Y28" t="s">
        <v>354</v>
      </c>
      <c r="Z28" t="s">
        <v>355</v>
      </c>
      <c r="AA28" t="s">
        <v>432</v>
      </c>
      <c r="AB28" t="s">
        <v>1238</v>
      </c>
    </row>
    <row r="29" spans="1:28" x14ac:dyDescent="0.2">
      <c r="A29" t="s">
        <v>1365</v>
      </c>
      <c r="B29" t="s">
        <v>1210</v>
      </c>
      <c r="C29" t="s">
        <v>1366</v>
      </c>
      <c r="D29" t="s">
        <v>1367</v>
      </c>
      <c r="E29" t="s">
        <v>1368</v>
      </c>
      <c r="F29" t="s">
        <v>473</v>
      </c>
      <c r="H29" t="s">
        <v>1369</v>
      </c>
      <c r="I29" t="s">
        <v>1370</v>
      </c>
      <c r="J29" t="s">
        <v>418</v>
      </c>
      <c r="K29" t="s">
        <v>345</v>
      </c>
      <c r="L29" t="s">
        <v>346</v>
      </c>
      <c r="M29" t="s">
        <v>347</v>
      </c>
      <c r="N29" t="s">
        <v>348</v>
      </c>
      <c r="O29" t="s">
        <v>354</v>
      </c>
      <c r="P29" t="s">
        <v>441</v>
      </c>
      <c r="Q29" t="s">
        <v>442</v>
      </c>
      <c r="T29" t="s">
        <v>407</v>
      </c>
      <c r="Y29" t="s">
        <v>354</v>
      </c>
      <c r="Z29" t="s">
        <v>355</v>
      </c>
      <c r="AA29" t="s">
        <v>443</v>
      </c>
      <c r="AB29" t="s">
        <v>444</v>
      </c>
    </row>
    <row r="30" spans="1:28" x14ac:dyDescent="0.2">
      <c r="B30" t="s">
        <v>1210</v>
      </c>
      <c r="C30" t="s">
        <v>481</v>
      </c>
      <c r="D30" t="s">
        <v>482</v>
      </c>
      <c r="E30" t="s">
        <v>482</v>
      </c>
      <c r="F30" t="s">
        <v>482</v>
      </c>
      <c r="X30" t="s">
        <v>354</v>
      </c>
      <c r="Y30" t="s">
        <v>483</v>
      </c>
    </row>
    <row r="31" spans="1:28" x14ac:dyDescent="0.2">
      <c r="B31" t="s">
        <v>1210</v>
      </c>
      <c r="C31" t="s">
        <v>484</v>
      </c>
      <c r="D31" t="s">
        <v>482</v>
      </c>
      <c r="E31" t="s">
        <v>482</v>
      </c>
      <c r="F31" t="s">
        <v>482</v>
      </c>
      <c r="X31" t="s">
        <v>354</v>
      </c>
      <c r="Y31" t="s">
        <v>483</v>
      </c>
    </row>
    <row r="32" spans="1:28" x14ac:dyDescent="0.2">
      <c r="B32" t="s">
        <v>1210</v>
      </c>
      <c r="C32" t="s">
        <v>485</v>
      </c>
      <c r="D32" t="s">
        <v>482</v>
      </c>
      <c r="E32" t="s">
        <v>482</v>
      </c>
      <c r="F32" t="s">
        <v>482</v>
      </c>
      <c r="X32" t="s">
        <v>354</v>
      </c>
      <c r="Y32" t="s">
        <v>483</v>
      </c>
    </row>
    <row r="33" spans="2:25" x14ac:dyDescent="0.2">
      <c r="B33" t="s">
        <v>1210</v>
      </c>
      <c r="C33" t="s">
        <v>486</v>
      </c>
      <c r="D33" t="s">
        <v>482</v>
      </c>
      <c r="E33" t="s">
        <v>482</v>
      </c>
      <c r="F33" t="s">
        <v>482</v>
      </c>
      <c r="X33" t="s">
        <v>354</v>
      </c>
      <c r="Y33" t="s">
        <v>483</v>
      </c>
    </row>
    <row r="34" spans="2:25" x14ac:dyDescent="0.2">
      <c r="B34" t="s">
        <v>1210</v>
      </c>
      <c r="C34" t="s">
        <v>487</v>
      </c>
      <c r="D34" t="s">
        <v>482</v>
      </c>
      <c r="E34" t="s">
        <v>482</v>
      </c>
      <c r="F34" t="s">
        <v>482</v>
      </c>
      <c r="X34" t="s">
        <v>354</v>
      </c>
      <c r="Y34" t="s">
        <v>488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8"/>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2" width="26" customWidth="1"/>
    <col min="3" max="3" width="29" customWidth="1"/>
    <col min="4" max="4" width="22" customWidth="1"/>
    <col min="5" max="6" width="33" customWidth="1"/>
    <col min="7" max="7" width="19" customWidth="1"/>
    <col min="8" max="8" width="30" customWidth="1"/>
    <col min="9" max="9" width="26" customWidth="1"/>
    <col min="10" max="10" width="23" customWidth="1"/>
    <col min="11" max="12" width="42" customWidth="1"/>
    <col min="13" max="13" width="35" customWidth="1"/>
    <col min="14" max="15" width="42" customWidth="1"/>
    <col min="16" max="16" width="40" customWidth="1"/>
    <col min="17" max="18" width="42" customWidth="1"/>
    <col min="19" max="19" width="37" customWidth="1"/>
    <col min="20" max="20" width="22" customWidth="1"/>
    <col min="21" max="21" width="28" customWidth="1"/>
    <col min="22" max="22" width="36" customWidth="1"/>
    <col min="23" max="24" width="41" customWidth="1"/>
    <col min="25" max="25" width="20" customWidth="1"/>
    <col min="26" max="26" width="18" customWidth="1"/>
    <col min="27" max="27" width="41" customWidth="1"/>
    <col min="28" max="28" width="42" customWidth="1"/>
  </cols>
  <sheetData>
    <row r="1" spans="1:28" ht="32" x14ac:dyDescent="0.2">
      <c r="A1" s="1" t="s">
        <v>308</v>
      </c>
      <c r="B1" s="1" t="s">
        <v>309</v>
      </c>
      <c r="C1" s="1" t="s">
        <v>310</v>
      </c>
      <c r="D1" s="1" t="s">
        <v>311</v>
      </c>
      <c r="E1" s="1" t="s">
        <v>312</v>
      </c>
      <c r="F1" s="1" t="s">
        <v>313</v>
      </c>
      <c r="G1" s="1" t="s">
        <v>314</v>
      </c>
      <c r="H1" s="1" t="s">
        <v>315</v>
      </c>
      <c r="I1" s="1" t="s">
        <v>316</v>
      </c>
      <c r="J1" s="1" t="s">
        <v>317</v>
      </c>
      <c r="K1" s="1" t="s">
        <v>318</v>
      </c>
      <c r="L1" s="1" t="s">
        <v>228</v>
      </c>
      <c r="M1" s="1" t="s">
        <v>319</v>
      </c>
      <c r="N1" s="1" t="s">
        <v>320</v>
      </c>
      <c r="O1" s="1" t="s">
        <v>321</v>
      </c>
      <c r="P1" s="1" t="s">
        <v>322</v>
      </c>
      <c r="Q1" s="1" t="s">
        <v>323</v>
      </c>
      <c r="R1" s="1" t="s">
        <v>324</v>
      </c>
      <c r="S1" s="1" t="s">
        <v>325</v>
      </c>
      <c r="T1" s="1" t="s">
        <v>326</v>
      </c>
      <c r="U1" s="1" t="s">
        <v>327</v>
      </c>
      <c r="V1" s="1" t="s">
        <v>328</v>
      </c>
      <c r="W1" s="1" t="s">
        <v>329</v>
      </c>
      <c r="X1" s="1" t="s">
        <v>330</v>
      </c>
      <c r="Y1" s="1" t="s">
        <v>331</v>
      </c>
      <c r="Z1" s="1" t="s">
        <v>332</v>
      </c>
      <c r="AA1" s="1" t="s">
        <v>333</v>
      </c>
      <c r="AB1" s="1" t="s">
        <v>334</v>
      </c>
    </row>
    <row r="2" spans="1:28" x14ac:dyDescent="0.2">
      <c r="A2" t="s">
        <v>1371</v>
      </c>
      <c r="B2" t="s">
        <v>1372</v>
      </c>
      <c r="C2" t="s">
        <v>1373</v>
      </c>
      <c r="D2" t="s">
        <v>1374</v>
      </c>
      <c r="E2" t="s">
        <v>1375</v>
      </c>
      <c r="F2" t="s">
        <v>473</v>
      </c>
      <c r="H2" t="s">
        <v>1376</v>
      </c>
      <c r="I2" t="s">
        <v>1377</v>
      </c>
      <c r="J2" t="s">
        <v>418</v>
      </c>
      <c r="K2" t="s">
        <v>345</v>
      </c>
      <c r="L2" t="s">
        <v>346</v>
      </c>
      <c r="M2" t="s">
        <v>347</v>
      </c>
      <c r="N2" t="s">
        <v>740</v>
      </c>
      <c r="O2" t="s">
        <v>354</v>
      </c>
      <c r="P2" t="s">
        <v>441</v>
      </c>
      <c r="Q2" t="s">
        <v>442</v>
      </c>
      <c r="T2" t="s">
        <v>407</v>
      </c>
      <c r="Y2" t="s">
        <v>354</v>
      </c>
      <c r="Z2" t="s">
        <v>355</v>
      </c>
      <c r="AA2" t="s">
        <v>443</v>
      </c>
      <c r="AB2" t="s">
        <v>444</v>
      </c>
    </row>
    <row r="3" spans="1:28" x14ac:dyDescent="0.2">
      <c r="A3" t="s">
        <v>1378</v>
      </c>
      <c r="B3" t="s">
        <v>1372</v>
      </c>
      <c r="C3" t="s">
        <v>1373</v>
      </c>
      <c r="D3" t="s">
        <v>1379</v>
      </c>
      <c r="E3" t="s">
        <v>944</v>
      </c>
      <c r="F3" t="s">
        <v>473</v>
      </c>
      <c r="H3" t="s">
        <v>1376</v>
      </c>
      <c r="I3" t="s">
        <v>1377</v>
      </c>
      <c r="J3" t="s">
        <v>418</v>
      </c>
      <c r="K3" t="s">
        <v>345</v>
      </c>
      <c r="L3" t="s">
        <v>346</v>
      </c>
      <c r="M3" t="s">
        <v>347</v>
      </c>
      <c r="N3" t="s">
        <v>348</v>
      </c>
      <c r="O3" t="s">
        <v>354</v>
      </c>
      <c r="P3" t="s">
        <v>441</v>
      </c>
      <c r="Q3" t="s">
        <v>442</v>
      </c>
      <c r="T3" t="s">
        <v>407</v>
      </c>
      <c r="Y3" t="s">
        <v>354</v>
      </c>
      <c r="Z3" t="s">
        <v>355</v>
      </c>
      <c r="AA3" t="s">
        <v>443</v>
      </c>
      <c r="AB3" t="s">
        <v>444</v>
      </c>
    </row>
    <row r="4" spans="1:28" x14ac:dyDescent="0.2">
      <c r="A4" t="s">
        <v>1380</v>
      </c>
      <c r="B4" t="s">
        <v>1372</v>
      </c>
      <c r="C4" t="s">
        <v>1381</v>
      </c>
      <c r="D4" t="s">
        <v>1382</v>
      </c>
      <c r="E4" t="s">
        <v>1383</v>
      </c>
      <c r="F4" t="s">
        <v>473</v>
      </c>
      <c r="H4" t="s">
        <v>1384</v>
      </c>
      <c r="I4" t="s">
        <v>1385</v>
      </c>
      <c r="J4" t="s">
        <v>418</v>
      </c>
      <c r="K4" t="s">
        <v>345</v>
      </c>
      <c r="L4" t="s">
        <v>402</v>
      </c>
      <c r="M4" t="s">
        <v>347</v>
      </c>
      <c r="N4" t="s">
        <v>348</v>
      </c>
      <c r="O4" t="s">
        <v>354</v>
      </c>
      <c r="P4" t="s">
        <v>441</v>
      </c>
      <c r="Q4" t="s">
        <v>442</v>
      </c>
      <c r="T4" t="s">
        <v>407</v>
      </c>
      <c r="Y4" t="s">
        <v>354</v>
      </c>
      <c r="Z4" t="s">
        <v>355</v>
      </c>
      <c r="AA4" t="s">
        <v>443</v>
      </c>
      <c r="AB4" t="s">
        <v>444</v>
      </c>
    </row>
    <row r="5" spans="1:28" x14ac:dyDescent="0.2">
      <c r="A5" t="s">
        <v>1386</v>
      </c>
      <c r="B5" t="s">
        <v>1372</v>
      </c>
      <c r="C5" t="s">
        <v>1381</v>
      </c>
      <c r="D5" t="s">
        <v>1387</v>
      </c>
      <c r="E5" t="s">
        <v>1388</v>
      </c>
      <c r="F5" t="s">
        <v>473</v>
      </c>
      <c r="H5" t="s">
        <v>1384</v>
      </c>
      <c r="I5" t="s">
        <v>1385</v>
      </c>
      <c r="J5" t="s">
        <v>418</v>
      </c>
      <c r="K5" t="s">
        <v>345</v>
      </c>
      <c r="L5" t="s">
        <v>402</v>
      </c>
      <c r="M5" t="s">
        <v>347</v>
      </c>
      <c r="N5" t="s">
        <v>348</v>
      </c>
      <c r="O5" t="s">
        <v>354</v>
      </c>
      <c r="P5" t="s">
        <v>441</v>
      </c>
      <c r="Q5" t="s">
        <v>442</v>
      </c>
      <c r="T5" t="s">
        <v>407</v>
      </c>
      <c r="Y5" t="s">
        <v>354</v>
      </c>
      <c r="Z5" t="s">
        <v>355</v>
      </c>
      <c r="AA5" t="s">
        <v>443</v>
      </c>
      <c r="AB5" t="s">
        <v>444</v>
      </c>
    </row>
    <row r="6" spans="1:28" x14ac:dyDescent="0.2">
      <c r="A6" t="s">
        <v>1389</v>
      </c>
      <c r="B6" t="s">
        <v>1372</v>
      </c>
      <c r="C6" t="s">
        <v>1381</v>
      </c>
      <c r="D6" t="s">
        <v>1390</v>
      </c>
      <c r="E6" t="s">
        <v>1391</v>
      </c>
      <c r="F6" t="s">
        <v>437</v>
      </c>
      <c r="H6" t="s">
        <v>1392</v>
      </c>
      <c r="I6" t="s">
        <v>439</v>
      </c>
      <c r="J6" t="s">
        <v>418</v>
      </c>
      <c r="K6" t="s">
        <v>345</v>
      </c>
      <c r="L6" t="s">
        <v>440</v>
      </c>
      <c r="M6" t="s">
        <v>347</v>
      </c>
      <c r="N6" t="s">
        <v>740</v>
      </c>
      <c r="O6" t="s">
        <v>354</v>
      </c>
      <c r="P6" t="s">
        <v>441</v>
      </c>
      <c r="Q6" t="s">
        <v>442</v>
      </c>
      <c r="T6" t="s">
        <v>407</v>
      </c>
      <c r="Y6" t="s">
        <v>354</v>
      </c>
      <c r="Z6" t="s">
        <v>355</v>
      </c>
      <c r="AA6" t="s">
        <v>443</v>
      </c>
      <c r="AB6" t="s">
        <v>444</v>
      </c>
    </row>
    <row r="7" spans="1:28" x14ac:dyDescent="0.2">
      <c r="A7" t="s">
        <v>1393</v>
      </c>
      <c r="B7" t="s">
        <v>1372</v>
      </c>
      <c r="C7" t="s">
        <v>1394</v>
      </c>
      <c r="D7" t="s">
        <v>1395</v>
      </c>
      <c r="E7" t="s">
        <v>1396</v>
      </c>
      <c r="F7" t="s">
        <v>473</v>
      </c>
      <c r="H7" t="s">
        <v>1397</v>
      </c>
      <c r="I7" t="s">
        <v>1398</v>
      </c>
      <c r="J7" t="s">
        <v>418</v>
      </c>
      <c r="K7" t="s">
        <v>401</v>
      </c>
      <c r="L7" t="s">
        <v>402</v>
      </c>
      <c r="M7" t="s">
        <v>347</v>
      </c>
      <c r="N7" t="s">
        <v>348</v>
      </c>
      <c r="O7" t="s">
        <v>354</v>
      </c>
      <c r="P7" t="s">
        <v>441</v>
      </c>
      <c r="Q7" t="s">
        <v>442</v>
      </c>
      <c r="T7" t="s">
        <v>407</v>
      </c>
      <c r="Y7" t="s">
        <v>354</v>
      </c>
      <c r="Z7" t="s">
        <v>355</v>
      </c>
      <c r="AA7" t="s">
        <v>443</v>
      </c>
      <c r="AB7" t="s">
        <v>444</v>
      </c>
    </row>
    <row r="8" spans="1:28" x14ac:dyDescent="0.2">
      <c r="A8" t="s">
        <v>1399</v>
      </c>
      <c r="B8" t="s">
        <v>1372</v>
      </c>
      <c r="C8" t="s">
        <v>1400</v>
      </c>
      <c r="D8" t="s">
        <v>1401</v>
      </c>
      <c r="E8" t="s">
        <v>1402</v>
      </c>
      <c r="F8" t="s">
        <v>1289</v>
      </c>
      <c r="G8" t="s">
        <v>1290</v>
      </c>
      <c r="H8" t="s">
        <v>1291</v>
      </c>
      <c r="I8" t="s">
        <v>1292</v>
      </c>
      <c r="J8" t="s">
        <v>1293</v>
      </c>
      <c r="K8" t="s">
        <v>345</v>
      </c>
      <c r="L8" t="s">
        <v>346</v>
      </c>
      <c r="M8" t="s">
        <v>403</v>
      </c>
      <c r="N8" t="s">
        <v>404</v>
      </c>
      <c r="O8" t="s">
        <v>1294</v>
      </c>
      <c r="P8" t="s">
        <v>1295</v>
      </c>
      <c r="Q8" t="s">
        <v>1296</v>
      </c>
      <c r="T8" t="s">
        <v>407</v>
      </c>
      <c r="U8" t="s">
        <v>1403</v>
      </c>
      <c r="Y8" t="s">
        <v>354</v>
      </c>
      <c r="Z8" t="s">
        <v>355</v>
      </c>
      <c r="AA8" t="s">
        <v>432</v>
      </c>
      <c r="AB8" t="s">
        <v>357</v>
      </c>
    </row>
    <row r="9" spans="1:28" x14ac:dyDescent="0.2">
      <c r="A9" t="s">
        <v>1404</v>
      </c>
      <c r="B9" t="s">
        <v>1372</v>
      </c>
      <c r="C9" t="s">
        <v>1405</v>
      </c>
      <c r="D9" t="s">
        <v>1406</v>
      </c>
      <c r="E9" t="s">
        <v>1407</v>
      </c>
      <c r="F9" t="s">
        <v>473</v>
      </c>
      <c r="H9" t="s">
        <v>1408</v>
      </c>
      <c r="I9" t="s">
        <v>1409</v>
      </c>
      <c r="J9" t="s">
        <v>418</v>
      </c>
      <c r="K9" t="s">
        <v>345</v>
      </c>
      <c r="L9" t="s">
        <v>1410</v>
      </c>
      <c r="M9" t="s">
        <v>347</v>
      </c>
      <c r="N9" t="s">
        <v>348</v>
      </c>
      <c r="O9" t="s">
        <v>354</v>
      </c>
      <c r="P9" t="s">
        <v>441</v>
      </c>
      <c r="Q9" t="s">
        <v>442</v>
      </c>
      <c r="T9" t="s">
        <v>407</v>
      </c>
      <c r="V9" t="s">
        <v>1411</v>
      </c>
      <c r="Y9" t="s">
        <v>354</v>
      </c>
      <c r="Z9" t="s">
        <v>355</v>
      </c>
      <c r="AA9" t="s">
        <v>443</v>
      </c>
      <c r="AB9" t="s">
        <v>444</v>
      </c>
    </row>
    <row r="10" spans="1:28" x14ac:dyDescent="0.2">
      <c r="A10" t="s">
        <v>1412</v>
      </c>
      <c r="B10" t="s">
        <v>1372</v>
      </c>
      <c r="C10" t="s">
        <v>1405</v>
      </c>
      <c r="D10" t="s">
        <v>1413</v>
      </c>
      <c r="E10" t="s">
        <v>1414</v>
      </c>
      <c r="F10" t="s">
        <v>473</v>
      </c>
      <c r="H10" t="s">
        <v>1415</v>
      </c>
      <c r="I10" t="s">
        <v>1416</v>
      </c>
      <c r="J10" t="s">
        <v>418</v>
      </c>
      <c r="K10" t="s">
        <v>345</v>
      </c>
      <c r="L10" t="s">
        <v>402</v>
      </c>
      <c r="M10" t="s">
        <v>1165</v>
      </c>
      <c r="N10" t="s">
        <v>348</v>
      </c>
      <c r="O10" t="s">
        <v>354</v>
      </c>
      <c r="P10" t="s">
        <v>441</v>
      </c>
      <c r="Q10" t="s">
        <v>442</v>
      </c>
      <c r="T10" t="s">
        <v>407</v>
      </c>
      <c r="Y10" t="s">
        <v>354</v>
      </c>
      <c r="Z10" t="s">
        <v>355</v>
      </c>
      <c r="AA10" t="s">
        <v>443</v>
      </c>
      <c r="AB10" t="s">
        <v>444</v>
      </c>
    </row>
    <row r="11" spans="1:28" x14ac:dyDescent="0.2">
      <c r="A11" t="s">
        <v>1417</v>
      </c>
      <c r="B11" t="s">
        <v>1372</v>
      </c>
      <c r="C11" t="s">
        <v>1405</v>
      </c>
      <c r="D11" t="s">
        <v>1418</v>
      </c>
      <c r="E11" t="s">
        <v>1419</v>
      </c>
      <c r="F11" t="s">
        <v>473</v>
      </c>
      <c r="H11" t="s">
        <v>1420</v>
      </c>
      <c r="I11" t="s">
        <v>1421</v>
      </c>
      <c r="J11" t="s">
        <v>418</v>
      </c>
      <c r="K11" t="s">
        <v>345</v>
      </c>
      <c r="L11" t="s">
        <v>346</v>
      </c>
      <c r="M11" t="s">
        <v>403</v>
      </c>
      <c r="N11" t="s">
        <v>348</v>
      </c>
      <c r="O11" t="s">
        <v>354</v>
      </c>
      <c r="P11" t="s">
        <v>441</v>
      </c>
      <c r="Q11" t="s">
        <v>442</v>
      </c>
      <c r="T11" t="s">
        <v>407</v>
      </c>
      <c r="Y11" t="s">
        <v>354</v>
      </c>
      <c r="Z11" t="s">
        <v>355</v>
      </c>
      <c r="AA11" t="s">
        <v>443</v>
      </c>
      <c r="AB11" t="s">
        <v>444</v>
      </c>
    </row>
    <row r="12" spans="1:28" x14ac:dyDescent="0.2">
      <c r="A12" t="s">
        <v>1422</v>
      </c>
      <c r="B12" t="s">
        <v>1372</v>
      </c>
      <c r="C12" t="s">
        <v>1423</v>
      </c>
      <c r="D12" t="s">
        <v>1424</v>
      </c>
      <c r="E12" t="s">
        <v>1425</v>
      </c>
      <c r="F12" t="s">
        <v>1230</v>
      </c>
      <c r="G12" t="s">
        <v>1231</v>
      </c>
      <c r="H12" t="s">
        <v>1232</v>
      </c>
      <c r="I12" t="s">
        <v>1233</v>
      </c>
      <c r="J12" t="s">
        <v>1234</v>
      </c>
      <c r="K12" t="s">
        <v>345</v>
      </c>
      <c r="L12" t="s">
        <v>402</v>
      </c>
      <c r="M12" t="s">
        <v>347</v>
      </c>
      <c r="N12" t="s">
        <v>726</v>
      </c>
      <c r="O12" t="s">
        <v>1235</v>
      </c>
      <c r="P12" t="s">
        <v>1236</v>
      </c>
      <c r="Q12" t="s">
        <v>1237</v>
      </c>
      <c r="T12" t="s">
        <v>407</v>
      </c>
      <c r="Y12" t="s">
        <v>354</v>
      </c>
      <c r="Z12" t="s">
        <v>355</v>
      </c>
      <c r="AA12" t="s">
        <v>432</v>
      </c>
      <c r="AB12" t="s">
        <v>1238</v>
      </c>
    </row>
    <row r="13" spans="1:28" x14ac:dyDescent="0.2">
      <c r="A13" t="s">
        <v>1426</v>
      </c>
      <c r="B13" t="s">
        <v>1372</v>
      </c>
      <c r="C13" t="s">
        <v>1423</v>
      </c>
      <c r="D13" t="s">
        <v>1427</v>
      </c>
      <c r="E13" t="s">
        <v>1428</v>
      </c>
      <c r="F13" t="s">
        <v>1230</v>
      </c>
      <c r="G13" t="s">
        <v>1231</v>
      </c>
      <c r="H13" t="s">
        <v>1232</v>
      </c>
      <c r="I13" t="s">
        <v>1233</v>
      </c>
      <c r="J13" t="s">
        <v>1234</v>
      </c>
      <c r="K13" t="s">
        <v>345</v>
      </c>
      <c r="L13" t="s">
        <v>402</v>
      </c>
      <c r="M13" t="s">
        <v>347</v>
      </c>
      <c r="N13" t="s">
        <v>740</v>
      </c>
      <c r="O13" t="s">
        <v>1235</v>
      </c>
      <c r="P13" t="s">
        <v>1236</v>
      </c>
      <c r="Q13" t="s">
        <v>1237</v>
      </c>
      <c r="T13" t="s">
        <v>407</v>
      </c>
      <c r="Y13" t="s">
        <v>354</v>
      </c>
      <c r="Z13" t="s">
        <v>355</v>
      </c>
      <c r="AA13" t="s">
        <v>432</v>
      </c>
      <c r="AB13" t="s">
        <v>1238</v>
      </c>
    </row>
    <row r="14" spans="1:28" x14ac:dyDescent="0.2">
      <c r="A14" t="s">
        <v>1429</v>
      </c>
      <c r="B14" t="s">
        <v>1372</v>
      </c>
      <c r="C14" t="s">
        <v>1423</v>
      </c>
      <c r="D14" t="s">
        <v>1430</v>
      </c>
      <c r="E14" t="s">
        <v>1431</v>
      </c>
      <c r="F14" t="s">
        <v>1230</v>
      </c>
      <c r="G14" t="s">
        <v>1231</v>
      </c>
      <c r="H14" t="s">
        <v>1232</v>
      </c>
      <c r="I14" t="s">
        <v>1233</v>
      </c>
      <c r="J14" t="s">
        <v>1234</v>
      </c>
      <c r="K14" t="s">
        <v>345</v>
      </c>
      <c r="L14" t="s">
        <v>402</v>
      </c>
      <c r="M14" t="s">
        <v>403</v>
      </c>
      <c r="N14" t="s">
        <v>348</v>
      </c>
      <c r="O14" t="s">
        <v>1235</v>
      </c>
      <c r="P14" t="s">
        <v>1236</v>
      </c>
      <c r="Q14" t="s">
        <v>1237</v>
      </c>
      <c r="T14" t="s">
        <v>407</v>
      </c>
      <c r="Y14" t="s">
        <v>354</v>
      </c>
      <c r="Z14" t="s">
        <v>355</v>
      </c>
      <c r="AA14" t="s">
        <v>432</v>
      </c>
      <c r="AB14" t="s">
        <v>1238</v>
      </c>
    </row>
    <row r="15" spans="1:28" x14ac:dyDescent="0.2">
      <c r="A15" t="s">
        <v>1432</v>
      </c>
      <c r="B15" t="s">
        <v>1372</v>
      </c>
      <c r="C15" t="s">
        <v>1423</v>
      </c>
      <c r="D15" t="s">
        <v>1433</v>
      </c>
      <c r="E15" t="s">
        <v>1434</v>
      </c>
      <c r="F15" t="s">
        <v>1435</v>
      </c>
      <c r="G15" t="s">
        <v>1436</v>
      </c>
      <c r="H15" t="s">
        <v>1437</v>
      </c>
      <c r="I15" t="s">
        <v>1438</v>
      </c>
      <c r="J15" t="s">
        <v>1439</v>
      </c>
      <c r="K15" t="s">
        <v>345</v>
      </c>
      <c r="L15" t="s">
        <v>467</v>
      </c>
      <c r="M15" t="s">
        <v>347</v>
      </c>
      <c r="N15" t="s">
        <v>348</v>
      </c>
      <c r="O15" t="s">
        <v>1279</v>
      </c>
      <c r="P15" t="s">
        <v>1440</v>
      </c>
      <c r="Q15" t="s">
        <v>388</v>
      </c>
      <c r="T15" t="s">
        <v>407</v>
      </c>
      <c r="Y15" t="s">
        <v>354</v>
      </c>
      <c r="Z15" t="s">
        <v>355</v>
      </c>
      <c r="AA15" t="s">
        <v>443</v>
      </c>
      <c r="AB15" t="s">
        <v>1441</v>
      </c>
    </row>
    <row r="16" spans="1:28" x14ac:dyDescent="0.2">
      <c r="A16" t="s">
        <v>1442</v>
      </c>
      <c r="B16" t="s">
        <v>1372</v>
      </c>
      <c r="C16" t="s">
        <v>1443</v>
      </c>
      <c r="D16" t="s">
        <v>1444</v>
      </c>
      <c r="E16" t="s">
        <v>1445</v>
      </c>
      <c r="F16" t="s">
        <v>473</v>
      </c>
      <c r="H16" t="s">
        <v>474</v>
      </c>
      <c r="I16" t="s">
        <v>475</v>
      </c>
      <c r="J16" t="s">
        <v>418</v>
      </c>
      <c r="K16" t="s">
        <v>345</v>
      </c>
      <c r="L16" t="s">
        <v>467</v>
      </c>
      <c r="M16" t="s">
        <v>347</v>
      </c>
      <c r="N16" t="s">
        <v>348</v>
      </c>
      <c r="O16" t="s">
        <v>354</v>
      </c>
      <c r="P16" t="s">
        <v>441</v>
      </c>
      <c r="Q16" t="s">
        <v>442</v>
      </c>
      <c r="T16" t="s">
        <v>407</v>
      </c>
      <c r="U16" t="s">
        <v>1446</v>
      </c>
      <c r="Y16" t="s">
        <v>354</v>
      </c>
      <c r="Z16" t="s">
        <v>355</v>
      </c>
      <c r="AA16" t="s">
        <v>443</v>
      </c>
      <c r="AB16" t="s">
        <v>444</v>
      </c>
    </row>
    <row r="17" spans="1:28" x14ac:dyDescent="0.2">
      <c r="A17" t="s">
        <v>1447</v>
      </c>
      <c r="B17" t="s">
        <v>1372</v>
      </c>
      <c r="C17" t="s">
        <v>1443</v>
      </c>
      <c r="D17" t="s">
        <v>1448</v>
      </c>
      <c r="E17" t="s">
        <v>1449</v>
      </c>
      <c r="F17" t="s">
        <v>1450</v>
      </c>
      <c r="G17" t="s">
        <v>1451</v>
      </c>
      <c r="H17" t="s">
        <v>1452</v>
      </c>
      <c r="I17" t="s">
        <v>1453</v>
      </c>
      <c r="J17" t="s">
        <v>1454</v>
      </c>
      <c r="K17" t="s">
        <v>345</v>
      </c>
      <c r="L17" t="s">
        <v>467</v>
      </c>
      <c r="M17" t="s">
        <v>347</v>
      </c>
      <c r="N17" t="s">
        <v>348</v>
      </c>
      <c r="O17" t="s">
        <v>1455</v>
      </c>
      <c r="P17" t="s">
        <v>1456</v>
      </c>
      <c r="Q17" t="s">
        <v>1457</v>
      </c>
      <c r="R17" t="s">
        <v>544</v>
      </c>
      <c r="S17" t="s">
        <v>545</v>
      </c>
      <c r="T17" t="s">
        <v>546</v>
      </c>
      <c r="Y17" t="s">
        <v>354</v>
      </c>
      <c r="Z17" t="s">
        <v>355</v>
      </c>
      <c r="AA17" t="s">
        <v>504</v>
      </c>
      <c r="AB17" t="s">
        <v>357</v>
      </c>
    </row>
    <row r="18" spans="1:28" x14ac:dyDescent="0.2">
      <c r="A18" t="s">
        <v>1458</v>
      </c>
      <c r="B18" t="s">
        <v>1372</v>
      </c>
      <c r="C18" t="s">
        <v>1459</v>
      </c>
      <c r="D18" t="s">
        <v>1460</v>
      </c>
      <c r="E18" t="s">
        <v>1461</v>
      </c>
      <c r="F18" t="s">
        <v>473</v>
      </c>
      <c r="H18" t="s">
        <v>1462</v>
      </c>
      <c r="I18" t="s">
        <v>1463</v>
      </c>
      <c r="J18" t="s">
        <v>418</v>
      </c>
      <c r="K18" t="s">
        <v>345</v>
      </c>
      <c r="L18" t="s">
        <v>467</v>
      </c>
      <c r="M18" t="s">
        <v>347</v>
      </c>
      <c r="N18" t="s">
        <v>348</v>
      </c>
      <c r="O18" t="s">
        <v>354</v>
      </c>
      <c r="P18" t="s">
        <v>441</v>
      </c>
      <c r="Q18" t="s">
        <v>442</v>
      </c>
      <c r="T18" t="s">
        <v>407</v>
      </c>
      <c r="V18" t="s">
        <v>1464</v>
      </c>
      <c r="Y18" t="s">
        <v>354</v>
      </c>
      <c r="Z18" t="s">
        <v>355</v>
      </c>
      <c r="AA18" t="s">
        <v>443</v>
      </c>
      <c r="AB18" t="s">
        <v>444</v>
      </c>
    </row>
    <row r="19" spans="1:28" x14ac:dyDescent="0.2">
      <c r="A19" t="s">
        <v>1465</v>
      </c>
      <c r="B19" t="s">
        <v>1372</v>
      </c>
      <c r="C19" t="s">
        <v>1459</v>
      </c>
      <c r="D19" t="s">
        <v>1466</v>
      </c>
      <c r="E19" t="s">
        <v>1467</v>
      </c>
      <c r="F19" t="s">
        <v>473</v>
      </c>
      <c r="H19" t="s">
        <v>1462</v>
      </c>
      <c r="I19" t="s">
        <v>1463</v>
      </c>
      <c r="J19" t="s">
        <v>418</v>
      </c>
      <c r="K19" t="s">
        <v>345</v>
      </c>
      <c r="L19" t="s">
        <v>467</v>
      </c>
      <c r="M19" t="s">
        <v>347</v>
      </c>
      <c r="N19" t="s">
        <v>348</v>
      </c>
      <c r="O19" t="s">
        <v>354</v>
      </c>
      <c r="P19" t="s">
        <v>441</v>
      </c>
      <c r="Q19" t="s">
        <v>442</v>
      </c>
      <c r="T19" t="s">
        <v>407</v>
      </c>
      <c r="Y19" t="s">
        <v>354</v>
      </c>
      <c r="Z19" t="s">
        <v>355</v>
      </c>
      <c r="AA19" t="s">
        <v>443</v>
      </c>
      <c r="AB19" t="s">
        <v>444</v>
      </c>
    </row>
    <row r="20" spans="1:28" x14ac:dyDescent="0.2">
      <c r="A20" t="s">
        <v>1468</v>
      </c>
      <c r="B20" t="s">
        <v>1372</v>
      </c>
      <c r="C20" t="s">
        <v>1459</v>
      </c>
      <c r="D20" t="s">
        <v>1469</v>
      </c>
      <c r="E20" t="s">
        <v>1470</v>
      </c>
      <c r="F20" t="s">
        <v>473</v>
      </c>
      <c r="H20" t="s">
        <v>1462</v>
      </c>
      <c r="I20" t="s">
        <v>1463</v>
      </c>
      <c r="J20" t="s">
        <v>418</v>
      </c>
      <c r="K20" t="s">
        <v>345</v>
      </c>
      <c r="L20" t="s">
        <v>467</v>
      </c>
      <c r="M20" t="s">
        <v>592</v>
      </c>
      <c r="N20" t="s">
        <v>348</v>
      </c>
      <c r="O20" t="s">
        <v>354</v>
      </c>
      <c r="P20" t="s">
        <v>441</v>
      </c>
      <c r="Q20" t="s">
        <v>442</v>
      </c>
      <c r="T20" t="s">
        <v>407</v>
      </c>
      <c r="Y20" t="s">
        <v>354</v>
      </c>
      <c r="Z20" t="s">
        <v>355</v>
      </c>
      <c r="AA20" t="s">
        <v>443</v>
      </c>
      <c r="AB20" t="s">
        <v>444</v>
      </c>
    </row>
    <row r="21" spans="1:28" x14ac:dyDescent="0.2">
      <c r="A21" t="s">
        <v>1471</v>
      </c>
      <c r="B21" t="s">
        <v>1372</v>
      </c>
      <c r="C21" t="s">
        <v>1472</v>
      </c>
      <c r="D21" t="s">
        <v>1473</v>
      </c>
      <c r="E21" t="s">
        <v>1474</v>
      </c>
      <c r="F21" t="s">
        <v>473</v>
      </c>
      <c r="H21" t="s">
        <v>1475</v>
      </c>
      <c r="I21" t="s">
        <v>1476</v>
      </c>
      <c r="J21" t="s">
        <v>418</v>
      </c>
      <c r="K21" t="s">
        <v>620</v>
      </c>
      <c r="L21" t="s">
        <v>402</v>
      </c>
      <c r="M21" t="s">
        <v>403</v>
      </c>
      <c r="N21" t="s">
        <v>348</v>
      </c>
      <c r="O21" t="s">
        <v>354</v>
      </c>
      <c r="P21" t="s">
        <v>441</v>
      </c>
      <c r="Q21" t="s">
        <v>442</v>
      </c>
      <c r="T21" t="s">
        <v>407</v>
      </c>
      <c r="V21" t="s">
        <v>1477</v>
      </c>
      <c r="Y21" t="s">
        <v>354</v>
      </c>
      <c r="Z21" t="s">
        <v>355</v>
      </c>
      <c r="AA21" t="s">
        <v>443</v>
      </c>
      <c r="AB21" t="s">
        <v>444</v>
      </c>
    </row>
    <row r="22" spans="1:28" x14ac:dyDescent="0.2">
      <c r="A22" t="s">
        <v>1478</v>
      </c>
      <c r="B22" t="s">
        <v>1372</v>
      </c>
      <c r="C22" t="s">
        <v>1472</v>
      </c>
      <c r="D22" t="s">
        <v>1479</v>
      </c>
      <c r="E22" t="s">
        <v>1480</v>
      </c>
      <c r="F22" t="s">
        <v>1274</v>
      </c>
      <c r="G22" t="s">
        <v>1275</v>
      </c>
      <c r="H22" t="s">
        <v>1276</v>
      </c>
      <c r="I22" t="s">
        <v>1277</v>
      </c>
      <c r="J22" t="s">
        <v>1278</v>
      </c>
      <c r="K22" t="s">
        <v>345</v>
      </c>
      <c r="L22" t="s">
        <v>346</v>
      </c>
      <c r="M22" t="s">
        <v>347</v>
      </c>
      <c r="N22" t="s">
        <v>348</v>
      </c>
      <c r="O22" t="s">
        <v>1279</v>
      </c>
      <c r="P22" t="s">
        <v>1280</v>
      </c>
      <c r="Q22" t="s">
        <v>1281</v>
      </c>
      <c r="T22" t="s">
        <v>407</v>
      </c>
      <c r="Y22" t="s">
        <v>354</v>
      </c>
      <c r="Z22" t="s">
        <v>355</v>
      </c>
      <c r="AA22" t="s">
        <v>421</v>
      </c>
      <c r="AB22" t="s">
        <v>1282</v>
      </c>
    </row>
    <row r="23" spans="1:28" x14ac:dyDescent="0.2">
      <c r="A23" t="s">
        <v>1481</v>
      </c>
      <c r="B23" t="s">
        <v>1372</v>
      </c>
      <c r="C23" t="s">
        <v>1482</v>
      </c>
      <c r="D23" t="s">
        <v>1483</v>
      </c>
      <c r="E23" t="s">
        <v>881</v>
      </c>
      <c r="F23" t="s">
        <v>473</v>
      </c>
      <c r="H23" t="s">
        <v>1484</v>
      </c>
      <c r="I23" t="s">
        <v>1485</v>
      </c>
      <c r="J23" t="s">
        <v>418</v>
      </c>
      <c r="K23" t="s">
        <v>345</v>
      </c>
      <c r="L23" t="s">
        <v>346</v>
      </c>
      <c r="M23" t="s">
        <v>347</v>
      </c>
      <c r="N23" t="s">
        <v>348</v>
      </c>
      <c r="O23" t="s">
        <v>354</v>
      </c>
      <c r="P23" t="s">
        <v>441</v>
      </c>
      <c r="Q23" t="s">
        <v>442</v>
      </c>
      <c r="T23" t="s">
        <v>407</v>
      </c>
      <c r="Y23" t="s">
        <v>354</v>
      </c>
      <c r="Z23" t="s">
        <v>355</v>
      </c>
      <c r="AA23" t="s">
        <v>443</v>
      </c>
      <c r="AB23" t="s">
        <v>444</v>
      </c>
    </row>
    <row r="24" spans="1:28" x14ac:dyDescent="0.2">
      <c r="A24" t="s">
        <v>1486</v>
      </c>
      <c r="B24" t="s">
        <v>1372</v>
      </c>
      <c r="C24" t="s">
        <v>1482</v>
      </c>
      <c r="D24" t="s">
        <v>1487</v>
      </c>
      <c r="E24" t="s">
        <v>1488</v>
      </c>
      <c r="F24" t="s">
        <v>473</v>
      </c>
      <c r="H24" t="s">
        <v>1489</v>
      </c>
      <c r="I24" t="s">
        <v>1490</v>
      </c>
      <c r="J24" t="s">
        <v>418</v>
      </c>
      <c r="K24" t="s">
        <v>345</v>
      </c>
      <c r="L24" t="s">
        <v>346</v>
      </c>
      <c r="M24" t="s">
        <v>347</v>
      </c>
      <c r="N24" t="s">
        <v>348</v>
      </c>
      <c r="O24" t="s">
        <v>354</v>
      </c>
      <c r="P24" t="s">
        <v>441</v>
      </c>
      <c r="Q24" t="s">
        <v>442</v>
      </c>
      <c r="T24" t="s">
        <v>407</v>
      </c>
      <c r="Y24" t="s">
        <v>354</v>
      </c>
      <c r="Z24" t="s">
        <v>355</v>
      </c>
      <c r="AA24" t="s">
        <v>443</v>
      </c>
      <c r="AB24" t="s">
        <v>444</v>
      </c>
    </row>
    <row r="25" spans="1:28" x14ac:dyDescent="0.2">
      <c r="A25" t="s">
        <v>1491</v>
      </c>
      <c r="B25" t="s">
        <v>1372</v>
      </c>
      <c r="C25" t="s">
        <v>1492</v>
      </c>
      <c r="D25" t="s">
        <v>1493</v>
      </c>
      <c r="E25" t="s">
        <v>1494</v>
      </c>
      <c r="F25" t="s">
        <v>473</v>
      </c>
      <c r="H25" t="s">
        <v>1495</v>
      </c>
      <c r="I25" t="s">
        <v>1496</v>
      </c>
      <c r="J25" t="s">
        <v>418</v>
      </c>
      <c r="K25" t="s">
        <v>345</v>
      </c>
      <c r="L25" t="s">
        <v>346</v>
      </c>
      <c r="M25" t="s">
        <v>347</v>
      </c>
      <c r="N25" t="s">
        <v>348</v>
      </c>
      <c r="O25" t="s">
        <v>354</v>
      </c>
      <c r="P25" t="s">
        <v>441</v>
      </c>
      <c r="Q25" t="s">
        <v>442</v>
      </c>
      <c r="T25" t="s">
        <v>407</v>
      </c>
      <c r="V25" t="s">
        <v>1497</v>
      </c>
      <c r="Y25" t="s">
        <v>354</v>
      </c>
      <c r="Z25" t="s">
        <v>355</v>
      </c>
      <c r="AA25" t="s">
        <v>443</v>
      </c>
      <c r="AB25" t="s">
        <v>444</v>
      </c>
    </row>
    <row r="26" spans="1:28" x14ac:dyDescent="0.2">
      <c r="A26" t="s">
        <v>1498</v>
      </c>
      <c r="B26" t="s">
        <v>1372</v>
      </c>
      <c r="C26" t="s">
        <v>1492</v>
      </c>
      <c r="D26" t="s">
        <v>1499</v>
      </c>
      <c r="E26" t="s">
        <v>1500</v>
      </c>
      <c r="F26" t="s">
        <v>473</v>
      </c>
      <c r="H26" t="s">
        <v>1495</v>
      </c>
      <c r="I26" t="s">
        <v>1496</v>
      </c>
      <c r="J26" t="s">
        <v>418</v>
      </c>
      <c r="K26" t="s">
        <v>620</v>
      </c>
      <c r="L26" t="s">
        <v>346</v>
      </c>
      <c r="M26" t="s">
        <v>403</v>
      </c>
      <c r="N26" t="s">
        <v>348</v>
      </c>
      <c r="O26" t="s">
        <v>354</v>
      </c>
      <c r="P26" t="s">
        <v>441</v>
      </c>
      <c r="Q26" t="s">
        <v>442</v>
      </c>
      <c r="T26" t="s">
        <v>407</v>
      </c>
      <c r="Y26" t="s">
        <v>354</v>
      </c>
      <c r="Z26" t="s">
        <v>355</v>
      </c>
      <c r="AA26" t="s">
        <v>443</v>
      </c>
      <c r="AB26" t="s">
        <v>444</v>
      </c>
    </row>
    <row r="27" spans="1:28" x14ac:dyDescent="0.2">
      <c r="A27" t="s">
        <v>1501</v>
      </c>
      <c r="B27" t="s">
        <v>1372</v>
      </c>
      <c r="C27" t="s">
        <v>1492</v>
      </c>
      <c r="D27" t="s">
        <v>1502</v>
      </c>
      <c r="E27" t="s">
        <v>1503</v>
      </c>
      <c r="F27" t="s">
        <v>1289</v>
      </c>
      <c r="G27" t="s">
        <v>1290</v>
      </c>
      <c r="H27" t="s">
        <v>1291</v>
      </c>
      <c r="I27" t="s">
        <v>1292</v>
      </c>
      <c r="J27" t="s">
        <v>1293</v>
      </c>
      <c r="K27" t="s">
        <v>345</v>
      </c>
      <c r="L27" t="s">
        <v>346</v>
      </c>
      <c r="M27" t="s">
        <v>347</v>
      </c>
      <c r="N27" t="s">
        <v>348</v>
      </c>
      <c r="O27" t="s">
        <v>1294</v>
      </c>
      <c r="P27" t="s">
        <v>1295</v>
      </c>
      <c r="Q27" t="s">
        <v>1296</v>
      </c>
      <c r="T27" t="s">
        <v>407</v>
      </c>
      <c r="Y27" t="s">
        <v>354</v>
      </c>
      <c r="Z27" t="s">
        <v>355</v>
      </c>
      <c r="AA27" t="s">
        <v>432</v>
      </c>
      <c r="AB27" t="s">
        <v>632</v>
      </c>
    </row>
    <row r="28" spans="1:28" x14ac:dyDescent="0.2">
      <c r="A28" t="s">
        <v>1504</v>
      </c>
      <c r="B28" t="s">
        <v>1372</v>
      </c>
      <c r="C28" t="s">
        <v>1505</v>
      </c>
      <c r="D28" t="s">
        <v>1506</v>
      </c>
      <c r="E28" t="s">
        <v>1507</v>
      </c>
      <c r="F28" t="s">
        <v>1508</v>
      </c>
      <c r="G28" t="s">
        <v>1509</v>
      </c>
      <c r="H28" t="s">
        <v>1510</v>
      </c>
      <c r="I28" t="s">
        <v>1511</v>
      </c>
      <c r="J28" t="s">
        <v>1512</v>
      </c>
      <c r="K28" t="s">
        <v>345</v>
      </c>
      <c r="L28" t="s">
        <v>467</v>
      </c>
      <c r="M28" t="s">
        <v>347</v>
      </c>
      <c r="N28" t="s">
        <v>348</v>
      </c>
      <c r="O28" t="s">
        <v>1513</v>
      </c>
      <c r="P28" t="s">
        <v>1514</v>
      </c>
      <c r="Q28" t="s">
        <v>388</v>
      </c>
      <c r="T28" t="s">
        <v>1515</v>
      </c>
      <c r="V28" t="s">
        <v>1516</v>
      </c>
      <c r="Y28" t="s">
        <v>354</v>
      </c>
      <c r="Z28" t="s">
        <v>355</v>
      </c>
      <c r="AA28" t="s">
        <v>443</v>
      </c>
      <c r="AB28" t="s">
        <v>1517</v>
      </c>
    </row>
    <row r="29" spans="1:28" x14ac:dyDescent="0.2">
      <c r="A29" t="s">
        <v>1518</v>
      </c>
      <c r="B29" t="s">
        <v>1372</v>
      </c>
      <c r="C29" t="s">
        <v>1505</v>
      </c>
      <c r="D29" t="s">
        <v>1519</v>
      </c>
      <c r="E29" t="s">
        <v>1520</v>
      </c>
      <c r="F29" t="s">
        <v>1508</v>
      </c>
      <c r="G29" t="s">
        <v>1509</v>
      </c>
      <c r="H29" t="s">
        <v>1510</v>
      </c>
      <c r="I29" t="s">
        <v>1511</v>
      </c>
      <c r="J29" t="s">
        <v>1512</v>
      </c>
      <c r="K29" t="s">
        <v>345</v>
      </c>
      <c r="L29" t="s">
        <v>467</v>
      </c>
      <c r="M29" t="s">
        <v>347</v>
      </c>
      <c r="N29" t="s">
        <v>348</v>
      </c>
      <c r="O29" t="s">
        <v>1513</v>
      </c>
      <c r="P29" t="s">
        <v>1514</v>
      </c>
      <c r="Q29" t="s">
        <v>388</v>
      </c>
      <c r="T29" t="s">
        <v>1515</v>
      </c>
      <c r="Y29" t="s">
        <v>354</v>
      </c>
      <c r="Z29" t="s">
        <v>355</v>
      </c>
      <c r="AA29" t="s">
        <v>443</v>
      </c>
      <c r="AB29" t="s">
        <v>1517</v>
      </c>
    </row>
    <row r="30" spans="1:28" x14ac:dyDescent="0.2">
      <c r="A30" t="s">
        <v>1521</v>
      </c>
      <c r="B30" t="s">
        <v>1372</v>
      </c>
      <c r="C30" t="s">
        <v>1505</v>
      </c>
      <c r="D30" t="s">
        <v>1522</v>
      </c>
      <c r="E30" t="s">
        <v>1375</v>
      </c>
      <c r="F30" t="s">
        <v>473</v>
      </c>
      <c r="H30" t="s">
        <v>1384</v>
      </c>
      <c r="I30" t="s">
        <v>1385</v>
      </c>
      <c r="J30" t="s">
        <v>418</v>
      </c>
      <c r="K30" t="s">
        <v>345</v>
      </c>
      <c r="L30" t="s">
        <v>402</v>
      </c>
      <c r="M30" t="s">
        <v>347</v>
      </c>
      <c r="N30" t="s">
        <v>348</v>
      </c>
      <c r="O30" t="s">
        <v>354</v>
      </c>
      <c r="P30" t="s">
        <v>441</v>
      </c>
      <c r="Q30" t="s">
        <v>442</v>
      </c>
      <c r="T30" t="s">
        <v>407</v>
      </c>
      <c r="Y30" t="s">
        <v>354</v>
      </c>
      <c r="Z30" t="s">
        <v>355</v>
      </c>
      <c r="AA30" t="s">
        <v>443</v>
      </c>
      <c r="AB30" t="s">
        <v>444</v>
      </c>
    </row>
    <row r="31" spans="1:28" x14ac:dyDescent="0.2">
      <c r="A31" t="s">
        <v>1523</v>
      </c>
      <c r="B31" t="s">
        <v>1372</v>
      </c>
      <c r="C31" t="s">
        <v>1524</v>
      </c>
      <c r="D31" t="s">
        <v>1525</v>
      </c>
      <c r="E31" t="s">
        <v>1526</v>
      </c>
      <c r="F31" t="s">
        <v>473</v>
      </c>
      <c r="H31" t="s">
        <v>1527</v>
      </c>
      <c r="I31" t="s">
        <v>1528</v>
      </c>
      <c r="J31" t="s">
        <v>418</v>
      </c>
      <c r="K31" t="s">
        <v>576</v>
      </c>
      <c r="L31" t="s">
        <v>467</v>
      </c>
      <c r="M31" t="s">
        <v>531</v>
      </c>
      <c r="N31" t="s">
        <v>348</v>
      </c>
      <c r="O31" t="s">
        <v>354</v>
      </c>
      <c r="P31" t="s">
        <v>441</v>
      </c>
      <c r="Q31" t="s">
        <v>442</v>
      </c>
      <c r="T31" t="s">
        <v>407</v>
      </c>
      <c r="Y31" t="s">
        <v>354</v>
      </c>
      <c r="Z31" t="s">
        <v>355</v>
      </c>
      <c r="AA31" t="s">
        <v>443</v>
      </c>
      <c r="AB31" t="s">
        <v>444</v>
      </c>
    </row>
    <row r="32" spans="1:28" x14ac:dyDescent="0.2">
      <c r="B32" t="s">
        <v>1372</v>
      </c>
      <c r="C32" t="s">
        <v>1529</v>
      </c>
      <c r="D32" t="s">
        <v>482</v>
      </c>
      <c r="E32" t="s">
        <v>482</v>
      </c>
      <c r="F32" t="s">
        <v>482</v>
      </c>
      <c r="X32" t="s">
        <v>354</v>
      </c>
      <c r="Y32" t="s">
        <v>483</v>
      </c>
    </row>
    <row r="33" spans="2:25" x14ac:dyDescent="0.2">
      <c r="B33" t="s">
        <v>1372</v>
      </c>
      <c r="C33" t="s">
        <v>1530</v>
      </c>
      <c r="D33" t="s">
        <v>482</v>
      </c>
      <c r="E33" t="s">
        <v>482</v>
      </c>
      <c r="F33" t="s">
        <v>482</v>
      </c>
      <c r="X33" t="s">
        <v>354</v>
      </c>
      <c r="Y33" t="s">
        <v>483</v>
      </c>
    </row>
    <row r="34" spans="2:25" x14ac:dyDescent="0.2">
      <c r="B34" t="s">
        <v>1372</v>
      </c>
      <c r="C34" t="s">
        <v>1531</v>
      </c>
      <c r="D34" t="s">
        <v>482</v>
      </c>
      <c r="E34" t="s">
        <v>482</v>
      </c>
      <c r="F34" t="s">
        <v>482</v>
      </c>
      <c r="X34" t="s">
        <v>354</v>
      </c>
      <c r="Y34" t="s">
        <v>483</v>
      </c>
    </row>
    <row r="35" spans="2:25" x14ac:dyDescent="0.2">
      <c r="B35" t="s">
        <v>1372</v>
      </c>
      <c r="C35" t="s">
        <v>1532</v>
      </c>
      <c r="D35" t="s">
        <v>482</v>
      </c>
      <c r="E35" t="s">
        <v>482</v>
      </c>
      <c r="F35" t="s">
        <v>482</v>
      </c>
      <c r="X35" t="s">
        <v>354</v>
      </c>
      <c r="Y35" t="s">
        <v>483</v>
      </c>
    </row>
    <row r="36" spans="2:25" x14ac:dyDescent="0.2">
      <c r="B36" t="s">
        <v>1372</v>
      </c>
      <c r="C36" t="s">
        <v>1533</v>
      </c>
      <c r="D36" t="s">
        <v>482</v>
      </c>
      <c r="E36" t="s">
        <v>482</v>
      </c>
      <c r="F36" t="s">
        <v>482</v>
      </c>
      <c r="X36" t="s">
        <v>354</v>
      </c>
      <c r="Y36" t="s">
        <v>483</v>
      </c>
    </row>
    <row r="37" spans="2:25" x14ac:dyDescent="0.2">
      <c r="B37" t="s">
        <v>1372</v>
      </c>
      <c r="C37" t="s">
        <v>1534</v>
      </c>
      <c r="D37" t="s">
        <v>482</v>
      </c>
      <c r="E37" t="s">
        <v>482</v>
      </c>
      <c r="F37" t="s">
        <v>482</v>
      </c>
      <c r="X37" t="s">
        <v>354</v>
      </c>
      <c r="Y37" t="s">
        <v>483</v>
      </c>
    </row>
    <row r="38" spans="2:25" x14ac:dyDescent="0.2">
      <c r="B38" t="s">
        <v>1372</v>
      </c>
      <c r="C38" t="s">
        <v>1535</v>
      </c>
      <c r="D38" t="s">
        <v>482</v>
      </c>
      <c r="E38" t="s">
        <v>482</v>
      </c>
      <c r="F38" t="s">
        <v>482</v>
      </c>
      <c r="X38" t="s">
        <v>354</v>
      </c>
      <c r="Y38" t="s">
        <v>483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9"/>
  <sheetViews>
    <sheetView topLeftCell="B1" workbookViewId="0">
      <pane ySplit="1" topLeftCell="A2" activePane="bottomLeft" state="frozen"/>
      <selection pane="bottomLeft" activeCell="I9" sqref="I9"/>
    </sheetView>
  </sheetViews>
  <sheetFormatPr baseColWidth="10" defaultColWidth="8.83203125" defaultRowHeight="15" x14ac:dyDescent="0.2"/>
  <cols>
    <col min="1" max="1" width="16" customWidth="1"/>
    <col min="2" max="2" width="46.33203125" customWidth="1"/>
    <col min="3" max="3" width="55.6640625" customWidth="1"/>
    <col min="4" max="4" width="50.6640625" customWidth="1"/>
    <col min="5" max="5" width="61.6640625" customWidth="1"/>
    <col min="6" max="6" width="17" customWidth="1"/>
    <col min="7" max="7" width="18" customWidth="1"/>
  </cols>
  <sheetData>
    <row r="1" spans="1:7" ht="16" x14ac:dyDescent="0.2">
      <c r="A1" s="1" t="s">
        <v>1536</v>
      </c>
      <c r="B1" s="1" t="s">
        <v>1537</v>
      </c>
      <c r="C1" s="1" t="s">
        <v>1538</v>
      </c>
      <c r="D1" s="1" t="s">
        <v>1539</v>
      </c>
      <c r="E1" s="1" t="s">
        <v>1540</v>
      </c>
      <c r="F1" s="1" t="s">
        <v>1541</v>
      </c>
      <c r="G1" s="1" t="s">
        <v>332</v>
      </c>
    </row>
    <row r="2" spans="1:7" x14ac:dyDescent="0.2">
      <c r="A2" t="s">
        <v>1542</v>
      </c>
      <c r="B2" t="s">
        <v>1543</v>
      </c>
      <c r="C2" t="s">
        <v>1544</v>
      </c>
      <c r="D2" t="s">
        <v>1545</v>
      </c>
      <c r="E2" t="s">
        <v>1546</v>
      </c>
      <c r="F2" t="s">
        <v>1547</v>
      </c>
      <c r="G2" t="s">
        <v>355</v>
      </c>
    </row>
    <row r="3" spans="1:7" x14ac:dyDescent="0.2">
      <c r="A3" t="s">
        <v>1548</v>
      </c>
      <c r="B3" t="s">
        <v>1549</v>
      </c>
      <c r="C3" t="s">
        <v>1550</v>
      </c>
      <c r="D3" t="s">
        <v>1551</v>
      </c>
      <c r="E3" t="s">
        <v>1552</v>
      </c>
      <c r="F3" t="s">
        <v>1553</v>
      </c>
      <c r="G3" t="s">
        <v>355</v>
      </c>
    </row>
    <row r="4" spans="1:7" x14ac:dyDescent="0.2">
      <c r="A4" t="s">
        <v>1554</v>
      </c>
      <c r="B4" t="s">
        <v>1555</v>
      </c>
      <c r="C4" t="s">
        <v>1556</v>
      </c>
      <c r="D4" t="s">
        <v>1557</v>
      </c>
      <c r="E4" t="s">
        <v>1558</v>
      </c>
      <c r="F4" t="s">
        <v>1559</v>
      </c>
      <c r="G4" t="s">
        <v>355</v>
      </c>
    </row>
    <row r="5" spans="1:7" x14ac:dyDescent="0.2">
      <c r="A5" t="s">
        <v>1560</v>
      </c>
      <c r="B5" t="s">
        <v>1561</v>
      </c>
      <c r="C5" t="s">
        <v>1562</v>
      </c>
      <c r="D5" t="s">
        <v>1563</v>
      </c>
      <c r="E5" t="s">
        <v>1564</v>
      </c>
      <c r="F5" t="s">
        <v>1565</v>
      </c>
      <c r="G5" t="s">
        <v>355</v>
      </c>
    </row>
    <row r="6" spans="1:7" x14ac:dyDescent="0.2">
      <c r="A6" t="s">
        <v>1566</v>
      </c>
      <c r="B6" t="s">
        <v>1567</v>
      </c>
      <c r="C6" t="s">
        <v>1568</v>
      </c>
      <c r="D6" t="s">
        <v>1569</v>
      </c>
      <c r="E6" t="s">
        <v>1570</v>
      </c>
      <c r="F6" t="s">
        <v>1571</v>
      </c>
      <c r="G6" t="s">
        <v>355</v>
      </c>
    </row>
    <row r="7" spans="1:7" x14ac:dyDescent="0.2">
      <c r="A7" t="s">
        <v>1572</v>
      </c>
      <c r="B7" t="s">
        <v>1573</v>
      </c>
      <c r="C7" t="s">
        <v>1574</v>
      </c>
      <c r="D7" t="s">
        <v>447</v>
      </c>
      <c r="E7" t="s">
        <v>1575</v>
      </c>
      <c r="F7" t="s">
        <v>1576</v>
      </c>
      <c r="G7" t="s">
        <v>355</v>
      </c>
    </row>
    <row r="8" spans="1:7" x14ac:dyDescent="0.2">
      <c r="A8" t="s">
        <v>1577</v>
      </c>
      <c r="B8" t="s">
        <v>1578</v>
      </c>
      <c r="C8" t="s">
        <v>1579</v>
      </c>
      <c r="D8" t="s">
        <v>1580</v>
      </c>
      <c r="E8" t="s">
        <v>1581</v>
      </c>
      <c r="F8" t="s">
        <v>1582</v>
      </c>
      <c r="G8" t="s">
        <v>355</v>
      </c>
    </row>
    <row r="9" spans="1:7" x14ac:dyDescent="0.2">
      <c r="A9" t="s">
        <v>1583</v>
      </c>
      <c r="B9" t="s">
        <v>1584</v>
      </c>
      <c r="C9" t="s">
        <v>1585</v>
      </c>
      <c r="D9" t="s">
        <v>1586</v>
      </c>
      <c r="E9" t="s">
        <v>1587</v>
      </c>
      <c r="F9" t="s">
        <v>1588</v>
      </c>
      <c r="G9" t="s">
        <v>355</v>
      </c>
    </row>
    <row r="10" spans="1:7" x14ac:dyDescent="0.2">
      <c r="A10" t="s">
        <v>1589</v>
      </c>
      <c r="B10" t="s">
        <v>1590</v>
      </c>
      <c r="C10" t="s">
        <v>1585</v>
      </c>
      <c r="D10" t="s">
        <v>1591</v>
      </c>
      <c r="E10" t="s">
        <v>1587</v>
      </c>
      <c r="F10" t="s">
        <v>1588</v>
      </c>
      <c r="G10" t="s">
        <v>355</v>
      </c>
    </row>
    <row r="11" spans="1:7" x14ac:dyDescent="0.2">
      <c r="A11" t="s">
        <v>1592</v>
      </c>
      <c r="B11" t="s">
        <v>1593</v>
      </c>
      <c r="C11" t="s">
        <v>1585</v>
      </c>
      <c r="D11" t="s">
        <v>1594</v>
      </c>
      <c r="E11" t="s">
        <v>1595</v>
      </c>
      <c r="G11" t="s">
        <v>355</v>
      </c>
    </row>
    <row r="12" spans="1:7" x14ac:dyDescent="0.2">
      <c r="A12" t="s">
        <v>1596</v>
      </c>
      <c r="B12" t="s">
        <v>1597</v>
      </c>
      <c r="C12" t="s">
        <v>1598</v>
      </c>
      <c r="D12" t="s">
        <v>1599</v>
      </c>
      <c r="E12" t="s">
        <v>1600</v>
      </c>
      <c r="F12" t="s">
        <v>1601</v>
      </c>
      <c r="G12" t="s">
        <v>355</v>
      </c>
    </row>
    <row r="13" spans="1:7" x14ac:dyDescent="0.2">
      <c r="A13" t="s">
        <v>1602</v>
      </c>
      <c r="B13" t="s">
        <v>1603</v>
      </c>
      <c r="C13" t="s">
        <v>1598</v>
      </c>
      <c r="D13" t="s">
        <v>1604</v>
      </c>
      <c r="E13" t="s">
        <v>1605</v>
      </c>
      <c r="F13" t="s">
        <v>1606</v>
      </c>
      <c r="G13" t="s">
        <v>355</v>
      </c>
    </row>
    <row r="14" spans="1:7" x14ac:dyDescent="0.2">
      <c r="A14" t="s">
        <v>1607</v>
      </c>
      <c r="B14" t="s">
        <v>1608</v>
      </c>
      <c r="C14" t="s">
        <v>1598</v>
      </c>
      <c r="D14" t="s">
        <v>1609</v>
      </c>
      <c r="E14" t="s">
        <v>1610</v>
      </c>
      <c r="F14" t="s">
        <v>1611</v>
      </c>
      <c r="G14" t="s">
        <v>355</v>
      </c>
    </row>
    <row r="15" spans="1:7" x14ac:dyDescent="0.2">
      <c r="A15" t="s">
        <v>1612</v>
      </c>
      <c r="B15" t="s">
        <v>1613</v>
      </c>
      <c r="C15" t="s">
        <v>1614</v>
      </c>
      <c r="D15" t="s">
        <v>1615</v>
      </c>
      <c r="E15" t="s">
        <v>1616</v>
      </c>
      <c r="F15" t="s">
        <v>1617</v>
      </c>
      <c r="G15" t="s">
        <v>355</v>
      </c>
    </row>
    <row r="16" spans="1:7" x14ac:dyDescent="0.2">
      <c r="A16" t="s">
        <v>1618</v>
      </c>
      <c r="B16" t="s">
        <v>1619</v>
      </c>
      <c r="C16" t="s">
        <v>1620</v>
      </c>
      <c r="D16" t="s">
        <v>1621</v>
      </c>
      <c r="E16" t="s">
        <v>1622</v>
      </c>
      <c r="F16" t="s">
        <v>1623</v>
      </c>
      <c r="G16" t="s">
        <v>355</v>
      </c>
    </row>
    <row r="17" spans="1:7" x14ac:dyDescent="0.2">
      <c r="A17" t="s">
        <v>1624</v>
      </c>
      <c r="B17" t="s">
        <v>1625</v>
      </c>
      <c r="C17" t="s">
        <v>1620</v>
      </c>
      <c r="D17" t="s">
        <v>1626</v>
      </c>
      <c r="E17" t="s">
        <v>1627</v>
      </c>
      <c r="F17" t="s">
        <v>1628</v>
      </c>
      <c r="G17" t="s">
        <v>355</v>
      </c>
    </row>
    <row r="18" spans="1:7" x14ac:dyDescent="0.2">
      <c r="A18" t="s">
        <v>1629</v>
      </c>
      <c r="B18" t="s">
        <v>1630</v>
      </c>
      <c r="C18" t="s">
        <v>1631</v>
      </c>
      <c r="D18" t="s">
        <v>1632</v>
      </c>
      <c r="E18" t="s">
        <v>1633</v>
      </c>
      <c r="F18" t="s">
        <v>1634</v>
      </c>
      <c r="G18" t="s">
        <v>355</v>
      </c>
    </row>
    <row r="19" spans="1:7" x14ac:dyDescent="0.2">
      <c r="A19" t="s">
        <v>1635</v>
      </c>
      <c r="B19" t="s">
        <v>1636</v>
      </c>
      <c r="C19" t="s">
        <v>1637</v>
      </c>
      <c r="D19" t="s">
        <v>1638</v>
      </c>
      <c r="E19" t="s">
        <v>1639</v>
      </c>
      <c r="F19" t="s">
        <v>1640</v>
      </c>
      <c r="G19" t="s">
        <v>355</v>
      </c>
    </row>
    <row r="20" spans="1:7" x14ac:dyDescent="0.2">
      <c r="A20" t="s">
        <v>1641</v>
      </c>
      <c r="B20" t="s">
        <v>1642</v>
      </c>
      <c r="C20" t="s">
        <v>1620</v>
      </c>
      <c r="D20" t="s">
        <v>1643</v>
      </c>
      <c r="E20" t="s">
        <v>1644</v>
      </c>
      <c r="F20" t="s">
        <v>1645</v>
      </c>
      <c r="G20" t="s">
        <v>355</v>
      </c>
    </row>
    <row r="21" spans="1:7" x14ac:dyDescent="0.2">
      <c r="A21" t="s">
        <v>1646</v>
      </c>
      <c r="B21" t="s">
        <v>1647</v>
      </c>
      <c r="C21" t="s">
        <v>1648</v>
      </c>
      <c r="D21" t="s">
        <v>1649</v>
      </c>
      <c r="E21" t="s">
        <v>1650</v>
      </c>
      <c r="F21" t="s">
        <v>1651</v>
      </c>
      <c r="G21" t="s">
        <v>355</v>
      </c>
    </row>
    <row r="22" spans="1:7" x14ac:dyDescent="0.2">
      <c r="A22" t="s">
        <v>1652</v>
      </c>
      <c r="B22" t="s">
        <v>1653</v>
      </c>
      <c r="C22" t="s">
        <v>1620</v>
      </c>
      <c r="D22" t="s">
        <v>1654</v>
      </c>
      <c r="E22" t="s">
        <v>1655</v>
      </c>
      <c r="F22" t="s">
        <v>1656</v>
      </c>
      <c r="G22" t="s">
        <v>355</v>
      </c>
    </row>
    <row r="23" spans="1:7" x14ac:dyDescent="0.2">
      <c r="A23" t="s">
        <v>1657</v>
      </c>
      <c r="B23" t="s">
        <v>1658</v>
      </c>
      <c r="C23" t="s">
        <v>1620</v>
      </c>
      <c r="D23" t="s">
        <v>1659</v>
      </c>
      <c r="E23" t="s">
        <v>1660</v>
      </c>
      <c r="F23" t="s">
        <v>1661</v>
      </c>
      <c r="G23" t="s">
        <v>355</v>
      </c>
    </row>
    <row r="24" spans="1:7" x14ac:dyDescent="0.2">
      <c r="A24" t="s">
        <v>1662</v>
      </c>
      <c r="B24" t="s">
        <v>1663</v>
      </c>
      <c r="C24" t="s">
        <v>1631</v>
      </c>
      <c r="D24" t="s">
        <v>1664</v>
      </c>
      <c r="E24" t="s">
        <v>1665</v>
      </c>
      <c r="F24" t="s">
        <v>1666</v>
      </c>
      <c r="G24" t="s">
        <v>355</v>
      </c>
    </row>
    <row r="25" spans="1:7" x14ac:dyDescent="0.2">
      <c r="A25" t="s">
        <v>1667</v>
      </c>
      <c r="B25" t="s">
        <v>1668</v>
      </c>
      <c r="C25" t="s">
        <v>1669</v>
      </c>
      <c r="D25" t="s">
        <v>1670</v>
      </c>
      <c r="E25" t="s">
        <v>1671</v>
      </c>
      <c r="F25" t="s">
        <v>1672</v>
      </c>
      <c r="G25" t="s">
        <v>355</v>
      </c>
    </row>
    <row r="26" spans="1:7" x14ac:dyDescent="0.2">
      <c r="A26" t="s">
        <v>1673</v>
      </c>
      <c r="B26" t="s">
        <v>1674</v>
      </c>
      <c r="C26" t="s">
        <v>1620</v>
      </c>
      <c r="D26" t="s">
        <v>1675</v>
      </c>
      <c r="E26" t="s">
        <v>1676</v>
      </c>
      <c r="F26" t="s">
        <v>1677</v>
      </c>
      <c r="G26" t="s">
        <v>355</v>
      </c>
    </row>
    <row r="27" spans="1:7" x14ac:dyDescent="0.2">
      <c r="A27" t="s">
        <v>1678</v>
      </c>
      <c r="B27" t="s">
        <v>1679</v>
      </c>
      <c r="C27" t="s">
        <v>1620</v>
      </c>
      <c r="D27" t="s">
        <v>1680</v>
      </c>
      <c r="E27" t="s">
        <v>1681</v>
      </c>
      <c r="F27" t="s">
        <v>1682</v>
      </c>
      <c r="G27" t="s">
        <v>355</v>
      </c>
    </row>
    <row r="28" spans="1:7" x14ac:dyDescent="0.2">
      <c r="A28" t="s">
        <v>1683</v>
      </c>
      <c r="B28" t="s">
        <v>1684</v>
      </c>
      <c r="C28" t="s">
        <v>1620</v>
      </c>
      <c r="D28" t="s">
        <v>1685</v>
      </c>
      <c r="E28" t="s">
        <v>1686</v>
      </c>
      <c r="F28" t="s">
        <v>1687</v>
      </c>
      <c r="G28" t="s">
        <v>355</v>
      </c>
    </row>
    <row r="29" spans="1:7" x14ac:dyDescent="0.2">
      <c r="A29" t="s">
        <v>1688</v>
      </c>
      <c r="B29" t="s">
        <v>1689</v>
      </c>
      <c r="C29" t="s">
        <v>1690</v>
      </c>
      <c r="D29" t="s">
        <v>1691</v>
      </c>
      <c r="E29" t="s">
        <v>1692</v>
      </c>
      <c r="F29" t="s">
        <v>1640</v>
      </c>
      <c r="G29" t="s">
        <v>355</v>
      </c>
    </row>
    <row r="30" spans="1:7" x14ac:dyDescent="0.2">
      <c r="A30" t="s">
        <v>1693</v>
      </c>
      <c r="B30" t="s">
        <v>1694</v>
      </c>
      <c r="C30" t="s">
        <v>1695</v>
      </c>
      <c r="D30" t="s">
        <v>1696</v>
      </c>
      <c r="E30" t="s">
        <v>1644</v>
      </c>
      <c r="F30" t="s">
        <v>1645</v>
      </c>
      <c r="G30" t="s">
        <v>355</v>
      </c>
    </row>
    <row r="31" spans="1:7" x14ac:dyDescent="0.2">
      <c r="A31" t="s">
        <v>1697</v>
      </c>
      <c r="B31" t="s">
        <v>1698</v>
      </c>
      <c r="C31" t="s">
        <v>1631</v>
      </c>
      <c r="D31" t="s">
        <v>1699</v>
      </c>
      <c r="E31" t="s">
        <v>1700</v>
      </c>
      <c r="F31" t="s">
        <v>1701</v>
      </c>
      <c r="G31" t="s">
        <v>355</v>
      </c>
    </row>
    <row r="32" spans="1:7" x14ac:dyDescent="0.2">
      <c r="A32" t="s">
        <v>1702</v>
      </c>
      <c r="B32" t="s">
        <v>1703</v>
      </c>
      <c r="C32" t="s">
        <v>1704</v>
      </c>
      <c r="D32" t="s">
        <v>1705</v>
      </c>
      <c r="E32" t="s">
        <v>1706</v>
      </c>
      <c r="F32" t="s">
        <v>1707</v>
      </c>
      <c r="G32" t="s">
        <v>355</v>
      </c>
    </row>
    <row r="33" spans="1:7" x14ac:dyDescent="0.2">
      <c r="A33" t="s">
        <v>1708</v>
      </c>
      <c r="B33" t="s">
        <v>1709</v>
      </c>
      <c r="C33" t="s">
        <v>1710</v>
      </c>
      <c r="D33" t="s">
        <v>1711</v>
      </c>
      <c r="E33" t="s">
        <v>1712</v>
      </c>
      <c r="F33" t="s">
        <v>1672</v>
      </c>
      <c r="G33" t="s">
        <v>355</v>
      </c>
    </row>
    <row r="34" spans="1:7" x14ac:dyDescent="0.2">
      <c r="A34" t="s">
        <v>1713</v>
      </c>
      <c r="B34" t="s">
        <v>1714</v>
      </c>
      <c r="C34" t="s">
        <v>1715</v>
      </c>
      <c r="D34" t="s">
        <v>1716</v>
      </c>
      <c r="E34" t="s">
        <v>1717</v>
      </c>
      <c r="F34" t="s">
        <v>1718</v>
      </c>
      <c r="G34" t="s">
        <v>355</v>
      </c>
    </row>
    <row r="35" spans="1:7" x14ac:dyDescent="0.2">
      <c r="A35" t="s">
        <v>1719</v>
      </c>
      <c r="B35" t="s">
        <v>1720</v>
      </c>
      <c r="C35" t="s">
        <v>1721</v>
      </c>
      <c r="D35" t="s">
        <v>1722</v>
      </c>
      <c r="E35" t="s">
        <v>1723</v>
      </c>
      <c r="F35" t="s">
        <v>1724</v>
      </c>
      <c r="G35" t="s">
        <v>355</v>
      </c>
    </row>
    <row r="36" spans="1:7" x14ac:dyDescent="0.2">
      <c r="A36" t="s">
        <v>1725</v>
      </c>
      <c r="B36" t="s">
        <v>1726</v>
      </c>
      <c r="C36" t="s">
        <v>1727</v>
      </c>
      <c r="D36" t="s">
        <v>1728</v>
      </c>
      <c r="E36" t="s">
        <v>1729</v>
      </c>
      <c r="F36" t="s">
        <v>1730</v>
      </c>
      <c r="G36" t="s">
        <v>355</v>
      </c>
    </row>
    <row r="37" spans="1:7" x14ac:dyDescent="0.2">
      <c r="A37" t="s">
        <v>1731</v>
      </c>
      <c r="B37" t="s">
        <v>1732</v>
      </c>
      <c r="C37" t="s">
        <v>1727</v>
      </c>
      <c r="D37" t="s">
        <v>1728</v>
      </c>
      <c r="E37" t="s">
        <v>1733</v>
      </c>
      <c r="F37" t="s">
        <v>1734</v>
      </c>
      <c r="G37" t="s">
        <v>355</v>
      </c>
    </row>
    <row r="38" spans="1:7" x14ac:dyDescent="0.2">
      <c r="A38" t="s">
        <v>1735</v>
      </c>
      <c r="B38" t="s">
        <v>1736</v>
      </c>
      <c r="C38" t="s">
        <v>1737</v>
      </c>
      <c r="D38" t="s">
        <v>1738</v>
      </c>
      <c r="E38" t="s">
        <v>1733</v>
      </c>
      <c r="F38" t="s">
        <v>1734</v>
      </c>
      <c r="G38" t="s">
        <v>355</v>
      </c>
    </row>
    <row r="39" spans="1:7" x14ac:dyDescent="0.2">
      <c r="A39" t="s">
        <v>1739</v>
      </c>
      <c r="B39" t="s">
        <v>1740</v>
      </c>
      <c r="C39" t="s">
        <v>1741</v>
      </c>
      <c r="D39" t="s">
        <v>1742</v>
      </c>
      <c r="E39" t="s">
        <v>1733</v>
      </c>
      <c r="F39" t="s">
        <v>1734</v>
      </c>
      <c r="G39" t="s">
        <v>355</v>
      </c>
    </row>
    <row r="40" spans="1:7" x14ac:dyDescent="0.2">
      <c r="A40" t="s">
        <v>1743</v>
      </c>
      <c r="B40" t="s">
        <v>1744</v>
      </c>
      <c r="C40" t="s">
        <v>1727</v>
      </c>
      <c r="D40" t="s">
        <v>1745</v>
      </c>
      <c r="E40" t="s">
        <v>1746</v>
      </c>
      <c r="F40" t="s">
        <v>1747</v>
      </c>
      <c r="G40" t="s">
        <v>355</v>
      </c>
    </row>
    <row r="41" spans="1:7" x14ac:dyDescent="0.2">
      <c r="A41" t="s">
        <v>1748</v>
      </c>
      <c r="B41" t="s">
        <v>1749</v>
      </c>
      <c r="C41" t="s">
        <v>1727</v>
      </c>
      <c r="D41" t="s">
        <v>1750</v>
      </c>
      <c r="E41" t="s">
        <v>1660</v>
      </c>
      <c r="F41" t="s">
        <v>1661</v>
      </c>
      <c r="G41" t="s">
        <v>355</v>
      </c>
    </row>
    <row r="42" spans="1:7" x14ac:dyDescent="0.2">
      <c r="A42" t="s">
        <v>1751</v>
      </c>
      <c r="B42" t="s">
        <v>1752</v>
      </c>
      <c r="C42" t="s">
        <v>1753</v>
      </c>
      <c r="D42" t="s">
        <v>1754</v>
      </c>
      <c r="E42" t="s">
        <v>1755</v>
      </c>
      <c r="F42" t="s">
        <v>1756</v>
      </c>
      <c r="G42" t="s">
        <v>355</v>
      </c>
    </row>
    <row r="43" spans="1:7" x14ac:dyDescent="0.2">
      <c r="A43" t="s">
        <v>1757</v>
      </c>
      <c r="B43" t="s">
        <v>1758</v>
      </c>
      <c r="C43" t="s">
        <v>1727</v>
      </c>
      <c r="D43" t="s">
        <v>1759</v>
      </c>
      <c r="E43" t="s">
        <v>1733</v>
      </c>
      <c r="F43" t="s">
        <v>1734</v>
      </c>
      <c r="G43" t="s">
        <v>355</v>
      </c>
    </row>
    <row r="44" spans="1:7" x14ac:dyDescent="0.2">
      <c r="A44" t="s">
        <v>1760</v>
      </c>
      <c r="B44" t="s">
        <v>1761</v>
      </c>
      <c r="C44" t="s">
        <v>1727</v>
      </c>
      <c r="D44" t="s">
        <v>1762</v>
      </c>
      <c r="E44" t="s">
        <v>1763</v>
      </c>
      <c r="F44" t="s">
        <v>1764</v>
      </c>
      <c r="G44" t="s">
        <v>355</v>
      </c>
    </row>
    <row r="45" spans="1:7" x14ac:dyDescent="0.2">
      <c r="A45" t="s">
        <v>1765</v>
      </c>
      <c r="B45" t="s">
        <v>1766</v>
      </c>
      <c r="C45" t="s">
        <v>1767</v>
      </c>
      <c r="D45" t="s">
        <v>1768</v>
      </c>
      <c r="E45" t="s">
        <v>1644</v>
      </c>
      <c r="F45" t="s">
        <v>1645</v>
      </c>
      <c r="G45" t="s">
        <v>355</v>
      </c>
    </row>
    <row r="46" spans="1:7" x14ac:dyDescent="0.2">
      <c r="A46" t="s">
        <v>1769</v>
      </c>
      <c r="B46" t="s">
        <v>1770</v>
      </c>
      <c r="C46" t="s">
        <v>1727</v>
      </c>
      <c r="D46" t="s">
        <v>1771</v>
      </c>
      <c r="E46" t="s">
        <v>1772</v>
      </c>
      <c r="F46" t="s">
        <v>1773</v>
      </c>
      <c r="G46" t="s">
        <v>355</v>
      </c>
    </row>
    <row r="47" spans="1:7" x14ac:dyDescent="0.2">
      <c r="A47" t="s">
        <v>1774</v>
      </c>
      <c r="B47" t="s">
        <v>1775</v>
      </c>
      <c r="C47" t="s">
        <v>1727</v>
      </c>
      <c r="D47" t="s">
        <v>1776</v>
      </c>
      <c r="E47" t="s">
        <v>1777</v>
      </c>
      <c r="F47" t="s">
        <v>1778</v>
      </c>
      <c r="G47" t="s">
        <v>355</v>
      </c>
    </row>
    <row r="48" spans="1:7" x14ac:dyDescent="0.2">
      <c r="A48" t="s">
        <v>1779</v>
      </c>
      <c r="B48" t="s">
        <v>1780</v>
      </c>
      <c r="C48" t="s">
        <v>1727</v>
      </c>
      <c r="D48" t="s">
        <v>1781</v>
      </c>
      <c r="E48" t="s">
        <v>1782</v>
      </c>
      <c r="F48" t="s">
        <v>1783</v>
      </c>
      <c r="G48" t="s">
        <v>355</v>
      </c>
    </row>
    <row r="49" spans="1:7" x14ac:dyDescent="0.2">
      <c r="A49" t="s">
        <v>1784</v>
      </c>
      <c r="B49" t="s">
        <v>1785</v>
      </c>
      <c r="C49" t="s">
        <v>1786</v>
      </c>
      <c r="D49" t="s">
        <v>1787</v>
      </c>
      <c r="E49" t="s">
        <v>1788</v>
      </c>
      <c r="F49" t="s">
        <v>1789</v>
      </c>
      <c r="G49" t="s">
        <v>355</v>
      </c>
    </row>
  </sheetData>
  <autoFilter ref="A1:G49" xr:uid="{00000000-0001-0000-0900-000000000000}"/>
  <pageMargins left="0.75" right="0.75" top="1" bottom="1" header="0.5" footer="0.5"/>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1"/>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34" customWidth="1"/>
    <col min="3" max="3" width="60" customWidth="1"/>
    <col min="4" max="6" width="44" customWidth="1"/>
    <col min="7" max="7" width="26" customWidth="1"/>
  </cols>
  <sheetData>
    <row r="1" spans="1:7" ht="16" x14ac:dyDescent="0.2">
      <c r="A1" s="1" t="s">
        <v>1790</v>
      </c>
      <c r="B1" s="1" t="s">
        <v>1791</v>
      </c>
      <c r="C1" s="1" t="s">
        <v>1792</v>
      </c>
      <c r="D1" s="1" t="s">
        <v>1793</v>
      </c>
      <c r="E1" s="1" t="s">
        <v>1794</v>
      </c>
      <c r="F1" s="1" t="s">
        <v>1795</v>
      </c>
      <c r="G1" s="1" t="s">
        <v>1796</v>
      </c>
    </row>
    <row r="2" spans="1:7" ht="32" x14ac:dyDescent="0.2">
      <c r="A2" s="3" t="s">
        <v>1797</v>
      </c>
      <c r="B2" s="3" t="s">
        <v>1798</v>
      </c>
      <c r="C2" s="3" t="s">
        <v>1799</v>
      </c>
      <c r="D2" s="3" t="s">
        <v>1800</v>
      </c>
      <c r="E2" s="3" t="s">
        <v>1801</v>
      </c>
      <c r="F2" s="3" t="s">
        <v>1802</v>
      </c>
      <c r="G2" s="3" t="s">
        <v>1803</v>
      </c>
    </row>
    <row r="3" spans="1:7" ht="32" x14ac:dyDescent="0.2">
      <c r="A3" s="3" t="s">
        <v>1797</v>
      </c>
      <c r="B3" s="3" t="s">
        <v>1804</v>
      </c>
      <c r="C3" s="3" t="s">
        <v>1805</v>
      </c>
      <c r="D3" s="3" t="s">
        <v>482</v>
      </c>
      <c r="E3" s="3" t="s">
        <v>1806</v>
      </c>
      <c r="F3" s="3" t="s">
        <v>1807</v>
      </c>
      <c r="G3" s="3" t="s">
        <v>1808</v>
      </c>
    </row>
    <row r="4" spans="1:7" ht="32" x14ac:dyDescent="0.2">
      <c r="A4" s="3" t="s">
        <v>1797</v>
      </c>
      <c r="B4" s="3" t="s">
        <v>1809</v>
      </c>
      <c r="C4" s="3" t="s">
        <v>1810</v>
      </c>
      <c r="D4" s="3" t="s">
        <v>482</v>
      </c>
      <c r="E4" s="3" t="s">
        <v>1811</v>
      </c>
      <c r="F4" s="3" t="s">
        <v>1807</v>
      </c>
      <c r="G4" s="3" t="s">
        <v>1812</v>
      </c>
    </row>
    <row r="5" spans="1:7" ht="32" x14ac:dyDescent="0.2">
      <c r="A5" s="3" t="s">
        <v>1797</v>
      </c>
      <c r="B5" s="3" t="s">
        <v>1813</v>
      </c>
      <c r="C5" s="3" t="s">
        <v>1814</v>
      </c>
      <c r="D5" s="3" t="s">
        <v>482</v>
      </c>
      <c r="E5" s="3" t="s">
        <v>1815</v>
      </c>
      <c r="F5" s="3" t="s">
        <v>1807</v>
      </c>
      <c r="G5" s="3" t="s">
        <v>1816</v>
      </c>
    </row>
    <row r="6" spans="1:7" ht="32" x14ac:dyDescent="0.2">
      <c r="A6" s="3" t="s">
        <v>1817</v>
      </c>
      <c r="B6" s="3" t="s">
        <v>1818</v>
      </c>
      <c r="C6" s="3" t="s">
        <v>1819</v>
      </c>
      <c r="D6" s="3" t="s">
        <v>482</v>
      </c>
      <c r="E6" s="3" t="s">
        <v>1820</v>
      </c>
      <c r="F6" s="3" t="s">
        <v>1821</v>
      </c>
      <c r="G6" s="3" t="s">
        <v>1816</v>
      </c>
    </row>
    <row r="7" spans="1:7" ht="16" x14ac:dyDescent="0.2">
      <c r="A7" s="3" t="s">
        <v>1822</v>
      </c>
      <c r="B7" s="3" t="s">
        <v>1813</v>
      </c>
      <c r="C7" s="3" t="s">
        <v>1823</v>
      </c>
      <c r="D7" s="3" t="s">
        <v>482</v>
      </c>
      <c r="E7" s="3" t="s">
        <v>1824</v>
      </c>
      <c r="F7" s="3" t="s">
        <v>1825</v>
      </c>
      <c r="G7" s="3" t="s">
        <v>1816</v>
      </c>
    </row>
    <row r="8" spans="1:7" ht="16" x14ac:dyDescent="0.2">
      <c r="A8" s="3" t="s">
        <v>1826</v>
      </c>
      <c r="B8" s="3" t="s">
        <v>1827</v>
      </c>
      <c r="C8" s="3" t="s">
        <v>1828</v>
      </c>
      <c r="D8" s="3" t="s">
        <v>482</v>
      </c>
      <c r="E8" s="3" t="s">
        <v>1829</v>
      </c>
      <c r="F8" s="3" t="s">
        <v>1830</v>
      </c>
      <c r="G8" s="3" t="s">
        <v>1816</v>
      </c>
    </row>
    <row r="9" spans="1:7" ht="16" x14ac:dyDescent="0.2">
      <c r="A9" s="3" t="s">
        <v>1831</v>
      </c>
      <c r="B9" s="3" t="s">
        <v>1832</v>
      </c>
      <c r="C9" s="3" t="s">
        <v>1833</v>
      </c>
      <c r="D9" s="3" t="s">
        <v>482</v>
      </c>
      <c r="E9" s="3" t="s">
        <v>1834</v>
      </c>
      <c r="F9" s="3" t="s">
        <v>1807</v>
      </c>
      <c r="G9" s="3" t="s">
        <v>1816</v>
      </c>
    </row>
    <row r="10" spans="1:7" ht="32" x14ac:dyDescent="0.2">
      <c r="A10" s="3" t="s">
        <v>1835</v>
      </c>
      <c r="B10" s="3" t="s">
        <v>1836</v>
      </c>
      <c r="C10" s="3" t="s">
        <v>1837</v>
      </c>
      <c r="D10" s="3" t="s">
        <v>1838</v>
      </c>
      <c r="E10" s="3" t="s">
        <v>1839</v>
      </c>
      <c r="F10" s="3" t="s">
        <v>1840</v>
      </c>
      <c r="G10" s="3" t="s">
        <v>1841</v>
      </c>
    </row>
    <row r="11" spans="1:7" ht="32" x14ac:dyDescent="0.2">
      <c r="A11" s="3" t="s">
        <v>1835</v>
      </c>
      <c r="B11" s="3" t="s">
        <v>1842</v>
      </c>
      <c r="C11" s="3" t="s">
        <v>1843</v>
      </c>
      <c r="D11" s="3" t="s">
        <v>1844</v>
      </c>
      <c r="E11" s="3" t="s">
        <v>1839</v>
      </c>
      <c r="F11" s="3" t="s">
        <v>1845</v>
      </c>
      <c r="G11" s="3" t="s">
        <v>1841</v>
      </c>
    </row>
    <row r="12" spans="1:7" ht="16" x14ac:dyDescent="0.2">
      <c r="A12" s="3" t="s">
        <v>1835</v>
      </c>
      <c r="B12" s="3" t="s">
        <v>1846</v>
      </c>
      <c r="C12" s="3" t="s">
        <v>1847</v>
      </c>
      <c r="D12" s="3" t="s">
        <v>1848</v>
      </c>
      <c r="E12" s="3" t="s">
        <v>1839</v>
      </c>
      <c r="F12" s="3" t="s">
        <v>1849</v>
      </c>
      <c r="G12" s="3" t="s">
        <v>1841</v>
      </c>
    </row>
    <row r="13" spans="1:7" ht="16" x14ac:dyDescent="0.2">
      <c r="A13" s="3" t="s">
        <v>1835</v>
      </c>
      <c r="B13" s="3" t="s">
        <v>1850</v>
      </c>
      <c r="C13" s="3" t="s">
        <v>1851</v>
      </c>
      <c r="D13" s="3" t="s">
        <v>1668</v>
      </c>
      <c r="E13" s="3" t="s">
        <v>1839</v>
      </c>
      <c r="F13" s="3" t="s">
        <v>1852</v>
      </c>
      <c r="G13" s="3" t="s">
        <v>1841</v>
      </c>
    </row>
    <row r="14" spans="1:7" ht="16" x14ac:dyDescent="0.2">
      <c r="A14" s="3" t="s">
        <v>1835</v>
      </c>
      <c r="B14" s="3" t="s">
        <v>1853</v>
      </c>
      <c r="C14" s="3" t="s">
        <v>1854</v>
      </c>
      <c r="D14" s="3" t="s">
        <v>1663</v>
      </c>
      <c r="E14" s="3" t="s">
        <v>1839</v>
      </c>
      <c r="F14" s="3" t="s">
        <v>1855</v>
      </c>
      <c r="G14" s="3" t="s">
        <v>1841</v>
      </c>
    </row>
    <row r="15" spans="1:7" ht="16" x14ac:dyDescent="0.2">
      <c r="A15" s="3" t="s">
        <v>1835</v>
      </c>
      <c r="B15" s="3" t="s">
        <v>1856</v>
      </c>
      <c r="C15" s="3" t="s">
        <v>1857</v>
      </c>
      <c r="D15" s="3" t="s">
        <v>1858</v>
      </c>
      <c r="E15" s="3" t="s">
        <v>1839</v>
      </c>
      <c r="F15" s="3" t="s">
        <v>1859</v>
      </c>
      <c r="G15" s="3" t="s">
        <v>1841</v>
      </c>
    </row>
    <row r="16" spans="1:7" ht="16" x14ac:dyDescent="0.2">
      <c r="A16" s="3" t="s">
        <v>1835</v>
      </c>
      <c r="B16" s="3" t="s">
        <v>1860</v>
      </c>
      <c r="C16" s="3" t="s">
        <v>1861</v>
      </c>
      <c r="D16" s="3" t="s">
        <v>1862</v>
      </c>
      <c r="E16" s="3" t="s">
        <v>1863</v>
      </c>
      <c r="F16" s="3" t="s">
        <v>1864</v>
      </c>
      <c r="G16" s="3" t="s">
        <v>1841</v>
      </c>
    </row>
    <row r="17" spans="1:7" ht="16" x14ac:dyDescent="0.2">
      <c r="A17" s="3" t="s">
        <v>1835</v>
      </c>
      <c r="B17" s="3" t="s">
        <v>1865</v>
      </c>
      <c r="C17" s="3" t="s">
        <v>1866</v>
      </c>
      <c r="D17" s="3" t="s">
        <v>1867</v>
      </c>
      <c r="E17" s="3" t="s">
        <v>1868</v>
      </c>
      <c r="F17" s="3" t="s">
        <v>1869</v>
      </c>
      <c r="G17" s="3" t="s">
        <v>1841</v>
      </c>
    </row>
    <row r="18" spans="1:7" ht="32" x14ac:dyDescent="0.2">
      <c r="A18" s="3" t="s">
        <v>1835</v>
      </c>
      <c r="B18" s="3" t="s">
        <v>1870</v>
      </c>
      <c r="C18" s="3" t="s">
        <v>1871</v>
      </c>
      <c r="D18" s="3" t="s">
        <v>1872</v>
      </c>
      <c r="E18" s="3" t="s">
        <v>1839</v>
      </c>
      <c r="F18" s="3" t="s">
        <v>1807</v>
      </c>
      <c r="G18" s="3" t="s">
        <v>1841</v>
      </c>
    </row>
    <row r="19" spans="1:7" ht="16" x14ac:dyDescent="0.2">
      <c r="A19" s="3" t="s">
        <v>1835</v>
      </c>
      <c r="B19" s="3" t="s">
        <v>1873</v>
      </c>
      <c r="C19" s="3" t="s">
        <v>1874</v>
      </c>
      <c r="D19" s="3" t="s">
        <v>1875</v>
      </c>
      <c r="E19" s="3" t="s">
        <v>1839</v>
      </c>
      <c r="F19" s="3" t="s">
        <v>1807</v>
      </c>
      <c r="G19" s="3" t="s">
        <v>1841</v>
      </c>
    </row>
    <row r="20" spans="1:7" ht="16" x14ac:dyDescent="0.2">
      <c r="A20" s="3" t="s">
        <v>1835</v>
      </c>
      <c r="B20" s="3" t="s">
        <v>1876</v>
      </c>
      <c r="C20" s="3" t="s">
        <v>1877</v>
      </c>
      <c r="D20" s="3" t="s">
        <v>1878</v>
      </c>
      <c r="E20" s="3" t="s">
        <v>1879</v>
      </c>
      <c r="F20" s="3" t="s">
        <v>1880</v>
      </c>
      <c r="G20" s="3" t="s">
        <v>1841</v>
      </c>
    </row>
    <row r="21" spans="1:7" ht="16" x14ac:dyDescent="0.2">
      <c r="A21" s="3" t="s">
        <v>1835</v>
      </c>
      <c r="B21" s="3" t="s">
        <v>1881</v>
      </c>
      <c r="C21" s="3" t="s">
        <v>1882</v>
      </c>
      <c r="D21" s="3" t="s">
        <v>1883</v>
      </c>
      <c r="E21" s="3" t="s">
        <v>1839</v>
      </c>
      <c r="F21" s="3" t="s">
        <v>1884</v>
      </c>
      <c r="G21" s="3" t="s">
        <v>1841</v>
      </c>
    </row>
    <row r="22" spans="1:7" ht="16" x14ac:dyDescent="0.2">
      <c r="A22" s="3" t="s">
        <v>1835</v>
      </c>
      <c r="B22" s="3" t="s">
        <v>1885</v>
      </c>
      <c r="C22" s="3" t="s">
        <v>1886</v>
      </c>
      <c r="D22" s="3" t="s">
        <v>1887</v>
      </c>
      <c r="E22" s="3" t="s">
        <v>1839</v>
      </c>
      <c r="F22" s="3" t="s">
        <v>1888</v>
      </c>
      <c r="G22" s="3" t="s">
        <v>1841</v>
      </c>
    </row>
    <row r="23" spans="1:7" ht="32" x14ac:dyDescent="0.2">
      <c r="A23" s="3" t="s">
        <v>1835</v>
      </c>
      <c r="B23" s="3" t="s">
        <v>1889</v>
      </c>
      <c r="C23" s="3" t="s">
        <v>1890</v>
      </c>
      <c r="D23" s="3" t="s">
        <v>1891</v>
      </c>
      <c r="E23" s="3" t="s">
        <v>1839</v>
      </c>
      <c r="F23" s="3" t="s">
        <v>1892</v>
      </c>
      <c r="G23" s="3" t="s">
        <v>1841</v>
      </c>
    </row>
    <row r="24" spans="1:7" ht="16" x14ac:dyDescent="0.2">
      <c r="A24" s="3" t="s">
        <v>1835</v>
      </c>
      <c r="B24" s="3" t="s">
        <v>1893</v>
      </c>
      <c r="C24" s="3" t="s">
        <v>1894</v>
      </c>
      <c r="D24" s="3" t="s">
        <v>1895</v>
      </c>
      <c r="E24" s="3" t="s">
        <v>1896</v>
      </c>
      <c r="F24" s="3" t="s">
        <v>1897</v>
      </c>
      <c r="G24" s="3" t="s">
        <v>1841</v>
      </c>
    </row>
    <row r="25" spans="1:7" ht="16" x14ac:dyDescent="0.2">
      <c r="A25" s="3" t="s">
        <v>1835</v>
      </c>
      <c r="B25" s="3" t="s">
        <v>1898</v>
      </c>
      <c r="C25" s="3" t="s">
        <v>1899</v>
      </c>
      <c r="D25" s="3" t="s">
        <v>482</v>
      </c>
      <c r="E25" s="3" t="s">
        <v>1900</v>
      </c>
      <c r="F25" s="3" t="s">
        <v>1901</v>
      </c>
      <c r="G25" s="3" t="s">
        <v>1841</v>
      </c>
    </row>
    <row r="26" spans="1:7" ht="32" x14ac:dyDescent="0.2">
      <c r="A26" s="3" t="s">
        <v>1835</v>
      </c>
      <c r="B26" s="3" t="s">
        <v>1902</v>
      </c>
      <c r="C26" s="3" t="s">
        <v>1903</v>
      </c>
      <c r="D26" s="3" t="s">
        <v>482</v>
      </c>
      <c r="E26" s="3" t="s">
        <v>1839</v>
      </c>
      <c r="F26" s="3" t="s">
        <v>1807</v>
      </c>
      <c r="G26" s="3" t="s">
        <v>1841</v>
      </c>
    </row>
    <row r="27" spans="1:7" ht="48" x14ac:dyDescent="0.2">
      <c r="A27" s="3" t="s">
        <v>1904</v>
      </c>
      <c r="B27" s="3" t="s">
        <v>1905</v>
      </c>
      <c r="C27" s="3" t="s">
        <v>1906</v>
      </c>
      <c r="D27" s="3" t="s">
        <v>1907</v>
      </c>
      <c r="E27" s="3" t="s">
        <v>1868</v>
      </c>
      <c r="F27" s="3" t="s">
        <v>1908</v>
      </c>
      <c r="G27" s="3" t="s">
        <v>1909</v>
      </c>
    </row>
    <row r="28" spans="1:7" ht="32" x14ac:dyDescent="0.2">
      <c r="A28" s="3" t="s">
        <v>1904</v>
      </c>
      <c r="B28" s="3" t="s">
        <v>1910</v>
      </c>
      <c r="C28" s="3" t="s">
        <v>1911</v>
      </c>
      <c r="D28" s="3" t="s">
        <v>1912</v>
      </c>
      <c r="E28" s="3" t="s">
        <v>1868</v>
      </c>
      <c r="F28" s="3" t="s">
        <v>1869</v>
      </c>
      <c r="G28" s="3" t="s">
        <v>1909</v>
      </c>
    </row>
    <row r="29" spans="1:7" ht="48" x14ac:dyDescent="0.2">
      <c r="A29" s="3" t="s">
        <v>1904</v>
      </c>
      <c r="B29" s="3" t="s">
        <v>1913</v>
      </c>
      <c r="C29" s="3" t="s">
        <v>1914</v>
      </c>
      <c r="D29" s="3" t="s">
        <v>1915</v>
      </c>
      <c r="E29" s="3" t="s">
        <v>1916</v>
      </c>
      <c r="F29" s="3" t="s">
        <v>1917</v>
      </c>
      <c r="G29" s="3" t="s">
        <v>1909</v>
      </c>
    </row>
    <row r="30" spans="1:7" ht="16" x14ac:dyDescent="0.2">
      <c r="A30" s="3" t="s">
        <v>1918</v>
      </c>
      <c r="B30" s="3" t="s">
        <v>1919</v>
      </c>
      <c r="C30" s="3" t="s">
        <v>1920</v>
      </c>
      <c r="D30" s="3" t="s">
        <v>1921</v>
      </c>
      <c r="E30" s="3" t="s">
        <v>1922</v>
      </c>
      <c r="F30" s="3" t="s">
        <v>482</v>
      </c>
      <c r="G30" s="3" t="s">
        <v>482</v>
      </c>
    </row>
    <row r="31" spans="1:7" ht="32" x14ac:dyDescent="0.2">
      <c r="A31" s="3" t="s">
        <v>1918</v>
      </c>
      <c r="B31" s="3" t="s">
        <v>1923</v>
      </c>
      <c r="C31" s="3" t="s">
        <v>1924</v>
      </c>
      <c r="D31" s="3" t="s">
        <v>1694</v>
      </c>
      <c r="E31" s="3" t="s">
        <v>1922</v>
      </c>
      <c r="F31" s="3" t="s">
        <v>482</v>
      </c>
      <c r="G31" s="3" t="s">
        <v>482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0"/>
  <sheetViews>
    <sheetView workbookViewId="0">
      <pane ySplit="1" topLeftCell="A2" activePane="bottomLeft" state="frozen"/>
      <selection pane="bottomLeft"/>
    </sheetView>
  </sheetViews>
  <sheetFormatPr baseColWidth="10" defaultColWidth="8.83203125" defaultRowHeight="15" x14ac:dyDescent="0.2"/>
  <cols>
    <col min="1" max="2" width="34" customWidth="1"/>
    <col min="3" max="3" width="52" customWidth="1"/>
    <col min="4" max="4" width="26" customWidth="1"/>
  </cols>
  <sheetData>
    <row r="1" spans="1:4" ht="16" x14ac:dyDescent="0.2">
      <c r="A1" s="1" t="s">
        <v>1925</v>
      </c>
      <c r="B1" s="1" t="s">
        <v>1926</v>
      </c>
      <c r="C1" s="1" t="s">
        <v>1927</v>
      </c>
      <c r="D1" s="1" t="s">
        <v>1928</v>
      </c>
    </row>
    <row r="2" spans="1:4" ht="32" x14ac:dyDescent="0.2">
      <c r="A2" s="3" t="s">
        <v>667</v>
      </c>
      <c r="B2" s="3" t="s">
        <v>1929</v>
      </c>
      <c r="C2" s="3" t="s">
        <v>1930</v>
      </c>
      <c r="D2" s="3"/>
    </row>
    <row r="3" spans="1:4" ht="32" x14ac:dyDescent="0.2">
      <c r="A3" s="3" t="s">
        <v>481</v>
      </c>
      <c r="B3" s="3" t="s">
        <v>1929</v>
      </c>
      <c r="C3" s="3" t="s">
        <v>1931</v>
      </c>
      <c r="D3" s="3"/>
    </row>
    <row r="4" spans="1:4" ht="16" x14ac:dyDescent="0.2">
      <c r="A4" s="3" t="s">
        <v>1932</v>
      </c>
      <c r="B4" s="3" t="s">
        <v>490</v>
      </c>
      <c r="C4" s="3" t="s">
        <v>1933</v>
      </c>
      <c r="D4" s="3"/>
    </row>
    <row r="5" spans="1:4" ht="16" x14ac:dyDescent="0.2">
      <c r="A5" s="3" t="s">
        <v>1529</v>
      </c>
      <c r="B5" s="3" t="s">
        <v>1372</v>
      </c>
      <c r="C5" s="3" t="s">
        <v>1934</v>
      </c>
      <c r="D5" s="3"/>
    </row>
    <row r="6" spans="1:4" ht="16" x14ac:dyDescent="0.2">
      <c r="A6" s="3" t="s">
        <v>1373</v>
      </c>
      <c r="B6" s="3" t="s">
        <v>1372</v>
      </c>
      <c r="C6" s="3" t="s">
        <v>1935</v>
      </c>
      <c r="D6" s="3"/>
    </row>
    <row r="7" spans="1:4" ht="16" x14ac:dyDescent="0.2">
      <c r="A7" s="3" t="s">
        <v>1366</v>
      </c>
      <c r="B7" s="3" t="s">
        <v>1936</v>
      </c>
      <c r="C7" s="3" t="s">
        <v>1931</v>
      </c>
      <c r="D7" s="3"/>
    </row>
    <row r="8" spans="1:4" ht="32" x14ac:dyDescent="0.2">
      <c r="A8" s="3" t="s">
        <v>879</v>
      </c>
      <c r="B8" s="3" t="s">
        <v>1929</v>
      </c>
      <c r="C8" s="3" t="s">
        <v>1937</v>
      </c>
      <c r="D8" s="3"/>
    </row>
    <row r="9" spans="1:4" ht="16" x14ac:dyDescent="0.2">
      <c r="A9" s="3" t="s">
        <v>1938</v>
      </c>
      <c r="B9" s="3" t="s">
        <v>1210</v>
      </c>
      <c r="C9" s="3" t="s">
        <v>1939</v>
      </c>
      <c r="D9" s="3"/>
    </row>
    <row r="10" spans="1:4" ht="32" x14ac:dyDescent="0.2">
      <c r="A10" s="3" t="s">
        <v>484</v>
      </c>
      <c r="B10" s="3" t="s">
        <v>1929</v>
      </c>
      <c r="C10" s="3" t="s">
        <v>1931</v>
      </c>
      <c r="D10" s="3"/>
    </row>
    <row r="11" spans="1:4" ht="16" x14ac:dyDescent="0.2">
      <c r="A11" s="3" t="s">
        <v>1381</v>
      </c>
      <c r="B11" s="3" t="s">
        <v>1372</v>
      </c>
      <c r="C11" s="3" t="s">
        <v>1940</v>
      </c>
      <c r="D11" s="3"/>
    </row>
    <row r="12" spans="1:4" ht="16" x14ac:dyDescent="0.2">
      <c r="A12" s="3" t="s">
        <v>1394</v>
      </c>
      <c r="B12" s="3" t="s">
        <v>1372</v>
      </c>
      <c r="C12" s="3" t="s">
        <v>1941</v>
      </c>
      <c r="D12" s="3"/>
    </row>
    <row r="13" spans="1:4" ht="16" x14ac:dyDescent="0.2">
      <c r="A13" s="3" t="s">
        <v>1197</v>
      </c>
      <c r="B13" s="3" t="s">
        <v>983</v>
      </c>
      <c r="C13" s="3" t="s">
        <v>1942</v>
      </c>
      <c r="D13" s="3"/>
    </row>
    <row r="14" spans="1:4" ht="16" x14ac:dyDescent="0.2">
      <c r="A14" s="3" t="s">
        <v>1530</v>
      </c>
      <c r="B14" s="3" t="s">
        <v>1372</v>
      </c>
      <c r="C14" s="3" t="s">
        <v>1943</v>
      </c>
      <c r="D14" s="3"/>
    </row>
    <row r="15" spans="1:4" ht="16" x14ac:dyDescent="0.2">
      <c r="A15" s="3" t="s">
        <v>1400</v>
      </c>
      <c r="B15" s="3" t="s">
        <v>1372</v>
      </c>
      <c r="C15" s="3" t="s">
        <v>1931</v>
      </c>
      <c r="D15" s="3"/>
    </row>
    <row r="16" spans="1:4" ht="16" x14ac:dyDescent="0.2">
      <c r="A16" s="3" t="s">
        <v>1531</v>
      </c>
      <c r="B16" s="3" t="s">
        <v>1372</v>
      </c>
      <c r="C16" s="3" t="s">
        <v>1931</v>
      </c>
      <c r="D16" s="3"/>
    </row>
    <row r="17" spans="1:4" ht="16" x14ac:dyDescent="0.2">
      <c r="A17" s="3" t="s">
        <v>1405</v>
      </c>
      <c r="B17" s="3" t="s">
        <v>1372</v>
      </c>
      <c r="C17" s="3" t="s">
        <v>1931</v>
      </c>
      <c r="D17" s="3"/>
    </row>
    <row r="18" spans="1:4" ht="32" x14ac:dyDescent="0.2">
      <c r="A18" s="3" t="s">
        <v>779</v>
      </c>
      <c r="B18" s="3" t="s">
        <v>1929</v>
      </c>
      <c r="C18" s="3" t="s">
        <v>1944</v>
      </c>
      <c r="D18" s="3"/>
    </row>
    <row r="19" spans="1:4" ht="16" x14ac:dyDescent="0.2">
      <c r="A19" s="3" t="s">
        <v>1945</v>
      </c>
      <c r="B19" s="3" t="s">
        <v>446</v>
      </c>
      <c r="C19" s="3" t="s">
        <v>1946</v>
      </c>
      <c r="D19" s="3"/>
    </row>
    <row r="20" spans="1:4" ht="32" x14ac:dyDescent="0.2">
      <c r="A20" s="3" t="s">
        <v>485</v>
      </c>
      <c r="B20" s="3" t="s">
        <v>1929</v>
      </c>
      <c r="C20" s="3" t="s">
        <v>1947</v>
      </c>
      <c r="D20" s="3"/>
    </row>
    <row r="21" spans="1:4" ht="16" x14ac:dyDescent="0.2">
      <c r="A21" s="3" t="s">
        <v>1532</v>
      </c>
      <c r="B21" s="3" t="s">
        <v>1372</v>
      </c>
      <c r="C21" s="3" t="s">
        <v>1931</v>
      </c>
      <c r="D21" s="3"/>
    </row>
    <row r="22" spans="1:4" ht="16" x14ac:dyDescent="0.2">
      <c r="A22" s="3" t="s">
        <v>1423</v>
      </c>
      <c r="B22" s="3" t="s">
        <v>1372</v>
      </c>
      <c r="C22" s="3" t="s">
        <v>1931</v>
      </c>
      <c r="D22" s="3"/>
    </row>
    <row r="23" spans="1:4" ht="16" x14ac:dyDescent="0.2">
      <c r="A23" s="3" t="s">
        <v>1362</v>
      </c>
      <c r="B23" s="3" t="s">
        <v>1936</v>
      </c>
      <c r="C23" s="3" t="s">
        <v>1931</v>
      </c>
      <c r="D23" s="3"/>
    </row>
    <row r="24" spans="1:4" ht="16" x14ac:dyDescent="0.2">
      <c r="A24" s="3" t="s">
        <v>1443</v>
      </c>
      <c r="B24" s="3" t="s">
        <v>1372</v>
      </c>
      <c r="C24" s="3" t="s">
        <v>1948</v>
      </c>
      <c r="D24" s="3"/>
    </row>
    <row r="25" spans="1:4" ht="16" x14ac:dyDescent="0.2">
      <c r="A25" s="3" t="s">
        <v>1459</v>
      </c>
      <c r="B25" s="3" t="s">
        <v>1372</v>
      </c>
      <c r="C25" s="3" t="s">
        <v>1949</v>
      </c>
      <c r="D25" s="3"/>
    </row>
    <row r="26" spans="1:4" ht="16" x14ac:dyDescent="0.2">
      <c r="A26" s="3" t="s">
        <v>1950</v>
      </c>
      <c r="B26" s="3" t="s">
        <v>902</v>
      </c>
      <c r="C26" s="3" t="s">
        <v>1951</v>
      </c>
      <c r="D26" s="3"/>
    </row>
    <row r="27" spans="1:4" ht="16" x14ac:dyDescent="0.2">
      <c r="A27" s="3" t="s">
        <v>865</v>
      </c>
      <c r="B27" s="3" t="s">
        <v>490</v>
      </c>
      <c r="C27" s="3" t="s">
        <v>1952</v>
      </c>
      <c r="D27" s="3"/>
    </row>
    <row r="28" spans="1:4" ht="16" x14ac:dyDescent="0.2">
      <c r="A28" s="3" t="s">
        <v>1472</v>
      </c>
      <c r="B28" s="3" t="s">
        <v>1372</v>
      </c>
      <c r="C28" s="3" t="s">
        <v>1941</v>
      </c>
      <c r="D28" s="3"/>
    </row>
    <row r="29" spans="1:4" ht="32" x14ac:dyDescent="0.2">
      <c r="A29" s="3" t="s">
        <v>964</v>
      </c>
      <c r="B29" s="3" t="s">
        <v>1929</v>
      </c>
      <c r="C29" s="3" t="s">
        <v>1953</v>
      </c>
      <c r="D29" s="3"/>
    </row>
    <row r="30" spans="1:4" ht="16" x14ac:dyDescent="0.2">
      <c r="A30" s="3" t="s">
        <v>1348</v>
      </c>
      <c r="B30" s="3" t="s">
        <v>1936</v>
      </c>
      <c r="C30" s="3" t="s">
        <v>1931</v>
      </c>
      <c r="D30" s="3"/>
    </row>
    <row r="31" spans="1:4" ht="16" x14ac:dyDescent="0.2">
      <c r="A31" s="3" t="s">
        <v>1345</v>
      </c>
      <c r="B31" s="3" t="s">
        <v>1954</v>
      </c>
      <c r="C31" s="3" t="s">
        <v>1931</v>
      </c>
      <c r="D31" s="3"/>
    </row>
    <row r="32" spans="1:4" ht="16" x14ac:dyDescent="0.2">
      <c r="A32" s="3" t="s">
        <v>1160</v>
      </c>
      <c r="B32" s="3" t="s">
        <v>983</v>
      </c>
      <c r="C32" s="3" t="s">
        <v>1931</v>
      </c>
      <c r="D32" s="3"/>
    </row>
    <row r="33" spans="1:4" ht="16" x14ac:dyDescent="0.2">
      <c r="A33" s="3" t="s">
        <v>486</v>
      </c>
      <c r="B33" s="3" t="s">
        <v>1936</v>
      </c>
      <c r="C33" s="3" t="s">
        <v>1931</v>
      </c>
      <c r="D33" s="3"/>
    </row>
    <row r="34" spans="1:4" ht="16" x14ac:dyDescent="0.2">
      <c r="A34" s="3" t="s">
        <v>1482</v>
      </c>
      <c r="B34" s="3" t="s">
        <v>1372</v>
      </c>
      <c r="C34" s="3" t="s">
        <v>1955</v>
      </c>
      <c r="D34" s="3"/>
    </row>
    <row r="35" spans="1:4" ht="16" x14ac:dyDescent="0.2">
      <c r="A35" s="3" t="s">
        <v>1354</v>
      </c>
      <c r="B35" s="3" t="s">
        <v>1954</v>
      </c>
      <c r="C35" s="3" t="s">
        <v>1931</v>
      </c>
      <c r="D35" s="3"/>
    </row>
    <row r="36" spans="1:4" ht="16" x14ac:dyDescent="0.2">
      <c r="A36" s="3" t="s">
        <v>487</v>
      </c>
      <c r="B36" s="3" t="s">
        <v>1954</v>
      </c>
      <c r="C36" s="3" t="s">
        <v>1956</v>
      </c>
      <c r="D36" s="3"/>
    </row>
    <row r="37" spans="1:4" ht="16" x14ac:dyDescent="0.2">
      <c r="A37" s="3" t="s">
        <v>1957</v>
      </c>
      <c r="B37" s="3" t="s">
        <v>983</v>
      </c>
      <c r="C37" s="3" t="s">
        <v>1958</v>
      </c>
      <c r="D37" s="3"/>
    </row>
    <row r="38" spans="1:4" ht="16" x14ac:dyDescent="0.2">
      <c r="A38" s="3" t="s">
        <v>1053</v>
      </c>
      <c r="B38" s="3" t="s">
        <v>983</v>
      </c>
      <c r="C38" s="3" t="s">
        <v>1959</v>
      </c>
      <c r="D38" s="3"/>
    </row>
    <row r="39" spans="1:4" ht="16" x14ac:dyDescent="0.2">
      <c r="A39" s="3" t="s">
        <v>1181</v>
      </c>
      <c r="B39" s="3" t="s">
        <v>1954</v>
      </c>
      <c r="C39" s="3" t="s">
        <v>1960</v>
      </c>
      <c r="D39" s="3"/>
    </row>
    <row r="40" spans="1:4" ht="16" x14ac:dyDescent="0.2">
      <c r="A40" s="3" t="s">
        <v>1533</v>
      </c>
      <c r="B40" s="3" t="s">
        <v>1372</v>
      </c>
      <c r="C40" s="3" t="s">
        <v>1961</v>
      </c>
      <c r="D40" s="3"/>
    </row>
    <row r="41" spans="1:4" ht="16" x14ac:dyDescent="0.2">
      <c r="A41" s="3" t="s">
        <v>1130</v>
      </c>
      <c r="B41" s="3" t="s">
        <v>983</v>
      </c>
      <c r="C41" s="3" t="s">
        <v>1962</v>
      </c>
      <c r="D41" s="3"/>
    </row>
    <row r="42" spans="1:4" ht="16" x14ac:dyDescent="0.2">
      <c r="A42" s="3" t="s">
        <v>1534</v>
      </c>
      <c r="B42" s="3" t="s">
        <v>1372</v>
      </c>
      <c r="C42" s="3" t="s">
        <v>1963</v>
      </c>
      <c r="D42" s="3"/>
    </row>
    <row r="43" spans="1:4" ht="16" x14ac:dyDescent="0.2">
      <c r="A43" s="3" t="s">
        <v>1208</v>
      </c>
      <c r="B43" s="3" t="s">
        <v>983</v>
      </c>
      <c r="C43" s="3" t="s">
        <v>1964</v>
      </c>
      <c r="D43" s="3"/>
    </row>
    <row r="44" spans="1:4" ht="16" x14ac:dyDescent="0.2">
      <c r="A44" s="3" t="s">
        <v>1080</v>
      </c>
      <c r="B44" s="3" t="s">
        <v>983</v>
      </c>
      <c r="C44" s="3" t="s">
        <v>1962</v>
      </c>
      <c r="D44" s="3"/>
    </row>
    <row r="45" spans="1:4" ht="16" x14ac:dyDescent="0.2">
      <c r="A45" s="3" t="s">
        <v>1492</v>
      </c>
      <c r="B45" s="3" t="s">
        <v>1372</v>
      </c>
      <c r="C45" s="3" t="s">
        <v>1965</v>
      </c>
      <c r="D45" s="3"/>
    </row>
    <row r="46" spans="1:4" ht="16" x14ac:dyDescent="0.2">
      <c r="A46" s="3" t="s">
        <v>1505</v>
      </c>
      <c r="B46" s="3" t="s">
        <v>1372</v>
      </c>
      <c r="C46" s="3" t="s">
        <v>1931</v>
      </c>
      <c r="D46" s="3"/>
    </row>
    <row r="47" spans="1:4" ht="16" x14ac:dyDescent="0.2">
      <c r="A47" s="3" t="s">
        <v>1535</v>
      </c>
      <c r="B47" s="3" t="s">
        <v>1372</v>
      </c>
      <c r="C47" s="3" t="s">
        <v>1961</v>
      </c>
      <c r="D47" s="3"/>
    </row>
    <row r="48" spans="1:4" ht="16" x14ac:dyDescent="0.2">
      <c r="A48" s="3" t="s">
        <v>1149</v>
      </c>
      <c r="B48" s="3" t="s">
        <v>1966</v>
      </c>
      <c r="C48" s="3" t="s">
        <v>1931</v>
      </c>
      <c r="D48" s="3"/>
    </row>
    <row r="49" spans="1:4" ht="16" x14ac:dyDescent="0.2">
      <c r="A49" s="3" t="s">
        <v>1019</v>
      </c>
      <c r="B49" s="3" t="s">
        <v>983</v>
      </c>
      <c r="C49" s="3" t="s">
        <v>1967</v>
      </c>
      <c r="D49" s="3"/>
    </row>
    <row r="50" spans="1:4" ht="16" x14ac:dyDescent="0.2">
      <c r="A50" s="3" t="s">
        <v>1524</v>
      </c>
      <c r="B50" s="3" t="s">
        <v>1372</v>
      </c>
      <c r="C50" s="3" t="s">
        <v>1965</v>
      </c>
      <c r="D50" s="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1"/>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46" customWidth="1"/>
    <col min="3" max="4" width="44" customWidth="1"/>
    <col min="5" max="5" width="70" customWidth="1"/>
  </cols>
  <sheetData>
    <row r="1" spans="1:5" ht="16" x14ac:dyDescent="0.2">
      <c r="A1" s="1" t="s">
        <v>1536</v>
      </c>
      <c r="B1" s="1" t="s">
        <v>1968</v>
      </c>
      <c r="C1" s="1" t="s">
        <v>1969</v>
      </c>
      <c r="D1" s="1" t="s">
        <v>1970</v>
      </c>
      <c r="E1" s="1" t="s">
        <v>1971</v>
      </c>
    </row>
    <row r="2" spans="1:5" ht="112" x14ac:dyDescent="0.2">
      <c r="A2" s="3" t="s">
        <v>1542</v>
      </c>
      <c r="B2" s="3" t="s">
        <v>1543</v>
      </c>
      <c r="C2" s="3" t="s">
        <v>1972</v>
      </c>
      <c r="D2" s="3" t="s">
        <v>1973</v>
      </c>
      <c r="E2" s="3" t="s">
        <v>1974</v>
      </c>
    </row>
    <row r="3" spans="1:5" ht="32" x14ac:dyDescent="0.2">
      <c r="A3" s="3" t="s">
        <v>1548</v>
      </c>
      <c r="B3" s="3" t="s">
        <v>1549</v>
      </c>
      <c r="C3" s="3" t="s">
        <v>1975</v>
      </c>
      <c r="D3" s="3" t="s">
        <v>482</v>
      </c>
      <c r="E3" s="3" t="s">
        <v>1976</v>
      </c>
    </row>
    <row r="4" spans="1:5" ht="32" x14ac:dyDescent="0.2">
      <c r="A4" s="3" t="s">
        <v>1554</v>
      </c>
      <c r="B4" s="3" t="s">
        <v>1555</v>
      </c>
      <c r="C4" s="3" t="s">
        <v>1558</v>
      </c>
      <c r="D4" s="3" t="s">
        <v>482</v>
      </c>
      <c r="E4" s="3" t="s">
        <v>1976</v>
      </c>
    </row>
    <row r="5" spans="1:5" ht="48" x14ac:dyDescent="0.2">
      <c r="A5" s="3" t="s">
        <v>1560</v>
      </c>
      <c r="B5" s="3" t="s">
        <v>1561</v>
      </c>
      <c r="C5" s="3" t="s">
        <v>1977</v>
      </c>
      <c r="D5" s="3" t="s">
        <v>1978</v>
      </c>
      <c r="E5" s="3" t="s">
        <v>1979</v>
      </c>
    </row>
    <row r="6" spans="1:5" ht="32" x14ac:dyDescent="0.2">
      <c r="A6" s="3" t="s">
        <v>1566</v>
      </c>
      <c r="B6" s="3" t="s">
        <v>1567</v>
      </c>
      <c r="C6" s="3" t="s">
        <v>1570</v>
      </c>
      <c r="D6" s="3" t="s">
        <v>1980</v>
      </c>
      <c r="E6" s="3" t="s">
        <v>1981</v>
      </c>
    </row>
    <row r="7" spans="1:5" ht="16" x14ac:dyDescent="0.2">
      <c r="A7" s="3" t="s">
        <v>1572</v>
      </c>
      <c r="B7" s="3" t="s">
        <v>1573</v>
      </c>
      <c r="C7" s="3" t="s">
        <v>1575</v>
      </c>
      <c r="D7" s="3" t="s">
        <v>1575</v>
      </c>
      <c r="E7" s="3" t="s">
        <v>1982</v>
      </c>
    </row>
    <row r="8" spans="1:5" ht="32" x14ac:dyDescent="0.2">
      <c r="A8" s="3" t="s">
        <v>1577</v>
      </c>
      <c r="B8" s="3" t="s">
        <v>1578</v>
      </c>
      <c r="C8" s="3" t="s">
        <v>1983</v>
      </c>
      <c r="D8" s="3" t="s">
        <v>1984</v>
      </c>
      <c r="E8" s="3" t="s">
        <v>1985</v>
      </c>
    </row>
    <row r="9" spans="1:5" ht="48" x14ac:dyDescent="0.2">
      <c r="A9" s="3" t="s">
        <v>1583</v>
      </c>
      <c r="B9" s="3" t="s">
        <v>1584</v>
      </c>
      <c r="C9" s="3" t="s">
        <v>1587</v>
      </c>
      <c r="D9" s="3" t="s">
        <v>1986</v>
      </c>
      <c r="E9" s="3" t="s">
        <v>1987</v>
      </c>
    </row>
    <row r="10" spans="1:5" ht="32" x14ac:dyDescent="0.2">
      <c r="A10" s="3" t="s">
        <v>1589</v>
      </c>
      <c r="B10" s="3" t="s">
        <v>1590</v>
      </c>
      <c r="C10" s="3" t="s">
        <v>1587</v>
      </c>
      <c r="D10" s="3" t="s">
        <v>482</v>
      </c>
      <c r="E10" s="3" t="s">
        <v>1976</v>
      </c>
    </row>
    <row r="11" spans="1:5" ht="32" x14ac:dyDescent="0.2">
      <c r="A11" s="3" t="s">
        <v>1592</v>
      </c>
      <c r="B11" s="3" t="s">
        <v>1593</v>
      </c>
      <c r="C11" s="3" t="s">
        <v>1595</v>
      </c>
      <c r="D11" s="3" t="s">
        <v>482</v>
      </c>
      <c r="E11" s="3" t="s">
        <v>1976</v>
      </c>
    </row>
    <row r="12" spans="1:5" ht="32" x14ac:dyDescent="0.2">
      <c r="A12" s="3" t="s">
        <v>1596</v>
      </c>
      <c r="B12" s="3" t="s">
        <v>1597</v>
      </c>
      <c r="C12" s="3" t="s">
        <v>1600</v>
      </c>
      <c r="D12" s="3" t="s">
        <v>1988</v>
      </c>
      <c r="E12" s="3" t="s">
        <v>1989</v>
      </c>
    </row>
    <row r="13" spans="1:5" ht="32" x14ac:dyDescent="0.2">
      <c r="A13" s="3" t="s">
        <v>1602</v>
      </c>
      <c r="B13" s="3" t="s">
        <v>1603</v>
      </c>
      <c r="C13" s="3" t="s">
        <v>1605</v>
      </c>
      <c r="D13" s="3" t="s">
        <v>1990</v>
      </c>
      <c r="E13" s="3" t="s">
        <v>1991</v>
      </c>
    </row>
    <row r="14" spans="1:5" ht="16" x14ac:dyDescent="0.2">
      <c r="A14" s="3" t="s">
        <v>1607</v>
      </c>
      <c r="B14" s="3" t="s">
        <v>1608</v>
      </c>
      <c r="C14" s="3" t="s">
        <v>1610</v>
      </c>
      <c r="D14" s="3" t="s">
        <v>1610</v>
      </c>
      <c r="E14" s="3" t="s">
        <v>1982</v>
      </c>
    </row>
    <row r="15" spans="1:5" ht="16" x14ac:dyDescent="0.2">
      <c r="A15" s="3" t="s">
        <v>1612</v>
      </c>
      <c r="B15" s="3" t="s">
        <v>1613</v>
      </c>
      <c r="C15" s="3" t="s">
        <v>1616</v>
      </c>
      <c r="D15" s="3" t="s">
        <v>1992</v>
      </c>
      <c r="E15" s="3" t="s">
        <v>1993</v>
      </c>
    </row>
    <row r="16" spans="1:5" ht="32" x14ac:dyDescent="0.2">
      <c r="A16" s="3" t="s">
        <v>1618</v>
      </c>
      <c r="B16" s="3" t="s">
        <v>1619</v>
      </c>
      <c r="C16" s="3" t="s">
        <v>1622</v>
      </c>
      <c r="D16" s="3" t="s">
        <v>1992</v>
      </c>
      <c r="E16" s="3" t="s">
        <v>1994</v>
      </c>
    </row>
    <row r="17" spans="1:5" ht="32" x14ac:dyDescent="0.2">
      <c r="A17" s="3" t="s">
        <v>1624</v>
      </c>
      <c r="B17" s="3" t="s">
        <v>1625</v>
      </c>
      <c r="C17" s="3" t="s">
        <v>1627</v>
      </c>
      <c r="D17" s="3" t="s">
        <v>1995</v>
      </c>
      <c r="E17" s="3" t="s">
        <v>1996</v>
      </c>
    </row>
    <row r="18" spans="1:5" ht="32" x14ac:dyDescent="0.2">
      <c r="A18" s="3" t="s">
        <v>1629</v>
      </c>
      <c r="B18" s="3" t="s">
        <v>1630</v>
      </c>
      <c r="C18" s="3" t="s">
        <v>1997</v>
      </c>
      <c r="D18" s="3" t="s">
        <v>1998</v>
      </c>
      <c r="E18" s="3" t="s">
        <v>1999</v>
      </c>
    </row>
    <row r="19" spans="1:5" ht="48" x14ac:dyDescent="0.2">
      <c r="A19" s="3" t="s">
        <v>1635</v>
      </c>
      <c r="B19" s="3" t="s">
        <v>1636</v>
      </c>
      <c r="C19" s="3" t="s">
        <v>1692</v>
      </c>
      <c r="D19" s="3" t="s">
        <v>2000</v>
      </c>
      <c r="E19" s="3" t="s">
        <v>2001</v>
      </c>
    </row>
    <row r="20" spans="1:5" ht="32" x14ac:dyDescent="0.2">
      <c r="A20" s="3" t="s">
        <v>1641</v>
      </c>
      <c r="B20" s="3" t="s">
        <v>1642</v>
      </c>
      <c r="C20" s="3" t="s">
        <v>1644</v>
      </c>
      <c r="D20" s="3" t="s">
        <v>482</v>
      </c>
      <c r="E20" s="3" t="s">
        <v>1976</v>
      </c>
    </row>
    <row r="21" spans="1:5" ht="32" x14ac:dyDescent="0.2">
      <c r="A21" s="3" t="s">
        <v>1646</v>
      </c>
      <c r="B21" s="3" t="s">
        <v>1647</v>
      </c>
      <c r="C21" s="3" t="s">
        <v>2002</v>
      </c>
      <c r="D21" s="3" t="s">
        <v>2003</v>
      </c>
      <c r="E21" s="3" t="s">
        <v>2004</v>
      </c>
    </row>
    <row r="22" spans="1:5" ht="16" x14ac:dyDescent="0.2">
      <c r="A22" s="3" t="s">
        <v>1652</v>
      </c>
      <c r="B22" s="3" t="s">
        <v>1653</v>
      </c>
      <c r="C22" s="3" t="s">
        <v>1655</v>
      </c>
      <c r="D22" s="3" t="s">
        <v>2000</v>
      </c>
      <c r="E22" s="3" t="s">
        <v>2005</v>
      </c>
    </row>
    <row r="23" spans="1:5" ht="32" x14ac:dyDescent="0.2">
      <c r="A23" s="3" t="s">
        <v>1657</v>
      </c>
      <c r="B23" s="3" t="s">
        <v>1658</v>
      </c>
      <c r="C23" s="3" t="s">
        <v>1660</v>
      </c>
      <c r="D23" s="3" t="s">
        <v>1733</v>
      </c>
      <c r="E23" s="3" t="s">
        <v>2006</v>
      </c>
    </row>
    <row r="24" spans="1:5" ht="32" x14ac:dyDescent="0.2">
      <c r="A24" s="3" t="s">
        <v>1662</v>
      </c>
      <c r="B24" s="3" t="s">
        <v>1663</v>
      </c>
      <c r="C24" s="3" t="s">
        <v>1665</v>
      </c>
      <c r="D24" s="3" t="s">
        <v>2007</v>
      </c>
      <c r="E24" s="3" t="s">
        <v>2008</v>
      </c>
    </row>
    <row r="25" spans="1:5" ht="48" x14ac:dyDescent="0.2">
      <c r="A25" s="3" t="s">
        <v>1667</v>
      </c>
      <c r="B25" s="3" t="s">
        <v>1668</v>
      </c>
      <c r="C25" s="3" t="s">
        <v>1712</v>
      </c>
      <c r="D25" s="3" t="s">
        <v>2009</v>
      </c>
      <c r="E25" s="3" t="s">
        <v>2010</v>
      </c>
    </row>
    <row r="26" spans="1:5" ht="32" x14ac:dyDescent="0.2">
      <c r="A26" s="3" t="s">
        <v>1673</v>
      </c>
      <c r="B26" s="3" t="s">
        <v>1674</v>
      </c>
      <c r="C26" s="3" t="s">
        <v>2011</v>
      </c>
      <c r="D26" s="3" t="s">
        <v>482</v>
      </c>
      <c r="E26" s="3" t="s">
        <v>1976</v>
      </c>
    </row>
    <row r="27" spans="1:5" ht="32" x14ac:dyDescent="0.2">
      <c r="A27" s="3" t="s">
        <v>1678</v>
      </c>
      <c r="B27" s="3" t="s">
        <v>1679</v>
      </c>
      <c r="C27" s="3" t="s">
        <v>1681</v>
      </c>
      <c r="D27" s="3" t="s">
        <v>482</v>
      </c>
      <c r="E27" s="3" t="s">
        <v>1976</v>
      </c>
    </row>
    <row r="28" spans="1:5" ht="32" x14ac:dyDescent="0.2">
      <c r="A28" s="3" t="s">
        <v>1683</v>
      </c>
      <c r="B28" s="3" t="s">
        <v>1684</v>
      </c>
      <c r="C28" s="3" t="s">
        <v>1686</v>
      </c>
      <c r="D28" s="3" t="s">
        <v>482</v>
      </c>
      <c r="E28" s="3" t="s">
        <v>1976</v>
      </c>
    </row>
    <row r="29" spans="1:5" ht="32" x14ac:dyDescent="0.2">
      <c r="A29" s="3" t="s">
        <v>1688</v>
      </c>
      <c r="B29" s="3" t="s">
        <v>1689</v>
      </c>
      <c r="C29" s="3" t="s">
        <v>1692</v>
      </c>
      <c r="D29" s="3" t="s">
        <v>2012</v>
      </c>
      <c r="E29" s="3" t="s">
        <v>2013</v>
      </c>
    </row>
    <row r="30" spans="1:5" ht="32" x14ac:dyDescent="0.2">
      <c r="A30" s="3" t="s">
        <v>1693</v>
      </c>
      <c r="B30" s="3" t="s">
        <v>1694</v>
      </c>
      <c r="C30" s="3" t="s">
        <v>1644</v>
      </c>
      <c r="D30" s="3" t="s">
        <v>482</v>
      </c>
      <c r="E30" s="3" t="s">
        <v>1976</v>
      </c>
    </row>
    <row r="31" spans="1:5" ht="32" x14ac:dyDescent="0.2">
      <c r="A31" s="3" t="s">
        <v>1697</v>
      </c>
      <c r="B31" s="3" t="s">
        <v>1698</v>
      </c>
      <c r="C31" s="3" t="s">
        <v>1700</v>
      </c>
      <c r="D31" s="3" t="s">
        <v>2014</v>
      </c>
      <c r="E31" s="3" t="s">
        <v>2015</v>
      </c>
    </row>
    <row r="32" spans="1:5" ht="32" x14ac:dyDescent="0.2">
      <c r="A32" s="3" t="s">
        <v>1702</v>
      </c>
      <c r="B32" s="3" t="s">
        <v>1703</v>
      </c>
      <c r="C32" s="3" t="s">
        <v>2016</v>
      </c>
      <c r="D32" s="3" t="s">
        <v>2017</v>
      </c>
      <c r="E32" s="3" t="s">
        <v>2018</v>
      </c>
    </row>
    <row r="33" spans="1:5" ht="32" x14ac:dyDescent="0.2">
      <c r="A33" s="3" t="s">
        <v>1708</v>
      </c>
      <c r="B33" s="3" t="s">
        <v>1709</v>
      </c>
      <c r="C33" s="3" t="s">
        <v>1712</v>
      </c>
      <c r="D33" s="3" t="s">
        <v>2019</v>
      </c>
      <c r="E33" s="3" t="s">
        <v>2020</v>
      </c>
    </row>
    <row r="34" spans="1:5" ht="16" x14ac:dyDescent="0.2">
      <c r="A34" s="3" t="s">
        <v>1713</v>
      </c>
      <c r="B34" s="3" t="s">
        <v>1714</v>
      </c>
      <c r="C34" s="3" t="s">
        <v>1717</v>
      </c>
      <c r="D34" s="3" t="s">
        <v>1717</v>
      </c>
      <c r="E34" s="3" t="s">
        <v>1982</v>
      </c>
    </row>
    <row r="35" spans="1:5" ht="32" x14ac:dyDescent="0.2">
      <c r="A35" s="3" t="s">
        <v>1719</v>
      </c>
      <c r="B35" s="3" t="s">
        <v>1720</v>
      </c>
      <c r="C35" s="3" t="s">
        <v>2021</v>
      </c>
      <c r="D35" s="3" t="s">
        <v>1558</v>
      </c>
      <c r="E35" s="3" t="s">
        <v>2022</v>
      </c>
    </row>
    <row r="36" spans="1:5" ht="16" x14ac:dyDescent="0.2">
      <c r="A36" s="3" t="s">
        <v>1725</v>
      </c>
      <c r="B36" s="3" t="s">
        <v>1726</v>
      </c>
      <c r="C36" s="3" t="s">
        <v>1729</v>
      </c>
      <c r="D36" s="3" t="s">
        <v>1733</v>
      </c>
      <c r="E36" s="3" t="s">
        <v>2023</v>
      </c>
    </row>
    <row r="37" spans="1:5" ht="16" x14ac:dyDescent="0.2">
      <c r="A37" s="3" t="s">
        <v>1731</v>
      </c>
      <c r="B37" s="3" t="s">
        <v>1732</v>
      </c>
      <c r="C37" s="3" t="s">
        <v>1733</v>
      </c>
      <c r="D37" s="3" t="s">
        <v>1733</v>
      </c>
      <c r="E37" s="3" t="s">
        <v>1982</v>
      </c>
    </row>
    <row r="38" spans="1:5" ht="16" x14ac:dyDescent="0.2">
      <c r="A38" s="3" t="s">
        <v>1735</v>
      </c>
      <c r="B38" s="3" t="s">
        <v>1736</v>
      </c>
      <c r="C38" s="3" t="s">
        <v>1733</v>
      </c>
      <c r="D38" s="3" t="s">
        <v>1733</v>
      </c>
      <c r="E38" s="3" t="s">
        <v>1982</v>
      </c>
    </row>
    <row r="39" spans="1:5" ht="16" x14ac:dyDescent="0.2">
      <c r="A39" s="3" t="s">
        <v>1739</v>
      </c>
      <c r="B39" s="3" t="s">
        <v>1740</v>
      </c>
      <c r="C39" s="3" t="s">
        <v>1733</v>
      </c>
      <c r="D39" s="3" t="s">
        <v>1733</v>
      </c>
      <c r="E39" s="3" t="s">
        <v>1982</v>
      </c>
    </row>
    <row r="40" spans="1:5" ht="16" x14ac:dyDescent="0.2">
      <c r="A40" s="3" t="s">
        <v>1743</v>
      </c>
      <c r="B40" s="3" t="s">
        <v>1744</v>
      </c>
      <c r="C40" s="3" t="s">
        <v>1746</v>
      </c>
      <c r="D40" s="3" t="s">
        <v>1733</v>
      </c>
      <c r="E40" s="3" t="s">
        <v>2024</v>
      </c>
    </row>
    <row r="41" spans="1:5" ht="16" x14ac:dyDescent="0.2">
      <c r="A41" s="3" t="s">
        <v>1748</v>
      </c>
      <c r="B41" s="3" t="s">
        <v>1749</v>
      </c>
      <c r="C41" s="3" t="s">
        <v>1660</v>
      </c>
      <c r="D41" s="3" t="s">
        <v>1660</v>
      </c>
      <c r="E41" s="3" t="s">
        <v>1982</v>
      </c>
    </row>
    <row r="42" spans="1:5" ht="32" x14ac:dyDescent="0.2">
      <c r="A42" s="3" t="s">
        <v>1751</v>
      </c>
      <c r="B42" s="3" t="s">
        <v>1752</v>
      </c>
      <c r="C42" s="3" t="s">
        <v>1755</v>
      </c>
      <c r="D42" s="3" t="s">
        <v>2025</v>
      </c>
      <c r="E42" s="3" t="s">
        <v>2026</v>
      </c>
    </row>
    <row r="43" spans="1:5" ht="32" x14ac:dyDescent="0.2">
      <c r="A43" s="3" t="s">
        <v>1757</v>
      </c>
      <c r="B43" s="3" t="s">
        <v>1758</v>
      </c>
      <c r="C43" s="3" t="s">
        <v>1733</v>
      </c>
      <c r="D43" s="3" t="s">
        <v>2025</v>
      </c>
      <c r="E43" s="3" t="s">
        <v>2027</v>
      </c>
    </row>
    <row r="44" spans="1:5" ht="32" x14ac:dyDescent="0.2">
      <c r="A44" s="3" t="s">
        <v>1760</v>
      </c>
      <c r="B44" s="3" t="s">
        <v>1761</v>
      </c>
      <c r="C44" s="3" t="s">
        <v>2028</v>
      </c>
      <c r="D44" s="3" t="s">
        <v>1777</v>
      </c>
      <c r="E44" s="3" t="s">
        <v>2029</v>
      </c>
    </row>
    <row r="45" spans="1:5" ht="16" x14ac:dyDescent="0.2">
      <c r="A45" s="3" t="s">
        <v>1765</v>
      </c>
      <c r="B45" s="3" t="s">
        <v>1766</v>
      </c>
      <c r="C45" s="3" t="s">
        <v>1644</v>
      </c>
      <c r="D45" s="3" t="s">
        <v>1644</v>
      </c>
      <c r="E45" s="3" t="s">
        <v>1982</v>
      </c>
    </row>
    <row r="46" spans="1:5" ht="16" x14ac:dyDescent="0.2">
      <c r="A46" s="3" t="s">
        <v>1769</v>
      </c>
      <c r="B46" s="3" t="s">
        <v>1770</v>
      </c>
      <c r="C46" s="3" t="s">
        <v>1772</v>
      </c>
      <c r="D46" s="3" t="s">
        <v>1772</v>
      </c>
      <c r="E46" s="3" t="s">
        <v>1982</v>
      </c>
    </row>
    <row r="47" spans="1:5" ht="16" x14ac:dyDescent="0.2">
      <c r="A47" s="3" t="s">
        <v>1774</v>
      </c>
      <c r="B47" s="3" t="s">
        <v>1775</v>
      </c>
      <c r="C47" s="3" t="s">
        <v>1777</v>
      </c>
      <c r="D47" s="3" t="s">
        <v>1777</v>
      </c>
      <c r="E47" s="3" t="s">
        <v>1982</v>
      </c>
    </row>
    <row r="48" spans="1:5" ht="16" x14ac:dyDescent="0.2">
      <c r="A48" s="3" t="s">
        <v>1779</v>
      </c>
      <c r="B48" s="3" t="s">
        <v>1780</v>
      </c>
      <c r="C48" s="3" t="s">
        <v>1782</v>
      </c>
      <c r="D48" s="3" t="s">
        <v>1644</v>
      </c>
      <c r="E48" s="3" t="s">
        <v>2030</v>
      </c>
    </row>
    <row r="49" spans="1:5" ht="48" x14ac:dyDescent="0.2">
      <c r="A49" s="3" t="s">
        <v>1784</v>
      </c>
      <c r="B49" s="3" t="s">
        <v>1785</v>
      </c>
      <c r="C49" s="3" t="s">
        <v>1788</v>
      </c>
      <c r="D49" s="3" t="s">
        <v>2031</v>
      </c>
      <c r="E49" s="3" t="s">
        <v>2032</v>
      </c>
    </row>
    <row r="50" spans="1:5" x14ac:dyDescent="0.2">
      <c r="A50" s="3"/>
      <c r="B50" s="3"/>
      <c r="C50" s="3"/>
      <c r="D50" s="3"/>
      <c r="E50" s="3"/>
    </row>
    <row r="51" spans="1:5" ht="80" x14ac:dyDescent="0.2">
      <c r="A51" s="5" t="s">
        <v>2033</v>
      </c>
      <c r="B51" s="3" t="s">
        <v>2034</v>
      </c>
      <c r="C51" s="3"/>
      <c r="D51" s="3"/>
      <c r="E51" s="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6"/>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46" customWidth="1"/>
    <col min="3" max="3" width="52" customWidth="1"/>
    <col min="4" max="4" width="58" customWidth="1"/>
    <col min="5" max="5" width="40" customWidth="1"/>
    <col min="6" max="6" width="44" customWidth="1"/>
  </cols>
  <sheetData>
    <row r="1" spans="1:6" ht="16" x14ac:dyDescent="0.2">
      <c r="A1" s="1" t="s">
        <v>1541</v>
      </c>
      <c r="B1" s="1" t="s">
        <v>2035</v>
      </c>
      <c r="C1" s="1" t="s">
        <v>2036</v>
      </c>
      <c r="D1" s="1" t="s">
        <v>2037</v>
      </c>
      <c r="E1" s="1" t="s">
        <v>2038</v>
      </c>
      <c r="F1" s="1" t="s">
        <v>2039</v>
      </c>
    </row>
    <row r="2" spans="1:6" ht="32" x14ac:dyDescent="0.2">
      <c r="A2" s="3" t="s">
        <v>2040</v>
      </c>
      <c r="B2" s="3" t="s">
        <v>2041</v>
      </c>
      <c r="C2" s="3" t="s">
        <v>2042</v>
      </c>
      <c r="D2" s="3" t="s">
        <v>482</v>
      </c>
      <c r="E2" s="3" t="s">
        <v>2043</v>
      </c>
      <c r="F2" s="3" t="s">
        <v>2044</v>
      </c>
    </row>
    <row r="3" spans="1:6" ht="32" x14ac:dyDescent="0.2">
      <c r="A3" s="3" t="s">
        <v>2045</v>
      </c>
      <c r="B3" s="3" t="s">
        <v>2046</v>
      </c>
      <c r="C3" s="3" t="s">
        <v>2042</v>
      </c>
      <c r="D3" s="3" t="s">
        <v>482</v>
      </c>
      <c r="E3" s="3" t="s">
        <v>1245</v>
      </c>
      <c r="F3" s="3" t="s">
        <v>2047</v>
      </c>
    </row>
    <row r="4" spans="1:6" ht="32" x14ac:dyDescent="0.2">
      <c r="A4" s="3" t="s">
        <v>2048</v>
      </c>
      <c r="B4" s="3" t="s">
        <v>2049</v>
      </c>
      <c r="C4" s="3" t="s">
        <v>2042</v>
      </c>
      <c r="D4" s="3" t="s">
        <v>482</v>
      </c>
      <c r="E4" s="3" t="s">
        <v>1266</v>
      </c>
      <c r="F4" s="3" t="s">
        <v>2047</v>
      </c>
    </row>
    <row r="5" spans="1:6" ht="16" x14ac:dyDescent="0.2">
      <c r="A5" s="3" t="s">
        <v>2050</v>
      </c>
      <c r="B5" s="3" t="s">
        <v>2051</v>
      </c>
      <c r="C5" s="3" t="s">
        <v>2052</v>
      </c>
      <c r="D5" s="3" t="s">
        <v>2053</v>
      </c>
      <c r="E5" s="3" t="s">
        <v>2054</v>
      </c>
      <c r="F5" s="3" t="s">
        <v>2055</v>
      </c>
    </row>
    <row r="6" spans="1:6" ht="32" x14ac:dyDescent="0.2">
      <c r="A6" s="3" t="s">
        <v>2056</v>
      </c>
      <c r="B6" s="3" t="s">
        <v>2057</v>
      </c>
      <c r="C6" s="3" t="s">
        <v>2042</v>
      </c>
      <c r="D6" s="3" t="s">
        <v>482</v>
      </c>
      <c r="E6" s="3" t="s">
        <v>1298</v>
      </c>
      <c r="F6" s="3" t="s">
        <v>2047</v>
      </c>
    </row>
    <row r="7" spans="1:6" ht="32" x14ac:dyDescent="0.2">
      <c r="A7" s="3" t="s">
        <v>2058</v>
      </c>
      <c r="B7" s="3" t="s">
        <v>2059</v>
      </c>
      <c r="C7" s="3" t="s">
        <v>2042</v>
      </c>
      <c r="D7" s="3" t="s">
        <v>482</v>
      </c>
      <c r="E7" s="3" t="s">
        <v>1303</v>
      </c>
      <c r="F7" s="3" t="s">
        <v>2047</v>
      </c>
    </row>
    <row r="8" spans="1:6" ht="16" x14ac:dyDescent="0.2">
      <c r="A8" s="3" t="s">
        <v>2060</v>
      </c>
      <c r="B8" s="3" t="s">
        <v>2061</v>
      </c>
      <c r="C8" s="3" t="s">
        <v>2042</v>
      </c>
      <c r="D8" s="3" t="s">
        <v>482</v>
      </c>
      <c r="E8" s="3" t="s">
        <v>1311</v>
      </c>
      <c r="F8" s="3" t="s">
        <v>2047</v>
      </c>
    </row>
    <row r="9" spans="1:6" ht="32" x14ac:dyDescent="0.2">
      <c r="A9" s="3" t="s">
        <v>2062</v>
      </c>
      <c r="B9" s="3" t="s">
        <v>2063</v>
      </c>
      <c r="C9" s="3" t="s">
        <v>2042</v>
      </c>
      <c r="D9" s="3" t="s">
        <v>482</v>
      </c>
      <c r="E9" s="3" t="s">
        <v>1327</v>
      </c>
      <c r="F9" s="3" t="s">
        <v>2047</v>
      </c>
    </row>
    <row r="10" spans="1:6" ht="16" x14ac:dyDescent="0.2">
      <c r="A10" s="3" t="s">
        <v>2064</v>
      </c>
      <c r="B10" s="3" t="s">
        <v>2065</v>
      </c>
      <c r="C10" s="3" t="s">
        <v>2042</v>
      </c>
      <c r="D10" s="3" t="s">
        <v>482</v>
      </c>
      <c r="E10" s="3" t="s">
        <v>1347</v>
      </c>
      <c r="F10" s="3" t="s">
        <v>2047</v>
      </c>
    </row>
    <row r="11" spans="1:6" ht="16" x14ac:dyDescent="0.2">
      <c r="A11" s="3" t="s">
        <v>2066</v>
      </c>
      <c r="B11" s="3" t="s">
        <v>2067</v>
      </c>
      <c r="C11" s="3" t="s">
        <v>2042</v>
      </c>
      <c r="D11" s="3" t="s">
        <v>482</v>
      </c>
      <c r="E11" s="3" t="s">
        <v>1353</v>
      </c>
      <c r="F11" s="3" t="s">
        <v>2047</v>
      </c>
    </row>
    <row r="12" spans="1:6" ht="16" x14ac:dyDescent="0.2">
      <c r="A12" s="3" t="s">
        <v>2068</v>
      </c>
      <c r="B12" s="3" t="s">
        <v>2069</v>
      </c>
      <c r="C12" s="3" t="s">
        <v>2042</v>
      </c>
      <c r="D12" s="3" t="s">
        <v>482</v>
      </c>
      <c r="E12" s="3" t="s">
        <v>1365</v>
      </c>
      <c r="F12" s="3" t="s">
        <v>2047</v>
      </c>
    </row>
    <row r="13" spans="1:6" ht="16" x14ac:dyDescent="0.2">
      <c r="A13" s="3" t="s">
        <v>1576</v>
      </c>
      <c r="B13" s="3" t="s">
        <v>1575</v>
      </c>
      <c r="C13" s="3" t="s">
        <v>2070</v>
      </c>
      <c r="D13" s="3" t="s">
        <v>2071</v>
      </c>
      <c r="E13" s="3" t="s">
        <v>445</v>
      </c>
      <c r="F13" s="3" t="s">
        <v>2047</v>
      </c>
    </row>
    <row r="14" spans="1:6" ht="32" x14ac:dyDescent="0.2">
      <c r="A14" s="3" t="s">
        <v>2072</v>
      </c>
      <c r="B14" s="3" t="s">
        <v>2073</v>
      </c>
      <c r="C14" s="3" t="s">
        <v>2042</v>
      </c>
      <c r="D14" s="3" t="s">
        <v>482</v>
      </c>
      <c r="E14" s="3" t="s">
        <v>460</v>
      </c>
      <c r="F14" s="3" t="s">
        <v>2047</v>
      </c>
    </row>
    <row r="15" spans="1:6" ht="16" x14ac:dyDescent="0.2">
      <c r="A15" s="3" t="s">
        <v>2074</v>
      </c>
      <c r="B15" s="3" t="s">
        <v>2075</v>
      </c>
      <c r="C15" s="3" t="s">
        <v>2042</v>
      </c>
      <c r="D15" s="3" t="s">
        <v>482</v>
      </c>
      <c r="E15" s="3" t="s">
        <v>2076</v>
      </c>
      <c r="F15" s="3" t="s">
        <v>2044</v>
      </c>
    </row>
    <row r="16" spans="1:6" ht="16" x14ac:dyDescent="0.2">
      <c r="A16" s="3" t="s">
        <v>1682</v>
      </c>
      <c r="B16" s="3" t="s">
        <v>1681</v>
      </c>
      <c r="C16" s="3" t="s">
        <v>2042</v>
      </c>
      <c r="D16" s="3" t="s">
        <v>482</v>
      </c>
      <c r="E16" s="3" t="s">
        <v>2077</v>
      </c>
      <c r="F16" s="3" t="s">
        <v>2044</v>
      </c>
    </row>
    <row r="17" spans="1:6" ht="16" x14ac:dyDescent="0.2">
      <c r="A17" s="3" t="s">
        <v>2078</v>
      </c>
      <c r="B17" s="3" t="s">
        <v>2079</v>
      </c>
      <c r="C17" s="3" t="s">
        <v>2042</v>
      </c>
      <c r="D17" s="3" t="s">
        <v>482</v>
      </c>
      <c r="E17" s="3" t="s">
        <v>2080</v>
      </c>
      <c r="F17" s="3" t="s">
        <v>2055</v>
      </c>
    </row>
    <row r="18" spans="1:6" ht="16" x14ac:dyDescent="0.2">
      <c r="A18" s="3" t="s">
        <v>2081</v>
      </c>
      <c r="B18" s="3" t="s">
        <v>2082</v>
      </c>
      <c r="C18" s="3" t="s">
        <v>2042</v>
      </c>
      <c r="D18" s="3" t="s">
        <v>482</v>
      </c>
      <c r="E18" s="3" t="s">
        <v>1393</v>
      </c>
      <c r="F18" s="3" t="s">
        <v>2047</v>
      </c>
    </row>
    <row r="19" spans="1:6" ht="16" x14ac:dyDescent="0.2">
      <c r="A19" s="3" t="s">
        <v>2083</v>
      </c>
      <c r="B19" s="3" t="s">
        <v>2084</v>
      </c>
      <c r="C19" s="3" t="s">
        <v>2042</v>
      </c>
      <c r="D19" s="3" t="s">
        <v>482</v>
      </c>
      <c r="E19" s="3" t="s">
        <v>1404</v>
      </c>
      <c r="F19" s="3" t="s">
        <v>2047</v>
      </c>
    </row>
    <row r="20" spans="1:6" ht="16" x14ac:dyDescent="0.2">
      <c r="A20" s="3" t="s">
        <v>1687</v>
      </c>
      <c r="B20" s="3" t="s">
        <v>1686</v>
      </c>
      <c r="C20" s="3" t="s">
        <v>2042</v>
      </c>
      <c r="D20" s="3" t="s">
        <v>482</v>
      </c>
      <c r="E20" s="3" t="s">
        <v>1412</v>
      </c>
      <c r="F20" s="3" t="s">
        <v>2047</v>
      </c>
    </row>
    <row r="21" spans="1:6" ht="16" x14ac:dyDescent="0.2">
      <c r="A21" s="3" t="s">
        <v>2085</v>
      </c>
      <c r="B21" s="3" t="s">
        <v>2086</v>
      </c>
      <c r="C21" s="3" t="s">
        <v>2042</v>
      </c>
      <c r="D21" s="3" t="s">
        <v>482</v>
      </c>
      <c r="E21" s="3" t="s">
        <v>1417</v>
      </c>
      <c r="F21" s="3" t="s">
        <v>2047</v>
      </c>
    </row>
    <row r="22" spans="1:6" ht="16" x14ac:dyDescent="0.2">
      <c r="A22" s="3" t="s">
        <v>1778</v>
      </c>
      <c r="B22" s="3" t="s">
        <v>1777</v>
      </c>
      <c r="C22" s="3" t="s">
        <v>2087</v>
      </c>
      <c r="D22" s="3" t="s">
        <v>2088</v>
      </c>
      <c r="E22" s="3" t="s">
        <v>1432</v>
      </c>
      <c r="F22" s="3" t="s">
        <v>2047</v>
      </c>
    </row>
    <row r="23" spans="1:6" ht="16" x14ac:dyDescent="0.2">
      <c r="A23" s="3" t="s">
        <v>2089</v>
      </c>
      <c r="B23" s="3" t="s">
        <v>2090</v>
      </c>
      <c r="C23" s="3" t="s">
        <v>2042</v>
      </c>
      <c r="D23" s="3" t="s">
        <v>482</v>
      </c>
      <c r="E23" s="3" t="s">
        <v>1447</v>
      </c>
      <c r="F23" s="3" t="s">
        <v>2047</v>
      </c>
    </row>
    <row r="24" spans="1:6" ht="16" x14ac:dyDescent="0.2">
      <c r="A24" s="3" t="s">
        <v>2091</v>
      </c>
      <c r="B24" s="3" t="s">
        <v>2092</v>
      </c>
      <c r="C24" s="3" t="s">
        <v>2042</v>
      </c>
      <c r="D24" s="3" t="s">
        <v>482</v>
      </c>
      <c r="E24" s="3" t="s">
        <v>2093</v>
      </c>
      <c r="F24" s="3" t="s">
        <v>2055</v>
      </c>
    </row>
    <row r="25" spans="1:6" ht="16" x14ac:dyDescent="0.2">
      <c r="A25" s="3" t="s">
        <v>2094</v>
      </c>
      <c r="B25" s="3" t="s">
        <v>2095</v>
      </c>
      <c r="C25" s="3" t="s">
        <v>2042</v>
      </c>
      <c r="D25" s="3" t="s">
        <v>482</v>
      </c>
      <c r="E25" s="3" t="s">
        <v>1471</v>
      </c>
      <c r="F25" s="3" t="s">
        <v>2047</v>
      </c>
    </row>
    <row r="26" spans="1:6" ht="16" x14ac:dyDescent="0.2">
      <c r="A26" s="3" t="s">
        <v>2096</v>
      </c>
      <c r="B26" s="3" t="s">
        <v>2097</v>
      </c>
      <c r="C26" s="3" t="s">
        <v>2042</v>
      </c>
      <c r="D26" s="3" t="s">
        <v>482</v>
      </c>
      <c r="E26" s="3" t="s">
        <v>1481</v>
      </c>
      <c r="F26" s="3" t="s">
        <v>2047</v>
      </c>
    </row>
    <row r="27" spans="1:6" ht="16" x14ac:dyDescent="0.2">
      <c r="A27" s="3" t="s">
        <v>2098</v>
      </c>
      <c r="B27" s="3" t="s">
        <v>2099</v>
      </c>
      <c r="C27" s="3" t="s">
        <v>2042</v>
      </c>
      <c r="D27" s="3" t="s">
        <v>482</v>
      </c>
      <c r="E27" s="3" t="s">
        <v>1486</v>
      </c>
      <c r="F27" s="3" t="s">
        <v>2047</v>
      </c>
    </row>
    <row r="28" spans="1:6" ht="16" x14ac:dyDescent="0.2">
      <c r="A28" s="3" t="s">
        <v>2100</v>
      </c>
      <c r="B28" s="3" t="s">
        <v>2101</v>
      </c>
      <c r="C28" s="3" t="s">
        <v>2042</v>
      </c>
      <c r="D28" s="3" t="s">
        <v>482</v>
      </c>
      <c r="E28" s="3" t="s">
        <v>2102</v>
      </c>
      <c r="F28" s="3" t="s">
        <v>2044</v>
      </c>
    </row>
    <row r="29" spans="1:6" ht="16" x14ac:dyDescent="0.2">
      <c r="A29" s="3" t="s">
        <v>2103</v>
      </c>
      <c r="B29" s="3" t="s">
        <v>2104</v>
      </c>
      <c r="C29" s="3" t="s">
        <v>2105</v>
      </c>
      <c r="D29" s="3" t="s">
        <v>2106</v>
      </c>
      <c r="E29" s="3" t="s">
        <v>2107</v>
      </c>
      <c r="F29" s="3" t="s">
        <v>2044</v>
      </c>
    </row>
    <row r="30" spans="1:6" ht="32" x14ac:dyDescent="0.2">
      <c r="A30" s="3" t="s">
        <v>2108</v>
      </c>
      <c r="B30" s="3" t="s">
        <v>2109</v>
      </c>
      <c r="C30" s="3" t="s">
        <v>2042</v>
      </c>
      <c r="D30" s="3" t="s">
        <v>482</v>
      </c>
      <c r="E30" s="3" t="s">
        <v>1523</v>
      </c>
      <c r="F30" s="3" t="s">
        <v>2047</v>
      </c>
    </row>
    <row r="31" spans="1:6" ht="16" x14ac:dyDescent="0.2">
      <c r="A31" s="3" t="s">
        <v>2110</v>
      </c>
      <c r="B31" s="3" t="s">
        <v>2111</v>
      </c>
      <c r="C31" s="3" t="s">
        <v>2112</v>
      </c>
      <c r="D31" s="3" t="s">
        <v>2113</v>
      </c>
      <c r="E31" s="3" t="s">
        <v>2114</v>
      </c>
      <c r="F31" s="3" t="s">
        <v>2044</v>
      </c>
    </row>
    <row r="32" spans="1:6" ht="16" x14ac:dyDescent="0.2">
      <c r="A32" s="3" t="s">
        <v>2115</v>
      </c>
      <c r="B32" s="3" t="s">
        <v>2116</v>
      </c>
      <c r="C32" s="3" t="s">
        <v>2117</v>
      </c>
      <c r="D32" s="3" t="s">
        <v>2118</v>
      </c>
      <c r="E32" s="3" t="s">
        <v>506</v>
      </c>
      <c r="F32" s="3" t="s">
        <v>2047</v>
      </c>
    </row>
    <row r="33" spans="1:6" ht="32" x14ac:dyDescent="0.2">
      <c r="A33" s="3" t="s">
        <v>2119</v>
      </c>
      <c r="B33" s="3" t="s">
        <v>2012</v>
      </c>
      <c r="C33" s="3" t="s">
        <v>2120</v>
      </c>
      <c r="D33" s="3" t="s">
        <v>2121</v>
      </c>
      <c r="E33" s="3" t="s">
        <v>523</v>
      </c>
      <c r="F33" s="3" t="s">
        <v>2047</v>
      </c>
    </row>
    <row r="34" spans="1:6" ht="16" x14ac:dyDescent="0.2">
      <c r="A34" s="3" t="s">
        <v>2122</v>
      </c>
      <c r="B34" s="3" t="s">
        <v>2123</v>
      </c>
      <c r="C34" s="3" t="s">
        <v>2124</v>
      </c>
      <c r="D34" s="3" t="s">
        <v>2125</v>
      </c>
      <c r="E34" s="3" t="s">
        <v>534</v>
      </c>
      <c r="F34" s="3" t="s">
        <v>2047</v>
      </c>
    </row>
    <row r="35" spans="1:6" ht="16" x14ac:dyDescent="0.2">
      <c r="A35" s="3" t="s">
        <v>2126</v>
      </c>
      <c r="B35" s="3" t="s">
        <v>2127</v>
      </c>
      <c r="C35" s="3" t="s">
        <v>2128</v>
      </c>
      <c r="D35" s="3" t="s">
        <v>2129</v>
      </c>
      <c r="E35" s="3" t="s">
        <v>554</v>
      </c>
      <c r="F35" s="3" t="s">
        <v>2047</v>
      </c>
    </row>
    <row r="36" spans="1:6" ht="16" x14ac:dyDescent="0.2">
      <c r="A36" s="3" t="s">
        <v>1617</v>
      </c>
      <c r="B36" s="3" t="s">
        <v>1616</v>
      </c>
      <c r="C36" s="3" t="s">
        <v>2130</v>
      </c>
      <c r="D36" s="3" t="s">
        <v>2131</v>
      </c>
      <c r="E36" s="3" t="s">
        <v>2132</v>
      </c>
      <c r="F36" s="3" t="s">
        <v>2055</v>
      </c>
    </row>
    <row r="37" spans="1:6" ht="16" x14ac:dyDescent="0.2">
      <c r="A37" s="3" t="s">
        <v>1628</v>
      </c>
      <c r="B37" s="3" t="s">
        <v>1627</v>
      </c>
      <c r="C37" s="3" t="s">
        <v>2133</v>
      </c>
      <c r="D37" s="3" t="s">
        <v>2134</v>
      </c>
      <c r="E37" s="3" t="s">
        <v>600</v>
      </c>
      <c r="F37" s="3" t="s">
        <v>2047</v>
      </c>
    </row>
    <row r="38" spans="1:6" ht="16" x14ac:dyDescent="0.2">
      <c r="A38" s="3" t="s">
        <v>2135</v>
      </c>
      <c r="B38" s="3" t="s">
        <v>2136</v>
      </c>
      <c r="C38" s="3" t="s">
        <v>2042</v>
      </c>
      <c r="D38" s="3" t="s">
        <v>482</v>
      </c>
      <c r="E38" s="3" t="s">
        <v>621</v>
      </c>
      <c r="F38" s="3" t="s">
        <v>2047</v>
      </c>
    </row>
    <row r="39" spans="1:6" ht="32" x14ac:dyDescent="0.2">
      <c r="A39" s="3" t="s">
        <v>2137</v>
      </c>
      <c r="B39" s="3" t="s">
        <v>2138</v>
      </c>
      <c r="C39" s="3" t="s">
        <v>2139</v>
      </c>
      <c r="D39" s="3" t="s">
        <v>2140</v>
      </c>
      <c r="E39" s="3" t="s">
        <v>2141</v>
      </c>
      <c r="F39" s="3" t="s">
        <v>2142</v>
      </c>
    </row>
    <row r="40" spans="1:6" ht="16" x14ac:dyDescent="0.2">
      <c r="A40" s="3" t="s">
        <v>2143</v>
      </c>
      <c r="B40" s="3" t="s">
        <v>2144</v>
      </c>
      <c r="C40" s="3" t="s">
        <v>2042</v>
      </c>
      <c r="D40" s="3" t="s">
        <v>482</v>
      </c>
      <c r="E40" s="3" t="s">
        <v>656</v>
      </c>
      <c r="F40" s="3" t="s">
        <v>2047</v>
      </c>
    </row>
    <row r="41" spans="1:6" ht="16" x14ac:dyDescent="0.2">
      <c r="A41" s="3" t="s">
        <v>1718</v>
      </c>
      <c r="B41" s="3" t="s">
        <v>1717</v>
      </c>
      <c r="C41" s="3" t="s">
        <v>2145</v>
      </c>
      <c r="D41" s="3" t="s">
        <v>2146</v>
      </c>
      <c r="E41" s="3" t="s">
        <v>2147</v>
      </c>
      <c r="F41" s="3" t="s">
        <v>2044</v>
      </c>
    </row>
    <row r="42" spans="1:6" ht="16" x14ac:dyDescent="0.2">
      <c r="A42" s="3" t="s">
        <v>2148</v>
      </c>
      <c r="B42" s="3" t="s">
        <v>2149</v>
      </c>
      <c r="C42" s="3" t="s">
        <v>2042</v>
      </c>
      <c r="D42" s="3" t="s">
        <v>482</v>
      </c>
      <c r="E42" s="3" t="s">
        <v>681</v>
      </c>
      <c r="F42" s="3" t="s">
        <v>2047</v>
      </c>
    </row>
    <row r="43" spans="1:6" ht="16" x14ac:dyDescent="0.2">
      <c r="A43" s="3" t="s">
        <v>2150</v>
      </c>
      <c r="B43" s="3" t="s">
        <v>2151</v>
      </c>
      <c r="C43" s="3" t="s">
        <v>2042</v>
      </c>
      <c r="D43" s="3" t="s">
        <v>482</v>
      </c>
      <c r="E43" s="3" t="s">
        <v>690</v>
      </c>
      <c r="F43" s="3" t="s">
        <v>2047</v>
      </c>
    </row>
    <row r="44" spans="1:6" ht="16" x14ac:dyDescent="0.2">
      <c r="A44" s="3" t="s">
        <v>2152</v>
      </c>
      <c r="B44" s="3" t="s">
        <v>2153</v>
      </c>
      <c r="C44" s="3" t="s">
        <v>2154</v>
      </c>
      <c r="D44" s="3" t="s">
        <v>2155</v>
      </c>
      <c r="E44" s="3" t="s">
        <v>696</v>
      </c>
      <c r="F44" s="3" t="s">
        <v>2047</v>
      </c>
    </row>
    <row r="45" spans="1:6" ht="16" x14ac:dyDescent="0.2">
      <c r="A45" s="3" t="s">
        <v>1601</v>
      </c>
      <c r="B45" s="3" t="s">
        <v>1600</v>
      </c>
      <c r="C45" s="3" t="s">
        <v>2156</v>
      </c>
      <c r="D45" s="3" t="s">
        <v>2157</v>
      </c>
      <c r="E45" s="3" t="s">
        <v>2158</v>
      </c>
      <c r="F45" s="3" t="s">
        <v>2055</v>
      </c>
    </row>
    <row r="46" spans="1:6" ht="16" x14ac:dyDescent="0.2">
      <c r="A46" s="3" t="s">
        <v>2159</v>
      </c>
      <c r="B46" s="3" t="s">
        <v>2160</v>
      </c>
      <c r="C46" s="3" t="s">
        <v>2161</v>
      </c>
      <c r="D46" s="3" t="s">
        <v>2162</v>
      </c>
      <c r="E46" s="3" t="s">
        <v>2163</v>
      </c>
      <c r="F46" s="3" t="s">
        <v>2044</v>
      </c>
    </row>
    <row r="47" spans="1:6" ht="16" x14ac:dyDescent="0.2">
      <c r="A47" s="3" t="s">
        <v>2164</v>
      </c>
      <c r="B47" s="3" t="s">
        <v>2165</v>
      </c>
      <c r="C47" s="3" t="s">
        <v>2166</v>
      </c>
      <c r="D47" s="3" t="s">
        <v>2167</v>
      </c>
      <c r="E47" s="3" t="s">
        <v>731</v>
      </c>
      <c r="F47" s="3" t="s">
        <v>2047</v>
      </c>
    </row>
    <row r="48" spans="1:6" ht="16" x14ac:dyDescent="0.2">
      <c r="A48" s="3" t="s">
        <v>2168</v>
      </c>
      <c r="B48" s="3" t="s">
        <v>2169</v>
      </c>
      <c r="C48" s="3" t="s">
        <v>2170</v>
      </c>
      <c r="D48" s="3" t="s">
        <v>2171</v>
      </c>
      <c r="E48" s="3" t="s">
        <v>744</v>
      </c>
      <c r="F48" s="3" t="s">
        <v>2047</v>
      </c>
    </row>
    <row r="49" spans="1:6" ht="16" x14ac:dyDescent="0.2">
      <c r="A49" s="3" t="s">
        <v>2172</v>
      </c>
      <c r="B49" s="3" t="s">
        <v>2173</v>
      </c>
      <c r="C49" s="3" t="s">
        <v>2174</v>
      </c>
      <c r="D49" s="3" t="s">
        <v>2175</v>
      </c>
      <c r="E49" s="3" t="s">
        <v>2176</v>
      </c>
      <c r="F49" s="3" t="s">
        <v>2044</v>
      </c>
    </row>
    <row r="50" spans="1:6" ht="16" x14ac:dyDescent="0.2">
      <c r="A50" s="3" t="s">
        <v>2177</v>
      </c>
      <c r="B50" s="3" t="s">
        <v>2178</v>
      </c>
      <c r="C50" s="3" t="s">
        <v>2042</v>
      </c>
      <c r="D50" s="3" t="s">
        <v>482</v>
      </c>
      <c r="E50" s="3" t="s">
        <v>772</v>
      </c>
      <c r="F50" s="3" t="s">
        <v>2047</v>
      </c>
    </row>
    <row r="51" spans="1:6" ht="16" x14ac:dyDescent="0.2">
      <c r="A51" s="3" t="s">
        <v>2179</v>
      </c>
      <c r="B51" s="3" t="s">
        <v>2180</v>
      </c>
      <c r="C51" s="3" t="s">
        <v>2042</v>
      </c>
      <c r="D51" s="3" t="s">
        <v>482</v>
      </c>
      <c r="E51" s="3" t="s">
        <v>778</v>
      </c>
      <c r="F51" s="3" t="s">
        <v>2047</v>
      </c>
    </row>
    <row r="52" spans="1:6" ht="16" x14ac:dyDescent="0.2">
      <c r="A52" s="3" t="s">
        <v>2181</v>
      </c>
      <c r="B52" s="3" t="s">
        <v>2182</v>
      </c>
      <c r="C52" s="3" t="s">
        <v>2183</v>
      </c>
      <c r="D52" s="3" t="s">
        <v>2184</v>
      </c>
      <c r="E52" s="3" t="s">
        <v>2185</v>
      </c>
      <c r="F52" s="3" t="s">
        <v>2044</v>
      </c>
    </row>
    <row r="53" spans="1:6" ht="16" x14ac:dyDescent="0.2">
      <c r="A53" s="3" t="s">
        <v>2186</v>
      </c>
      <c r="B53" s="3" t="s">
        <v>2187</v>
      </c>
      <c r="C53" s="3" t="s">
        <v>2188</v>
      </c>
      <c r="D53" s="3" t="s">
        <v>2189</v>
      </c>
      <c r="E53" s="3" t="s">
        <v>2190</v>
      </c>
      <c r="F53" s="3" t="s">
        <v>2044</v>
      </c>
    </row>
    <row r="54" spans="1:6" ht="16" x14ac:dyDescent="0.2">
      <c r="A54" s="3" t="s">
        <v>2191</v>
      </c>
      <c r="B54" s="3" t="s">
        <v>2192</v>
      </c>
      <c r="C54" s="3" t="s">
        <v>2042</v>
      </c>
      <c r="D54" s="3" t="s">
        <v>482</v>
      </c>
      <c r="E54" s="3" t="s">
        <v>828</v>
      </c>
      <c r="F54" s="3" t="s">
        <v>2047</v>
      </c>
    </row>
    <row r="55" spans="1:6" ht="16" x14ac:dyDescent="0.2">
      <c r="A55" s="3" t="s">
        <v>2193</v>
      </c>
      <c r="B55" s="3" t="s">
        <v>2194</v>
      </c>
      <c r="C55" s="3" t="s">
        <v>2195</v>
      </c>
      <c r="D55" s="3" t="s">
        <v>2196</v>
      </c>
      <c r="E55" s="3" t="s">
        <v>833</v>
      </c>
      <c r="F55" s="3" t="s">
        <v>2047</v>
      </c>
    </row>
    <row r="56" spans="1:6" ht="32" x14ac:dyDescent="0.2">
      <c r="A56" s="3" t="s">
        <v>2197</v>
      </c>
      <c r="B56" s="3" t="s">
        <v>2198</v>
      </c>
      <c r="C56" s="3" t="s">
        <v>2199</v>
      </c>
      <c r="D56" s="3" t="s">
        <v>2200</v>
      </c>
      <c r="E56" s="3" t="s">
        <v>2201</v>
      </c>
      <c r="F56" s="3" t="s">
        <v>2044</v>
      </c>
    </row>
    <row r="57" spans="1:6" ht="16" x14ac:dyDescent="0.2">
      <c r="A57" s="3" t="s">
        <v>2202</v>
      </c>
      <c r="B57" s="3" t="s">
        <v>2203</v>
      </c>
      <c r="C57" s="3" t="s">
        <v>2042</v>
      </c>
      <c r="D57" s="3" t="s">
        <v>482</v>
      </c>
      <c r="E57" s="3" t="s">
        <v>864</v>
      </c>
      <c r="F57" s="3" t="s">
        <v>2047</v>
      </c>
    </row>
    <row r="58" spans="1:6" ht="16" x14ac:dyDescent="0.2">
      <c r="A58" s="3" t="s">
        <v>2204</v>
      </c>
      <c r="B58" s="3" t="s">
        <v>2205</v>
      </c>
      <c r="C58" s="3" t="s">
        <v>2042</v>
      </c>
      <c r="D58" s="3" t="s">
        <v>482</v>
      </c>
      <c r="E58" s="3" t="s">
        <v>892</v>
      </c>
      <c r="F58" s="3" t="s">
        <v>2047</v>
      </c>
    </row>
    <row r="59" spans="1:6" ht="32" x14ac:dyDescent="0.2">
      <c r="A59" s="3" t="s">
        <v>1588</v>
      </c>
      <c r="B59" s="3" t="s">
        <v>2206</v>
      </c>
      <c r="C59" s="3" t="s">
        <v>2207</v>
      </c>
      <c r="D59" s="3" t="s">
        <v>2208</v>
      </c>
      <c r="E59" s="3" t="s">
        <v>2209</v>
      </c>
      <c r="F59" s="3" t="s">
        <v>2142</v>
      </c>
    </row>
    <row r="60" spans="1:6" ht="16" x14ac:dyDescent="0.2">
      <c r="A60" s="3" t="s">
        <v>2210</v>
      </c>
      <c r="B60" s="3" t="s">
        <v>2211</v>
      </c>
      <c r="C60" s="3" t="s">
        <v>2212</v>
      </c>
      <c r="D60" s="3" t="s">
        <v>2213</v>
      </c>
      <c r="E60" s="3" t="s">
        <v>2214</v>
      </c>
      <c r="F60" s="3" t="s">
        <v>2055</v>
      </c>
    </row>
    <row r="61" spans="1:6" ht="16" x14ac:dyDescent="0.2">
      <c r="A61" s="3" t="s">
        <v>2215</v>
      </c>
      <c r="B61" s="3" t="s">
        <v>2216</v>
      </c>
      <c r="C61" s="3" t="s">
        <v>2217</v>
      </c>
      <c r="D61" s="3" t="s">
        <v>2218</v>
      </c>
      <c r="E61" s="3" t="s">
        <v>945</v>
      </c>
      <c r="F61" s="3" t="s">
        <v>2047</v>
      </c>
    </row>
    <row r="62" spans="1:6" ht="32" x14ac:dyDescent="0.2">
      <c r="A62" s="3" t="s">
        <v>2219</v>
      </c>
      <c r="B62" s="3" t="s">
        <v>2220</v>
      </c>
      <c r="C62" s="3" t="s">
        <v>2042</v>
      </c>
      <c r="D62" s="3" t="s">
        <v>482</v>
      </c>
      <c r="E62" s="3" t="s">
        <v>955</v>
      </c>
      <c r="F62" s="3" t="s">
        <v>2047</v>
      </c>
    </row>
    <row r="63" spans="1:6" ht="16" x14ac:dyDescent="0.2">
      <c r="A63" s="3" t="s">
        <v>2221</v>
      </c>
      <c r="B63" s="3" t="s">
        <v>2222</v>
      </c>
      <c r="C63" s="3" t="s">
        <v>2223</v>
      </c>
      <c r="D63" s="3" t="s">
        <v>2224</v>
      </c>
      <c r="E63" s="3" t="s">
        <v>2225</v>
      </c>
      <c r="F63" s="3" t="s">
        <v>2055</v>
      </c>
    </row>
    <row r="64" spans="1:6" ht="16" x14ac:dyDescent="0.2">
      <c r="A64" s="3" t="s">
        <v>2226</v>
      </c>
      <c r="B64" s="3" t="s">
        <v>2227</v>
      </c>
      <c r="C64" s="3" t="s">
        <v>2228</v>
      </c>
      <c r="D64" s="3" t="s">
        <v>2229</v>
      </c>
      <c r="E64" s="3" t="s">
        <v>2230</v>
      </c>
      <c r="F64" s="3" t="s">
        <v>2044</v>
      </c>
    </row>
    <row r="65" spans="1:6" ht="32" x14ac:dyDescent="0.2">
      <c r="A65" s="3" t="s">
        <v>2231</v>
      </c>
      <c r="B65" s="3" t="s">
        <v>2232</v>
      </c>
      <c r="C65" s="3" t="s">
        <v>2042</v>
      </c>
      <c r="D65" s="3" t="s">
        <v>482</v>
      </c>
      <c r="E65" s="3" t="s">
        <v>2233</v>
      </c>
      <c r="F65" s="3" t="s">
        <v>2055</v>
      </c>
    </row>
    <row r="66" spans="1:6" ht="32" x14ac:dyDescent="0.2">
      <c r="A66" s="3" t="s">
        <v>2234</v>
      </c>
      <c r="B66" s="3" t="s">
        <v>2235</v>
      </c>
      <c r="C66" s="3" t="s">
        <v>2042</v>
      </c>
      <c r="D66" s="3" t="s">
        <v>482</v>
      </c>
      <c r="E66" s="3" t="s">
        <v>1013</v>
      </c>
      <c r="F66" s="3" t="s">
        <v>2047</v>
      </c>
    </row>
    <row r="67" spans="1:6" ht="16" x14ac:dyDescent="0.2">
      <c r="A67" s="3" t="s">
        <v>2236</v>
      </c>
      <c r="B67" s="3" t="s">
        <v>2237</v>
      </c>
      <c r="C67" s="3" t="s">
        <v>2042</v>
      </c>
      <c r="D67" s="3" t="s">
        <v>482</v>
      </c>
      <c r="E67" s="3" t="s">
        <v>1042</v>
      </c>
      <c r="F67" s="3" t="s">
        <v>2047</v>
      </c>
    </row>
    <row r="68" spans="1:6" ht="32" x14ac:dyDescent="0.2">
      <c r="A68" s="3" t="s">
        <v>2238</v>
      </c>
      <c r="B68" s="3" t="s">
        <v>2239</v>
      </c>
      <c r="C68" s="3" t="s">
        <v>2042</v>
      </c>
      <c r="D68" s="3" t="s">
        <v>482</v>
      </c>
      <c r="E68" s="3" t="s">
        <v>1052</v>
      </c>
      <c r="F68" s="3" t="s">
        <v>2047</v>
      </c>
    </row>
    <row r="69" spans="1:6" ht="16" x14ac:dyDescent="0.2">
      <c r="A69" s="3" t="s">
        <v>1553</v>
      </c>
      <c r="B69" s="3" t="s">
        <v>2240</v>
      </c>
      <c r="C69" s="3" t="s">
        <v>2042</v>
      </c>
      <c r="D69" s="3" t="s">
        <v>482</v>
      </c>
      <c r="E69" s="3" t="s">
        <v>2241</v>
      </c>
      <c r="F69" s="3" t="s">
        <v>2044</v>
      </c>
    </row>
    <row r="70" spans="1:6" ht="32" x14ac:dyDescent="0.2">
      <c r="A70" s="3" t="s">
        <v>1661</v>
      </c>
      <c r="B70" s="3" t="s">
        <v>1660</v>
      </c>
      <c r="C70" s="3" t="s">
        <v>2242</v>
      </c>
      <c r="D70" s="3" t="s">
        <v>2243</v>
      </c>
      <c r="E70" s="3" t="s">
        <v>2244</v>
      </c>
      <c r="F70" s="3" t="s">
        <v>2142</v>
      </c>
    </row>
    <row r="71" spans="1:6" ht="16" x14ac:dyDescent="0.2">
      <c r="A71" s="3" t="s">
        <v>2245</v>
      </c>
      <c r="B71" s="3" t="s">
        <v>2246</v>
      </c>
      <c r="C71" s="3" t="s">
        <v>2042</v>
      </c>
      <c r="D71" s="3" t="s">
        <v>482</v>
      </c>
      <c r="E71" s="3" t="s">
        <v>1105</v>
      </c>
      <c r="F71" s="3" t="s">
        <v>2047</v>
      </c>
    </row>
    <row r="72" spans="1:6" ht="16" x14ac:dyDescent="0.2">
      <c r="A72" s="3" t="s">
        <v>2247</v>
      </c>
      <c r="B72" s="3" t="s">
        <v>2248</v>
      </c>
      <c r="C72" s="3" t="s">
        <v>2042</v>
      </c>
      <c r="D72" s="3" t="s">
        <v>482</v>
      </c>
      <c r="E72" s="3" t="s">
        <v>1117</v>
      </c>
      <c r="F72" s="3" t="s">
        <v>2047</v>
      </c>
    </row>
    <row r="73" spans="1:6" ht="16" x14ac:dyDescent="0.2">
      <c r="A73" s="3" t="s">
        <v>2249</v>
      </c>
      <c r="B73" s="3" t="s">
        <v>2250</v>
      </c>
      <c r="C73" s="3" t="s">
        <v>2042</v>
      </c>
      <c r="D73" s="3" t="s">
        <v>482</v>
      </c>
      <c r="E73" s="3" t="s">
        <v>1124</v>
      </c>
      <c r="F73" s="3" t="s">
        <v>2047</v>
      </c>
    </row>
    <row r="74" spans="1:6" ht="16" x14ac:dyDescent="0.2">
      <c r="A74" s="3" t="s">
        <v>2251</v>
      </c>
      <c r="B74" s="3" t="s">
        <v>2252</v>
      </c>
      <c r="C74" s="3" t="s">
        <v>2253</v>
      </c>
      <c r="D74" s="3" t="s">
        <v>482</v>
      </c>
      <c r="E74" s="3" t="s">
        <v>2254</v>
      </c>
      <c r="F74" s="3" t="s">
        <v>2055</v>
      </c>
    </row>
    <row r="75" spans="1:6" ht="16" x14ac:dyDescent="0.2">
      <c r="A75" s="3" t="s">
        <v>2255</v>
      </c>
      <c r="B75" s="3" t="s">
        <v>2256</v>
      </c>
      <c r="C75" s="3" t="s">
        <v>2042</v>
      </c>
      <c r="D75" s="3" t="s">
        <v>482</v>
      </c>
      <c r="E75" s="3" t="s">
        <v>1137</v>
      </c>
      <c r="F75" s="3" t="s">
        <v>2047</v>
      </c>
    </row>
    <row r="76" spans="1:6" ht="16" x14ac:dyDescent="0.2">
      <c r="A76" s="3" t="s">
        <v>2257</v>
      </c>
      <c r="B76" s="3" t="s">
        <v>2258</v>
      </c>
      <c r="C76" s="3" t="s">
        <v>2042</v>
      </c>
      <c r="D76" s="3" t="s">
        <v>482</v>
      </c>
      <c r="E76" s="3" t="s">
        <v>1143</v>
      </c>
      <c r="F76" s="3" t="s">
        <v>2047</v>
      </c>
    </row>
    <row r="77" spans="1:6" ht="16" x14ac:dyDescent="0.2">
      <c r="A77" s="3" t="s">
        <v>2259</v>
      </c>
      <c r="B77" s="3" t="s">
        <v>2260</v>
      </c>
      <c r="C77" s="3" t="s">
        <v>2253</v>
      </c>
      <c r="D77" s="3" t="s">
        <v>482</v>
      </c>
      <c r="E77" s="3" t="s">
        <v>1159</v>
      </c>
      <c r="F77" s="3" t="s">
        <v>2047</v>
      </c>
    </row>
    <row r="78" spans="1:6" ht="16" x14ac:dyDescent="0.2">
      <c r="A78" s="3" t="s">
        <v>1623</v>
      </c>
      <c r="B78" s="3" t="s">
        <v>1622</v>
      </c>
      <c r="C78" s="3" t="s">
        <v>2042</v>
      </c>
      <c r="D78" s="3" t="s">
        <v>482</v>
      </c>
      <c r="E78" s="3" t="s">
        <v>1174</v>
      </c>
      <c r="F78" s="3" t="s">
        <v>2047</v>
      </c>
    </row>
    <row r="79" spans="1:6" ht="16" x14ac:dyDescent="0.2">
      <c r="A79" s="3" t="s">
        <v>2261</v>
      </c>
      <c r="B79" s="3" t="s">
        <v>2262</v>
      </c>
      <c r="C79" s="3" t="s">
        <v>2253</v>
      </c>
      <c r="D79" s="3" t="s">
        <v>482</v>
      </c>
      <c r="E79" s="3" t="s">
        <v>1191</v>
      </c>
      <c r="F79" s="3" t="s">
        <v>2047</v>
      </c>
    </row>
    <row r="80" spans="1:6" ht="16" x14ac:dyDescent="0.2">
      <c r="A80" s="3" t="s">
        <v>2263</v>
      </c>
      <c r="B80" s="3" t="s">
        <v>2264</v>
      </c>
      <c r="C80" s="3" t="s">
        <v>2042</v>
      </c>
      <c r="D80" s="3" t="s">
        <v>482</v>
      </c>
      <c r="E80" s="3" t="s">
        <v>2265</v>
      </c>
      <c r="F80" s="3" t="s">
        <v>2044</v>
      </c>
    </row>
    <row r="81" spans="1:6" ht="16" x14ac:dyDescent="0.2">
      <c r="A81" s="3" t="s">
        <v>2266</v>
      </c>
      <c r="B81" s="3" t="s">
        <v>2267</v>
      </c>
      <c r="C81" s="3" t="s">
        <v>2268</v>
      </c>
      <c r="D81" s="3" t="s">
        <v>2269</v>
      </c>
      <c r="E81" s="3" t="s">
        <v>2270</v>
      </c>
      <c r="F81" s="3" t="s">
        <v>2044</v>
      </c>
    </row>
    <row r="82" spans="1:6" ht="32" x14ac:dyDescent="0.2">
      <c r="A82" s="3" t="s">
        <v>2271</v>
      </c>
      <c r="B82" s="3" t="s">
        <v>2272</v>
      </c>
      <c r="C82" s="3" t="s">
        <v>2273</v>
      </c>
      <c r="D82" s="3" t="s">
        <v>2274</v>
      </c>
      <c r="E82" s="3" t="s">
        <v>482</v>
      </c>
      <c r="F82" s="3" t="s">
        <v>2275</v>
      </c>
    </row>
    <row r="83" spans="1:6" ht="32" x14ac:dyDescent="0.2">
      <c r="A83" s="3" t="s">
        <v>2276</v>
      </c>
      <c r="B83" s="3" t="s">
        <v>2277</v>
      </c>
      <c r="C83" s="3" t="s">
        <v>2278</v>
      </c>
      <c r="D83" s="3" t="s">
        <v>2279</v>
      </c>
      <c r="E83" s="3" t="s">
        <v>482</v>
      </c>
      <c r="F83" s="3" t="s">
        <v>2275</v>
      </c>
    </row>
    <row r="84" spans="1:6" ht="16" x14ac:dyDescent="0.2">
      <c r="A84" s="3" t="s">
        <v>1773</v>
      </c>
      <c r="B84" s="3" t="s">
        <v>1772</v>
      </c>
      <c r="C84" s="3" t="s">
        <v>2280</v>
      </c>
      <c r="D84" s="3" t="s">
        <v>2281</v>
      </c>
      <c r="E84" s="3" t="s">
        <v>1031</v>
      </c>
      <c r="F84" s="3" t="s">
        <v>2047</v>
      </c>
    </row>
    <row r="85" spans="1:6" ht="32" x14ac:dyDescent="0.2">
      <c r="A85" s="3" t="s">
        <v>2282</v>
      </c>
      <c r="B85" s="3" t="s">
        <v>2283</v>
      </c>
      <c r="C85" s="3" t="s">
        <v>2284</v>
      </c>
      <c r="D85" s="3" t="s">
        <v>2285</v>
      </c>
      <c r="E85" s="3" t="s">
        <v>482</v>
      </c>
      <c r="F85" s="3" t="s">
        <v>2275</v>
      </c>
    </row>
    <row r="86" spans="1:6" ht="16" x14ac:dyDescent="0.2">
      <c r="A86" s="3" t="s">
        <v>1645</v>
      </c>
      <c r="B86" s="3" t="s">
        <v>1644</v>
      </c>
      <c r="C86" s="3" t="s">
        <v>2286</v>
      </c>
      <c r="D86" s="3" t="s">
        <v>2287</v>
      </c>
      <c r="E86" s="3" t="s">
        <v>2288</v>
      </c>
      <c r="F86" s="3" t="s">
        <v>2055</v>
      </c>
    </row>
    <row r="87" spans="1:6" ht="16" x14ac:dyDescent="0.2">
      <c r="A87" s="3" t="s">
        <v>2289</v>
      </c>
      <c r="B87" s="3" t="s">
        <v>2290</v>
      </c>
      <c r="C87" s="3" t="s">
        <v>2291</v>
      </c>
      <c r="D87" s="3" t="s">
        <v>2292</v>
      </c>
      <c r="E87" s="3" t="s">
        <v>2293</v>
      </c>
      <c r="F87" s="3" t="s">
        <v>2044</v>
      </c>
    </row>
    <row r="88" spans="1:6" ht="32" x14ac:dyDescent="0.2">
      <c r="A88" s="3" t="s">
        <v>2294</v>
      </c>
      <c r="B88" s="3" t="s">
        <v>2295</v>
      </c>
      <c r="C88" s="3" t="s">
        <v>2296</v>
      </c>
      <c r="D88" s="3" t="s">
        <v>2297</v>
      </c>
      <c r="E88" s="3" t="s">
        <v>482</v>
      </c>
      <c r="F88" s="3" t="s">
        <v>2275</v>
      </c>
    </row>
    <row r="89" spans="1:6" ht="16" x14ac:dyDescent="0.2">
      <c r="A89" s="3" t="s">
        <v>2298</v>
      </c>
      <c r="B89" s="3" t="s">
        <v>2299</v>
      </c>
      <c r="C89" s="3" t="s">
        <v>2300</v>
      </c>
      <c r="D89" s="3" t="s">
        <v>2301</v>
      </c>
      <c r="E89" s="3" t="s">
        <v>377</v>
      </c>
      <c r="F89" s="3" t="s">
        <v>2047</v>
      </c>
    </row>
    <row r="90" spans="1:6" ht="16" x14ac:dyDescent="0.2">
      <c r="A90" s="3" t="s">
        <v>2302</v>
      </c>
      <c r="B90" s="3" t="s">
        <v>2303</v>
      </c>
      <c r="C90" s="3" t="s">
        <v>2304</v>
      </c>
      <c r="D90" s="3" t="s">
        <v>2305</v>
      </c>
      <c r="E90" s="3" t="s">
        <v>392</v>
      </c>
      <c r="F90" s="3" t="s">
        <v>2047</v>
      </c>
    </row>
    <row r="91" spans="1:6" ht="32" x14ac:dyDescent="0.2">
      <c r="A91" s="3" t="s">
        <v>2306</v>
      </c>
      <c r="B91" s="3" t="s">
        <v>2307</v>
      </c>
      <c r="C91" s="3" t="s">
        <v>2042</v>
      </c>
      <c r="D91" s="3" t="s">
        <v>482</v>
      </c>
      <c r="E91" s="3" t="s">
        <v>2308</v>
      </c>
      <c r="F91" s="3" t="s">
        <v>2044</v>
      </c>
    </row>
    <row r="92" spans="1:6" ht="32" x14ac:dyDescent="0.2">
      <c r="A92" s="3" t="s">
        <v>2309</v>
      </c>
      <c r="B92" s="3" t="s">
        <v>2310</v>
      </c>
      <c r="C92" s="3" t="s">
        <v>2042</v>
      </c>
      <c r="D92" s="3" t="s">
        <v>482</v>
      </c>
      <c r="E92" s="3" t="s">
        <v>2311</v>
      </c>
      <c r="F92" s="3" t="s">
        <v>2044</v>
      </c>
    </row>
    <row r="93" spans="1:6" ht="32" x14ac:dyDescent="0.2">
      <c r="A93" s="3" t="s">
        <v>2312</v>
      </c>
      <c r="B93" s="3" t="s">
        <v>2313</v>
      </c>
      <c r="C93" s="3" t="s">
        <v>2314</v>
      </c>
      <c r="D93" s="3" t="s">
        <v>2315</v>
      </c>
      <c r="E93" s="3" t="s">
        <v>482</v>
      </c>
      <c r="F93" s="3" t="s">
        <v>2275</v>
      </c>
    </row>
    <row r="94" spans="1:6" ht="32" x14ac:dyDescent="0.2">
      <c r="A94" s="3" t="s">
        <v>2316</v>
      </c>
      <c r="B94" s="3" t="s">
        <v>2317</v>
      </c>
      <c r="C94" s="3" t="s">
        <v>2318</v>
      </c>
      <c r="D94" s="3" t="s">
        <v>2319</v>
      </c>
      <c r="E94" s="3" t="s">
        <v>482</v>
      </c>
      <c r="F94" s="3" t="s">
        <v>2275</v>
      </c>
    </row>
    <row r="95" spans="1:6" ht="32" x14ac:dyDescent="0.2">
      <c r="A95" s="3" t="s">
        <v>1559</v>
      </c>
      <c r="B95" s="3" t="s">
        <v>1558</v>
      </c>
      <c r="C95" s="3" t="s">
        <v>2320</v>
      </c>
      <c r="D95" s="3" t="s">
        <v>2321</v>
      </c>
      <c r="E95" s="3" t="s">
        <v>2322</v>
      </c>
      <c r="F95" s="3" t="s">
        <v>2044</v>
      </c>
    </row>
    <row r="96" spans="1:6" ht="32" x14ac:dyDescent="0.2">
      <c r="A96" s="3" t="s">
        <v>2323</v>
      </c>
      <c r="B96" s="3" t="s">
        <v>2324</v>
      </c>
      <c r="C96" s="3" t="s">
        <v>2325</v>
      </c>
      <c r="D96" s="3" t="s">
        <v>2326</v>
      </c>
      <c r="E96" s="3" t="s">
        <v>482</v>
      </c>
      <c r="F96" s="3" t="s">
        <v>2275</v>
      </c>
    </row>
    <row r="97" spans="1:6" ht="32" x14ac:dyDescent="0.2">
      <c r="A97" s="3" t="s">
        <v>2327</v>
      </c>
      <c r="B97" s="3" t="s">
        <v>2328</v>
      </c>
      <c r="C97" s="3" t="s">
        <v>2329</v>
      </c>
      <c r="D97" s="3" t="s">
        <v>2330</v>
      </c>
      <c r="E97" s="3" t="s">
        <v>482</v>
      </c>
      <c r="F97" s="3" t="s">
        <v>2275</v>
      </c>
    </row>
    <row r="98" spans="1:6" ht="32" x14ac:dyDescent="0.2">
      <c r="A98" s="3" t="s">
        <v>2331</v>
      </c>
      <c r="B98" s="3" t="s">
        <v>2332</v>
      </c>
      <c r="C98" s="3" t="s">
        <v>2333</v>
      </c>
      <c r="D98" s="3" t="s">
        <v>2334</v>
      </c>
      <c r="E98" s="3" t="s">
        <v>482</v>
      </c>
      <c r="F98" s="3" t="s">
        <v>2275</v>
      </c>
    </row>
    <row r="99" spans="1:6" ht="32" x14ac:dyDescent="0.2">
      <c r="A99" s="3" t="s">
        <v>2335</v>
      </c>
      <c r="B99" s="3" t="s">
        <v>2336</v>
      </c>
      <c r="C99" s="3" t="s">
        <v>2337</v>
      </c>
      <c r="D99" s="3" t="s">
        <v>2338</v>
      </c>
      <c r="E99" s="3" t="s">
        <v>482</v>
      </c>
      <c r="F99" s="3" t="s">
        <v>2275</v>
      </c>
    </row>
    <row r="100" spans="1:6" ht="32" x14ac:dyDescent="0.2">
      <c r="A100" s="3" t="s">
        <v>2339</v>
      </c>
      <c r="B100" s="3" t="s">
        <v>2340</v>
      </c>
      <c r="C100" s="3" t="s">
        <v>2341</v>
      </c>
      <c r="D100" s="3" t="s">
        <v>2342</v>
      </c>
      <c r="E100" s="3" t="s">
        <v>482</v>
      </c>
      <c r="F100" s="3" t="s">
        <v>2275</v>
      </c>
    </row>
    <row r="101" spans="1:6" ht="16" x14ac:dyDescent="0.2">
      <c r="A101" s="3" t="s">
        <v>2343</v>
      </c>
      <c r="B101" s="3" t="s">
        <v>2344</v>
      </c>
      <c r="C101" s="3" t="s">
        <v>2345</v>
      </c>
      <c r="D101" s="3" t="s">
        <v>2346</v>
      </c>
      <c r="E101" s="3" t="s">
        <v>2347</v>
      </c>
      <c r="F101" s="3" t="s">
        <v>2055</v>
      </c>
    </row>
    <row r="102" spans="1:6" ht="16" x14ac:dyDescent="0.2">
      <c r="A102" s="3" t="s">
        <v>2348</v>
      </c>
      <c r="B102" s="3" t="s">
        <v>2349</v>
      </c>
      <c r="C102" s="3" t="s">
        <v>2350</v>
      </c>
      <c r="D102" s="3" t="s">
        <v>2351</v>
      </c>
      <c r="E102" s="3" t="s">
        <v>800</v>
      </c>
      <c r="F102" s="3" t="s">
        <v>2047</v>
      </c>
    </row>
    <row r="103" spans="1:6" ht="32" x14ac:dyDescent="0.2">
      <c r="A103" s="3" t="s">
        <v>2352</v>
      </c>
      <c r="B103" s="3" t="s">
        <v>2353</v>
      </c>
      <c r="C103" s="3" t="s">
        <v>2354</v>
      </c>
      <c r="D103" s="3" t="s">
        <v>2355</v>
      </c>
      <c r="E103" s="3" t="s">
        <v>482</v>
      </c>
      <c r="F103" s="3" t="s">
        <v>2275</v>
      </c>
    </row>
    <row r="104" spans="1:6" ht="32" x14ac:dyDescent="0.2">
      <c r="A104" s="3" t="s">
        <v>2356</v>
      </c>
      <c r="B104" s="3" t="s">
        <v>2357</v>
      </c>
      <c r="C104" s="3" t="s">
        <v>2358</v>
      </c>
      <c r="D104" s="3" t="s">
        <v>2359</v>
      </c>
      <c r="E104" s="3" t="s">
        <v>482</v>
      </c>
      <c r="F104" s="3" t="s">
        <v>2275</v>
      </c>
    </row>
    <row r="105" spans="1:6" ht="32" x14ac:dyDescent="0.2">
      <c r="A105" s="3" t="s">
        <v>2360</v>
      </c>
      <c r="B105" s="3" t="s">
        <v>2361</v>
      </c>
      <c r="C105" s="3" t="s">
        <v>2362</v>
      </c>
      <c r="D105" s="3" t="s">
        <v>2363</v>
      </c>
      <c r="E105" s="3" t="s">
        <v>482</v>
      </c>
      <c r="F105" s="3" t="s">
        <v>2275</v>
      </c>
    </row>
    <row r="106" spans="1:6" ht="32" x14ac:dyDescent="0.2">
      <c r="A106" s="3" t="s">
        <v>2364</v>
      </c>
      <c r="B106" s="3" t="s">
        <v>2365</v>
      </c>
      <c r="C106" s="3" t="s">
        <v>2366</v>
      </c>
      <c r="D106" s="3" t="s">
        <v>2367</v>
      </c>
      <c r="E106" s="3" t="s">
        <v>482</v>
      </c>
      <c r="F106" s="3" t="s">
        <v>2275</v>
      </c>
    </row>
    <row r="107" spans="1:6" ht="32" x14ac:dyDescent="0.2">
      <c r="A107" s="3" t="s">
        <v>2368</v>
      </c>
      <c r="B107" s="3" t="s">
        <v>2369</v>
      </c>
      <c r="C107" s="3" t="s">
        <v>2370</v>
      </c>
      <c r="D107" s="3" t="s">
        <v>2371</v>
      </c>
      <c r="E107" s="3" t="s">
        <v>482</v>
      </c>
      <c r="F107" s="3" t="s">
        <v>2275</v>
      </c>
    </row>
    <row r="108" spans="1:6" ht="32" x14ac:dyDescent="0.2">
      <c r="A108" s="3" t="s">
        <v>2372</v>
      </c>
      <c r="B108" s="3" t="s">
        <v>2373</v>
      </c>
      <c r="C108" s="3" t="s">
        <v>2374</v>
      </c>
      <c r="D108" s="3" t="s">
        <v>2375</v>
      </c>
      <c r="E108" s="3" t="s">
        <v>482</v>
      </c>
      <c r="F108" s="3" t="s">
        <v>2275</v>
      </c>
    </row>
    <row r="109" spans="1:6" ht="32" x14ac:dyDescent="0.2">
      <c r="A109" s="3" t="s">
        <v>2376</v>
      </c>
      <c r="B109" s="3" t="s">
        <v>2377</v>
      </c>
      <c r="C109" s="3" t="s">
        <v>2378</v>
      </c>
      <c r="D109" s="3" t="s">
        <v>2379</v>
      </c>
      <c r="E109" s="3" t="s">
        <v>482</v>
      </c>
      <c r="F109" s="3" t="s">
        <v>2275</v>
      </c>
    </row>
    <row r="110" spans="1:6" ht="32" x14ac:dyDescent="0.2">
      <c r="A110" s="3" t="s">
        <v>2380</v>
      </c>
      <c r="B110" s="3" t="s">
        <v>2381</v>
      </c>
      <c r="C110" s="3" t="s">
        <v>2382</v>
      </c>
      <c r="D110" s="3" t="s">
        <v>2383</v>
      </c>
      <c r="E110" s="3" t="s">
        <v>482</v>
      </c>
      <c r="F110" s="3" t="s">
        <v>2275</v>
      </c>
    </row>
    <row r="111" spans="1:6" ht="32" x14ac:dyDescent="0.2">
      <c r="A111" s="3" t="s">
        <v>2384</v>
      </c>
      <c r="B111" s="3" t="s">
        <v>2385</v>
      </c>
      <c r="C111" s="3" t="s">
        <v>2386</v>
      </c>
      <c r="D111" s="3" t="s">
        <v>2387</v>
      </c>
      <c r="E111" s="3" t="s">
        <v>482</v>
      </c>
      <c r="F111" s="3" t="s">
        <v>2275</v>
      </c>
    </row>
    <row r="112" spans="1:6" ht="32" x14ac:dyDescent="0.2">
      <c r="A112" s="3" t="s">
        <v>2388</v>
      </c>
      <c r="B112" s="3" t="s">
        <v>2389</v>
      </c>
      <c r="C112" s="3" t="s">
        <v>2390</v>
      </c>
      <c r="D112" s="3" t="s">
        <v>2391</v>
      </c>
      <c r="E112" s="3" t="s">
        <v>482</v>
      </c>
      <c r="F112" s="3" t="s">
        <v>2275</v>
      </c>
    </row>
    <row r="113" spans="1:6" ht="32" x14ac:dyDescent="0.2">
      <c r="A113" s="3" t="s">
        <v>2392</v>
      </c>
      <c r="B113" s="3" t="s">
        <v>2393</v>
      </c>
      <c r="C113" s="3" t="s">
        <v>2394</v>
      </c>
      <c r="D113" s="3" t="s">
        <v>2395</v>
      </c>
      <c r="E113" s="3" t="s">
        <v>482</v>
      </c>
      <c r="F113" s="3" t="s">
        <v>2275</v>
      </c>
    </row>
    <row r="114" spans="1:6" ht="32" x14ac:dyDescent="0.2">
      <c r="A114" s="3" t="s">
        <v>2396</v>
      </c>
      <c r="B114" s="3" t="s">
        <v>2397</v>
      </c>
      <c r="C114" s="3" t="s">
        <v>2398</v>
      </c>
      <c r="D114" s="3" t="s">
        <v>2399</v>
      </c>
      <c r="E114" s="3" t="s">
        <v>482</v>
      </c>
      <c r="F114" s="3" t="s">
        <v>2275</v>
      </c>
    </row>
    <row r="115" spans="1:6" ht="32" x14ac:dyDescent="0.2">
      <c r="A115" s="3" t="s">
        <v>2400</v>
      </c>
      <c r="B115" s="3" t="s">
        <v>2401</v>
      </c>
      <c r="C115" s="3" t="s">
        <v>2402</v>
      </c>
      <c r="D115" s="3" t="s">
        <v>2403</v>
      </c>
      <c r="E115" s="3" t="s">
        <v>482</v>
      </c>
      <c r="F115" s="3" t="s">
        <v>2275</v>
      </c>
    </row>
    <row r="116" spans="1:6" ht="32" x14ac:dyDescent="0.2">
      <c r="A116" s="3" t="s">
        <v>2404</v>
      </c>
      <c r="B116" s="3" t="s">
        <v>2405</v>
      </c>
      <c r="C116" s="3" t="s">
        <v>2406</v>
      </c>
      <c r="D116" s="3" t="s">
        <v>2407</v>
      </c>
      <c r="E116" s="3" t="s">
        <v>482</v>
      </c>
      <c r="F116" s="3" t="s">
        <v>2275</v>
      </c>
    </row>
    <row r="117" spans="1:6" ht="32" x14ac:dyDescent="0.2">
      <c r="A117" s="3" t="s">
        <v>2408</v>
      </c>
      <c r="B117" s="3" t="s">
        <v>2409</v>
      </c>
      <c r="C117" s="3" t="s">
        <v>2410</v>
      </c>
      <c r="D117" s="3" t="s">
        <v>2411</v>
      </c>
      <c r="E117" s="3" t="s">
        <v>482</v>
      </c>
      <c r="F117" s="3" t="s">
        <v>2275</v>
      </c>
    </row>
    <row r="118" spans="1:6" ht="32" x14ac:dyDescent="0.2">
      <c r="A118" s="3" t="s">
        <v>2412</v>
      </c>
      <c r="B118" s="3" t="s">
        <v>2413</v>
      </c>
      <c r="C118" s="3" t="s">
        <v>2414</v>
      </c>
      <c r="D118" s="3" t="s">
        <v>2415</v>
      </c>
      <c r="E118" s="3" t="s">
        <v>482</v>
      </c>
      <c r="F118" s="3" t="s">
        <v>2275</v>
      </c>
    </row>
    <row r="119" spans="1:6" ht="32" x14ac:dyDescent="0.2">
      <c r="A119" s="3" t="s">
        <v>2416</v>
      </c>
      <c r="B119" s="3" t="s">
        <v>2417</v>
      </c>
      <c r="C119" s="3" t="s">
        <v>2418</v>
      </c>
      <c r="D119" s="3" t="s">
        <v>2419</v>
      </c>
      <c r="E119" s="3" t="s">
        <v>482</v>
      </c>
      <c r="F119" s="3" t="s">
        <v>2275</v>
      </c>
    </row>
    <row r="120" spans="1:6" ht="32" x14ac:dyDescent="0.2">
      <c r="A120" s="3" t="s">
        <v>1634</v>
      </c>
      <c r="B120" s="3" t="s">
        <v>2420</v>
      </c>
      <c r="C120" s="3" t="s">
        <v>2421</v>
      </c>
      <c r="D120" s="3" t="s">
        <v>2422</v>
      </c>
      <c r="E120" s="3" t="s">
        <v>1079</v>
      </c>
      <c r="F120" s="3" t="s">
        <v>2047</v>
      </c>
    </row>
    <row r="121" spans="1:6" ht="32" x14ac:dyDescent="0.2">
      <c r="A121" s="3" t="s">
        <v>2423</v>
      </c>
      <c r="B121" s="3" t="s">
        <v>2424</v>
      </c>
      <c r="C121" s="3" t="s">
        <v>2425</v>
      </c>
      <c r="D121" s="3" t="s">
        <v>2426</v>
      </c>
      <c r="E121" s="3" t="s">
        <v>482</v>
      </c>
      <c r="F121" s="3" t="s">
        <v>2275</v>
      </c>
    </row>
    <row r="122" spans="1:6" ht="32" x14ac:dyDescent="0.2">
      <c r="A122" s="3" t="s">
        <v>2427</v>
      </c>
      <c r="B122" s="3" t="s">
        <v>2428</v>
      </c>
      <c r="C122" s="3" t="s">
        <v>2429</v>
      </c>
      <c r="D122" s="3" t="s">
        <v>2430</v>
      </c>
      <c r="E122" s="3" t="s">
        <v>482</v>
      </c>
      <c r="F122" s="3" t="s">
        <v>2275</v>
      </c>
    </row>
    <row r="123" spans="1:6" ht="32" x14ac:dyDescent="0.2">
      <c r="A123" s="3" t="s">
        <v>2431</v>
      </c>
      <c r="B123" s="3" t="s">
        <v>2432</v>
      </c>
      <c r="C123" s="3" t="s">
        <v>2433</v>
      </c>
      <c r="D123" s="3" t="s">
        <v>2434</v>
      </c>
      <c r="E123" s="3" t="s">
        <v>482</v>
      </c>
      <c r="F123" s="3" t="s">
        <v>2275</v>
      </c>
    </row>
    <row r="124" spans="1:6" ht="48" x14ac:dyDescent="0.2">
      <c r="A124" s="3" t="s">
        <v>1666</v>
      </c>
      <c r="B124" s="3" t="s">
        <v>1665</v>
      </c>
      <c r="C124" s="3" t="s">
        <v>2435</v>
      </c>
      <c r="D124" s="3" t="s">
        <v>2436</v>
      </c>
      <c r="E124" s="3" t="s">
        <v>2437</v>
      </c>
      <c r="F124" s="3" t="s">
        <v>2438</v>
      </c>
    </row>
    <row r="125" spans="1:6" ht="32" x14ac:dyDescent="0.2">
      <c r="A125" s="3" t="s">
        <v>2439</v>
      </c>
      <c r="B125" s="3" t="s">
        <v>2440</v>
      </c>
      <c r="C125" s="3" t="s">
        <v>2441</v>
      </c>
      <c r="D125" s="3" t="s">
        <v>2442</v>
      </c>
      <c r="E125" s="3" t="s">
        <v>482</v>
      </c>
      <c r="F125" s="3" t="s">
        <v>2275</v>
      </c>
    </row>
    <row r="126" spans="1:6" ht="32" x14ac:dyDescent="0.2">
      <c r="A126" s="3" t="s">
        <v>1656</v>
      </c>
      <c r="B126" s="3" t="s">
        <v>1655</v>
      </c>
      <c r="C126" s="3" t="s">
        <v>2443</v>
      </c>
      <c r="D126" s="3" t="s">
        <v>2444</v>
      </c>
      <c r="E126" s="3" t="s">
        <v>482</v>
      </c>
      <c r="F126" s="3" t="s">
        <v>2275</v>
      </c>
    </row>
    <row r="127" spans="1:6" ht="16" x14ac:dyDescent="0.2">
      <c r="A127" s="3" t="s">
        <v>1734</v>
      </c>
      <c r="B127" s="3" t="s">
        <v>1733</v>
      </c>
      <c r="C127" s="3" t="s">
        <v>2445</v>
      </c>
      <c r="D127" s="3" t="s">
        <v>2446</v>
      </c>
      <c r="E127" s="3" t="s">
        <v>1335</v>
      </c>
      <c r="F127" s="3" t="s">
        <v>2047</v>
      </c>
    </row>
    <row r="128" spans="1:6" ht="32" x14ac:dyDescent="0.2">
      <c r="A128" s="3" t="s">
        <v>2447</v>
      </c>
      <c r="B128" s="3" t="s">
        <v>2448</v>
      </c>
      <c r="C128" s="3" t="s">
        <v>2449</v>
      </c>
      <c r="D128" s="3" t="s">
        <v>2450</v>
      </c>
      <c r="E128" s="3" t="s">
        <v>482</v>
      </c>
      <c r="F128" s="3" t="s">
        <v>2275</v>
      </c>
    </row>
    <row r="129" spans="1:6" ht="32" x14ac:dyDescent="0.2">
      <c r="A129" s="3" t="s">
        <v>2451</v>
      </c>
      <c r="B129" s="3" t="s">
        <v>2452</v>
      </c>
      <c r="C129" s="3" t="s">
        <v>2453</v>
      </c>
      <c r="D129" s="3" t="s">
        <v>2454</v>
      </c>
      <c r="E129" s="3" t="s">
        <v>482</v>
      </c>
      <c r="F129" s="3" t="s">
        <v>2275</v>
      </c>
    </row>
    <row r="130" spans="1:6" ht="32" x14ac:dyDescent="0.2">
      <c r="A130" s="3" t="s">
        <v>2455</v>
      </c>
      <c r="B130" s="3" t="s">
        <v>2456</v>
      </c>
      <c r="C130" s="3" t="s">
        <v>2457</v>
      </c>
      <c r="D130" s="3" t="s">
        <v>2458</v>
      </c>
      <c r="E130" s="3" t="s">
        <v>482</v>
      </c>
      <c r="F130" s="3" t="s">
        <v>2275</v>
      </c>
    </row>
    <row r="131" spans="1:6" ht="16" x14ac:dyDescent="0.2">
      <c r="A131" s="3" t="s">
        <v>2459</v>
      </c>
      <c r="B131" s="3" t="s">
        <v>2460</v>
      </c>
      <c r="C131" s="3" t="s">
        <v>2461</v>
      </c>
      <c r="D131" s="3" t="s">
        <v>2462</v>
      </c>
      <c r="E131" s="3" t="s">
        <v>1250</v>
      </c>
      <c r="F131" s="3" t="s">
        <v>2047</v>
      </c>
    </row>
    <row r="132" spans="1:6" ht="32" x14ac:dyDescent="0.2">
      <c r="A132" s="3" t="s">
        <v>2463</v>
      </c>
      <c r="B132" s="3" t="s">
        <v>2464</v>
      </c>
      <c r="C132" s="3" t="s">
        <v>2465</v>
      </c>
      <c r="D132" s="3" t="s">
        <v>2466</v>
      </c>
      <c r="E132" s="3" t="s">
        <v>482</v>
      </c>
      <c r="F132" s="3" t="s">
        <v>2275</v>
      </c>
    </row>
    <row r="133" spans="1:6" ht="32" x14ac:dyDescent="0.2">
      <c r="A133" s="3" t="s">
        <v>2467</v>
      </c>
      <c r="B133" s="3" t="s">
        <v>2468</v>
      </c>
      <c r="C133" s="3" t="s">
        <v>2469</v>
      </c>
      <c r="D133" s="3" t="s">
        <v>2470</v>
      </c>
      <c r="E133" s="3" t="s">
        <v>482</v>
      </c>
      <c r="F133" s="3" t="s">
        <v>2275</v>
      </c>
    </row>
    <row r="134" spans="1:6" ht="32" x14ac:dyDescent="0.2">
      <c r="A134" s="3" t="s">
        <v>2471</v>
      </c>
      <c r="B134" s="3" t="s">
        <v>2472</v>
      </c>
      <c r="C134" s="3" t="s">
        <v>2473</v>
      </c>
      <c r="D134" s="3" t="s">
        <v>2474</v>
      </c>
      <c r="E134" s="3" t="s">
        <v>482</v>
      </c>
      <c r="F134" s="3" t="s">
        <v>2275</v>
      </c>
    </row>
    <row r="135" spans="1:6" ht="32" x14ac:dyDescent="0.2">
      <c r="A135" s="3" t="s">
        <v>2475</v>
      </c>
      <c r="B135" s="3" t="s">
        <v>2476</v>
      </c>
      <c r="C135" s="3" t="s">
        <v>2477</v>
      </c>
      <c r="D135" s="3" t="s">
        <v>2478</v>
      </c>
      <c r="E135" s="3" t="s">
        <v>482</v>
      </c>
      <c r="F135" s="3" t="s">
        <v>2275</v>
      </c>
    </row>
    <row r="136" spans="1:6" ht="32" x14ac:dyDescent="0.2">
      <c r="A136" s="3" t="s">
        <v>2479</v>
      </c>
      <c r="B136" s="3" t="s">
        <v>2480</v>
      </c>
      <c r="C136" s="3" t="s">
        <v>2481</v>
      </c>
      <c r="D136" s="3" t="s">
        <v>2482</v>
      </c>
      <c r="E136" s="3" t="s">
        <v>482</v>
      </c>
      <c r="F136" s="3" t="s">
        <v>2275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T457"/>
  <sheetViews>
    <sheetView topLeftCell="E1" zoomScale="187" workbookViewId="0">
      <pane ySplit="1" topLeftCell="A218" activePane="bottomLeft" state="frozen"/>
      <selection pane="bottomLeft" activeCell="G218" sqref="G218"/>
    </sheetView>
  </sheetViews>
  <sheetFormatPr baseColWidth="10" defaultColWidth="8.83203125" defaultRowHeight="15" x14ac:dyDescent="0.2"/>
  <cols>
    <col min="1" max="1" width="15" customWidth="1"/>
    <col min="2" max="2" width="28" customWidth="1"/>
    <col min="3" max="3" width="34" customWidth="1"/>
    <col min="4" max="4" width="7" customWidth="1"/>
    <col min="5" max="5" width="26" customWidth="1"/>
    <col min="6" max="6" width="42" customWidth="1"/>
    <col min="7" max="7" width="60" customWidth="1"/>
    <col min="8" max="8" width="64" customWidth="1"/>
    <col min="9" max="9" width="34" customWidth="1"/>
    <col min="10" max="10" width="42" customWidth="1"/>
    <col min="11" max="11" width="30" customWidth="1"/>
    <col min="12" max="12" width="62" customWidth="1"/>
    <col min="13" max="13" width="54" customWidth="1"/>
    <col min="14" max="14" width="14" customWidth="1"/>
    <col min="15" max="15" width="34" customWidth="1"/>
    <col min="16" max="16" width="12" customWidth="1"/>
    <col min="17" max="17" width="52" customWidth="1"/>
    <col min="18" max="18" width="66" customWidth="1"/>
    <col min="19" max="19" width="26" customWidth="1"/>
    <col min="20" max="20" width="22" customWidth="1"/>
  </cols>
  <sheetData>
    <row r="1" spans="1:20" ht="64" x14ac:dyDescent="0.2">
      <c r="A1" s="1" t="s">
        <v>314</v>
      </c>
      <c r="B1" s="1" t="s">
        <v>2483</v>
      </c>
      <c r="C1" s="1" t="s">
        <v>2484</v>
      </c>
      <c r="D1" s="1" t="s">
        <v>2485</v>
      </c>
      <c r="E1" s="1" t="s">
        <v>2486</v>
      </c>
      <c r="F1" s="1" t="s">
        <v>2487</v>
      </c>
      <c r="G1" s="1" t="s">
        <v>315</v>
      </c>
      <c r="H1" s="1" t="s">
        <v>316</v>
      </c>
      <c r="I1" s="1" t="s">
        <v>2488</v>
      </c>
      <c r="J1" s="1" t="s">
        <v>2489</v>
      </c>
      <c r="K1" s="1" t="s">
        <v>2490</v>
      </c>
      <c r="L1" s="1" t="s">
        <v>2491</v>
      </c>
      <c r="M1" s="1" t="s">
        <v>2492</v>
      </c>
      <c r="N1" s="1" t="s">
        <v>2493</v>
      </c>
      <c r="O1" s="1" t="s">
        <v>2494</v>
      </c>
      <c r="P1" s="1" t="s">
        <v>2495</v>
      </c>
      <c r="Q1" s="1" t="s">
        <v>2496</v>
      </c>
      <c r="R1" s="1" t="s">
        <v>2497</v>
      </c>
      <c r="S1" s="1" t="s">
        <v>2498</v>
      </c>
      <c r="T1" s="1" t="s">
        <v>2499</v>
      </c>
    </row>
    <row r="2" spans="1:20" ht="409.6" hidden="1" x14ac:dyDescent="0.2">
      <c r="A2" s="4" t="s">
        <v>2500</v>
      </c>
      <c r="B2" s="3"/>
      <c r="C2" s="3"/>
      <c r="D2" s="3"/>
      <c r="E2" s="3"/>
      <c r="F2" s="3"/>
      <c r="G2" s="6"/>
      <c r="H2" s="3"/>
      <c r="I2" s="3"/>
      <c r="J2" s="3"/>
      <c r="K2" s="3"/>
      <c r="L2" s="3"/>
      <c r="M2" s="3"/>
      <c r="N2" s="3"/>
      <c r="O2" s="3"/>
      <c r="P2" s="3"/>
      <c r="Q2" s="3"/>
      <c r="R2" s="3"/>
      <c r="S2" s="3"/>
      <c r="T2" s="3"/>
    </row>
    <row r="3" spans="1:20" ht="48" hidden="1" x14ac:dyDescent="0.2">
      <c r="A3" s="3" t="s">
        <v>2501</v>
      </c>
      <c r="B3" s="3" t="s">
        <v>2502</v>
      </c>
      <c r="C3" s="3" t="s">
        <v>2503</v>
      </c>
      <c r="D3" s="3">
        <v>30</v>
      </c>
      <c r="E3" s="3" t="s">
        <v>2504</v>
      </c>
      <c r="F3" s="3" t="s">
        <v>2505</v>
      </c>
      <c r="G3" s="6" t="s">
        <v>2506</v>
      </c>
      <c r="H3" s="3" t="s">
        <v>2507</v>
      </c>
      <c r="I3" s="3" t="s">
        <v>2508</v>
      </c>
      <c r="J3" s="3" t="s">
        <v>2509</v>
      </c>
      <c r="K3" s="3" t="s">
        <v>2510</v>
      </c>
      <c r="L3" s="3" t="s">
        <v>482</v>
      </c>
      <c r="M3" s="3" t="s">
        <v>2511</v>
      </c>
      <c r="N3" s="3" t="s">
        <v>1931</v>
      </c>
      <c r="O3" s="3" t="s">
        <v>2512</v>
      </c>
      <c r="P3" s="3">
        <v>1</v>
      </c>
      <c r="Q3" s="3" t="s">
        <v>2512</v>
      </c>
      <c r="R3" s="3" t="s">
        <v>2513</v>
      </c>
      <c r="S3" s="3" t="s">
        <v>482</v>
      </c>
      <c r="T3" s="3" t="s">
        <v>482</v>
      </c>
    </row>
    <row r="4" spans="1:20" ht="409.6" hidden="1" x14ac:dyDescent="0.2">
      <c r="A4" s="3" t="s">
        <v>1290</v>
      </c>
      <c r="B4" s="3" t="s">
        <v>1289</v>
      </c>
      <c r="C4" s="3" t="s">
        <v>2503</v>
      </c>
      <c r="D4" s="3">
        <v>45</v>
      </c>
      <c r="E4" s="3" t="s">
        <v>2514</v>
      </c>
      <c r="F4" s="3" t="s">
        <v>2515</v>
      </c>
      <c r="G4" s="6" t="s">
        <v>2516</v>
      </c>
      <c r="H4" s="3" t="s">
        <v>2517</v>
      </c>
      <c r="I4" s="3" t="s">
        <v>2508</v>
      </c>
      <c r="J4" s="3" t="s">
        <v>2518</v>
      </c>
      <c r="K4" s="3" t="s">
        <v>2519</v>
      </c>
      <c r="L4" s="3" t="s">
        <v>2520</v>
      </c>
      <c r="M4" s="3" t="s">
        <v>2521</v>
      </c>
      <c r="N4" s="3" t="s">
        <v>1931</v>
      </c>
      <c r="O4" s="3" t="s">
        <v>2522</v>
      </c>
      <c r="P4" s="3">
        <v>37</v>
      </c>
      <c r="Q4" s="3" t="s">
        <v>2523</v>
      </c>
      <c r="R4" s="3" t="s">
        <v>1295</v>
      </c>
      <c r="S4" s="3" t="s">
        <v>2054</v>
      </c>
      <c r="T4" s="3" t="s">
        <v>2051</v>
      </c>
    </row>
    <row r="5" spans="1:20" ht="112" hidden="1" x14ac:dyDescent="0.2">
      <c r="A5" s="3" t="s">
        <v>2524</v>
      </c>
      <c r="B5" s="3" t="s">
        <v>2525</v>
      </c>
      <c r="C5" s="3" t="s">
        <v>2503</v>
      </c>
      <c r="D5" s="3">
        <v>61</v>
      </c>
      <c r="E5" s="3" t="s">
        <v>2514</v>
      </c>
      <c r="F5" s="3" t="s">
        <v>2526</v>
      </c>
      <c r="G5" s="6" t="s">
        <v>2527</v>
      </c>
      <c r="H5" s="3" t="s">
        <v>2528</v>
      </c>
      <c r="I5" s="3" t="s">
        <v>2529</v>
      </c>
      <c r="J5" s="3" t="s">
        <v>2530</v>
      </c>
      <c r="K5" s="3" t="s">
        <v>2519</v>
      </c>
      <c r="L5" s="3" t="s">
        <v>2531</v>
      </c>
      <c r="M5" s="3" t="s">
        <v>2532</v>
      </c>
      <c r="N5" s="3" t="s">
        <v>1931</v>
      </c>
      <c r="O5" s="3" t="s">
        <v>2533</v>
      </c>
      <c r="P5" s="3">
        <v>1</v>
      </c>
      <c r="Q5" s="3" t="s">
        <v>2533</v>
      </c>
      <c r="R5" s="3" t="s">
        <v>2534</v>
      </c>
      <c r="S5" s="3" t="s">
        <v>482</v>
      </c>
      <c r="T5" s="3" t="s">
        <v>482</v>
      </c>
    </row>
    <row r="6" spans="1:20" ht="168" hidden="1" x14ac:dyDescent="0.2">
      <c r="A6" s="3" t="s">
        <v>1275</v>
      </c>
      <c r="B6" s="3" t="s">
        <v>1274</v>
      </c>
      <c r="C6" s="3" t="s">
        <v>2503</v>
      </c>
      <c r="D6" s="3">
        <v>72</v>
      </c>
      <c r="E6" s="3" t="s">
        <v>2514</v>
      </c>
      <c r="F6" s="3" t="s">
        <v>2535</v>
      </c>
      <c r="G6" s="6" t="s">
        <v>2536</v>
      </c>
      <c r="H6" s="3" t="s">
        <v>2537</v>
      </c>
      <c r="I6" s="3" t="s">
        <v>2508</v>
      </c>
      <c r="J6" s="3" t="s">
        <v>2518</v>
      </c>
      <c r="K6" s="3" t="s">
        <v>2538</v>
      </c>
      <c r="L6" s="3" t="s">
        <v>2539</v>
      </c>
      <c r="M6" s="3" t="s">
        <v>2540</v>
      </c>
      <c r="N6" s="3" t="s">
        <v>1931</v>
      </c>
      <c r="O6" s="3" t="s">
        <v>2541</v>
      </c>
      <c r="P6" s="3">
        <v>3</v>
      </c>
      <c r="Q6" s="3" t="s">
        <v>2541</v>
      </c>
      <c r="R6" s="3" t="s">
        <v>1280</v>
      </c>
      <c r="S6" s="3" t="s">
        <v>2347</v>
      </c>
      <c r="T6" s="3" t="s">
        <v>2344</v>
      </c>
    </row>
    <row r="7" spans="1:20" ht="409.6" hidden="1" x14ac:dyDescent="0.2">
      <c r="A7" s="3" t="s">
        <v>2542</v>
      </c>
      <c r="B7" s="3" t="s">
        <v>2543</v>
      </c>
      <c r="C7" s="3" t="s">
        <v>2503</v>
      </c>
      <c r="D7" s="3">
        <v>93</v>
      </c>
      <c r="E7" s="3" t="s">
        <v>2514</v>
      </c>
      <c r="F7" s="3" t="s">
        <v>2544</v>
      </c>
      <c r="G7" s="6" t="s">
        <v>2545</v>
      </c>
      <c r="H7" s="3" t="s">
        <v>2546</v>
      </c>
      <c r="I7" s="3" t="s">
        <v>2508</v>
      </c>
      <c r="J7" s="3" t="s">
        <v>2547</v>
      </c>
      <c r="K7" s="3" t="s">
        <v>2538</v>
      </c>
      <c r="L7" s="3" t="s">
        <v>2531</v>
      </c>
      <c r="M7" s="3" t="s">
        <v>2548</v>
      </c>
      <c r="N7" s="3" t="s">
        <v>1931</v>
      </c>
      <c r="O7" s="3" t="s">
        <v>2549</v>
      </c>
      <c r="P7" s="3">
        <v>38</v>
      </c>
      <c r="Q7" s="3" t="s">
        <v>2550</v>
      </c>
      <c r="R7" s="3" t="s">
        <v>2551</v>
      </c>
      <c r="S7" s="3" t="s">
        <v>482</v>
      </c>
      <c r="T7" s="3" t="s">
        <v>482</v>
      </c>
    </row>
    <row r="8" spans="1:20" ht="32" hidden="1" x14ac:dyDescent="0.2">
      <c r="A8" s="3" t="s">
        <v>2552</v>
      </c>
      <c r="B8" s="3" t="s">
        <v>2553</v>
      </c>
      <c r="C8" s="3" t="s">
        <v>2503</v>
      </c>
      <c r="D8" s="3">
        <v>110</v>
      </c>
      <c r="E8" s="3" t="s">
        <v>2514</v>
      </c>
      <c r="F8" s="3" t="s">
        <v>2554</v>
      </c>
      <c r="G8" s="6" t="s">
        <v>2555</v>
      </c>
      <c r="H8" s="3" t="s">
        <v>2556</v>
      </c>
      <c r="I8" s="3" t="s">
        <v>2529</v>
      </c>
      <c r="J8" s="3" t="s">
        <v>2557</v>
      </c>
      <c r="K8" s="3" t="s">
        <v>2519</v>
      </c>
      <c r="L8" s="3" t="s">
        <v>2558</v>
      </c>
      <c r="M8" s="3" t="s">
        <v>2559</v>
      </c>
      <c r="N8" s="3" t="s">
        <v>1931</v>
      </c>
      <c r="O8" s="3" t="s">
        <v>482</v>
      </c>
      <c r="P8" s="3">
        <v>0</v>
      </c>
      <c r="Q8" s="3" t="s">
        <v>2560</v>
      </c>
      <c r="R8" s="3" t="s">
        <v>405</v>
      </c>
      <c r="S8" s="3" t="s">
        <v>482</v>
      </c>
      <c r="T8" s="3" t="s">
        <v>482</v>
      </c>
    </row>
    <row r="9" spans="1:20" ht="126" hidden="1" x14ac:dyDescent="0.2">
      <c r="A9" s="3" t="s">
        <v>2561</v>
      </c>
      <c r="B9" s="3" t="s">
        <v>2562</v>
      </c>
      <c r="C9" s="3" t="s">
        <v>2503</v>
      </c>
      <c r="D9" s="3">
        <v>117</v>
      </c>
      <c r="E9" s="3" t="s">
        <v>2514</v>
      </c>
      <c r="F9" s="3" t="s">
        <v>2563</v>
      </c>
      <c r="G9" s="6" t="s">
        <v>2564</v>
      </c>
      <c r="H9" s="3" t="s">
        <v>2565</v>
      </c>
      <c r="I9" s="3" t="s">
        <v>2508</v>
      </c>
      <c r="J9" s="3" t="s">
        <v>2518</v>
      </c>
      <c r="K9" s="3" t="s">
        <v>2538</v>
      </c>
      <c r="L9" s="3" t="s">
        <v>2566</v>
      </c>
      <c r="M9" s="3" t="s">
        <v>2567</v>
      </c>
      <c r="N9" s="3" t="s">
        <v>1931</v>
      </c>
      <c r="O9" s="3" t="s">
        <v>2533</v>
      </c>
      <c r="P9" s="3">
        <v>1</v>
      </c>
      <c r="Q9" s="3" t="s">
        <v>2533</v>
      </c>
      <c r="R9" s="3" t="s">
        <v>2568</v>
      </c>
      <c r="S9" s="3" t="s">
        <v>482</v>
      </c>
      <c r="T9" s="3" t="s">
        <v>482</v>
      </c>
    </row>
    <row r="10" spans="1:20" ht="154" hidden="1" x14ac:dyDescent="0.2">
      <c r="A10" s="3" t="s">
        <v>2569</v>
      </c>
      <c r="B10" s="3" t="s">
        <v>2570</v>
      </c>
      <c r="C10" s="3" t="s">
        <v>2503</v>
      </c>
      <c r="D10" s="3">
        <v>128</v>
      </c>
      <c r="E10" s="3" t="s">
        <v>2504</v>
      </c>
      <c r="F10" s="3" t="s">
        <v>2571</v>
      </c>
      <c r="G10" s="6" t="s">
        <v>2572</v>
      </c>
      <c r="H10" s="3" t="s">
        <v>2573</v>
      </c>
      <c r="I10" s="3" t="s">
        <v>2508</v>
      </c>
      <c r="J10" s="3" t="s">
        <v>2518</v>
      </c>
      <c r="K10" s="3" t="s">
        <v>2574</v>
      </c>
      <c r="L10" s="3" t="s">
        <v>482</v>
      </c>
      <c r="M10" s="3" t="s">
        <v>2575</v>
      </c>
      <c r="N10" s="3" t="s">
        <v>1931</v>
      </c>
      <c r="O10" s="3" t="s">
        <v>2576</v>
      </c>
      <c r="P10" s="3">
        <v>4</v>
      </c>
      <c r="Q10" s="3" t="s">
        <v>2577</v>
      </c>
      <c r="R10" s="3" t="s">
        <v>2578</v>
      </c>
      <c r="S10" s="3" t="s">
        <v>482</v>
      </c>
      <c r="T10" s="3" t="s">
        <v>482</v>
      </c>
    </row>
    <row r="11" spans="1:20" ht="409.6" hidden="1" x14ac:dyDescent="0.2">
      <c r="A11" s="3" t="s">
        <v>2579</v>
      </c>
      <c r="B11" s="3" t="s">
        <v>2580</v>
      </c>
      <c r="C11" s="3" t="s">
        <v>2503</v>
      </c>
      <c r="D11" s="3">
        <v>158</v>
      </c>
      <c r="E11" s="3" t="s">
        <v>2514</v>
      </c>
      <c r="F11" s="3" t="s">
        <v>2581</v>
      </c>
      <c r="G11" s="6" t="s">
        <v>2582</v>
      </c>
      <c r="H11" s="3" t="s">
        <v>2583</v>
      </c>
      <c r="I11" s="3" t="s">
        <v>2508</v>
      </c>
      <c r="J11" s="3" t="s">
        <v>2518</v>
      </c>
      <c r="K11" s="3" t="s">
        <v>2519</v>
      </c>
      <c r="L11" s="3" t="s">
        <v>2584</v>
      </c>
      <c r="M11" s="3" t="s">
        <v>2585</v>
      </c>
      <c r="N11" s="3" t="s">
        <v>1931</v>
      </c>
      <c r="O11" s="3" t="s">
        <v>2586</v>
      </c>
      <c r="P11" s="3">
        <v>38</v>
      </c>
      <c r="Q11" s="3" t="s">
        <v>2587</v>
      </c>
      <c r="R11" s="3" t="s">
        <v>2588</v>
      </c>
      <c r="S11" s="3" t="s">
        <v>482</v>
      </c>
      <c r="T11" s="3" t="s">
        <v>482</v>
      </c>
    </row>
    <row r="12" spans="1:20" ht="409.6" hidden="1" x14ac:dyDescent="0.2">
      <c r="A12" s="3" t="s">
        <v>2589</v>
      </c>
      <c r="B12" s="3" t="s">
        <v>2590</v>
      </c>
      <c r="C12" s="3" t="s">
        <v>2503</v>
      </c>
      <c r="D12" s="3">
        <v>188</v>
      </c>
      <c r="E12" s="3" t="s">
        <v>2514</v>
      </c>
      <c r="F12" s="3" t="s">
        <v>2591</v>
      </c>
      <c r="G12" s="6" t="s">
        <v>2592</v>
      </c>
      <c r="H12" s="3" t="s">
        <v>2593</v>
      </c>
      <c r="I12" s="3" t="s">
        <v>2529</v>
      </c>
      <c r="J12" s="3" t="s">
        <v>2594</v>
      </c>
      <c r="K12" s="3" t="s">
        <v>2595</v>
      </c>
      <c r="L12" s="3" t="s">
        <v>2596</v>
      </c>
      <c r="M12" s="3" t="s">
        <v>2540</v>
      </c>
      <c r="N12" s="3" t="s">
        <v>1931</v>
      </c>
      <c r="O12" s="3" t="s">
        <v>2597</v>
      </c>
      <c r="P12" s="3">
        <v>39</v>
      </c>
      <c r="Q12" s="3" t="s">
        <v>2598</v>
      </c>
      <c r="R12" s="3" t="s">
        <v>2599</v>
      </c>
      <c r="S12" s="3" t="s">
        <v>482</v>
      </c>
      <c r="T12" s="3" t="s">
        <v>482</v>
      </c>
    </row>
    <row r="13" spans="1:20" ht="409.6" hidden="1" x14ac:dyDescent="0.2">
      <c r="A13" s="3" t="s">
        <v>2600</v>
      </c>
      <c r="B13" s="3" t="s">
        <v>2601</v>
      </c>
      <c r="C13" s="3" t="s">
        <v>2503</v>
      </c>
      <c r="D13" s="3">
        <v>208</v>
      </c>
      <c r="E13" s="3" t="s">
        <v>2514</v>
      </c>
      <c r="F13" s="3" t="s">
        <v>2602</v>
      </c>
      <c r="G13" s="6" t="s">
        <v>2603</v>
      </c>
      <c r="H13" s="3" t="s">
        <v>2604</v>
      </c>
      <c r="I13" s="3" t="s">
        <v>2529</v>
      </c>
      <c r="J13" s="3" t="s">
        <v>2518</v>
      </c>
      <c r="K13" s="3" t="s">
        <v>2538</v>
      </c>
      <c r="L13" s="3" t="s">
        <v>2531</v>
      </c>
      <c r="M13" s="3" t="s">
        <v>2540</v>
      </c>
      <c r="N13" s="3" t="s">
        <v>1931</v>
      </c>
      <c r="O13" s="3" t="s">
        <v>2605</v>
      </c>
      <c r="P13" s="3">
        <v>38</v>
      </c>
      <c r="Q13" s="3" t="s">
        <v>2606</v>
      </c>
      <c r="R13" s="3" t="s">
        <v>2607</v>
      </c>
      <c r="S13" s="3" t="s">
        <v>482</v>
      </c>
      <c r="T13" s="3" t="s">
        <v>482</v>
      </c>
    </row>
    <row r="14" spans="1:20" ht="409.6" hidden="1" x14ac:dyDescent="0.2">
      <c r="A14" s="3" t="s">
        <v>2608</v>
      </c>
      <c r="B14" s="3" t="s">
        <v>2609</v>
      </c>
      <c r="C14" s="3" t="s">
        <v>2503</v>
      </c>
      <c r="D14" s="3">
        <v>219</v>
      </c>
      <c r="E14" s="3" t="s">
        <v>2514</v>
      </c>
      <c r="F14" s="3" t="s">
        <v>2610</v>
      </c>
      <c r="G14" s="6" t="s">
        <v>2611</v>
      </c>
      <c r="H14" s="3" t="s">
        <v>2612</v>
      </c>
      <c r="I14" s="3" t="s">
        <v>2508</v>
      </c>
      <c r="J14" s="3" t="s">
        <v>2518</v>
      </c>
      <c r="K14" s="3" t="s">
        <v>2538</v>
      </c>
      <c r="L14" s="3" t="s">
        <v>2531</v>
      </c>
      <c r="M14" s="3" t="s">
        <v>2540</v>
      </c>
      <c r="N14" s="3" t="s">
        <v>1931</v>
      </c>
      <c r="O14" s="3" t="s">
        <v>2605</v>
      </c>
      <c r="P14" s="3">
        <v>38</v>
      </c>
      <c r="Q14" s="3" t="s">
        <v>2606</v>
      </c>
      <c r="R14" s="3" t="s">
        <v>2613</v>
      </c>
      <c r="S14" s="3" t="s">
        <v>482</v>
      </c>
      <c r="T14" s="3" t="s">
        <v>482</v>
      </c>
    </row>
    <row r="15" spans="1:20" ht="409.6" hidden="1" x14ac:dyDescent="0.2">
      <c r="A15" s="3" t="s">
        <v>2614</v>
      </c>
      <c r="B15" s="3" t="s">
        <v>2615</v>
      </c>
      <c r="C15" s="3" t="s">
        <v>2503</v>
      </c>
      <c r="D15" s="3">
        <v>238</v>
      </c>
      <c r="E15" s="3" t="s">
        <v>2504</v>
      </c>
      <c r="F15" s="3" t="s">
        <v>2616</v>
      </c>
      <c r="G15" s="6" t="s">
        <v>2617</v>
      </c>
      <c r="H15" s="3" t="s">
        <v>2618</v>
      </c>
      <c r="I15" s="3" t="s">
        <v>2529</v>
      </c>
      <c r="J15" s="3" t="s">
        <v>2619</v>
      </c>
      <c r="K15" s="3" t="s">
        <v>2620</v>
      </c>
      <c r="L15" s="3" t="s">
        <v>482</v>
      </c>
      <c r="M15" s="3" t="s">
        <v>2540</v>
      </c>
      <c r="N15" s="3" t="s">
        <v>1931</v>
      </c>
      <c r="O15" s="3" t="s">
        <v>2621</v>
      </c>
      <c r="P15" s="3">
        <v>38</v>
      </c>
      <c r="Q15" s="3" t="s">
        <v>2622</v>
      </c>
      <c r="R15" s="3" t="s">
        <v>2623</v>
      </c>
      <c r="S15" s="3" t="s">
        <v>482</v>
      </c>
      <c r="T15" s="3" t="s">
        <v>482</v>
      </c>
    </row>
    <row r="16" spans="1:20" ht="210" hidden="1" x14ac:dyDescent="0.2">
      <c r="A16" s="3" t="s">
        <v>415</v>
      </c>
      <c r="B16" s="3" t="s">
        <v>414</v>
      </c>
      <c r="C16" s="3" t="s">
        <v>2503</v>
      </c>
      <c r="D16" s="3">
        <v>261</v>
      </c>
      <c r="E16" s="3" t="s">
        <v>2514</v>
      </c>
      <c r="F16" s="3" t="s">
        <v>2624</v>
      </c>
      <c r="G16" s="6" t="s">
        <v>2625</v>
      </c>
      <c r="H16" s="3" t="s">
        <v>2626</v>
      </c>
      <c r="I16" s="3" t="s">
        <v>2508</v>
      </c>
      <c r="J16" s="3" t="s">
        <v>2627</v>
      </c>
      <c r="K16" s="3" t="s">
        <v>2628</v>
      </c>
      <c r="L16" s="3" t="s">
        <v>2629</v>
      </c>
      <c r="M16" s="3" t="s">
        <v>2630</v>
      </c>
      <c r="N16" s="3" t="s">
        <v>1931</v>
      </c>
      <c r="O16" s="3" t="s">
        <v>2631</v>
      </c>
      <c r="P16" s="3">
        <v>4</v>
      </c>
      <c r="Q16" s="3" t="s">
        <v>2632</v>
      </c>
      <c r="R16" s="3" t="s">
        <v>419</v>
      </c>
      <c r="S16" s="3" t="s">
        <v>482</v>
      </c>
      <c r="T16" s="3" t="s">
        <v>482</v>
      </c>
    </row>
    <row r="17" spans="1:20" ht="48" hidden="1" x14ac:dyDescent="0.2">
      <c r="A17" s="3" t="s">
        <v>2633</v>
      </c>
      <c r="B17" s="3" t="s">
        <v>2634</v>
      </c>
      <c r="C17" s="3" t="s">
        <v>2503</v>
      </c>
      <c r="D17" s="3">
        <v>284</v>
      </c>
      <c r="E17" s="3" t="s">
        <v>2635</v>
      </c>
      <c r="F17" s="3" t="s">
        <v>2616</v>
      </c>
      <c r="G17" s="6" t="s">
        <v>2636</v>
      </c>
      <c r="H17" s="3" t="s">
        <v>2636</v>
      </c>
      <c r="I17" s="3" t="s">
        <v>2637</v>
      </c>
      <c r="J17" s="3" t="s">
        <v>2638</v>
      </c>
      <c r="K17" s="3" t="s">
        <v>2538</v>
      </c>
      <c r="L17" s="3" t="s">
        <v>482</v>
      </c>
      <c r="M17" s="3" t="s">
        <v>2540</v>
      </c>
      <c r="N17" s="3" t="s">
        <v>1816</v>
      </c>
      <c r="O17" s="3" t="s">
        <v>482</v>
      </c>
      <c r="P17" s="3">
        <v>0</v>
      </c>
      <c r="Q17" s="3" t="s">
        <v>2560</v>
      </c>
      <c r="R17" s="3" t="s">
        <v>405</v>
      </c>
      <c r="S17" s="3" t="s">
        <v>482</v>
      </c>
      <c r="T17" s="3" t="s">
        <v>482</v>
      </c>
    </row>
    <row r="18" spans="1:20" ht="48" hidden="1" x14ac:dyDescent="0.2">
      <c r="A18" s="3" t="s">
        <v>2639</v>
      </c>
      <c r="B18" s="3" t="s">
        <v>2640</v>
      </c>
      <c r="C18" s="3" t="s">
        <v>2503</v>
      </c>
      <c r="D18" s="3">
        <v>285</v>
      </c>
      <c r="E18" s="3" t="s">
        <v>2641</v>
      </c>
      <c r="F18" s="3" t="s">
        <v>2616</v>
      </c>
      <c r="G18" s="6" t="s">
        <v>2642</v>
      </c>
      <c r="H18" s="3" t="s">
        <v>2642</v>
      </c>
      <c r="I18" s="3" t="s">
        <v>2637</v>
      </c>
      <c r="J18" s="3" t="s">
        <v>2643</v>
      </c>
      <c r="K18" s="3" t="s">
        <v>2538</v>
      </c>
      <c r="L18" s="3" t="s">
        <v>482</v>
      </c>
      <c r="M18" s="3" t="s">
        <v>2540</v>
      </c>
      <c r="N18" s="3" t="s">
        <v>1816</v>
      </c>
      <c r="O18" s="3" t="s">
        <v>2644</v>
      </c>
      <c r="P18" s="3">
        <v>1</v>
      </c>
      <c r="Q18" s="3" t="s">
        <v>2644</v>
      </c>
      <c r="R18" s="3" t="s">
        <v>2645</v>
      </c>
      <c r="S18" s="3" t="s">
        <v>482</v>
      </c>
      <c r="T18" s="3" t="s">
        <v>482</v>
      </c>
    </row>
    <row r="19" spans="1:20" ht="32" hidden="1" x14ac:dyDescent="0.2">
      <c r="A19" s="3" t="s">
        <v>2646</v>
      </c>
      <c r="B19" s="3" t="s">
        <v>2647</v>
      </c>
      <c r="C19" s="3" t="s">
        <v>2503</v>
      </c>
      <c r="D19" s="3">
        <v>287</v>
      </c>
      <c r="E19" s="3" t="s">
        <v>2641</v>
      </c>
      <c r="F19" s="3" t="s">
        <v>2648</v>
      </c>
      <c r="G19" s="6" t="s">
        <v>2642</v>
      </c>
      <c r="H19" s="3" t="s">
        <v>2642</v>
      </c>
      <c r="I19" s="3" t="s">
        <v>2637</v>
      </c>
      <c r="J19" s="3" t="s">
        <v>2649</v>
      </c>
      <c r="K19" s="3" t="s">
        <v>2538</v>
      </c>
      <c r="L19" s="3" t="s">
        <v>482</v>
      </c>
      <c r="M19" s="3" t="s">
        <v>2540</v>
      </c>
      <c r="N19" s="3" t="s">
        <v>1816</v>
      </c>
      <c r="O19" s="3" t="s">
        <v>2650</v>
      </c>
      <c r="P19" s="3">
        <v>1</v>
      </c>
      <c r="Q19" s="3" t="s">
        <v>2650</v>
      </c>
      <c r="R19" s="3" t="s">
        <v>2651</v>
      </c>
      <c r="S19" s="3" t="s">
        <v>482</v>
      </c>
      <c r="T19" s="3" t="s">
        <v>482</v>
      </c>
    </row>
    <row r="20" spans="1:20" ht="252" hidden="1" x14ac:dyDescent="0.2">
      <c r="A20" s="3" t="s">
        <v>2652</v>
      </c>
      <c r="B20" s="3" t="s">
        <v>2653</v>
      </c>
      <c r="C20" s="3" t="s">
        <v>2654</v>
      </c>
      <c r="D20" s="3">
        <v>18</v>
      </c>
      <c r="E20" s="3" t="s">
        <v>2504</v>
      </c>
      <c r="F20" s="3" t="s">
        <v>2655</v>
      </c>
      <c r="G20" s="6" t="s">
        <v>2656</v>
      </c>
      <c r="H20" s="3" t="s">
        <v>2657</v>
      </c>
      <c r="I20" s="3" t="s">
        <v>2508</v>
      </c>
      <c r="J20" s="3" t="s">
        <v>2658</v>
      </c>
      <c r="K20" s="3" t="s">
        <v>2574</v>
      </c>
      <c r="L20" s="3" t="s">
        <v>482</v>
      </c>
      <c r="M20" s="3" t="s">
        <v>2659</v>
      </c>
      <c r="N20" s="3" t="s">
        <v>1931</v>
      </c>
      <c r="O20" s="3" t="s">
        <v>2660</v>
      </c>
      <c r="P20" s="3">
        <v>4</v>
      </c>
      <c r="Q20" s="3" t="s">
        <v>2661</v>
      </c>
      <c r="R20" s="3" t="s">
        <v>2662</v>
      </c>
      <c r="S20" s="3" t="s">
        <v>482</v>
      </c>
      <c r="T20" s="3" t="s">
        <v>482</v>
      </c>
    </row>
    <row r="21" spans="1:20" ht="409.6" hidden="1" x14ac:dyDescent="0.2">
      <c r="A21" s="3" t="s">
        <v>2663</v>
      </c>
      <c r="B21" s="3" t="s">
        <v>2664</v>
      </c>
      <c r="C21" s="3" t="s">
        <v>2654</v>
      </c>
      <c r="D21" s="3">
        <v>65</v>
      </c>
      <c r="E21" s="3" t="s">
        <v>2514</v>
      </c>
      <c r="F21" s="3" t="s">
        <v>2616</v>
      </c>
      <c r="G21" s="6" t="s">
        <v>2665</v>
      </c>
      <c r="H21" s="3" t="s">
        <v>2666</v>
      </c>
      <c r="I21" s="3" t="s">
        <v>2508</v>
      </c>
      <c r="J21" s="3" t="s">
        <v>2547</v>
      </c>
      <c r="K21" s="3" t="s">
        <v>2538</v>
      </c>
      <c r="L21" s="3" t="s">
        <v>2667</v>
      </c>
      <c r="M21" s="3" t="s">
        <v>2668</v>
      </c>
      <c r="N21" s="3" t="s">
        <v>1931</v>
      </c>
      <c r="O21" s="3" t="s">
        <v>2669</v>
      </c>
      <c r="P21" s="3">
        <v>32</v>
      </c>
      <c r="Q21" s="3" t="s">
        <v>2670</v>
      </c>
      <c r="R21" s="3" t="s">
        <v>2671</v>
      </c>
      <c r="S21" s="3" t="s">
        <v>482</v>
      </c>
      <c r="T21" s="3" t="s">
        <v>482</v>
      </c>
    </row>
    <row r="22" spans="1:20" ht="409.6" hidden="1" x14ac:dyDescent="0.2">
      <c r="A22" s="3" t="s">
        <v>2672</v>
      </c>
      <c r="B22" s="3" t="s">
        <v>2673</v>
      </c>
      <c r="C22" s="3" t="s">
        <v>2654</v>
      </c>
      <c r="D22" s="3">
        <v>147</v>
      </c>
      <c r="E22" s="3" t="s">
        <v>2635</v>
      </c>
      <c r="F22" s="3" t="s">
        <v>2674</v>
      </c>
      <c r="G22" s="6" t="s">
        <v>2675</v>
      </c>
      <c r="H22" s="3" t="s">
        <v>2676</v>
      </c>
      <c r="I22" s="3" t="s">
        <v>2508</v>
      </c>
      <c r="J22" s="3" t="s">
        <v>2677</v>
      </c>
      <c r="K22" s="3" t="s">
        <v>2678</v>
      </c>
      <c r="L22" s="3" t="s">
        <v>482</v>
      </c>
      <c r="M22" s="3" t="s">
        <v>2679</v>
      </c>
      <c r="N22" s="3" t="s">
        <v>1816</v>
      </c>
      <c r="O22" s="3" t="s">
        <v>2680</v>
      </c>
      <c r="P22" s="3">
        <v>33</v>
      </c>
      <c r="Q22" s="3" t="s">
        <v>2681</v>
      </c>
      <c r="R22" s="3" t="s">
        <v>2682</v>
      </c>
      <c r="S22" s="3" t="s">
        <v>482</v>
      </c>
      <c r="T22" s="3" t="s">
        <v>482</v>
      </c>
    </row>
    <row r="23" spans="1:20" ht="42" hidden="1" x14ac:dyDescent="0.2">
      <c r="A23" s="3" t="s">
        <v>2683</v>
      </c>
      <c r="B23" s="3" t="s">
        <v>2684</v>
      </c>
      <c r="C23" s="3" t="s">
        <v>2685</v>
      </c>
      <c r="D23" s="3">
        <v>35</v>
      </c>
      <c r="E23" s="3" t="s">
        <v>2514</v>
      </c>
      <c r="F23" s="3" t="s">
        <v>2686</v>
      </c>
      <c r="G23" s="6" t="s">
        <v>2687</v>
      </c>
      <c r="H23" s="3" t="s">
        <v>2688</v>
      </c>
      <c r="I23" s="3" t="s">
        <v>2529</v>
      </c>
      <c r="J23" s="3" t="s">
        <v>2689</v>
      </c>
      <c r="K23" s="3" t="s">
        <v>2690</v>
      </c>
      <c r="L23" s="3" t="s">
        <v>2531</v>
      </c>
      <c r="M23" s="3" t="s">
        <v>2540</v>
      </c>
      <c r="N23" s="3" t="s">
        <v>1931</v>
      </c>
      <c r="O23" s="3" t="s">
        <v>482</v>
      </c>
      <c r="P23" s="3">
        <v>0</v>
      </c>
      <c r="Q23" s="3" t="s">
        <v>2560</v>
      </c>
      <c r="R23" s="3" t="s">
        <v>405</v>
      </c>
      <c r="S23" s="3" t="s">
        <v>482</v>
      </c>
      <c r="T23" s="3" t="s">
        <v>2691</v>
      </c>
    </row>
    <row r="24" spans="1:20" ht="32" hidden="1" x14ac:dyDescent="0.2">
      <c r="A24" s="3" t="s">
        <v>2692</v>
      </c>
      <c r="B24" s="3" t="s">
        <v>2693</v>
      </c>
      <c r="C24" s="3" t="s">
        <v>2685</v>
      </c>
      <c r="D24" s="3">
        <v>38</v>
      </c>
      <c r="E24" s="3" t="s">
        <v>2514</v>
      </c>
      <c r="F24" s="3" t="s">
        <v>2338</v>
      </c>
      <c r="G24" s="6" t="s">
        <v>2694</v>
      </c>
      <c r="H24" s="3" t="s">
        <v>2695</v>
      </c>
      <c r="I24" s="3" t="s">
        <v>2529</v>
      </c>
      <c r="J24" s="3" t="s">
        <v>2696</v>
      </c>
      <c r="K24" s="3" t="s">
        <v>2690</v>
      </c>
      <c r="L24" s="3" t="s">
        <v>2531</v>
      </c>
      <c r="M24" s="3" t="s">
        <v>2540</v>
      </c>
      <c r="N24" s="3" t="s">
        <v>1931</v>
      </c>
      <c r="O24" s="3" t="s">
        <v>2697</v>
      </c>
      <c r="P24" s="3">
        <v>1</v>
      </c>
      <c r="Q24" s="3" t="s">
        <v>2697</v>
      </c>
      <c r="R24" s="3" t="s">
        <v>2698</v>
      </c>
      <c r="S24" s="3" t="s">
        <v>482</v>
      </c>
      <c r="T24" s="3" t="s">
        <v>2336</v>
      </c>
    </row>
    <row r="25" spans="1:20" ht="56" hidden="1" x14ac:dyDescent="0.2">
      <c r="A25" s="3" t="s">
        <v>604</v>
      </c>
      <c r="B25" s="3" t="s">
        <v>603</v>
      </c>
      <c r="C25" s="3" t="s">
        <v>2685</v>
      </c>
      <c r="D25" s="3">
        <v>44</v>
      </c>
      <c r="E25" s="3" t="s">
        <v>2514</v>
      </c>
      <c r="F25" s="3" t="s">
        <v>2699</v>
      </c>
      <c r="G25" s="6" t="s">
        <v>2700</v>
      </c>
      <c r="H25" s="3" t="s">
        <v>2701</v>
      </c>
      <c r="I25" s="3" t="s">
        <v>2529</v>
      </c>
      <c r="J25" s="3" t="s">
        <v>2696</v>
      </c>
      <c r="K25" s="3" t="s">
        <v>2519</v>
      </c>
      <c r="L25" s="3" t="s">
        <v>2531</v>
      </c>
      <c r="M25" s="3" t="s">
        <v>2702</v>
      </c>
      <c r="N25" s="3" t="s">
        <v>1931</v>
      </c>
      <c r="O25" s="3" t="s">
        <v>2703</v>
      </c>
      <c r="P25" s="3">
        <v>2</v>
      </c>
      <c r="Q25" s="3" t="s">
        <v>2704</v>
      </c>
      <c r="R25" s="3" t="s">
        <v>609</v>
      </c>
      <c r="S25" s="3" t="s">
        <v>600</v>
      </c>
      <c r="T25" s="3" t="s">
        <v>1627</v>
      </c>
    </row>
    <row r="26" spans="1:20" ht="48" hidden="1" x14ac:dyDescent="0.2">
      <c r="A26" s="3" t="s">
        <v>2705</v>
      </c>
      <c r="B26" s="3" t="s">
        <v>2706</v>
      </c>
      <c r="C26" s="3" t="s">
        <v>2685</v>
      </c>
      <c r="D26" s="3">
        <v>49</v>
      </c>
      <c r="E26" s="3" t="s">
        <v>2514</v>
      </c>
      <c r="F26" s="3" t="s">
        <v>2707</v>
      </c>
      <c r="G26" s="6" t="s">
        <v>2708</v>
      </c>
      <c r="H26" s="3" t="s">
        <v>2709</v>
      </c>
      <c r="I26" s="3" t="s">
        <v>2529</v>
      </c>
      <c r="J26" s="3" t="s">
        <v>2710</v>
      </c>
      <c r="K26" s="3" t="s">
        <v>2519</v>
      </c>
      <c r="L26" s="3" t="s">
        <v>2711</v>
      </c>
      <c r="M26" s="3" t="s">
        <v>2540</v>
      </c>
      <c r="N26" s="3" t="s">
        <v>1931</v>
      </c>
      <c r="O26" s="3" t="s">
        <v>2712</v>
      </c>
      <c r="P26" s="3">
        <v>3</v>
      </c>
      <c r="Q26" s="3" t="s">
        <v>2713</v>
      </c>
      <c r="R26" s="3" t="s">
        <v>2714</v>
      </c>
      <c r="S26" s="3" t="s">
        <v>482</v>
      </c>
      <c r="T26" s="3" t="s">
        <v>2715</v>
      </c>
    </row>
    <row r="27" spans="1:20" ht="64" hidden="1" x14ac:dyDescent="0.2">
      <c r="A27" s="3" t="s">
        <v>2716</v>
      </c>
      <c r="B27" s="3" t="s">
        <v>2717</v>
      </c>
      <c r="C27" s="3" t="s">
        <v>2685</v>
      </c>
      <c r="D27" s="3">
        <v>55</v>
      </c>
      <c r="E27" s="3" t="s">
        <v>2514</v>
      </c>
      <c r="F27" s="3" t="s">
        <v>2718</v>
      </c>
      <c r="G27" s="6" t="s">
        <v>2719</v>
      </c>
      <c r="H27" s="3" t="s">
        <v>2720</v>
      </c>
      <c r="I27" s="3" t="s">
        <v>2529</v>
      </c>
      <c r="J27" s="3" t="s">
        <v>2710</v>
      </c>
      <c r="K27" s="3" t="s">
        <v>2519</v>
      </c>
      <c r="L27" s="3" t="s">
        <v>2721</v>
      </c>
      <c r="M27" s="3" t="s">
        <v>2722</v>
      </c>
      <c r="N27" s="3" t="s">
        <v>1931</v>
      </c>
      <c r="O27" s="3" t="s">
        <v>2723</v>
      </c>
      <c r="P27" s="3">
        <v>3</v>
      </c>
      <c r="Q27" s="3" t="s">
        <v>2724</v>
      </c>
      <c r="R27" s="3" t="s">
        <v>2725</v>
      </c>
      <c r="S27" s="3" t="s">
        <v>482</v>
      </c>
      <c r="T27" s="3" t="s">
        <v>2328</v>
      </c>
    </row>
    <row r="28" spans="1:20" ht="80" hidden="1" x14ac:dyDescent="0.2">
      <c r="A28" s="3" t="s">
        <v>2726</v>
      </c>
      <c r="B28" s="3" t="s">
        <v>2727</v>
      </c>
      <c r="C28" s="3" t="s">
        <v>2685</v>
      </c>
      <c r="D28" s="3">
        <v>59</v>
      </c>
      <c r="E28" s="3" t="s">
        <v>2514</v>
      </c>
      <c r="F28" s="3" t="s">
        <v>2728</v>
      </c>
      <c r="G28" s="6" t="s">
        <v>2729</v>
      </c>
      <c r="H28" s="3" t="s">
        <v>2730</v>
      </c>
      <c r="I28" s="3" t="s">
        <v>2508</v>
      </c>
      <c r="J28" s="3" t="s">
        <v>2710</v>
      </c>
      <c r="K28" s="3" t="s">
        <v>2519</v>
      </c>
      <c r="L28" s="3" t="s">
        <v>2731</v>
      </c>
      <c r="M28" s="3" t="s">
        <v>2540</v>
      </c>
      <c r="N28" s="3" t="s">
        <v>1931</v>
      </c>
      <c r="O28" s="3" t="s">
        <v>2732</v>
      </c>
      <c r="P28" s="3">
        <v>5</v>
      </c>
      <c r="Q28" s="3" t="s">
        <v>2733</v>
      </c>
      <c r="R28" s="3" t="s">
        <v>2734</v>
      </c>
      <c r="S28" s="3" t="s">
        <v>482</v>
      </c>
      <c r="T28" s="3" t="s">
        <v>2332</v>
      </c>
    </row>
    <row r="29" spans="1:20" ht="32" hidden="1" x14ac:dyDescent="0.2">
      <c r="A29" s="3" t="s">
        <v>2735</v>
      </c>
      <c r="B29" s="3" t="s">
        <v>2736</v>
      </c>
      <c r="C29" s="3" t="s">
        <v>2685</v>
      </c>
      <c r="D29" s="3">
        <v>64</v>
      </c>
      <c r="E29" s="3" t="s">
        <v>2514</v>
      </c>
      <c r="F29" s="3" t="s">
        <v>2737</v>
      </c>
      <c r="G29" s="6" t="s">
        <v>2738</v>
      </c>
      <c r="H29" s="3" t="s">
        <v>2739</v>
      </c>
      <c r="I29" s="3" t="s">
        <v>2529</v>
      </c>
      <c r="J29" s="3" t="s">
        <v>2710</v>
      </c>
      <c r="K29" s="3" t="s">
        <v>2519</v>
      </c>
      <c r="L29" s="3" t="s">
        <v>2531</v>
      </c>
      <c r="M29" s="3" t="s">
        <v>2740</v>
      </c>
      <c r="N29" s="3" t="s">
        <v>1931</v>
      </c>
      <c r="O29" s="3" t="s">
        <v>2512</v>
      </c>
      <c r="P29" s="3">
        <v>1</v>
      </c>
      <c r="Q29" s="3" t="s">
        <v>2512</v>
      </c>
      <c r="R29" s="3" t="s">
        <v>2741</v>
      </c>
      <c r="S29" s="3" t="s">
        <v>482</v>
      </c>
      <c r="T29" s="3" t="s">
        <v>482</v>
      </c>
    </row>
    <row r="30" spans="1:20" ht="210" hidden="1" x14ac:dyDescent="0.2">
      <c r="A30" s="3" t="s">
        <v>2742</v>
      </c>
      <c r="B30" s="3" t="s">
        <v>2743</v>
      </c>
      <c r="C30" s="3" t="s">
        <v>2685</v>
      </c>
      <c r="D30" s="3">
        <v>74</v>
      </c>
      <c r="E30" s="3" t="s">
        <v>2514</v>
      </c>
      <c r="F30" s="3" t="s">
        <v>2744</v>
      </c>
      <c r="G30" s="6" t="s">
        <v>2745</v>
      </c>
      <c r="H30" s="3" t="s">
        <v>2746</v>
      </c>
      <c r="I30" s="3" t="s">
        <v>2508</v>
      </c>
      <c r="J30" s="3" t="s">
        <v>2747</v>
      </c>
      <c r="K30" s="3" t="s">
        <v>2748</v>
      </c>
      <c r="L30" s="3" t="s">
        <v>2749</v>
      </c>
      <c r="M30" s="3" t="s">
        <v>2750</v>
      </c>
      <c r="N30" s="3" t="s">
        <v>1931</v>
      </c>
      <c r="O30" s="3" t="s">
        <v>2512</v>
      </c>
      <c r="P30" s="3">
        <v>1</v>
      </c>
      <c r="Q30" s="3" t="s">
        <v>2512</v>
      </c>
      <c r="R30" s="3" t="s">
        <v>2751</v>
      </c>
      <c r="S30" s="3" t="s">
        <v>482</v>
      </c>
      <c r="T30" s="3" t="s">
        <v>482</v>
      </c>
    </row>
    <row r="31" spans="1:20" ht="98" hidden="1" x14ac:dyDescent="0.2">
      <c r="A31" s="3" t="s">
        <v>2752</v>
      </c>
      <c r="B31" s="3" t="s">
        <v>2753</v>
      </c>
      <c r="C31" s="3" t="s">
        <v>2685</v>
      </c>
      <c r="D31" s="3">
        <v>89</v>
      </c>
      <c r="E31" s="3" t="s">
        <v>2514</v>
      </c>
      <c r="F31" s="3" t="s">
        <v>2754</v>
      </c>
      <c r="G31" s="6" t="s">
        <v>2755</v>
      </c>
      <c r="H31" s="3" t="s">
        <v>2756</v>
      </c>
      <c r="I31" s="3" t="s">
        <v>2508</v>
      </c>
      <c r="J31" s="3" t="s">
        <v>2757</v>
      </c>
      <c r="K31" s="3" t="s">
        <v>2758</v>
      </c>
      <c r="L31" s="3" t="s">
        <v>2759</v>
      </c>
      <c r="M31" s="3" t="s">
        <v>2521</v>
      </c>
      <c r="N31" s="3" t="s">
        <v>1931</v>
      </c>
      <c r="O31" s="3" t="s">
        <v>482</v>
      </c>
      <c r="P31" s="3">
        <v>0</v>
      </c>
      <c r="Q31" s="3" t="s">
        <v>2560</v>
      </c>
      <c r="R31" s="3" t="s">
        <v>405</v>
      </c>
      <c r="S31" s="3" t="s">
        <v>482</v>
      </c>
      <c r="T31" s="3" t="s">
        <v>482</v>
      </c>
    </row>
    <row r="32" spans="1:20" ht="98" hidden="1" x14ac:dyDescent="0.2">
      <c r="A32" s="3" t="s">
        <v>2760</v>
      </c>
      <c r="B32" s="3" t="s">
        <v>2761</v>
      </c>
      <c r="C32" s="3" t="s">
        <v>2685</v>
      </c>
      <c r="D32" s="3">
        <v>99</v>
      </c>
      <c r="E32" s="3" t="s">
        <v>2514</v>
      </c>
      <c r="F32" s="3" t="s">
        <v>2762</v>
      </c>
      <c r="G32" s="6" t="s">
        <v>2763</v>
      </c>
      <c r="H32" s="3" t="s">
        <v>2764</v>
      </c>
      <c r="I32" s="3" t="s">
        <v>2508</v>
      </c>
      <c r="J32" s="3" t="s">
        <v>2765</v>
      </c>
      <c r="K32" s="3" t="s">
        <v>2519</v>
      </c>
      <c r="L32" s="3" t="s">
        <v>2531</v>
      </c>
      <c r="M32" s="3" t="s">
        <v>2766</v>
      </c>
      <c r="N32" s="3" t="s">
        <v>1931</v>
      </c>
      <c r="O32" s="3" t="s">
        <v>482</v>
      </c>
      <c r="P32" s="3">
        <v>0</v>
      </c>
      <c r="Q32" s="3" t="s">
        <v>2560</v>
      </c>
      <c r="R32" s="3" t="s">
        <v>405</v>
      </c>
      <c r="S32" s="3" t="s">
        <v>482</v>
      </c>
      <c r="T32" s="3" t="s">
        <v>482</v>
      </c>
    </row>
    <row r="33" spans="1:20" ht="112" hidden="1" x14ac:dyDescent="0.2">
      <c r="A33" s="3" t="s">
        <v>2767</v>
      </c>
      <c r="B33" s="3" t="s">
        <v>2768</v>
      </c>
      <c r="C33" s="3" t="s">
        <v>2685</v>
      </c>
      <c r="D33" s="3">
        <v>108</v>
      </c>
      <c r="E33" s="3" t="s">
        <v>2514</v>
      </c>
      <c r="F33" s="3" t="s">
        <v>2616</v>
      </c>
      <c r="G33" s="6" t="s">
        <v>2769</v>
      </c>
      <c r="H33" s="3" t="s">
        <v>2770</v>
      </c>
      <c r="I33" s="3" t="s">
        <v>2529</v>
      </c>
      <c r="J33" s="3" t="s">
        <v>2771</v>
      </c>
      <c r="K33" s="3" t="s">
        <v>2772</v>
      </c>
      <c r="L33" s="3" t="s">
        <v>2773</v>
      </c>
      <c r="M33" s="3" t="s">
        <v>2774</v>
      </c>
      <c r="N33" s="3" t="s">
        <v>1931</v>
      </c>
      <c r="O33" s="3" t="s">
        <v>482</v>
      </c>
      <c r="P33" s="3">
        <v>0</v>
      </c>
      <c r="Q33" s="3" t="s">
        <v>2560</v>
      </c>
      <c r="R33" s="3" t="s">
        <v>405</v>
      </c>
      <c r="S33" s="3" t="s">
        <v>482</v>
      </c>
      <c r="T33" s="3" t="s">
        <v>482</v>
      </c>
    </row>
    <row r="34" spans="1:20" ht="140" hidden="1" x14ac:dyDescent="0.2">
      <c r="A34" s="3" t="s">
        <v>2775</v>
      </c>
      <c r="B34" s="3" t="s">
        <v>2776</v>
      </c>
      <c r="C34" s="3" t="s">
        <v>2685</v>
      </c>
      <c r="D34" s="3">
        <v>113</v>
      </c>
      <c r="E34" s="3" t="s">
        <v>2514</v>
      </c>
      <c r="F34" s="3" t="s">
        <v>2616</v>
      </c>
      <c r="G34" s="6" t="s">
        <v>2777</v>
      </c>
      <c r="H34" s="3" t="s">
        <v>2778</v>
      </c>
      <c r="I34" s="3" t="s">
        <v>2529</v>
      </c>
      <c r="J34" s="3" t="s">
        <v>2779</v>
      </c>
      <c r="K34" s="3" t="s">
        <v>2538</v>
      </c>
      <c r="L34" s="3" t="s">
        <v>2780</v>
      </c>
      <c r="M34" s="3" t="s">
        <v>2540</v>
      </c>
      <c r="N34" s="3" t="s">
        <v>1931</v>
      </c>
      <c r="O34" s="3" t="s">
        <v>482</v>
      </c>
      <c r="P34" s="3">
        <v>0</v>
      </c>
      <c r="Q34" s="3" t="s">
        <v>2560</v>
      </c>
      <c r="R34" s="3" t="s">
        <v>405</v>
      </c>
      <c r="S34" s="3" t="s">
        <v>482</v>
      </c>
      <c r="T34" s="3" t="s">
        <v>482</v>
      </c>
    </row>
    <row r="35" spans="1:20" ht="196" hidden="1" x14ac:dyDescent="0.2">
      <c r="A35" s="3" t="s">
        <v>2781</v>
      </c>
      <c r="B35" s="3" t="s">
        <v>2782</v>
      </c>
      <c r="C35" s="3" t="s">
        <v>2685</v>
      </c>
      <c r="D35" s="3">
        <v>123</v>
      </c>
      <c r="E35" s="3" t="s">
        <v>2514</v>
      </c>
      <c r="F35" s="3" t="s">
        <v>2616</v>
      </c>
      <c r="G35" s="6" t="s">
        <v>2783</v>
      </c>
      <c r="H35" s="3" t="s">
        <v>2784</v>
      </c>
      <c r="I35" s="3" t="s">
        <v>2529</v>
      </c>
      <c r="J35" s="3" t="s">
        <v>2785</v>
      </c>
      <c r="K35" s="3" t="s">
        <v>2786</v>
      </c>
      <c r="L35" s="3" t="s">
        <v>2787</v>
      </c>
      <c r="M35" s="3" t="s">
        <v>2774</v>
      </c>
      <c r="N35" s="3" t="s">
        <v>1931</v>
      </c>
      <c r="O35" s="3" t="s">
        <v>2512</v>
      </c>
      <c r="P35" s="3">
        <v>1</v>
      </c>
      <c r="Q35" s="3" t="s">
        <v>2512</v>
      </c>
      <c r="R35" s="3" t="s">
        <v>2788</v>
      </c>
      <c r="S35" s="3" t="s">
        <v>482</v>
      </c>
      <c r="T35" s="3" t="s">
        <v>482</v>
      </c>
    </row>
    <row r="36" spans="1:20" ht="154" hidden="1" x14ac:dyDescent="0.2">
      <c r="A36" s="3" t="s">
        <v>2789</v>
      </c>
      <c r="B36" s="3" t="s">
        <v>2790</v>
      </c>
      <c r="C36" s="3" t="s">
        <v>2685</v>
      </c>
      <c r="D36" s="3">
        <v>140</v>
      </c>
      <c r="E36" s="3" t="s">
        <v>2514</v>
      </c>
      <c r="F36" s="3" t="s">
        <v>2791</v>
      </c>
      <c r="G36" s="6" t="s">
        <v>2792</v>
      </c>
      <c r="H36" s="3" t="s">
        <v>2793</v>
      </c>
      <c r="I36" s="3" t="s">
        <v>2794</v>
      </c>
      <c r="J36" s="3" t="s">
        <v>2795</v>
      </c>
      <c r="K36" s="3" t="s">
        <v>2796</v>
      </c>
      <c r="L36" s="3" t="s">
        <v>2797</v>
      </c>
      <c r="M36" s="3" t="s">
        <v>2798</v>
      </c>
      <c r="N36" s="3" t="s">
        <v>1931</v>
      </c>
      <c r="O36" s="3" t="s">
        <v>2723</v>
      </c>
      <c r="P36" s="3">
        <v>3</v>
      </c>
      <c r="Q36" s="3" t="s">
        <v>2724</v>
      </c>
      <c r="R36" s="3" t="s">
        <v>2799</v>
      </c>
      <c r="S36" s="3" t="s">
        <v>482</v>
      </c>
      <c r="T36" s="3" t="s">
        <v>482</v>
      </c>
    </row>
    <row r="37" spans="1:20" ht="32" hidden="1" x14ac:dyDescent="0.2">
      <c r="A37" s="3" t="s">
        <v>2800</v>
      </c>
      <c r="B37" s="3" t="s">
        <v>2801</v>
      </c>
      <c r="C37" s="3" t="s">
        <v>2685</v>
      </c>
      <c r="D37" s="3">
        <v>197</v>
      </c>
      <c r="E37" s="3" t="s">
        <v>2514</v>
      </c>
      <c r="F37" s="3" t="s">
        <v>2802</v>
      </c>
      <c r="G37" s="6" t="s">
        <v>2803</v>
      </c>
      <c r="H37" s="3" t="s">
        <v>2803</v>
      </c>
      <c r="I37" s="3" t="s">
        <v>2529</v>
      </c>
      <c r="J37" s="3" t="s">
        <v>2804</v>
      </c>
      <c r="K37" s="3" t="s">
        <v>2538</v>
      </c>
      <c r="L37" s="3" t="s">
        <v>2805</v>
      </c>
      <c r="M37" s="3" t="s">
        <v>2806</v>
      </c>
      <c r="N37" s="3" t="s">
        <v>1931</v>
      </c>
      <c r="O37" s="3" t="s">
        <v>482</v>
      </c>
      <c r="P37" s="3">
        <v>0</v>
      </c>
      <c r="Q37" s="3" t="s">
        <v>2560</v>
      </c>
      <c r="R37" s="3" t="s">
        <v>405</v>
      </c>
      <c r="S37" s="3" t="s">
        <v>482</v>
      </c>
      <c r="T37" s="3" t="s">
        <v>2807</v>
      </c>
    </row>
    <row r="38" spans="1:20" ht="160" hidden="1" x14ac:dyDescent="0.2">
      <c r="A38" s="3" t="s">
        <v>588</v>
      </c>
      <c r="B38" s="3" t="s">
        <v>587</v>
      </c>
      <c r="C38" s="3" t="s">
        <v>2685</v>
      </c>
      <c r="D38" s="3">
        <v>214</v>
      </c>
      <c r="E38" s="3" t="s">
        <v>2514</v>
      </c>
      <c r="F38" s="3" t="s">
        <v>2131</v>
      </c>
      <c r="G38" s="6" t="s">
        <v>2808</v>
      </c>
      <c r="H38" s="3" t="s">
        <v>2809</v>
      </c>
      <c r="I38" s="3" t="s">
        <v>2794</v>
      </c>
      <c r="J38" s="3" t="s">
        <v>2810</v>
      </c>
      <c r="K38" s="3" t="s">
        <v>2811</v>
      </c>
      <c r="L38" s="3" t="s">
        <v>2812</v>
      </c>
      <c r="M38" s="3" t="s">
        <v>2813</v>
      </c>
      <c r="N38" s="3" t="s">
        <v>1931</v>
      </c>
      <c r="O38" s="3" t="s">
        <v>2814</v>
      </c>
      <c r="P38" s="3">
        <v>7</v>
      </c>
      <c r="Q38" s="3" t="s">
        <v>2815</v>
      </c>
      <c r="R38" s="3" t="s">
        <v>594</v>
      </c>
      <c r="S38" s="3" t="s">
        <v>2132</v>
      </c>
      <c r="T38" s="3" t="s">
        <v>1616</v>
      </c>
    </row>
    <row r="39" spans="1:20" ht="140" hidden="1" x14ac:dyDescent="0.2">
      <c r="A39" s="3" t="s">
        <v>2816</v>
      </c>
      <c r="B39" s="3" t="s">
        <v>2817</v>
      </c>
      <c r="C39" s="3" t="s">
        <v>2685</v>
      </c>
      <c r="D39" s="3">
        <v>228</v>
      </c>
      <c r="E39" s="3" t="s">
        <v>2504</v>
      </c>
      <c r="F39" s="3" t="s">
        <v>2818</v>
      </c>
      <c r="G39" s="6" t="s">
        <v>2819</v>
      </c>
      <c r="H39" s="3" t="s">
        <v>2820</v>
      </c>
      <c r="I39" s="3" t="s">
        <v>2508</v>
      </c>
      <c r="J39" s="3" t="s">
        <v>2821</v>
      </c>
      <c r="K39" s="3" t="s">
        <v>2822</v>
      </c>
      <c r="L39" s="3" t="s">
        <v>482</v>
      </c>
      <c r="M39" s="3" t="s">
        <v>2540</v>
      </c>
      <c r="N39" s="3" t="s">
        <v>1931</v>
      </c>
      <c r="O39" s="3" t="s">
        <v>482</v>
      </c>
      <c r="P39" s="3">
        <v>0</v>
      </c>
      <c r="Q39" s="3" t="s">
        <v>2560</v>
      </c>
      <c r="R39" s="3" t="s">
        <v>405</v>
      </c>
      <c r="S39" s="3" t="s">
        <v>482</v>
      </c>
      <c r="T39" s="3" t="s">
        <v>2823</v>
      </c>
    </row>
    <row r="40" spans="1:20" ht="126" hidden="1" x14ac:dyDescent="0.2">
      <c r="A40" s="3" t="s">
        <v>2824</v>
      </c>
      <c r="B40" s="3" t="s">
        <v>2825</v>
      </c>
      <c r="C40" s="3" t="s">
        <v>2685</v>
      </c>
      <c r="D40" s="3">
        <v>240</v>
      </c>
      <c r="E40" s="3" t="s">
        <v>2504</v>
      </c>
      <c r="F40" s="3" t="s">
        <v>2826</v>
      </c>
      <c r="G40" s="6" t="s">
        <v>2827</v>
      </c>
      <c r="H40" s="3" t="s">
        <v>2828</v>
      </c>
      <c r="I40" s="3" t="s">
        <v>2529</v>
      </c>
      <c r="J40" s="3" t="s">
        <v>2829</v>
      </c>
      <c r="K40" s="3" t="s">
        <v>2830</v>
      </c>
      <c r="L40" s="3" t="s">
        <v>482</v>
      </c>
      <c r="M40" s="3" t="s">
        <v>2540</v>
      </c>
      <c r="N40" s="3" t="s">
        <v>1931</v>
      </c>
      <c r="O40" s="3" t="s">
        <v>2831</v>
      </c>
      <c r="P40" s="3">
        <v>3</v>
      </c>
      <c r="Q40" s="3" t="s">
        <v>2831</v>
      </c>
      <c r="R40" s="3" t="s">
        <v>2832</v>
      </c>
      <c r="S40" s="3" t="s">
        <v>482</v>
      </c>
      <c r="T40" s="3" t="s">
        <v>2833</v>
      </c>
    </row>
    <row r="41" spans="1:20" ht="48" hidden="1" x14ac:dyDescent="0.2">
      <c r="A41" s="3" t="s">
        <v>2834</v>
      </c>
      <c r="B41" s="3" t="s">
        <v>2835</v>
      </c>
      <c r="C41" s="3" t="s">
        <v>2685</v>
      </c>
      <c r="D41" s="3">
        <v>257</v>
      </c>
      <c r="E41" s="3" t="s">
        <v>2635</v>
      </c>
      <c r="F41" s="3" t="s">
        <v>2616</v>
      </c>
      <c r="G41" s="6" t="s">
        <v>2636</v>
      </c>
      <c r="H41" s="3" t="s">
        <v>2636</v>
      </c>
      <c r="I41" s="3" t="s">
        <v>2637</v>
      </c>
      <c r="J41" s="3" t="s">
        <v>2638</v>
      </c>
      <c r="K41" s="3" t="s">
        <v>2538</v>
      </c>
      <c r="L41" s="3" t="s">
        <v>482</v>
      </c>
      <c r="M41" s="3" t="s">
        <v>2540</v>
      </c>
      <c r="N41" s="3" t="s">
        <v>1816</v>
      </c>
      <c r="O41" s="3" t="s">
        <v>482</v>
      </c>
      <c r="P41" s="3">
        <v>0</v>
      </c>
      <c r="Q41" s="3" t="s">
        <v>2560</v>
      </c>
      <c r="R41" s="3" t="s">
        <v>405</v>
      </c>
      <c r="S41" s="3" t="s">
        <v>482</v>
      </c>
      <c r="T41" s="3" t="s">
        <v>482</v>
      </c>
    </row>
    <row r="42" spans="1:20" ht="48" hidden="1" x14ac:dyDescent="0.2">
      <c r="A42" s="3" t="s">
        <v>2836</v>
      </c>
      <c r="B42" s="3" t="s">
        <v>2837</v>
      </c>
      <c r="C42" s="3" t="s">
        <v>2685</v>
      </c>
      <c r="D42" s="3">
        <v>258</v>
      </c>
      <c r="E42" s="3" t="s">
        <v>2641</v>
      </c>
      <c r="F42" s="3" t="s">
        <v>2616</v>
      </c>
      <c r="G42" s="6" t="s">
        <v>2642</v>
      </c>
      <c r="H42" s="3" t="s">
        <v>2642</v>
      </c>
      <c r="I42" s="3" t="s">
        <v>2637</v>
      </c>
      <c r="J42" s="3" t="s">
        <v>2838</v>
      </c>
      <c r="K42" s="3" t="s">
        <v>2839</v>
      </c>
      <c r="L42" s="3" t="s">
        <v>482</v>
      </c>
      <c r="M42" s="3" t="s">
        <v>2540</v>
      </c>
      <c r="N42" s="3" t="s">
        <v>1816</v>
      </c>
      <c r="O42" s="3" t="s">
        <v>2840</v>
      </c>
      <c r="P42" s="3">
        <v>2</v>
      </c>
      <c r="Q42" s="3" t="s">
        <v>2840</v>
      </c>
      <c r="R42" s="3" t="s">
        <v>2841</v>
      </c>
      <c r="S42" s="3" t="s">
        <v>482</v>
      </c>
      <c r="T42" s="3" t="s">
        <v>482</v>
      </c>
    </row>
    <row r="43" spans="1:20" ht="192" hidden="1" x14ac:dyDescent="0.2">
      <c r="A43" s="3" t="s">
        <v>2842</v>
      </c>
      <c r="B43" s="3" t="s">
        <v>2843</v>
      </c>
      <c r="C43" s="3" t="s">
        <v>2685</v>
      </c>
      <c r="D43" s="3">
        <v>259</v>
      </c>
      <c r="E43" s="3" t="s">
        <v>2635</v>
      </c>
      <c r="F43" s="3" t="s">
        <v>2616</v>
      </c>
      <c r="G43" s="6" t="s">
        <v>2844</v>
      </c>
      <c r="H43" s="3" t="s">
        <v>2845</v>
      </c>
      <c r="I43" s="3" t="s">
        <v>2508</v>
      </c>
      <c r="J43" s="3" t="s">
        <v>2638</v>
      </c>
      <c r="K43" s="3" t="s">
        <v>2538</v>
      </c>
      <c r="L43" s="3" t="s">
        <v>482</v>
      </c>
      <c r="M43" s="3" t="s">
        <v>2540</v>
      </c>
      <c r="N43" s="3" t="s">
        <v>1816</v>
      </c>
      <c r="O43" s="3" t="s">
        <v>2846</v>
      </c>
      <c r="P43" s="3">
        <v>9</v>
      </c>
      <c r="Q43" s="3" t="s">
        <v>2847</v>
      </c>
      <c r="R43" s="3" t="s">
        <v>2848</v>
      </c>
      <c r="S43" s="3" t="s">
        <v>482</v>
      </c>
      <c r="T43" s="3" t="s">
        <v>482</v>
      </c>
    </row>
    <row r="44" spans="1:20" ht="182" hidden="1" x14ac:dyDescent="0.2">
      <c r="A44" s="3" t="s">
        <v>2849</v>
      </c>
      <c r="B44" s="3" t="s">
        <v>2850</v>
      </c>
      <c r="C44" s="3" t="s">
        <v>2851</v>
      </c>
      <c r="D44" s="3">
        <v>44</v>
      </c>
      <c r="E44" s="3" t="s">
        <v>2514</v>
      </c>
      <c r="F44" s="3" t="s">
        <v>2852</v>
      </c>
      <c r="G44" s="6" t="s">
        <v>2853</v>
      </c>
      <c r="H44" s="3" t="s">
        <v>2854</v>
      </c>
      <c r="I44" s="3" t="s">
        <v>2508</v>
      </c>
      <c r="J44" s="3" t="s">
        <v>2547</v>
      </c>
      <c r="K44" s="3" t="s">
        <v>2538</v>
      </c>
      <c r="L44" s="3" t="s">
        <v>2531</v>
      </c>
      <c r="M44" s="3" t="s">
        <v>2532</v>
      </c>
      <c r="N44" s="3" t="s">
        <v>1931</v>
      </c>
      <c r="O44" s="3" t="s">
        <v>2855</v>
      </c>
      <c r="P44" s="3">
        <v>5</v>
      </c>
      <c r="Q44" s="3" t="s">
        <v>2856</v>
      </c>
      <c r="R44" s="3" t="s">
        <v>2857</v>
      </c>
      <c r="S44" s="3" t="s">
        <v>482</v>
      </c>
      <c r="T44" s="3" t="s">
        <v>482</v>
      </c>
    </row>
    <row r="45" spans="1:20" ht="196" hidden="1" x14ac:dyDescent="0.2">
      <c r="A45" s="3" t="s">
        <v>2858</v>
      </c>
      <c r="B45" s="3" t="s">
        <v>2859</v>
      </c>
      <c r="C45" s="3" t="s">
        <v>2860</v>
      </c>
      <c r="D45" s="3">
        <v>72</v>
      </c>
      <c r="E45" s="3" t="s">
        <v>2514</v>
      </c>
      <c r="F45" s="3" t="s">
        <v>2861</v>
      </c>
      <c r="G45" s="6" t="s">
        <v>2862</v>
      </c>
      <c r="H45" s="3" t="s">
        <v>2863</v>
      </c>
      <c r="I45" s="3" t="s">
        <v>2508</v>
      </c>
      <c r="J45" s="3" t="s">
        <v>2547</v>
      </c>
      <c r="K45" s="3" t="s">
        <v>2538</v>
      </c>
      <c r="L45" s="3" t="s">
        <v>2531</v>
      </c>
      <c r="M45" s="3" t="s">
        <v>2864</v>
      </c>
      <c r="N45" s="3" t="s">
        <v>1931</v>
      </c>
      <c r="O45" s="3" t="s">
        <v>482</v>
      </c>
      <c r="P45" s="3">
        <v>0</v>
      </c>
      <c r="Q45" s="3" t="s">
        <v>2560</v>
      </c>
      <c r="R45" s="3" t="s">
        <v>405</v>
      </c>
      <c r="S45" s="3" t="s">
        <v>482</v>
      </c>
      <c r="T45" s="3" t="s">
        <v>482</v>
      </c>
    </row>
    <row r="46" spans="1:20" ht="56" hidden="1" x14ac:dyDescent="0.2">
      <c r="A46" s="3" t="s">
        <v>2865</v>
      </c>
      <c r="B46" s="3" t="s">
        <v>2866</v>
      </c>
      <c r="C46" s="3" t="s">
        <v>2867</v>
      </c>
      <c r="D46" s="3">
        <v>11</v>
      </c>
      <c r="E46" s="3" t="s">
        <v>2504</v>
      </c>
      <c r="F46" s="3" t="s">
        <v>2868</v>
      </c>
      <c r="G46" s="6" t="s">
        <v>2869</v>
      </c>
      <c r="H46" s="3" t="s">
        <v>2870</v>
      </c>
      <c r="I46" s="3" t="s">
        <v>2529</v>
      </c>
      <c r="J46" s="3" t="s">
        <v>2871</v>
      </c>
      <c r="K46" s="3" t="s">
        <v>2519</v>
      </c>
      <c r="L46" s="3" t="s">
        <v>482</v>
      </c>
      <c r="M46" s="3" t="s">
        <v>2872</v>
      </c>
      <c r="N46" s="3" t="s">
        <v>1931</v>
      </c>
      <c r="O46" s="3" t="s">
        <v>482</v>
      </c>
      <c r="P46" s="3">
        <v>0</v>
      </c>
      <c r="Q46" s="3" t="s">
        <v>2560</v>
      </c>
      <c r="R46" s="3" t="s">
        <v>405</v>
      </c>
      <c r="S46" s="3" t="s">
        <v>482</v>
      </c>
      <c r="T46" s="3" t="s">
        <v>482</v>
      </c>
    </row>
    <row r="47" spans="1:20" ht="32" hidden="1" x14ac:dyDescent="0.2">
      <c r="A47" s="3" t="s">
        <v>2873</v>
      </c>
      <c r="B47" s="3" t="s">
        <v>2874</v>
      </c>
      <c r="C47" s="3" t="s">
        <v>2867</v>
      </c>
      <c r="D47" s="3">
        <v>17</v>
      </c>
      <c r="E47" s="3" t="s">
        <v>2504</v>
      </c>
      <c r="F47" s="3" t="s">
        <v>2875</v>
      </c>
      <c r="G47" s="6" t="s">
        <v>2876</v>
      </c>
      <c r="H47" s="3" t="s">
        <v>2877</v>
      </c>
      <c r="I47" s="3" t="s">
        <v>2529</v>
      </c>
      <c r="J47" s="3" t="s">
        <v>2878</v>
      </c>
      <c r="K47" s="3" t="s">
        <v>2519</v>
      </c>
      <c r="L47" s="3" t="s">
        <v>482</v>
      </c>
      <c r="M47" s="3" t="s">
        <v>2540</v>
      </c>
      <c r="N47" s="3" t="s">
        <v>1931</v>
      </c>
      <c r="O47" s="3" t="s">
        <v>2879</v>
      </c>
      <c r="P47" s="3">
        <v>1</v>
      </c>
      <c r="Q47" s="3" t="s">
        <v>2879</v>
      </c>
      <c r="R47" s="3" t="s">
        <v>2880</v>
      </c>
      <c r="S47" s="3" t="s">
        <v>482</v>
      </c>
      <c r="T47" s="3" t="s">
        <v>482</v>
      </c>
    </row>
    <row r="48" spans="1:20" ht="48" hidden="1" x14ac:dyDescent="0.2">
      <c r="A48" s="3" t="s">
        <v>2881</v>
      </c>
      <c r="B48" s="3" t="s">
        <v>2882</v>
      </c>
      <c r="C48" s="3" t="s">
        <v>2867</v>
      </c>
      <c r="D48" s="3">
        <v>21</v>
      </c>
      <c r="E48" s="3" t="s">
        <v>2504</v>
      </c>
      <c r="F48" s="3" t="s">
        <v>2616</v>
      </c>
      <c r="G48" s="6" t="s">
        <v>2883</v>
      </c>
      <c r="H48" s="3" t="s">
        <v>2884</v>
      </c>
      <c r="I48" s="3" t="s">
        <v>2508</v>
      </c>
      <c r="J48" s="3" t="s">
        <v>2878</v>
      </c>
      <c r="K48" s="3" t="s">
        <v>2519</v>
      </c>
      <c r="L48" s="3" t="s">
        <v>482</v>
      </c>
      <c r="M48" s="3" t="s">
        <v>2885</v>
      </c>
      <c r="N48" s="3" t="s">
        <v>1931</v>
      </c>
      <c r="O48" s="3" t="s">
        <v>482</v>
      </c>
      <c r="P48" s="3">
        <v>0</v>
      </c>
      <c r="Q48" s="3" t="s">
        <v>2560</v>
      </c>
      <c r="R48" s="3" t="s">
        <v>405</v>
      </c>
      <c r="S48" s="3" t="s">
        <v>482</v>
      </c>
      <c r="T48" s="3" t="s">
        <v>482</v>
      </c>
    </row>
    <row r="49" spans="1:20" ht="48" hidden="1" x14ac:dyDescent="0.2">
      <c r="A49" s="3" t="s">
        <v>2886</v>
      </c>
      <c r="B49" s="3" t="s">
        <v>2887</v>
      </c>
      <c r="C49" s="3" t="s">
        <v>2867</v>
      </c>
      <c r="D49" s="3">
        <v>30</v>
      </c>
      <c r="E49" s="3" t="s">
        <v>2514</v>
      </c>
      <c r="F49" s="3" t="s">
        <v>2616</v>
      </c>
      <c r="G49" s="6" t="s">
        <v>2888</v>
      </c>
      <c r="H49" s="3" t="s">
        <v>2889</v>
      </c>
      <c r="I49" s="3" t="s">
        <v>2529</v>
      </c>
      <c r="J49" s="3" t="s">
        <v>2890</v>
      </c>
      <c r="K49" s="3" t="s">
        <v>2519</v>
      </c>
      <c r="L49" s="3" t="s">
        <v>2531</v>
      </c>
      <c r="M49" s="3" t="s">
        <v>2540</v>
      </c>
      <c r="N49" s="3" t="s">
        <v>1931</v>
      </c>
      <c r="O49" s="3" t="s">
        <v>2891</v>
      </c>
      <c r="P49" s="3">
        <v>3</v>
      </c>
      <c r="Q49" s="3" t="s">
        <v>2892</v>
      </c>
      <c r="R49" s="3" t="s">
        <v>2893</v>
      </c>
      <c r="S49" s="3" t="s">
        <v>482</v>
      </c>
      <c r="T49" s="3" t="s">
        <v>482</v>
      </c>
    </row>
    <row r="50" spans="1:20" ht="112" hidden="1" x14ac:dyDescent="0.2">
      <c r="A50" s="3" t="s">
        <v>2894</v>
      </c>
      <c r="B50" s="3" t="s">
        <v>2895</v>
      </c>
      <c r="C50" s="3" t="s">
        <v>2867</v>
      </c>
      <c r="D50" s="3">
        <v>34</v>
      </c>
      <c r="E50" s="3" t="s">
        <v>2504</v>
      </c>
      <c r="F50" s="3" t="s">
        <v>2616</v>
      </c>
      <c r="G50" s="6" t="s">
        <v>2896</v>
      </c>
      <c r="H50" s="3" t="s">
        <v>2897</v>
      </c>
      <c r="I50" s="3" t="s">
        <v>2529</v>
      </c>
      <c r="J50" s="3" t="s">
        <v>2898</v>
      </c>
      <c r="K50" s="3" t="s">
        <v>2519</v>
      </c>
      <c r="L50" s="3" t="s">
        <v>482</v>
      </c>
      <c r="M50" s="3" t="s">
        <v>2899</v>
      </c>
      <c r="N50" s="3" t="s">
        <v>1931</v>
      </c>
      <c r="O50" s="3" t="s">
        <v>2900</v>
      </c>
      <c r="P50" s="3">
        <v>4</v>
      </c>
      <c r="Q50" s="3" t="s">
        <v>2901</v>
      </c>
      <c r="R50" s="3" t="s">
        <v>2902</v>
      </c>
      <c r="S50" s="3" t="s">
        <v>482</v>
      </c>
      <c r="T50" s="3" t="s">
        <v>482</v>
      </c>
    </row>
    <row r="51" spans="1:20" ht="208" hidden="1" x14ac:dyDescent="0.2">
      <c r="A51" s="3" t="s">
        <v>2903</v>
      </c>
      <c r="B51" s="3" t="s">
        <v>2904</v>
      </c>
      <c r="C51" s="3" t="s">
        <v>2867</v>
      </c>
      <c r="D51" s="3">
        <v>62</v>
      </c>
      <c r="E51" s="3" t="s">
        <v>2514</v>
      </c>
      <c r="F51" s="3" t="s">
        <v>2616</v>
      </c>
      <c r="G51" s="6" t="s">
        <v>2905</v>
      </c>
      <c r="H51" s="3" t="s">
        <v>2906</v>
      </c>
      <c r="I51" s="3" t="s">
        <v>2529</v>
      </c>
      <c r="J51" s="3" t="s">
        <v>2907</v>
      </c>
      <c r="K51" s="3" t="s">
        <v>2908</v>
      </c>
      <c r="L51" s="3" t="s">
        <v>2531</v>
      </c>
      <c r="M51" s="3" t="s">
        <v>2909</v>
      </c>
      <c r="N51" s="3" t="s">
        <v>1931</v>
      </c>
      <c r="O51" s="3" t="s">
        <v>2910</v>
      </c>
      <c r="P51" s="3">
        <v>13</v>
      </c>
      <c r="Q51" s="3" t="s">
        <v>2911</v>
      </c>
      <c r="R51" s="3" t="s">
        <v>2912</v>
      </c>
      <c r="S51" s="3" t="s">
        <v>482</v>
      </c>
      <c r="T51" s="3" t="s">
        <v>482</v>
      </c>
    </row>
    <row r="52" spans="1:20" ht="48" hidden="1" x14ac:dyDescent="0.2">
      <c r="A52" s="3" t="s">
        <v>2913</v>
      </c>
      <c r="B52" s="3" t="s">
        <v>2914</v>
      </c>
      <c r="C52" s="3" t="s">
        <v>2915</v>
      </c>
      <c r="D52" s="3">
        <v>19</v>
      </c>
      <c r="E52" s="3" t="s">
        <v>2635</v>
      </c>
      <c r="F52" s="3" t="s">
        <v>2616</v>
      </c>
      <c r="G52" s="6" t="s">
        <v>2916</v>
      </c>
      <c r="H52" s="3" t="s">
        <v>2917</v>
      </c>
      <c r="I52" s="3" t="s">
        <v>2529</v>
      </c>
      <c r="J52" s="3" t="s">
        <v>2638</v>
      </c>
      <c r="K52" s="3" t="s">
        <v>2918</v>
      </c>
      <c r="L52" s="3" t="s">
        <v>482</v>
      </c>
      <c r="M52" s="3" t="s">
        <v>2540</v>
      </c>
      <c r="N52" s="3" t="s">
        <v>1816</v>
      </c>
      <c r="O52" s="3" t="s">
        <v>482</v>
      </c>
      <c r="P52" s="3">
        <v>0</v>
      </c>
      <c r="Q52" s="3" t="s">
        <v>2560</v>
      </c>
      <c r="R52" s="3" t="s">
        <v>405</v>
      </c>
      <c r="S52" s="3" t="s">
        <v>482</v>
      </c>
      <c r="T52" s="3" t="s">
        <v>482</v>
      </c>
    </row>
    <row r="53" spans="1:20" ht="48" hidden="1" x14ac:dyDescent="0.2">
      <c r="A53" s="3" t="s">
        <v>2919</v>
      </c>
      <c r="B53" s="3" t="s">
        <v>2920</v>
      </c>
      <c r="C53" s="3" t="s">
        <v>2915</v>
      </c>
      <c r="D53" s="3">
        <v>23</v>
      </c>
      <c r="E53" s="3" t="s">
        <v>2641</v>
      </c>
      <c r="F53" s="3" t="s">
        <v>2616</v>
      </c>
      <c r="G53" s="6" t="s">
        <v>2642</v>
      </c>
      <c r="H53" s="3" t="s">
        <v>2642</v>
      </c>
      <c r="I53" s="3" t="s">
        <v>2637</v>
      </c>
      <c r="J53" s="3" t="s">
        <v>2921</v>
      </c>
      <c r="K53" s="3" t="s">
        <v>2922</v>
      </c>
      <c r="L53" s="3" t="s">
        <v>482</v>
      </c>
      <c r="M53" s="3" t="s">
        <v>2540</v>
      </c>
      <c r="N53" s="3" t="s">
        <v>1931</v>
      </c>
      <c r="O53" s="3" t="s">
        <v>2840</v>
      </c>
      <c r="P53" s="3">
        <v>2</v>
      </c>
      <c r="Q53" s="3" t="s">
        <v>2840</v>
      </c>
      <c r="R53" s="3" t="s">
        <v>2923</v>
      </c>
      <c r="S53" s="3" t="s">
        <v>482</v>
      </c>
      <c r="T53" s="3" t="s">
        <v>482</v>
      </c>
    </row>
    <row r="54" spans="1:20" ht="256" hidden="1" x14ac:dyDescent="0.2">
      <c r="A54" s="3" t="s">
        <v>2924</v>
      </c>
      <c r="B54" s="3" t="s">
        <v>2925</v>
      </c>
      <c r="C54" s="3" t="s">
        <v>2915</v>
      </c>
      <c r="D54" s="3">
        <v>29</v>
      </c>
      <c r="E54" s="3" t="s">
        <v>2635</v>
      </c>
      <c r="F54" s="3" t="s">
        <v>2926</v>
      </c>
      <c r="G54" s="6" t="s">
        <v>2927</v>
      </c>
      <c r="H54" s="3" t="s">
        <v>2928</v>
      </c>
      <c r="I54" s="3" t="s">
        <v>2508</v>
      </c>
      <c r="J54" s="3" t="s">
        <v>2638</v>
      </c>
      <c r="K54" s="3" t="s">
        <v>2929</v>
      </c>
      <c r="L54" s="3" t="s">
        <v>482</v>
      </c>
      <c r="M54" s="3" t="s">
        <v>2540</v>
      </c>
      <c r="N54" s="3" t="s">
        <v>1816</v>
      </c>
      <c r="O54" s="3" t="s">
        <v>2930</v>
      </c>
      <c r="P54" s="3">
        <v>15</v>
      </c>
      <c r="Q54" s="3" t="s">
        <v>2931</v>
      </c>
      <c r="R54" s="3" t="s">
        <v>2932</v>
      </c>
      <c r="S54" s="3" t="s">
        <v>482</v>
      </c>
      <c r="T54" s="3" t="s">
        <v>482</v>
      </c>
    </row>
    <row r="55" spans="1:20" ht="32" hidden="1" x14ac:dyDescent="0.2">
      <c r="A55" s="3" t="s">
        <v>2933</v>
      </c>
      <c r="B55" s="3" t="s">
        <v>2934</v>
      </c>
      <c r="C55" s="3" t="s">
        <v>2935</v>
      </c>
      <c r="D55" s="3">
        <v>15</v>
      </c>
      <c r="E55" s="3" t="s">
        <v>2514</v>
      </c>
      <c r="F55" s="3" t="s">
        <v>2936</v>
      </c>
      <c r="G55" s="6" t="s">
        <v>2937</v>
      </c>
      <c r="H55" s="3" t="s">
        <v>2938</v>
      </c>
      <c r="I55" s="3" t="s">
        <v>2529</v>
      </c>
      <c r="J55" s="3" t="s">
        <v>2939</v>
      </c>
      <c r="K55" s="3" t="s">
        <v>2519</v>
      </c>
      <c r="L55" s="3" t="s">
        <v>2940</v>
      </c>
      <c r="M55" s="3" t="s">
        <v>2540</v>
      </c>
      <c r="N55" s="3" t="s">
        <v>1931</v>
      </c>
      <c r="O55" s="3" t="s">
        <v>482</v>
      </c>
      <c r="P55" s="3">
        <v>0</v>
      </c>
      <c r="Q55" s="3" t="s">
        <v>2560</v>
      </c>
      <c r="R55" s="3" t="s">
        <v>405</v>
      </c>
      <c r="S55" s="3" t="s">
        <v>482</v>
      </c>
      <c r="T55" s="3" t="s">
        <v>482</v>
      </c>
    </row>
    <row r="56" spans="1:20" ht="48" hidden="1" x14ac:dyDescent="0.2">
      <c r="A56" s="3" t="s">
        <v>2941</v>
      </c>
      <c r="B56" s="3" t="s">
        <v>2942</v>
      </c>
      <c r="C56" s="3" t="s">
        <v>2935</v>
      </c>
      <c r="D56" s="3">
        <v>18</v>
      </c>
      <c r="E56" s="3" t="s">
        <v>2514</v>
      </c>
      <c r="F56" s="3" t="s">
        <v>2616</v>
      </c>
      <c r="G56" s="6" t="s">
        <v>2943</v>
      </c>
      <c r="H56" s="3" t="s">
        <v>2944</v>
      </c>
      <c r="I56" s="3" t="s">
        <v>2529</v>
      </c>
      <c r="J56" s="3" t="s">
        <v>2939</v>
      </c>
      <c r="K56" s="3" t="s">
        <v>2519</v>
      </c>
      <c r="L56" s="3" t="s">
        <v>2945</v>
      </c>
      <c r="M56" s="3" t="s">
        <v>2540</v>
      </c>
      <c r="N56" s="3" t="s">
        <v>1931</v>
      </c>
      <c r="O56" s="3" t="s">
        <v>482</v>
      </c>
      <c r="P56" s="3">
        <v>0</v>
      </c>
      <c r="Q56" s="3" t="s">
        <v>2560</v>
      </c>
      <c r="R56" s="3" t="s">
        <v>405</v>
      </c>
      <c r="S56" s="3" t="s">
        <v>482</v>
      </c>
      <c r="T56" s="3" t="s">
        <v>482</v>
      </c>
    </row>
    <row r="57" spans="1:20" ht="48" hidden="1" x14ac:dyDescent="0.2">
      <c r="A57" s="3" t="s">
        <v>2946</v>
      </c>
      <c r="B57" s="3" t="s">
        <v>2947</v>
      </c>
      <c r="C57" s="3" t="s">
        <v>2935</v>
      </c>
      <c r="D57" s="3">
        <v>21</v>
      </c>
      <c r="E57" s="3" t="s">
        <v>2514</v>
      </c>
      <c r="F57" s="3" t="s">
        <v>2616</v>
      </c>
      <c r="G57" s="6" t="s">
        <v>2948</v>
      </c>
      <c r="H57" s="3" t="s">
        <v>2949</v>
      </c>
      <c r="I57" s="3" t="s">
        <v>2529</v>
      </c>
      <c r="J57" s="3" t="s">
        <v>2950</v>
      </c>
      <c r="K57" s="3" t="s">
        <v>2519</v>
      </c>
      <c r="L57" s="3" t="s">
        <v>2531</v>
      </c>
      <c r="M57" s="3" t="s">
        <v>2540</v>
      </c>
      <c r="N57" s="3" t="s">
        <v>1931</v>
      </c>
      <c r="O57" s="3" t="s">
        <v>482</v>
      </c>
      <c r="P57" s="3">
        <v>0</v>
      </c>
      <c r="Q57" s="3" t="s">
        <v>2560</v>
      </c>
      <c r="R57" s="3" t="s">
        <v>405</v>
      </c>
      <c r="S57" s="3" t="s">
        <v>482</v>
      </c>
      <c r="T57" s="3" t="s">
        <v>482</v>
      </c>
    </row>
    <row r="58" spans="1:20" ht="98" hidden="1" x14ac:dyDescent="0.2">
      <c r="A58" s="3" t="s">
        <v>2951</v>
      </c>
      <c r="B58" s="3" t="s">
        <v>2952</v>
      </c>
      <c r="C58" s="3" t="s">
        <v>2935</v>
      </c>
      <c r="D58" s="3">
        <v>27</v>
      </c>
      <c r="E58" s="3" t="s">
        <v>2514</v>
      </c>
      <c r="F58" s="3" t="s">
        <v>2953</v>
      </c>
      <c r="G58" s="6" t="s">
        <v>2954</v>
      </c>
      <c r="H58" s="3" t="s">
        <v>2955</v>
      </c>
      <c r="I58" s="3" t="s">
        <v>2529</v>
      </c>
      <c r="J58" s="3" t="s">
        <v>2956</v>
      </c>
      <c r="K58" s="3" t="s">
        <v>2957</v>
      </c>
      <c r="L58" s="3" t="s">
        <v>2945</v>
      </c>
      <c r="M58" s="3" t="s">
        <v>2774</v>
      </c>
      <c r="N58" s="3" t="s">
        <v>1931</v>
      </c>
      <c r="O58" s="3" t="s">
        <v>2958</v>
      </c>
      <c r="P58" s="3">
        <v>1</v>
      </c>
      <c r="Q58" s="3" t="s">
        <v>2958</v>
      </c>
      <c r="R58" s="3" t="s">
        <v>2959</v>
      </c>
      <c r="S58" s="3" t="s">
        <v>482</v>
      </c>
      <c r="T58" s="3" t="s">
        <v>482</v>
      </c>
    </row>
    <row r="59" spans="1:20" ht="154" hidden="1" x14ac:dyDescent="0.2">
      <c r="A59" s="3" t="s">
        <v>2960</v>
      </c>
      <c r="B59" s="3" t="s">
        <v>2961</v>
      </c>
      <c r="C59" s="3" t="s">
        <v>2935</v>
      </c>
      <c r="D59" s="3">
        <v>34</v>
      </c>
      <c r="E59" s="3" t="s">
        <v>2514</v>
      </c>
      <c r="F59" s="3" t="s">
        <v>2962</v>
      </c>
      <c r="G59" s="6" t="s">
        <v>2963</v>
      </c>
      <c r="H59" s="3" t="s">
        <v>2964</v>
      </c>
      <c r="I59" s="3" t="s">
        <v>2529</v>
      </c>
      <c r="J59" s="3" t="s">
        <v>2965</v>
      </c>
      <c r="K59" s="3" t="s">
        <v>2538</v>
      </c>
      <c r="L59" s="3" t="s">
        <v>2531</v>
      </c>
      <c r="M59" s="3" t="s">
        <v>2540</v>
      </c>
      <c r="N59" s="3" t="s">
        <v>1931</v>
      </c>
      <c r="O59" s="3" t="s">
        <v>482</v>
      </c>
      <c r="P59" s="3">
        <v>0</v>
      </c>
      <c r="Q59" s="3" t="s">
        <v>2560</v>
      </c>
      <c r="R59" s="3" t="s">
        <v>405</v>
      </c>
      <c r="S59" s="3" t="s">
        <v>482</v>
      </c>
      <c r="T59" s="3" t="s">
        <v>482</v>
      </c>
    </row>
    <row r="60" spans="1:20" ht="64" hidden="1" x14ac:dyDescent="0.2">
      <c r="A60" s="3" t="s">
        <v>2966</v>
      </c>
      <c r="B60" s="3" t="s">
        <v>2967</v>
      </c>
      <c r="C60" s="3" t="s">
        <v>2935</v>
      </c>
      <c r="D60" s="3">
        <v>41</v>
      </c>
      <c r="E60" s="3" t="s">
        <v>2514</v>
      </c>
      <c r="F60" s="3" t="s">
        <v>2968</v>
      </c>
      <c r="G60" s="6" t="s">
        <v>2969</v>
      </c>
      <c r="H60" s="3" t="s">
        <v>2970</v>
      </c>
      <c r="I60" s="3" t="s">
        <v>2529</v>
      </c>
      <c r="J60" s="3" t="s">
        <v>2971</v>
      </c>
      <c r="K60" s="3" t="s">
        <v>2972</v>
      </c>
      <c r="L60" s="3" t="s">
        <v>2973</v>
      </c>
      <c r="M60" s="3" t="s">
        <v>2540</v>
      </c>
      <c r="N60" s="3" t="s">
        <v>1931</v>
      </c>
      <c r="O60" s="3" t="s">
        <v>482</v>
      </c>
      <c r="P60" s="3">
        <v>0</v>
      </c>
      <c r="Q60" s="3" t="s">
        <v>2560</v>
      </c>
      <c r="R60" s="3" t="s">
        <v>405</v>
      </c>
      <c r="S60" s="3" t="s">
        <v>482</v>
      </c>
      <c r="T60" s="3" t="s">
        <v>482</v>
      </c>
    </row>
    <row r="61" spans="1:20" ht="84" hidden="1" x14ac:dyDescent="0.2">
      <c r="A61" s="3" t="s">
        <v>2974</v>
      </c>
      <c r="B61" s="3" t="s">
        <v>2975</v>
      </c>
      <c r="C61" s="3" t="s">
        <v>2976</v>
      </c>
      <c r="D61" s="3">
        <v>24</v>
      </c>
      <c r="E61" s="3" t="s">
        <v>2635</v>
      </c>
      <c r="F61" s="3" t="s">
        <v>2977</v>
      </c>
      <c r="G61" s="6" t="s">
        <v>2978</v>
      </c>
      <c r="H61" s="3" t="s">
        <v>2979</v>
      </c>
      <c r="I61" s="3" t="s">
        <v>2529</v>
      </c>
      <c r="J61" s="3" t="s">
        <v>2518</v>
      </c>
      <c r="K61" s="3" t="s">
        <v>2519</v>
      </c>
      <c r="L61" s="3" t="s">
        <v>482</v>
      </c>
      <c r="M61" s="3" t="s">
        <v>2980</v>
      </c>
      <c r="N61" s="3" t="s">
        <v>1816</v>
      </c>
      <c r="O61" s="3" t="s">
        <v>2533</v>
      </c>
      <c r="P61" s="3">
        <v>1</v>
      </c>
      <c r="Q61" s="3" t="s">
        <v>2533</v>
      </c>
      <c r="R61" s="3" t="s">
        <v>2981</v>
      </c>
      <c r="S61" s="3" t="s">
        <v>482</v>
      </c>
      <c r="T61" s="3" t="s">
        <v>482</v>
      </c>
    </row>
    <row r="62" spans="1:20" ht="168" hidden="1" x14ac:dyDescent="0.2">
      <c r="A62" s="3" t="s">
        <v>2982</v>
      </c>
      <c r="B62" s="3" t="s">
        <v>2983</v>
      </c>
      <c r="C62" s="3" t="s">
        <v>2976</v>
      </c>
      <c r="D62" s="3">
        <v>46</v>
      </c>
      <c r="E62" s="3" t="s">
        <v>2514</v>
      </c>
      <c r="F62" s="3" t="s">
        <v>2984</v>
      </c>
      <c r="G62" s="6" t="s">
        <v>2985</v>
      </c>
      <c r="H62" s="3" t="s">
        <v>2986</v>
      </c>
      <c r="I62" s="3" t="s">
        <v>2508</v>
      </c>
      <c r="J62" s="3" t="s">
        <v>2518</v>
      </c>
      <c r="K62" s="3" t="s">
        <v>2574</v>
      </c>
      <c r="L62" s="3" t="s">
        <v>2531</v>
      </c>
      <c r="M62" s="3" t="s">
        <v>2540</v>
      </c>
      <c r="N62" s="3" t="s">
        <v>1931</v>
      </c>
      <c r="O62" s="3" t="s">
        <v>2987</v>
      </c>
      <c r="P62" s="3">
        <v>5</v>
      </c>
      <c r="Q62" s="3" t="s">
        <v>2988</v>
      </c>
      <c r="R62" s="3" t="s">
        <v>2989</v>
      </c>
      <c r="S62" s="3" t="s">
        <v>482</v>
      </c>
      <c r="T62" s="3" t="s">
        <v>2990</v>
      </c>
    </row>
    <row r="63" spans="1:20" ht="112" hidden="1" x14ac:dyDescent="0.2">
      <c r="A63" s="3" t="s">
        <v>2991</v>
      </c>
      <c r="B63" s="3" t="s">
        <v>2992</v>
      </c>
      <c r="C63" s="3" t="s">
        <v>2976</v>
      </c>
      <c r="D63" s="3">
        <v>60</v>
      </c>
      <c r="E63" s="3" t="s">
        <v>2504</v>
      </c>
      <c r="F63" s="3" t="s">
        <v>2993</v>
      </c>
      <c r="G63" s="6" t="s">
        <v>2994</v>
      </c>
      <c r="H63" s="3" t="s">
        <v>2995</v>
      </c>
      <c r="I63" s="3" t="s">
        <v>2529</v>
      </c>
      <c r="J63" s="3" t="s">
        <v>2518</v>
      </c>
      <c r="K63" s="3" t="s">
        <v>2519</v>
      </c>
      <c r="L63" s="3" t="s">
        <v>482</v>
      </c>
      <c r="M63" s="3" t="s">
        <v>2540</v>
      </c>
      <c r="N63" s="3" t="s">
        <v>1931</v>
      </c>
      <c r="O63" s="3" t="s">
        <v>2996</v>
      </c>
      <c r="P63" s="3">
        <v>6</v>
      </c>
      <c r="Q63" s="3" t="s">
        <v>2997</v>
      </c>
      <c r="R63" s="3" t="s">
        <v>2998</v>
      </c>
      <c r="S63" s="3" t="s">
        <v>482</v>
      </c>
      <c r="T63" s="3" t="s">
        <v>482</v>
      </c>
    </row>
    <row r="64" spans="1:20" ht="64" hidden="1" x14ac:dyDescent="0.2">
      <c r="A64" s="3" t="s">
        <v>2999</v>
      </c>
      <c r="B64" s="3" t="s">
        <v>3000</v>
      </c>
      <c r="C64" s="3" t="s">
        <v>2976</v>
      </c>
      <c r="D64" s="3">
        <v>68</v>
      </c>
      <c r="E64" s="3" t="s">
        <v>2504</v>
      </c>
      <c r="F64" s="3" t="s">
        <v>3001</v>
      </c>
      <c r="G64" s="6" t="s">
        <v>3002</v>
      </c>
      <c r="H64" s="3" t="s">
        <v>3003</v>
      </c>
      <c r="I64" s="3" t="s">
        <v>2529</v>
      </c>
      <c r="J64" s="3" t="s">
        <v>3004</v>
      </c>
      <c r="K64" s="3" t="s">
        <v>2519</v>
      </c>
      <c r="L64" s="3" t="s">
        <v>482</v>
      </c>
      <c r="M64" s="3" t="s">
        <v>2540</v>
      </c>
      <c r="N64" s="3" t="s">
        <v>1931</v>
      </c>
      <c r="O64" s="3" t="s">
        <v>2533</v>
      </c>
      <c r="P64" s="3">
        <v>1</v>
      </c>
      <c r="Q64" s="3" t="s">
        <v>2533</v>
      </c>
      <c r="R64" s="3" t="s">
        <v>3005</v>
      </c>
      <c r="S64" s="3" t="s">
        <v>482</v>
      </c>
      <c r="T64" s="3" t="s">
        <v>3006</v>
      </c>
    </row>
    <row r="65" spans="1:20" ht="56" hidden="1" x14ac:dyDescent="0.2">
      <c r="A65" s="3" t="s">
        <v>3007</v>
      </c>
      <c r="B65" s="3" t="s">
        <v>3008</v>
      </c>
      <c r="C65" s="3" t="s">
        <v>2976</v>
      </c>
      <c r="D65" s="3">
        <v>74</v>
      </c>
      <c r="E65" s="3" t="s">
        <v>2504</v>
      </c>
      <c r="F65" s="3" t="s">
        <v>3009</v>
      </c>
      <c r="G65" s="6" t="s">
        <v>3010</v>
      </c>
      <c r="H65" s="3" t="s">
        <v>3011</v>
      </c>
      <c r="I65" s="3" t="s">
        <v>2508</v>
      </c>
      <c r="J65" s="3" t="s">
        <v>3012</v>
      </c>
      <c r="K65" s="3" t="s">
        <v>2519</v>
      </c>
      <c r="L65" s="3" t="s">
        <v>482</v>
      </c>
      <c r="M65" s="3" t="s">
        <v>3013</v>
      </c>
      <c r="N65" s="3" t="s">
        <v>1931</v>
      </c>
      <c r="O65" s="3" t="s">
        <v>482</v>
      </c>
      <c r="P65" s="3">
        <v>0</v>
      </c>
      <c r="Q65" s="3" t="s">
        <v>2560</v>
      </c>
      <c r="R65" s="3" t="s">
        <v>405</v>
      </c>
      <c r="S65" s="3" t="s">
        <v>482</v>
      </c>
      <c r="T65" s="3" t="s">
        <v>3014</v>
      </c>
    </row>
    <row r="66" spans="1:20" ht="112" hidden="1" x14ac:dyDescent="0.2">
      <c r="A66" s="3" t="s">
        <v>3015</v>
      </c>
      <c r="B66" s="3" t="s">
        <v>3016</v>
      </c>
      <c r="C66" s="3" t="s">
        <v>2976</v>
      </c>
      <c r="D66" s="3">
        <v>80</v>
      </c>
      <c r="E66" s="3" t="s">
        <v>2514</v>
      </c>
      <c r="F66" s="3" t="s">
        <v>3017</v>
      </c>
      <c r="G66" s="6" t="s">
        <v>3018</v>
      </c>
      <c r="H66" s="3" t="s">
        <v>3019</v>
      </c>
      <c r="I66" s="3" t="s">
        <v>2508</v>
      </c>
      <c r="J66" s="3" t="s">
        <v>2518</v>
      </c>
      <c r="K66" s="3" t="s">
        <v>2538</v>
      </c>
      <c r="L66" s="3" t="s">
        <v>3020</v>
      </c>
      <c r="M66" s="3" t="s">
        <v>2540</v>
      </c>
      <c r="N66" s="3" t="s">
        <v>1931</v>
      </c>
      <c r="O66" s="3" t="s">
        <v>3021</v>
      </c>
      <c r="P66" s="3">
        <v>3</v>
      </c>
      <c r="Q66" s="3" t="s">
        <v>3022</v>
      </c>
      <c r="R66" s="3" t="s">
        <v>3023</v>
      </c>
      <c r="S66" s="3" t="s">
        <v>482</v>
      </c>
      <c r="T66" s="3" t="s">
        <v>482</v>
      </c>
    </row>
    <row r="67" spans="1:20" ht="168" hidden="1" x14ac:dyDescent="0.2">
      <c r="A67" s="3" t="s">
        <v>3024</v>
      </c>
      <c r="B67" s="3" t="s">
        <v>3025</v>
      </c>
      <c r="C67" s="3" t="s">
        <v>2976</v>
      </c>
      <c r="D67" s="3">
        <v>96</v>
      </c>
      <c r="E67" s="3" t="s">
        <v>2504</v>
      </c>
      <c r="F67" s="3" t="s">
        <v>3026</v>
      </c>
      <c r="G67" s="6" t="s">
        <v>3027</v>
      </c>
      <c r="H67" s="3" t="s">
        <v>3028</v>
      </c>
      <c r="I67" s="3" t="s">
        <v>2508</v>
      </c>
      <c r="J67" s="3" t="s">
        <v>2518</v>
      </c>
      <c r="K67" s="3" t="s">
        <v>3029</v>
      </c>
      <c r="L67" s="3" t="s">
        <v>482</v>
      </c>
      <c r="M67" s="3" t="s">
        <v>3030</v>
      </c>
      <c r="N67" s="3" t="s">
        <v>1931</v>
      </c>
      <c r="O67" s="3" t="s">
        <v>3031</v>
      </c>
      <c r="P67" s="3">
        <v>2</v>
      </c>
      <c r="Q67" s="3" t="s">
        <v>3032</v>
      </c>
      <c r="R67" s="3" t="s">
        <v>3033</v>
      </c>
      <c r="S67" s="3" t="s">
        <v>482</v>
      </c>
      <c r="T67" s="3" t="s">
        <v>482</v>
      </c>
    </row>
    <row r="68" spans="1:20" ht="154" hidden="1" x14ac:dyDescent="0.2">
      <c r="A68" s="3" t="s">
        <v>3034</v>
      </c>
      <c r="B68" s="3" t="s">
        <v>3035</v>
      </c>
      <c r="C68" s="3" t="s">
        <v>2976</v>
      </c>
      <c r="D68" s="3">
        <v>114</v>
      </c>
      <c r="E68" s="3" t="s">
        <v>2514</v>
      </c>
      <c r="F68" s="3" t="s">
        <v>3036</v>
      </c>
      <c r="G68" s="6" t="s">
        <v>3037</v>
      </c>
      <c r="H68" s="3" t="s">
        <v>3038</v>
      </c>
      <c r="I68" s="3" t="s">
        <v>2508</v>
      </c>
      <c r="J68" s="3" t="s">
        <v>2518</v>
      </c>
      <c r="K68" s="3" t="s">
        <v>2519</v>
      </c>
      <c r="L68" s="3" t="s">
        <v>2531</v>
      </c>
      <c r="M68" s="3" t="s">
        <v>2813</v>
      </c>
      <c r="N68" s="3" t="s">
        <v>1931</v>
      </c>
      <c r="O68" s="3" t="s">
        <v>3022</v>
      </c>
      <c r="P68" s="3">
        <v>3</v>
      </c>
      <c r="Q68" s="3" t="s">
        <v>3022</v>
      </c>
      <c r="R68" s="3" t="s">
        <v>3039</v>
      </c>
      <c r="S68" s="3" t="s">
        <v>482</v>
      </c>
      <c r="T68" s="3" t="s">
        <v>2452</v>
      </c>
    </row>
    <row r="69" spans="1:20" ht="98" hidden="1" x14ac:dyDescent="0.2">
      <c r="A69" s="3" t="s">
        <v>3040</v>
      </c>
      <c r="B69" s="3" t="s">
        <v>3041</v>
      </c>
      <c r="C69" s="3" t="s">
        <v>2976</v>
      </c>
      <c r="D69" s="3">
        <v>129</v>
      </c>
      <c r="E69" s="3" t="s">
        <v>2504</v>
      </c>
      <c r="F69" s="3" t="s">
        <v>3042</v>
      </c>
      <c r="G69" s="6" t="s">
        <v>3043</v>
      </c>
      <c r="H69" s="3" t="s">
        <v>3044</v>
      </c>
      <c r="I69" s="3" t="s">
        <v>2508</v>
      </c>
      <c r="J69" s="3" t="s">
        <v>2518</v>
      </c>
      <c r="K69" s="3" t="s">
        <v>2538</v>
      </c>
      <c r="L69" s="3" t="s">
        <v>482</v>
      </c>
      <c r="M69" s="3" t="s">
        <v>2813</v>
      </c>
      <c r="N69" s="3" t="s">
        <v>1931</v>
      </c>
      <c r="O69" s="3" t="s">
        <v>2533</v>
      </c>
      <c r="P69" s="3">
        <v>1</v>
      </c>
      <c r="Q69" s="3" t="s">
        <v>2533</v>
      </c>
      <c r="R69" s="3" t="s">
        <v>3045</v>
      </c>
      <c r="S69" s="3" t="s">
        <v>482</v>
      </c>
      <c r="T69" s="3" t="s">
        <v>2472</v>
      </c>
    </row>
    <row r="70" spans="1:20" ht="32" hidden="1" x14ac:dyDescent="0.2">
      <c r="A70" s="3" t="s">
        <v>1254</v>
      </c>
      <c r="B70" s="3" t="s">
        <v>1253</v>
      </c>
      <c r="C70" s="3" t="s">
        <v>2976</v>
      </c>
      <c r="D70" s="3">
        <v>142</v>
      </c>
      <c r="E70" s="3" t="s">
        <v>2514</v>
      </c>
      <c r="F70" s="3" t="s">
        <v>3046</v>
      </c>
      <c r="G70" s="6" t="s">
        <v>3047</v>
      </c>
      <c r="H70" s="3" t="s">
        <v>3048</v>
      </c>
      <c r="I70" s="3" t="s">
        <v>2529</v>
      </c>
      <c r="J70" s="3" t="s">
        <v>2518</v>
      </c>
      <c r="K70" s="3" t="s">
        <v>2519</v>
      </c>
      <c r="L70" s="3" t="s">
        <v>3049</v>
      </c>
      <c r="M70" s="3" t="s">
        <v>3050</v>
      </c>
      <c r="N70" s="3" t="s">
        <v>1931</v>
      </c>
      <c r="O70" s="3" t="s">
        <v>3051</v>
      </c>
      <c r="P70" s="3">
        <v>2</v>
      </c>
      <c r="Q70" s="3" t="s">
        <v>3052</v>
      </c>
      <c r="R70" s="3" t="s">
        <v>1259</v>
      </c>
      <c r="S70" s="3" t="s">
        <v>1250</v>
      </c>
      <c r="T70" s="3" t="s">
        <v>2460</v>
      </c>
    </row>
    <row r="71" spans="1:20" ht="70" hidden="1" x14ac:dyDescent="0.2">
      <c r="A71" s="3" t="s">
        <v>3053</v>
      </c>
      <c r="B71" s="3" t="s">
        <v>3054</v>
      </c>
      <c r="C71" s="3" t="s">
        <v>2976</v>
      </c>
      <c r="D71" s="3">
        <v>148</v>
      </c>
      <c r="E71" s="3" t="s">
        <v>2504</v>
      </c>
      <c r="F71" s="3" t="s">
        <v>3055</v>
      </c>
      <c r="G71" s="6" t="s">
        <v>3056</v>
      </c>
      <c r="H71" s="3" t="s">
        <v>3057</v>
      </c>
      <c r="I71" s="3" t="s">
        <v>2508</v>
      </c>
      <c r="J71" s="3" t="s">
        <v>2518</v>
      </c>
      <c r="K71" s="3" t="s">
        <v>2574</v>
      </c>
      <c r="L71" s="3" t="s">
        <v>482</v>
      </c>
      <c r="M71" s="3" t="s">
        <v>2813</v>
      </c>
      <c r="N71" s="3" t="s">
        <v>1931</v>
      </c>
      <c r="O71" s="3" t="s">
        <v>482</v>
      </c>
      <c r="P71" s="3">
        <v>0</v>
      </c>
      <c r="Q71" s="3" t="s">
        <v>2560</v>
      </c>
      <c r="R71" s="3" t="s">
        <v>405</v>
      </c>
      <c r="S71" s="3" t="s">
        <v>482</v>
      </c>
      <c r="T71" s="3" t="s">
        <v>482</v>
      </c>
    </row>
    <row r="72" spans="1:20" ht="32" hidden="1" x14ac:dyDescent="0.2">
      <c r="A72" s="3" t="s">
        <v>3058</v>
      </c>
      <c r="B72" s="3" t="s">
        <v>3059</v>
      </c>
      <c r="C72" s="3" t="s">
        <v>2976</v>
      </c>
      <c r="D72" s="3">
        <v>154</v>
      </c>
      <c r="E72" s="3" t="s">
        <v>2514</v>
      </c>
      <c r="F72" s="3" t="s">
        <v>3060</v>
      </c>
      <c r="G72" s="6" t="s">
        <v>3061</v>
      </c>
      <c r="H72" s="3" t="s">
        <v>3062</v>
      </c>
      <c r="I72" s="3" t="s">
        <v>2529</v>
      </c>
      <c r="J72" s="3" t="s">
        <v>2518</v>
      </c>
      <c r="K72" s="3" t="s">
        <v>2519</v>
      </c>
      <c r="L72" s="3" t="s">
        <v>2531</v>
      </c>
      <c r="M72" s="3" t="s">
        <v>2540</v>
      </c>
      <c r="N72" s="3" t="s">
        <v>1931</v>
      </c>
      <c r="O72" s="3" t="s">
        <v>3063</v>
      </c>
      <c r="P72" s="3">
        <v>2</v>
      </c>
      <c r="Q72" s="3" t="s">
        <v>3063</v>
      </c>
      <c r="R72" s="3" t="s">
        <v>3064</v>
      </c>
      <c r="S72" s="3" t="s">
        <v>482</v>
      </c>
      <c r="T72" s="3" t="s">
        <v>482</v>
      </c>
    </row>
    <row r="73" spans="1:20" ht="280" hidden="1" x14ac:dyDescent="0.2">
      <c r="A73" s="3" t="s">
        <v>3065</v>
      </c>
      <c r="B73" s="3" t="s">
        <v>3066</v>
      </c>
      <c r="C73" s="3" t="s">
        <v>2976</v>
      </c>
      <c r="D73" s="3">
        <v>161</v>
      </c>
      <c r="E73" s="3" t="s">
        <v>2514</v>
      </c>
      <c r="F73" s="3" t="s">
        <v>3067</v>
      </c>
      <c r="G73" s="6" t="s">
        <v>3068</v>
      </c>
      <c r="H73" s="3" t="s">
        <v>3069</v>
      </c>
      <c r="I73" s="3" t="s">
        <v>2508</v>
      </c>
      <c r="J73" s="3" t="s">
        <v>2518</v>
      </c>
      <c r="K73" s="3" t="s">
        <v>2538</v>
      </c>
      <c r="L73" s="3" t="s">
        <v>2531</v>
      </c>
      <c r="M73" s="3" t="s">
        <v>2521</v>
      </c>
      <c r="N73" s="3" t="s">
        <v>1931</v>
      </c>
      <c r="O73" s="3" t="s">
        <v>3070</v>
      </c>
      <c r="P73" s="3">
        <v>4</v>
      </c>
      <c r="Q73" s="3" t="s">
        <v>3071</v>
      </c>
      <c r="R73" s="3" t="s">
        <v>3072</v>
      </c>
      <c r="S73" s="3" t="s">
        <v>482</v>
      </c>
      <c r="T73" s="3" t="s">
        <v>2456</v>
      </c>
    </row>
    <row r="74" spans="1:20" ht="56" hidden="1" x14ac:dyDescent="0.2">
      <c r="A74" s="3" t="s">
        <v>1098</v>
      </c>
      <c r="B74" s="3" t="s">
        <v>1097</v>
      </c>
      <c r="C74" s="3" t="s">
        <v>2976</v>
      </c>
      <c r="D74" s="3">
        <v>191</v>
      </c>
      <c r="E74" s="3" t="s">
        <v>2514</v>
      </c>
      <c r="F74" s="3" t="s">
        <v>3073</v>
      </c>
      <c r="G74" s="6" t="s">
        <v>3074</v>
      </c>
      <c r="H74" s="3" t="s">
        <v>3075</v>
      </c>
      <c r="I74" s="3" t="s">
        <v>2508</v>
      </c>
      <c r="J74" s="3" t="s">
        <v>2518</v>
      </c>
      <c r="K74" s="3" t="s">
        <v>2519</v>
      </c>
      <c r="L74" s="3" t="s">
        <v>2531</v>
      </c>
      <c r="M74" s="3" t="s">
        <v>2540</v>
      </c>
      <c r="N74" s="3" t="s">
        <v>1931</v>
      </c>
      <c r="O74" s="3" t="s">
        <v>3076</v>
      </c>
      <c r="P74" s="3">
        <v>2</v>
      </c>
      <c r="Q74" s="3" t="s">
        <v>3077</v>
      </c>
      <c r="R74" s="3" t="s">
        <v>1103</v>
      </c>
      <c r="S74" s="3" t="s">
        <v>2244</v>
      </c>
      <c r="T74" s="3" t="s">
        <v>1660</v>
      </c>
    </row>
    <row r="75" spans="1:20" ht="32" hidden="1" x14ac:dyDescent="0.2">
      <c r="A75" s="3" t="s">
        <v>3078</v>
      </c>
      <c r="B75" s="3" t="s">
        <v>3079</v>
      </c>
      <c r="C75" s="3" t="s">
        <v>2976</v>
      </c>
      <c r="D75" s="3">
        <v>198</v>
      </c>
      <c r="E75" s="3" t="s">
        <v>2504</v>
      </c>
      <c r="F75" s="3" t="s">
        <v>3080</v>
      </c>
      <c r="G75" s="6" t="s">
        <v>3081</v>
      </c>
      <c r="H75" s="3" t="s">
        <v>3082</v>
      </c>
      <c r="I75" s="3" t="s">
        <v>2508</v>
      </c>
      <c r="J75" s="3" t="s">
        <v>2518</v>
      </c>
      <c r="K75" s="3" t="s">
        <v>2519</v>
      </c>
      <c r="L75" s="3" t="s">
        <v>482</v>
      </c>
      <c r="M75" s="3" t="s">
        <v>2540</v>
      </c>
      <c r="N75" s="3" t="s">
        <v>1931</v>
      </c>
      <c r="O75" s="3" t="s">
        <v>2533</v>
      </c>
      <c r="P75" s="3">
        <v>1</v>
      </c>
      <c r="Q75" s="3" t="s">
        <v>2533</v>
      </c>
      <c r="R75" s="3" t="s">
        <v>3083</v>
      </c>
      <c r="S75" s="3" t="s">
        <v>482</v>
      </c>
      <c r="T75" s="3" t="s">
        <v>482</v>
      </c>
    </row>
    <row r="76" spans="1:20" ht="128" hidden="1" x14ac:dyDescent="0.2">
      <c r="A76" s="3" t="s">
        <v>3084</v>
      </c>
      <c r="B76" s="3" t="s">
        <v>3085</v>
      </c>
      <c r="C76" s="3" t="s">
        <v>2976</v>
      </c>
      <c r="D76" s="3">
        <v>204</v>
      </c>
      <c r="E76" s="3" t="s">
        <v>2504</v>
      </c>
      <c r="F76" s="3" t="s">
        <v>3086</v>
      </c>
      <c r="G76" s="6" t="s">
        <v>3087</v>
      </c>
      <c r="H76" s="3" t="s">
        <v>3088</v>
      </c>
      <c r="I76" s="3" t="s">
        <v>2508</v>
      </c>
      <c r="J76" s="3" t="s">
        <v>3089</v>
      </c>
      <c r="K76" s="3" t="s">
        <v>2519</v>
      </c>
      <c r="L76" s="3" t="s">
        <v>482</v>
      </c>
      <c r="M76" s="3" t="s">
        <v>3013</v>
      </c>
      <c r="N76" s="3" t="s">
        <v>1931</v>
      </c>
      <c r="O76" s="3" t="s">
        <v>3090</v>
      </c>
      <c r="P76" s="3">
        <v>7</v>
      </c>
      <c r="Q76" s="3" t="s">
        <v>3091</v>
      </c>
      <c r="R76" s="3" t="s">
        <v>3092</v>
      </c>
      <c r="S76" s="3" t="s">
        <v>482</v>
      </c>
      <c r="T76" s="3" t="s">
        <v>2468</v>
      </c>
    </row>
    <row r="77" spans="1:20" ht="32" hidden="1" x14ac:dyDescent="0.2">
      <c r="A77" s="3" t="s">
        <v>1339</v>
      </c>
      <c r="B77" s="3" t="s">
        <v>1338</v>
      </c>
      <c r="C77" s="3" t="s">
        <v>2976</v>
      </c>
      <c r="D77" s="3">
        <v>213</v>
      </c>
      <c r="E77" s="3" t="s">
        <v>2514</v>
      </c>
      <c r="F77" s="3" t="s">
        <v>3093</v>
      </c>
      <c r="G77" s="6" t="s">
        <v>3094</v>
      </c>
      <c r="H77" s="3" t="s">
        <v>3095</v>
      </c>
      <c r="I77" s="3" t="s">
        <v>2529</v>
      </c>
      <c r="J77" s="3" t="s">
        <v>2518</v>
      </c>
      <c r="K77" s="3" t="s">
        <v>2519</v>
      </c>
      <c r="L77" s="3" t="s">
        <v>2531</v>
      </c>
      <c r="M77" s="3" t="s">
        <v>2540</v>
      </c>
      <c r="N77" s="3" t="s">
        <v>1931</v>
      </c>
      <c r="O77" s="3" t="s">
        <v>2533</v>
      </c>
      <c r="P77" s="3">
        <v>1</v>
      </c>
      <c r="Q77" s="3" t="s">
        <v>2533</v>
      </c>
      <c r="R77" s="3" t="s">
        <v>1343</v>
      </c>
      <c r="S77" s="3" t="s">
        <v>1335</v>
      </c>
      <c r="T77" s="3" t="s">
        <v>1733</v>
      </c>
    </row>
    <row r="78" spans="1:20" ht="98" hidden="1" x14ac:dyDescent="0.2">
      <c r="A78" s="3" t="s">
        <v>3096</v>
      </c>
      <c r="B78" s="3" t="s">
        <v>3097</v>
      </c>
      <c r="C78" s="3" t="s">
        <v>2976</v>
      </c>
      <c r="D78" s="3">
        <v>227</v>
      </c>
      <c r="E78" s="3" t="s">
        <v>2514</v>
      </c>
      <c r="F78" s="3" t="s">
        <v>2407</v>
      </c>
      <c r="G78" s="6" t="s">
        <v>3098</v>
      </c>
      <c r="H78" s="3" t="s">
        <v>3099</v>
      </c>
      <c r="I78" s="3" t="s">
        <v>2508</v>
      </c>
      <c r="J78" s="3" t="s">
        <v>2518</v>
      </c>
      <c r="K78" s="3" t="s">
        <v>3100</v>
      </c>
      <c r="L78" s="3" t="s">
        <v>2531</v>
      </c>
      <c r="M78" s="3" t="s">
        <v>2813</v>
      </c>
      <c r="N78" s="3" t="s">
        <v>1931</v>
      </c>
      <c r="O78" s="3" t="s">
        <v>2533</v>
      </c>
      <c r="P78" s="3">
        <v>1</v>
      </c>
      <c r="Q78" s="3" t="s">
        <v>2533</v>
      </c>
      <c r="R78" s="3" t="s">
        <v>3101</v>
      </c>
      <c r="S78" s="3" t="s">
        <v>482</v>
      </c>
      <c r="T78" s="3" t="s">
        <v>2405</v>
      </c>
    </row>
    <row r="79" spans="1:20" ht="154" hidden="1" x14ac:dyDescent="0.2">
      <c r="A79" s="3" t="s">
        <v>3102</v>
      </c>
      <c r="B79" s="3" t="s">
        <v>3103</v>
      </c>
      <c r="C79" s="3" t="s">
        <v>2976</v>
      </c>
      <c r="D79" s="3">
        <v>242</v>
      </c>
      <c r="E79" s="3" t="s">
        <v>2504</v>
      </c>
      <c r="F79" s="3" t="s">
        <v>3104</v>
      </c>
      <c r="G79" s="6" t="s">
        <v>3105</v>
      </c>
      <c r="H79" s="3" t="s">
        <v>3106</v>
      </c>
      <c r="I79" s="3" t="s">
        <v>2508</v>
      </c>
      <c r="J79" s="3" t="s">
        <v>2518</v>
      </c>
      <c r="K79" s="3" t="s">
        <v>2574</v>
      </c>
      <c r="L79" s="3" t="s">
        <v>482</v>
      </c>
      <c r="M79" s="3" t="s">
        <v>3107</v>
      </c>
      <c r="N79" s="3" t="s">
        <v>1931</v>
      </c>
      <c r="O79" s="3" t="s">
        <v>2533</v>
      </c>
      <c r="P79" s="3">
        <v>1</v>
      </c>
      <c r="Q79" s="3" t="s">
        <v>2533</v>
      </c>
      <c r="R79" s="3" t="s">
        <v>3108</v>
      </c>
      <c r="S79" s="3" t="s">
        <v>482</v>
      </c>
      <c r="T79" s="3" t="s">
        <v>482</v>
      </c>
    </row>
    <row r="80" spans="1:20" ht="98" hidden="1" x14ac:dyDescent="0.2">
      <c r="A80" s="3" t="s">
        <v>1436</v>
      </c>
      <c r="B80" s="3" t="s">
        <v>1435</v>
      </c>
      <c r="C80" s="3" t="s">
        <v>2976</v>
      </c>
      <c r="D80" s="3">
        <v>263</v>
      </c>
      <c r="E80" s="3" t="s">
        <v>2514</v>
      </c>
      <c r="F80" s="3" t="s">
        <v>3109</v>
      </c>
      <c r="G80" s="6" t="s">
        <v>3110</v>
      </c>
      <c r="H80" s="3" t="s">
        <v>3111</v>
      </c>
      <c r="I80" s="3" t="s">
        <v>2508</v>
      </c>
      <c r="J80" s="3" t="s">
        <v>2518</v>
      </c>
      <c r="K80" s="3" t="s">
        <v>2519</v>
      </c>
      <c r="L80" s="3" t="s">
        <v>2531</v>
      </c>
      <c r="M80" s="3" t="s">
        <v>2540</v>
      </c>
      <c r="N80" s="3" t="s">
        <v>1931</v>
      </c>
      <c r="O80" s="3" t="s">
        <v>2533</v>
      </c>
      <c r="P80" s="3">
        <v>1</v>
      </c>
      <c r="Q80" s="3" t="s">
        <v>2533</v>
      </c>
      <c r="R80" s="3" t="s">
        <v>1440</v>
      </c>
      <c r="S80" s="3" t="s">
        <v>1432</v>
      </c>
      <c r="T80" s="3" t="s">
        <v>1777</v>
      </c>
    </row>
    <row r="81" spans="1:20" ht="320" hidden="1" x14ac:dyDescent="0.2">
      <c r="A81" s="3" t="s">
        <v>3112</v>
      </c>
      <c r="B81" s="3" t="s">
        <v>3113</v>
      </c>
      <c r="C81" s="3" t="s">
        <v>2976</v>
      </c>
      <c r="D81" s="3">
        <v>269</v>
      </c>
      <c r="E81" s="3" t="s">
        <v>2514</v>
      </c>
      <c r="F81" s="3" t="s">
        <v>2616</v>
      </c>
      <c r="G81" s="6" t="s">
        <v>3114</v>
      </c>
      <c r="H81" s="3" t="s">
        <v>3115</v>
      </c>
      <c r="I81" s="3" t="s">
        <v>2529</v>
      </c>
      <c r="J81" s="3" t="s">
        <v>2619</v>
      </c>
      <c r="K81" s="3" t="s">
        <v>3116</v>
      </c>
      <c r="L81" s="3" t="s">
        <v>2531</v>
      </c>
      <c r="M81" s="3" t="s">
        <v>3117</v>
      </c>
      <c r="N81" s="3" t="s">
        <v>1931</v>
      </c>
      <c r="O81" s="3" t="s">
        <v>3118</v>
      </c>
      <c r="P81" s="3">
        <v>20</v>
      </c>
      <c r="Q81" s="3" t="s">
        <v>3119</v>
      </c>
      <c r="R81" s="3" t="s">
        <v>3120</v>
      </c>
      <c r="S81" s="3" t="s">
        <v>482</v>
      </c>
      <c r="T81" s="3" t="s">
        <v>482</v>
      </c>
    </row>
    <row r="82" spans="1:20" ht="96" hidden="1" x14ac:dyDescent="0.2">
      <c r="A82" s="3" t="s">
        <v>3121</v>
      </c>
      <c r="B82" s="3" t="s">
        <v>3122</v>
      </c>
      <c r="C82" s="3" t="s">
        <v>2976</v>
      </c>
      <c r="D82" s="3">
        <v>323</v>
      </c>
      <c r="E82" s="3" t="s">
        <v>2635</v>
      </c>
      <c r="F82" s="3" t="s">
        <v>3123</v>
      </c>
      <c r="G82" s="6" t="s">
        <v>3124</v>
      </c>
      <c r="H82" s="3" t="s">
        <v>3125</v>
      </c>
      <c r="I82" s="3" t="s">
        <v>2529</v>
      </c>
      <c r="J82" s="3" t="s">
        <v>3126</v>
      </c>
      <c r="K82" s="3" t="s">
        <v>2972</v>
      </c>
      <c r="L82" s="3" t="s">
        <v>482</v>
      </c>
      <c r="M82" s="3" t="s">
        <v>3013</v>
      </c>
      <c r="N82" s="3" t="s">
        <v>1816</v>
      </c>
      <c r="O82" s="3" t="s">
        <v>2996</v>
      </c>
      <c r="P82" s="3">
        <v>6</v>
      </c>
      <c r="Q82" s="3" t="s">
        <v>2997</v>
      </c>
      <c r="R82" s="3" t="s">
        <v>3127</v>
      </c>
      <c r="S82" s="3" t="s">
        <v>482</v>
      </c>
      <c r="T82" s="3" t="s">
        <v>482</v>
      </c>
    </row>
    <row r="83" spans="1:20" ht="112" hidden="1" x14ac:dyDescent="0.2">
      <c r="A83" s="3" t="s">
        <v>3128</v>
      </c>
      <c r="B83" s="3" t="s">
        <v>3129</v>
      </c>
      <c r="C83" s="3" t="s">
        <v>2976</v>
      </c>
      <c r="D83" s="3">
        <v>327</v>
      </c>
      <c r="E83" s="3" t="s">
        <v>2514</v>
      </c>
      <c r="F83" s="3" t="s">
        <v>3130</v>
      </c>
      <c r="G83" s="6" t="s">
        <v>3131</v>
      </c>
      <c r="H83" s="3" t="s">
        <v>3132</v>
      </c>
      <c r="I83" s="3" t="s">
        <v>2529</v>
      </c>
      <c r="J83" s="3" t="s">
        <v>3133</v>
      </c>
      <c r="K83" s="3" t="s">
        <v>2519</v>
      </c>
      <c r="L83" s="3" t="s">
        <v>2531</v>
      </c>
      <c r="M83" s="3" t="s">
        <v>2630</v>
      </c>
      <c r="N83" s="3" t="s">
        <v>1931</v>
      </c>
      <c r="O83" s="3" t="s">
        <v>2996</v>
      </c>
      <c r="P83" s="3">
        <v>6</v>
      </c>
      <c r="Q83" s="3" t="s">
        <v>2997</v>
      </c>
      <c r="R83" s="3" t="s">
        <v>3134</v>
      </c>
      <c r="S83" s="3" t="s">
        <v>482</v>
      </c>
      <c r="T83" s="3" t="s">
        <v>3135</v>
      </c>
    </row>
    <row r="84" spans="1:20" ht="96" hidden="1" x14ac:dyDescent="0.2">
      <c r="A84" s="3" t="s">
        <v>3136</v>
      </c>
      <c r="B84" s="3" t="s">
        <v>3137</v>
      </c>
      <c r="C84" s="3" t="s">
        <v>2976</v>
      </c>
      <c r="D84" s="3">
        <v>331</v>
      </c>
      <c r="E84" s="3" t="s">
        <v>2514</v>
      </c>
      <c r="F84" s="3" t="s">
        <v>3138</v>
      </c>
      <c r="G84" s="6" t="s">
        <v>3139</v>
      </c>
      <c r="H84" s="3" t="s">
        <v>3140</v>
      </c>
      <c r="I84" s="3" t="s">
        <v>2529</v>
      </c>
      <c r="J84" s="3" t="s">
        <v>3133</v>
      </c>
      <c r="K84" s="3" t="s">
        <v>2519</v>
      </c>
      <c r="L84" s="3" t="s">
        <v>2531</v>
      </c>
      <c r="M84" s="3" t="s">
        <v>3013</v>
      </c>
      <c r="N84" s="3" t="s">
        <v>1931</v>
      </c>
      <c r="O84" s="3" t="s">
        <v>2996</v>
      </c>
      <c r="P84" s="3">
        <v>6</v>
      </c>
      <c r="Q84" s="3" t="s">
        <v>2997</v>
      </c>
      <c r="R84" s="3" t="s">
        <v>3141</v>
      </c>
      <c r="S84" s="3" t="s">
        <v>482</v>
      </c>
      <c r="T84" s="3" t="s">
        <v>2464</v>
      </c>
    </row>
    <row r="85" spans="1:20" ht="304" hidden="1" x14ac:dyDescent="0.2">
      <c r="A85" s="3" t="s">
        <v>1231</v>
      </c>
      <c r="B85" s="3" t="s">
        <v>1230</v>
      </c>
      <c r="C85" s="3" t="s">
        <v>2976</v>
      </c>
      <c r="D85" s="3">
        <v>337</v>
      </c>
      <c r="E85" s="3" t="s">
        <v>2514</v>
      </c>
      <c r="F85" s="3" t="s">
        <v>3142</v>
      </c>
      <c r="G85" s="6" t="s">
        <v>3143</v>
      </c>
      <c r="H85" s="3" t="s">
        <v>3144</v>
      </c>
      <c r="I85" s="3" t="s">
        <v>2529</v>
      </c>
      <c r="J85" s="3" t="s">
        <v>3089</v>
      </c>
      <c r="K85" s="3" t="s">
        <v>2519</v>
      </c>
      <c r="L85" s="3" t="s">
        <v>3145</v>
      </c>
      <c r="M85" s="3" t="s">
        <v>3146</v>
      </c>
      <c r="N85" s="3" t="s">
        <v>1931</v>
      </c>
      <c r="O85" s="3" t="s">
        <v>3147</v>
      </c>
      <c r="P85" s="3">
        <v>19</v>
      </c>
      <c r="Q85" s="3" t="s">
        <v>3148</v>
      </c>
      <c r="R85" s="3" t="s">
        <v>1236</v>
      </c>
      <c r="S85" s="3" t="s">
        <v>2437</v>
      </c>
      <c r="T85" s="3" t="s">
        <v>1665</v>
      </c>
    </row>
    <row r="86" spans="1:20" ht="304" hidden="1" x14ac:dyDescent="0.2">
      <c r="A86" s="3" t="s">
        <v>3149</v>
      </c>
      <c r="B86" s="3" t="s">
        <v>3150</v>
      </c>
      <c r="C86" s="3" t="s">
        <v>2976</v>
      </c>
      <c r="D86" s="3">
        <v>345</v>
      </c>
      <c r="E86" s="3" t="s">
        <v>2514</v>
      </c>
      <c r="F86" s="3" t="s">
        <v>3151</v>
      </c>
      <c r="G86" s="6" t="s">
        <v>3143</v>
      </c>
      <c r="H86" s="3" t="s">
        <v>3144</v>
      </c>
      <c r="I86" s="3" t="s">
        <v>2529</v>
      </c>
      <c r="J86" s="3" t="s">
        <v>3089</v>
      </c>
      <c r="K86" s="3" t="s">
        <v>2519</v>
      </c>
      <c r="L86" s="3" t="s">
        <v>3152</v>
      </c>
      <c r="M86" s="3" t="s">
        <v>3146</v>
      </c>
      <c r="N86" s="3" t="s">
        <v>1931</v>
      </c>
      <c r="O86" s="3" t="s">
        <v>3147</v>
      </c>
      <c r="P86" s="3">
        <v>19</v>
      </c>
      <c r="Q86" s="3" t="s">
        <v>3148</v>
      </c>
      <c r="R86" s="3" t="s">
        <v>3153</v>
      </c>
      <c r="S86" s="3" t="s">
        <v>482</v>
      </c>
      <c r="T86" s="3" t="s">
        <v>482</v>
      </c>
    </row>
    <row r="87" spans="1:20" ht="56" hidden="1" x14ac:dyDescent="0.2">
      <c r="A87" s="3" t="s">
        <v>3154</v>
      </c>
      <c r="B87" s="3" t="s">
        <v>3155</v>
      </c>
      <c r="C87" s="3" t="s">
        <v>2976</v>
      </c>
      <c r="D87" s="3">
        <v>354</v>
      </c>
      <c r="E87" s="3" t="s">
        <v>2514</v>
      </c>
      <c r="F87" s="3" t="s">
        <v>3156</v>
      </c>
      <c r="G87" s="6" t="s">
        <v>3157</v>
      </c>
      <c r="H87" s="3" t="s">
        <v>3158</v>
      </c>
      <c r="I87" s="3" t="s">
        <v>2508</v>
      </c>
      <c r="J87" s="3" t="s">
        <v>2518</v>
      </c>
      <c r="K87" s="3" t="s">
        <v>3159</v>
      </c>
      <c r="L87" s="3" t="s">
        <v>2531</v>
      </c>
      <c r="M87" s="3" t="s">
        <v>2540</v>
      </c>
      <c r="N87" s="3" t="s">
        <v>1931</v>
      </c>
      <c r="O87" s="3" t="s">
        <v>482</v>
      </c>
      <c r="P87" s="3">
        <v>0</v>
      </c>
      <c r="Q87" s="3" t="s">
        <v>2560</v>
      </c>
      <c r="R87" s="3" t="s">
        <v>405</v>
      </c>
      <c r="S87" s="3" t="s">
        <v>482</v>
      </c>
      <c r="T87" s="3" t="s">
        <v>2401</v>
      </c>
    </row>
    <row r="88" spans="1:20" ht="32" hidden="1" x14ac:dyDescent="0.2">
      <c r="A88" s="3" t="s">
        <v>3160</v>
      </c>
      <c r="B88" s="3" t="s">
        <v>3161</v>
      </c>
      <c r="C88" s="3" t="s">
        <v>2976</v>
      </c>
      <c r="D88" s="3">
        <v>358</v>
      </c>
      <c r="E88" s="3" t="s">
        <v>2514</v>
      </c>
      <c r="F88" s="3" t="s">
        <v>2426</v>
      </c>
      <c r="G88" s="6" t="s">
        <v>3162</v>
      </c>
      <c r="H88" s="3" t="s">
        <v>3163</v>
      </c>
      <c r="I88" s="3" t="s">
        <v>2508</v>
      </c>
      <c r="J88" s="3" t="s">
        <v>2518</v>
      </c>
      <c r="K88" s="3" t="s">
        <v>2519</v>
      </c>
      <c r="L88" s="3" t="s">
        <v>2531</v>
      </c>
      <c r="M88" s="3" t="s">
        <v>2540</v>
      </c>
      <c r="N88" s="3" t="s">
        <v>1931</v>
      </c>
      <c r="O88" s="3" t="s">
        <v>2533</v>
      </c>
      <c r="P88" s="3">
        <v>1</v>
      </c>
      <c r="Q88" s="3" t="s">
        <v>2533</v>
      </c>
      <c r="R88" s="3" t="s">
        <v>3164</v>
      </c>
      <c r="S88" s="3" t="s">
        <v>482</v>
      </c>
      <c r="T88" s="3" t="s">
        <v>2424</v>
      </c>
    </row>
    <row r="89" spans="1:20" ht="409.6" hidden="1" x14ac:dyDescent="0.2">
      <c r="A89" s="3" t="s">
        <v>3165</v>
      </c>
      <c r="B89" s="3" t="s">
        <v>3166</v>
      </c>
      <c r="C89" s="3" t="s">
        <v>2976</v>
      </c>
      <c r="D89" s="3">
        <v>367</v>
      </c>
      <c r="E89" s="3" t="s">
        <v>2514</v>
      </c>
      <c r="F89" s="3" t="s">
        <v>3167</v>
      </c>
      <c r="G89" s="6" t="s">
        <v>3168</v>
      </c>
      <c r="H89" s="3" t="s">
        <v>3169</v>
      </c>
      <c r="I89" s="3" t="s">
        <v>2529</v>
      </c>
      <c r="J89" s="3" t="s">
        <v>3089</v>
      </c>
      <c r="K89" s="3" t="s">
        <v>2574</v>
      </c>
      <c r="L89" s="3" t="s">
        <v>2531</v>
      </c>
      <c r="M89" s="3" t="s">
        <v>3013</v>
      </c>
      <c r="N89" s="3" t="s">
        <v>1931</v>
      </c>
      <c r="O89" s="3" t="s">
        <v>3170</v>
      </c>
      <c r="P89" s="3">
        <v>32</v>
      </c>
      <c r="Q89" s="3" t="s">
        <v>3171</v>
      </c>
      <c r="R89" s="3" t="s">
        <v>3172</v>
      </c>
      <c r="S89" s="3" t="s">
        <v>482</v>
      </c>
      <c r="T89" s="3" t="s">
        <v>482</v>
      </c>
    </row>
    <row r="90" spans="1:20" ht="288" hidden="1" x14ac:dyDescent="0.2">
      <c r="A90" s="3" t="s">
        <v>3173</v>
      </c>
      <c r="B90" s="3" t="s">
        <v>3174</v>
      </c>
      <c r="C90" s="3" t="s">
        <v>2976</v>
      </c>
      <c r="D90" s="3">
        <v>381</v>
      </c>
      <c r="E90" s="3" t="s">
        <v>2504</v>
      </c>
      <c r="F90" s="3" t="s">
        <v>3175</v>
      </c>
      <c r="G90" s="6" t="s">
        <v>3176</v>
      </c>
      <c r="H90" s="3" t="s">
        <v>3177</v>
      </c>
      <c r="I90" s="3" t="s">
        <v>2529</v>
      </c>
      <c r="J90" s="3" t="s">
        <v>3089</v>
      </c>
      <c r="K90" s="3" t="s">
        <v>2574</v>
      </c>
      <c r="L90" s="3" t="s">
        <v>482</v>
      </c>
      <c r="M90" s="3" t="s">
        <v>3178</v>
      </c>
      <c r="N90" s="3" t="s">
        <v>1931</v>
      </c>
      <c r="O90" s="3" t="s">
        <v>3179</v>
      </c>
      <c r="P90" s="3">
        <v>18</v>
      </c>
      <c r="Q90" s="3" t="s">
        <v>3180</v>
      </c>
      <c r="R90" s="3" t="s">
        <v>3181</v>
      </c>
      <c r="S90" s="3" t="s">
        <v>482</v>
      </c>
      <c r="T90" s="3" t="s">
        <v>482</v>
      </c>
    </row>
    <row r="91" spans="1:20" ht="84" hidden="1" x14ac:dyDescent="0.2">
      <c r="A91" s="3" t="s">
        <v>3182</v>
      </c>
      <c r="B91" s="3" t="s">
        <v>3183</v>
      </c>
      <c r="C91" s="3" t="s">
        <v>2976</v>
      </c>
      <c r="D91" s="3">
        <v>405</v>
      </c>
      <c r="E91" s="3" t="s">
        <v>2504</v>
      </c>
      <c r="F91" s="3" t="s">
        <v>3184</v>
      </c>
      <c r="G91" s="6" t="s">
        <v>3185</v>
      </c>
      <c r="H91" s="3" t="s">
        <v>3186</v>
      </c>
      <c r="I91" s="3" t="s">
        <v>2508</v>
      </c>
      <c r="J91" s="3" t="s">
        <v>2518</v>
      </c>
      <c r="K91" s="3" t="s">
        <v>2519</v>
      </c>
      <c r="L91" s="3" t="s">
        <v>482</v>
      </c>
      <c r="M91" s="3" t="s">
        <v>3013</v>
      </c>
      <c r="N91" s="3" t="s">
        <v>1931</v>
      </c>
      <c r="O91" s="3" t="s">
        <v>2533</v>
      </c>
      <c r="P91" s="3">
        <v>1</v>
      </c>
      <c r="Q91" s="3" t="s">
        <v>2533</v>
      </c>
      <c r="R91" s="3" t="s">
        <v>3187</v>
      </c>
      <c r="S91" s="3" t="s">
        <v>482</v>
      </c>
      <c r="T91" s="3" t="s">
        <v>2432</v>
      </c>
    </row>
    <row r="92" spans="1:20" ht="409.6" hidden="1" x14ac:dyDescent="0.2">
      <c r="A92" s="3" t="s">
        <v>3188</v>
      </c>
      <c r="B92" s="3" t="s">
        <v>3189</v>
      </c>
      <c r="C92" s="3" t="s">
        <v>2976</v>
      </c>
      <c r="D92" s="3">
        <v>411</v>
      </c>
      <c r="E92" s="3" t="s">
        <v>2504</v>
      </c>
      <c r="F92" s="3" t="s">
        <v>2616</v>
      </c>
      <c r="G92" s="6" t="s">
        <v>3190</v>
      </c>
      <c r="H92" s="3" t="s">
        <v>3191</v>
      </c>
      <c r="I92" s="3" t="s">
        <v>2529</v>
      </c>
      <c r="J92" s="3" t="s">
        <v>2518</v>
      </c>
      <c r="K92" s="3" t="s">
        <v>2519</v>
      </c>
      <c r="L92" s="3" t="s">
        <v>482</v>
      </c>
      <c r="M92" s="3" t="s">
        <v>2540</v>
      </c>
      <c r="N92" s="3" t="s">
        <v>1931</v>
      </c>
      <c r="O92" s="3" t="s">
        <v>3192</v>
      </c>
      <c r="P92" s="3">
        <v>27</v>
      </c>
      <c r="Q92" s="3" t="s">
        <v>3193</v>
      </c>
      <c r="R92" s="3" t="s">
        <v>3194</v>
      </c>
      <c r="S92" s="3" t="s">
        <v>482</v>
      </c>
      <c r="T92" s="3" t="s">
        <v>482</v>
      </c>
    </row>
    <row r="93" spans="1:20" ht="409.6" hidden="1" x14ac:dyDescent="0.2">
      <c r="A93" s="3" t="s">
        <v>3195</v>
      </c>
      <c r="B93" s="3" t="s">
        <v>3196</v>
      </c>
      <c r="C93" s="3" t="s">
        <v>2976</v>
      </c>
      <c r="D93" s="3">
        <v>420</v>
      </c>
      <c r="E93" s="3" t="s">
        <v>2635</v>
      </c>
      <c r="F93" s="3" t="s">
        <v>3197</v>
      </c>
      <c r="G93" s="6" t="s">
        <v>3198</v>
      </c>
      <c r="H93" s="3" t="s">
        <v>3199</v>
      </c>
      <c r="I93" s="3" t="s">
        <v>2529</v>
      </c>
      <c r="J93" s="3" t="s">
        <v>2518</v>
      </c>
      <c r="K93" s="3" t="s">
        <v>2538</v>
      </c>
      <c r="L93" s="3" t="s">
        <v>482</v>
      </c>
      <c r="M93" s="3" t="s">
        <v>2540</v>
      </c>
      <c r="N93" s="3" t="s">
        <v>1816</v>
      </c>
      <c r="O93" s="3" t="s">
        <v>3200</v>
      </c>
      <c r="P93" s="3">
        <v>28</v>
      </c>
      <c r="Q93" s="3" t="s">
        <v>3201</v>
      </c>
      <c r="R93" s="3" t="s">
        <v>3202</v>
      </c>
      <c r="S93" s="3" t="s">
        <v>482</v>
      </c>
      <c r="T93" s="3" t="s">
        <v>482</v>
      </c>
    </row>
    <row r="94" spans="1:20" ht="409.6" hidden="1" x14ac:dyDescent="0.2">
      <c r="A94" s="3" t="s">
        <v>426</v>
      </c>
      <c r="B94" s="3" t="s">
        <v>425</v>
      </c>
      <c r="C94" s="3" t="s">
        <v>2976</v>
      </c>
      <c r="D94" s="3">
        <v>434</v>
      </c>
      <c r="E94" s="3" t="s">
        <v>2514</v>
      </c>
      <c r="F94" s="3" t="s">
        <v>3203</v>
      </c>
      <c r="G94" s="6" t="s">
        <v>3204</v>
      </c>
      <c r="H94" s="3" t="s">
        <v>3205</v>
      </c>
      <c r="I94" s="3" t="s">
        <v>2529</v>
      </c>
      <c r="J94" s="3" t="s">
        <v>3206</v>
      </c>
      <c r="K94" s="3" t="s">
        <v>2538</v>
      </c>
      <c r="L94" s="3" t="s">
        <v>2531</v>
      </c>
      <c r="M94" s="3" t="s">
        <v>3178</v>
      </c>
      <c r="N94" s="3" t="s">
        <v>1931</v>
      </c>
      <c r="O94" s="3" t="s">
        <v>3207</v>
      </c>
      <c r="P94" s="3">
        <v>34</v>
      </c>
      <c r="Q94" s="3" t="s">
        <v>3208</v>
      </c>
      <c r="R94" s="3" t="s">
        <v>429</v>
      </c>
      <c r="S94" s="3" t="s">
        <v>482</v>
      </c>
      <c r="T94" s="3" t="s">
        <v>482</v>
      </c>
    </row>
    <row r="95" spans="1:20" ht="48" hidden="1" x14ac:dyDescent="0.2">
      <c r="A95" s="3" t="s">
        <v>3209</v>
      </c>
      <c r="B95" s="3" t="s">
        <v>3210</v>
      </c>
      <c r="C95" s="3" t="s">
        <v>3211</v>
      </c>
      <c r="D95" s="3">
        <v>17</v>
      </c>
      <c r="E95" s="3" t="s">
        <v>2504</v>
      </c>
      <c r="F95" s="3" t="s">
        <v>3212</v>
      </c>
      <c r="G95" s="6" t="s">
        <v>3213</v>
      </c>
      <c r="H95" s="3" t="s">
        <v>3214</v>
      </c>
      <c r="I95" s="3" t="s">
        <v>2794</v>
      </c>
      <c r="J95" s="3" t="s">
        <v>3215</v>
      </c>
      <c r="K95" s="3" t="s">
        <v>2519</v>
      </c>
      <c r="L95" s="3" t="s">
        <v>482</v>
      </c>
      <c r="M95" s="3" t="s">
        <v>2540</v>
      </c>
      <c r="N95" s="3" t="s">
        <v>1931</v>
      </c>
      <c r="O95" s="3" t="s">
        <v>482</v>
      </c>
      <c r="P95" s="3">
        <v>0</v>
      </c>
      <c r="Q95" s="3" t="s">
        <v>2560</v>
      </c>
      <c r="R95" s="3" t="s">
        <v>405</v>
      </c>
      <c r="S95" s="3" t="s">
        <v>482</v>
      </c>
      <c r="T95" s="3" t="s">
        <v>3216</v>
      </c>
    </row>
    <row r="96" spans="1:20" ht="32" hidden="1" x14ac:dyDescent="0.2">
      <c r="A96" s="3" t="s">
        <v>3217</v>
      </c>
      <c r="B96" s="3" t="s">
        <v>3218</v>
      </c>
      <c r="C96" s="3" t="s">
        <v>3211</v>
      </c>
      <c r="D96" s="3">
        <v>22</v>
      </c>
      <c r="E96" s="3" t="s">
        <v>2514</v>
      </c>
      <c r="F96" s="3" t="s">
        <v>3219</v>
      </c>
      <c r="G96" s="6" t="s">
        <v>3220</v>
      </c>
      <c r="H96" s="3" t="s">
        <v>3221</v>
      </c>
      <c r="I96" s="3" t="s">
        <v>2508</v>
      </c>
      <c r="J96" s="3" t="s">
        <v>3215</v>
      </c>
      <c r="K96" s="3" t="s">
        <v>2519</v>
      </c>
      <c r="L96" s="3" t="s">
        <v>2531</v>
      </c>
      <c r="M96" s="3" t="s">
        <v>2540</v>
      </c>
      <c r="N96" s="3" t="s">
        <v>1931</v>
      </c>
      <c r="O96" s="3" t="s">
        <v>3222</v>
      </c>
      <c r="P96" s="3">
        <v>1</v>
      </c>
      <c r="Q96" s="3" t="s">
        <v>3222</v>
      </c>
      <c r="R96" s="3" t="s">
        <v>3223</v>
      </c>
      <c r="S96" s="3" t="s">
        <v>482</v>
      </c>
      <c r="T96" s="3" t="s">
        <v>482</v>
      </c>
    </row>
    <row r="97" spans="1:20" ht="48" hidden="1" x14ac:dyDescent="0.2">
      <c r="A97" s="3" t="s">
        <v>3224</v>
      </c>
      <c r="B97" s="3" t="s">
        <v>3225</v>
      </c>
      <c r="C97" s="3" t="s">
        <v>3211</v>
      </c>
      <c r="D97" s="3">
        <v>29</v>
      </c>
      <c r="E97" s="3" t="s">
        <v>2504</v>
      </c>
      <c r="F97" s="3" t="s">
        <v>3226</v>
      </c>
      <c r="G97" s="6" t="s">
        <v>3227</v>
      </c>
      <c r="H97" s="3" t="s">
        <v>3228</v>
      </c>
      <c r="I97" s="3" t="s">
        <v>2794</v>
      </c>
      <c r="J97" s="3" t="s">
        <v>3215</v>
      </c>
      <c r="K97" s="3" t="s">
        <v>2519</v>
      </c>
      <c r="L97" s="3" t="s">
        <v>482</v>
      </c>
      <c r="M97" s="3" t="s">
        <v>2540</v>
      </c>
      <c r="N97" s="3" t="s">
        <v>1931</v>
      </c>
      <c r="O97" s="3" t="s">
        <v>3222</v>
      </c>
      <c r="P97" s="3">
        <v>1</v>
      </c>
      <c r="Q97" s="3" t="s">
        <v>3222</v>
      </c>
      <c r="R97" s="3" t="s">
        <v>3229</v>
      </c>
      <c r="S97" s="3" t="s">
        <v>482</v>
      </c>
      <c r="T97" s="3" t="s">
        <v>3230</v>
      </c>
    </row>
    <row r="98" spans="1:20" ht="32" hidden="1" x14ac:dyDescent="0.2">
      <c r="A98" s="3" t="s">
        <v>3231</v>
      </c>
      <c r="B98" s="3" t="s">
        <v>3232</v>
      </c>
      <c r="C98" s="3" t="s">
        <v>3211</v>
      </c>
      <c r="D98" s="3">
        <v>42</v>
      </c>
      <c r="E98" s="3" t="s">
        <v>2504</v>
      </c>
      <c r="F98" s="3" t="s">
        <v>3233</v>
      </c>
      <c r="G98" s="6" t="s">
        <v>3234</v>
      </c>
      <c r="H98" s="3" t="s">
        <v>3235</v>
      </c>
      <c r="I98" s="3" t="s">
        <v>2529</v>
      </c>
      <c r="J98" s="3" t="s">
        <v>3215</v>
      </c>
      <c r="K98" s="3" t="s">
        <v>2519</v>
      </c>
      <c r="L98" s="3" t="s">
        <v>482</v>
      </c>
      <c r="M98" s="3" t="s">
        <v>2540</v>
      </c>
      <c r="N98" s="3" t="s">
        <v>1931</v>
      </c>
      <c r="O98" s="3" t="s">
        <v>3236</v>
      </c>
      <c r="P98" s="3">
        <v>2</v>
      </c>
      <c r="Q98" s="3" t="s">
        <v>3237</v>
      </c>
      <c r="R98" s="3" t="s">
        <v>3238</v>
      </c>
      <c r="S98" s="3" t="s">
        <v>482</v>
      </c>
      <c r="T98" s="3" t="s">
        <v>482</v>
      </c>
    </row>
    <row r="99" spans="1:20" ht="56" hidden="1" x14ac:dyDescent="0.2">
      <c r="A99" s="3" t="s">
        <v>3239</v>
      </c>
      <c r="B99" s="3" t="s">
        <v>3240</v>
      </c>
      <c r="C99" s="3" t="s">
        <v>3211</v>
      </c>
      <c r="D99" s="3">
        <v>47</v>
      </c>
      <c r="E99" s="3" t="s">
        <v>2504</v>
      </c>
      <c r="F99" s="3" t="s">
        <v>3241</v>
      </c>
      <c r="G99" s="6" t="s">
        <v>3242</v>
      </c>
      <c r="H99" s="3" t="s">
        <v>3243</v>
      </c>
      <c r="I99" s="3" t="s">
        <v>2529</v>
      </c>
      <c r="J99" s="3" t="s">
        <v>3244</v>
      </c>
      <c r="K99" s="3" t="s">
        <v>2519</v>
      </c>
      <c r="L99" s="3" t="s">
        <v>482</v>
      </c>
      <c r="M99" s="3" t="s">
        <v>3245</v>
      </c>
      <c r="N99" s="3" t="s">
        <v>1931</v>
      </c>
      <c r="O99" s="3" t="s">
        <v>3236</v>
      </c>
      <c r="P99" s="3">
        <v>2</v>
      </c>
      <c r="Q99" s="3" t="s">
        <v>3237</v>
      </c>
      <c r="R99" s="3" t="s">
        <v>3246</v>
      </c>
      <c r="S99" s="3" t="s">
        <v>482</v>
      </c>
      <c r="T99" s="3" t="s">
        <v>3247</v>
      </c>
    </row>
    <row r="100" spans="1:20" ht="84" hidden="1" x14ac:dyDescent="0.2">
      <c r="A100" s="3" t="s">
        <v>3248</v>
      </c>
      <c r="B100" s="3" t="s">
        <v>3249</v>
      </c>
      <c r="C100" s="3" t="s">
        <v>3211</v>
      </c>
      <c r="D100" s="3">
        <v>61</v>
      </c>
      <c r="E100" s="3" t="s">
        <v>2504</v>
      </c>
      <c r="F100" s="3" t="s">
        <v>3250</v>
      </c>
      <c r="G100" s="6" t="s">
        <v>3251</v>
      </c>
      <c r="H100" s="3" t="s">
        <v>3252</v>
      </c>
      <c r="I100" s="3" t="s">
        <v>2529</v>
      </c>
      <c r="J100" s="3" t="s">
        <v>3253</v>
      </c>
      <c r="K100" s="3" t="s">
        <v>2574</v>
      </c>
      <c r="L100" s="3" t="s">
        <v>482</v>
      </c>
      <c r="M100" s="3" t="s">
        <v>2540</v>
      </c>
      <c r="N100" s="3" t="s">
        <v>1931</v>
      </c>
      <c r="O100" s="3" t="s">
        <v>3254</v>
      </c>
      <c r="P100" s="3">
        <v>3</v>
      </c>
      <c r="Q100" s="3" t="s">
        <v>3255</v>
      </c>
      <c r="R100" s="3" t="s">
        <v>3256</v>
      </c>
      <c r="S100" s="3" t="s">
        <v>482</v>
      </c>
      <c r="T100" s="3" t="s">
        <v>482</v>
      </c>
    </row>
    <row r="101" spans="1:20" ht="42" hidden="1" x14ac:dyDescent="0.2">
      <c r="A101" s="3" t="s">
        <v>3257</v>
      </c>
      <c r="B101" s="3" t="s">
        <v>3258</v>
      </c>
      <c r="C101" s="3" t="s">
        <v>3211</v>
      </c>
      <c r="D101" s="3">
        <v>105</v>
      </c>
      <c r="E101" s="3" t="s">
        <v>2504</v>
      </c>
      <c r="F101" s="3" t="s">
        <v>3259</v>
      </c>
      <c r="G101" s="6" t="s">
        <v>3260</v>
      </c>
      <c r="H101" s="3" t="s">
        <v>3261</v>
      </c>
      <c r="I101" s="3" t="s">
        <v>2529</v>
      </c>
      <c r="J101" s="3" t="s">
        <v>3262</v>
      </c>
      <c r="K101" s="3" t="s">
        <v>2519</v>
      </c>
      <c r="L101" s="3" t="s">
        <v>482</v>
      </c>
      <c r="M101" s="3" t="s">
        <v>2540</v>
      </c>
      <c r="N101" s="3" t="s">
        <v>1931</v>
      </c>
      <c r="O101" s="3" t="s">
        <v>482</v>
      </c>
      <c r="P101" s="3">
        <v>0</v>
      </c>
      <c r="Q101" s="3" t="s">
        <v>2560</v>
      </c>
      <c r="R101" s="3" t="s">
        <v>405</v>
      </c>
      <c r="S101" s="3" t="s">
        <v>482</v>
      </c>
      <c r="T101" s="3" t="s">
        <v>2480</v>
      </c>
    </row>
    <row r="102" spans="1:20" ht="48" hidden="1" x14ac:dyDescent="0.2">
      <c r="A102" s="3" t="s">
        <v>1509</v>
      </c>
      <c r="B102" s="3" t="s">
        <v>1508</v>
      </c>
      <c r="C102" s="3" t="s">
        <v>3211</v>
      </c>
      <c r="D102" s="3">
        <v>110</v>
      </c>
      <c r="E102" s="3" t="s">
        <v>2504</v>
      </c>
      <c r="F102" s="3" t="s">
        <v>2106</v>
      </c>
      <c r="G102" s="6" t="s">
        <v>3263</v>
      </c>
      <c r="H102" s="3" t="s">
        <v>3264</v>
      </c>
      <c r="I102" s="3" t="s">
        <v>2529</v>
      </c>
      <c r="J102" s="3" t="s">
        <v>3265</v>
      </c>
      <c r="K102" s="3" t="s">
        <v>2519</v>
      </c>
      <c r="L102" s="3" t="s">
        <v>482</v>
      </c>
      <c r="M102" s="3" t="s">
        <v>2540</v>
      </c>
      <c r="N102" s="3" t="s">
        <v>1931</v>
      </c>
      <c r="O102" s="3" t="s">
        <v>3266</v>
      </c>
      <c r="P102" s="3">
        <v>1</v>
      </c>
      <c r="Q102" s="3" t="s">
        <v>3266</v>
      </c>
      <c r="R102" s="3" t="s">
        <v>1514</v>
      </c>
      <c r="S102" s="3" t="s">
        <v>2107</v>
      </c>
      <c r="T102" s="3" t="s">
        <v>2104</v>
      </c>
    </row>
    <row r="103" spans="1:20" ht="80" hidden="1" x14ac:dyDescent="0.2">
      <c r="A103" s="3" t="s">
        <v>3267</v>
      </c>
      <c r="B103" s="3" t="s">
        <v>3268</v>
      </c>
      <c r="C103" s="3" t="s">
        <v>3211</v>
      </c>
      <c r="D103" s="3">
        <v>117</v>
      </c>
      <c r="E103" s="3" t="s">
        <v>2504</v>
      </c>
      <c r="F103" s="3" t="s">
        <v>3269</v>
      </c>
      <c r="G103" s="6" t="s">
        <v>3270</v>
      </c>
      <c r="H103" s="3" t="s">
        <v>3271</v>
      </c>
      <c r="I103" s="3" t="s">
        <v>2529</v>
      </c>
      <c r="J103" s="3" t="s">
        <v>3272</v>
      </c>
      <c r="K103" s="3" t="s">
        <v>2519</v>
      </c>
      <c r="L103" s="3" t="s">
        <v>482</v>
      </c>
      <c r="M103" s="3" t="s">
        <v>2540</v>
      </c>
      <c r="N103" s="3" t="s">
        <v>1931</v>
      </c>
      <c r="O103" s="3" t="s">
        <v>3273</v>
      </c>
      <c r="P103" s="3">
        <v>2</v>
      </c>
      <c r="Q103" s="3" t="s">
        <v>3274</v>
      </c>
      <c r="R103" s="3" t="s">
        <v>3275</v>
      </c>
      <c r="S103" s="3" t="s">
        <v>482</v>
      </c>
      <c r="T103" s="3" t="s">
        <v>3276</v>
      </c>
    </row>
    <row r="104" spans="1:20" ht="64" hidden="1" x14ac:dyDescent="0.2">
      <c r="A104" s="3" t="s">
        <v>3277</v>
      </c>
      <c r="B104" s="3" t="s">
        <v>3278</v>
      </c>
      <c r="C104" s="3" t="s">
        <v>3211</v>
      </c>
      <c r="D104" s="3">
        <v>130</v>
      </c>
      <c r="E104" s="3" t="s">
        <v>2504</v>
      </c>
      <c r="F104" s="3" t="s">
        <v>2391</v>
      </c>
      <c r="G104" s="6" t="s">
        <v>3279</v>
      </c>
      <c r="H104" s="3" t="s">
        <v>3280</v>
      </c>
      <c r="I104" s="3" t="s">
        <v>2529</v>
      </c>
      <c r="J104" s="3" t="s">
        <v>3272</v>
      </c>
      <c r="K104" s="3" t="s">
        <v>2519</v>
      </c>
      <c r="L104" s="3" t="s">
        <v>482</v>
      </c>
      <c r="M104" s="3" t="s">
        <v>2540</v>
      </c>
      <c r="N104" s="3" t="s">
        <v>1931</v>
      </c>
      <c r="O104" s="3" t="s">
        <v>3281</v>
      </c>
      <c r="P104" s="3">
        <v>3</v>
      </c>
      <c r="Q104" s="3" t="s">
        <v>3255</v>
      </c>
      <c r="R104" s="3" t="s">
        <v>3282</v>
      </c>
      <c r="S104" s="3" t="s">
        <v>482</v>
      </c>
      <c r="T104" s="3" t="s">
        <v>2389</v>
      </c>
    </row>
    <row r="105" spans="1:20" ht="48" hidden="1" x14ac:dyDescent="0.2">
      <c r="A105" s="3" t="s">
        <v>3283</v>
      </c>
      <c r="B105" s="3" t="s">
        <v>3284</v>
      </c>
      <c r="C105" s="3" t="s">
        <v>3211</v>
      </c>
      <c r="D105" s="3">
        <v>134</v>
      </c>
      <c r="E105" s="3" t="s">
        <v>2635</v>
      </c>
      <c r="F105" s="3" t="s">
        <v>2616</v>
      </c>
      <c r="G105" s="6" t="s">
        <v>3285</v>
      </c>
      <c r="H105" s="3" t="s">
        <v>3286</v>
      </c>
      <c r="I105" s="3" t="s">
        <v>2529</v>
      </c>
      <c r="J105" s="3" t="s">
        <v>3265</v>
      </c>
      <c r="K105" s="3" t="s">
        <v>2519</v>
      </c>
      <c r="L105" s="3" t="s">
        <v>482</v>
      </c>
      <c r="M105" s="3" t="s">
        <v>2540</v>
      </c>
      <c r="N105" s="3" t="s">
        <v>1816</v>
      </c>
      <c r="O105" s="3" t="s">
        <v>3273</v>
      </c>
      <c r="P105" s="3">
        <v>2</v>
      </c>
      <c r="Q105" s="3" t="s">
        <v>3274</v>
      </c>
      <c r="R105" s="3" t="s">
        <v>3287</v>
      </c>
      <c r="S105" s="3" t="s">
        <v>482</v>
      </c>
      <c r="T105" s="3" t="s">
        <v>482</v>
      </c>
    </row>
    <row r="106" spans="1:20" ht="70" hidden="1" x14ac:dyDescent="0.2">
      <c r="A106" s="3" t="s">
        <v>3288</v>
      </c>
      <c r="B106" s="3" t="s">
        <v>3289</v>
      </c>
      <c r="C106" s="3" t="s">
        <v>3211</v>
      </c>
      <c r="D106" s="3">
        <v>147</v>
      </c>
      <c r="E106" s="3" t="s">
        <v>2635</v>
      </c>
      <c r="F106" s="3" t="s">
        <v>3290</v>
      </c>
      <c r="G106" s="6" t="s">
        <v>3291</v>
      </c>
      <c r="H106" s="3" t="s">
        <v>3292</v>
      </c>
      <c r="I106" s="3" t="s">
        <v>2529</v>
      </c>
      <c r="J106" s="3" t="s">
        <v>3265</v>
      </c>
      <c r="K106" s="3" t="s">
        <v>2519</v>
      </c>
      <c r="L106" s="3" t="s">
        <v>482</v>
      </c>
      <c r="M106" s="3" t="s">
        <v>2540</v>
      </c>
      <c r="N106" s="3" t="s">
        <v>1816</v>
      </c>
      <c r="O106" s="3" t="s">
        <v>3273</v>
      </c>
      <c r="P106" s="3">
        <v>2</v>
      </c>
      <c r="Q106" s="3" t="s">
        <v>3274</v>
      </c>
      <c r="R106" s="3" t="s">
        <v>3293</v>
      </c>
      <c r="S106" s="3" t="s">
        <v>482</v>
      </c>
      <c r="T106" s="3" t="s">
        <v>482</v>
      </c>
    </row>
    <row r="107" spans="1:20" ht="280" hidden="1" x14ac:dyDescent="0.2">
      <c r="A107" s="3" t="s">
        <v>3294</v>
      </c>
      <c r="B107" s="3" t="s">
        <v>3295</v>
      </c>
      <c r="C107" s="3" t="s">
        <v>3296</v>
      </c>
      <c r="D107" s="3">
        <v>74</v>
      </c>
      <c r="E107" s="3" t="s">
        <v>2504</v>
      </c>
      <c r="F107" s="3" t="s">
        <v>3297</v>
      </c>
      <c r="G107" s="6" t="s">
        <v>3298</v>
      </c>
      <c r="H107" s="3" t="s">
        <v>3299</v>
      </c>
      <c r="I107" s="3" t="s">
        <v>2508</v>
      </c>
      <c r="J107" s="3" t="s">
        <v>3089</v>
      </c>
      <c r="K107" s="3" t="s">
        <v>3300</v>
      </c>
      <c r="L107" s="3" t="s">
        <v>482</v>
      </c>
      <c r="M107" s="3" t="s">
        <v>3301</v>
      </c>
      <c r="N107" s="3" t="s">
        <v>1931</v>
      </c>
      <c r="O107" s="3" t="s">
        <v>2533</v>
      </c>
      <c r="P107" s="3">
        <v>1</v>
      </c>
      <c r="Q107" s="3" t="s">
        <v>2533</v>
      </c>
      <c r="R107" s="3" t="s">
        <v>3302</v>
      </c>
      <c r="S107" s="3" t="s">
        <v>482</v>
      </c>
      <c r="T107" s="3" t="s">
        <v>482</v>
      </c>
    </row>
    <row r="108" spans="1:20" ht="84" hidden="1" x14ac:dyDescent="0.2">
      <c r="A108" s="3" t="s">
        <v>3303</v>
      </c>
      <c r="B108" s="3" t="s">
        <v>3304</v>
      </c>
      <c r="C108" s="3" t="s">
        <v>3296</v>
      </c>
      <c r="D108" s="3">
        <v>98</v>
      </c>
      <c r="E108" s="3" t="s">
        <v>2504</v>
      </c>
      <c r="F108" s="3" t="s">
        <v>3305</v>
      </c>
      <c r="G108" s="6" t="s">
        <v>3306</v>
      </c>
      <c r="H108" s="3" t="s">
        <v>3307</v>
      </c>
      <c r="I108" s="3" t="s">
        <v>2529</v>
      </c>
      <c r="J108" s="3" t="s">
        <v>3308</v>
      </c>
      <c r="K108" s="3" t="s">
        <v>2519</v>
      </c>
      <c r="L108" s="3" t="s">
        <v>482</v>
      </c>
      <c r="M108" s="3" t="s">
        <v>3309</v>
      </c>
      <c r="N108" s="3" t="s">
        <v>1931</v>
      </c>
      <c r="O108" s="3" t="s">
        <v>3310</v>
      </c>
      <c r="P108" s="3">
        <v>4</v>
      </c>
      <c r="Q108" s="3" t="s">
        <v>3311</v>
      </c>
      <c r="R108" s="3" t="s">
        <v>3312</v>
      </c>
      <c r="S108" s="3" t="s">
        <v>482</v>
      </c>
      <c r="T108" s="3" t="s">
        <v>482</v>
      </c>
    </row>
    <row r="109" spans="1:20" ht="409.6" hidden="1" x14ac:dyDescent="0.2">
      <c r="A109" s="3" t="s">
        <v>3313</v>
      </c>
      <c r="B109" s="3" t="s">
        <v>3314</v>
      </c>
      <c r="C109" s="3" t="s">
        <v>3296</v>
      </c>
      <c r="D109" s="3">
        <v>122</v>
      </c>
      <c r="E109" s="3" t="s">
        <v>2514</v>
      </c>
      <c r="F109" s="3" t="s">
        <v>3315</v>
      </c>
      <c r="G109" s="6" t="s">
        <v>3316</v>
      </c>
      <c r="H109" s="3" t="s">
        <v>3317</v>
      </c>
      <c r="I109" s="3" t="s">
        <v>2508</v>
      </c>
      <c r="J109" s="3" t="s">
        <v>3318</v>
      </c>
      <c r="K109" s="3" t="s">
        <v>3319</v>
      </c>
      <c r="L109" s="3" t="s">
        <v>2531</v>
      </c>
      <c r="M109" s="3" t="s">
        <v>3320</v>
      </c>
      <c r="N109" s="3" t="s">
        <v>1931</v>
      </c>
      <c r="O109" s="3" t="s">
        <v>3321</v>
      </c>
      <c r="P109" s="3">
        <v>58</v>
      </c>
      <c r="Q109" s="3" t="s">
        <v>3322</v>
      </c>
      <c r="R109" s="3" t="s">
        <v>3323</v>
      </c>
      <c r="S109" s="3" t="s">
        <v>482</v>
      </c>
      <c r="T109" s="3" t="s">
        <v>482</v>
      </c>
    </row>
    <row r="110" spans="1:20" ht="128" hidden="1" x14ac:dyDescent="0.2">
      <c r="A110" s="3" t="s">
        <v>3324</v>
      </c>
      <c r="B110" s="3" t="s">
        <v>3325</v>
      </c>
      <c r="C110" s="3" t="s">
        <v>3326</v>
      </c>
      <c r="D110" s="3">
        <v>29</v>
      </c>
      <c r="E110" s="3" t="s">
        <v>2635</v>
      </c>
      <c r="F110" s="3" t="s">
        <v>3327</v>
      </c>
      <c r="G110" s="6" t="s">
        <v>3328</v>
      </c>
      <c r="H110" s="3" t="s">
        <v>3329</v>
      </c>
      <c r="I110" s="3" t="s">
        <v>2508</v>
      </c>
      <c r="J110" s="3" t="s">
        <v>3330</v>
      </c>
      <c r="K110" s="3" t="s">
        <v>2972</v>
      </c>
      <c r="L110" s="3" t="s">
        <v>482</v>
      </c>
      <c r="M110" s="3" t="s">
        <v>3331</v>
      </c>
      <c r="N110" s="3" t="s">
        <v>1816</v>
      </c>
      <c r="O110" s="3" t="s">
        <v>482</v>
      </c>
      <c r="P110" s="3">
        <v>0</v>
      </c>
      <c r="Q110" s="3" t="s">
        <v>2560</v>
      </c>
      <c r="R110" s="3" t="s">
        <v>405</v>
      </c>
      <c r="S110" s="3" t="s">
        <v>482</v>
      </c>
      <c r="T110" s="3" t="s">
        <v>482</v>
      </c>
    </row>
    <row r="111" spans="1:20" ht="224" hidden="1" x14ac:dyDescent="0.2">
      <c r="A111" s="3" t="s">
        <v>3332</v>
      </c>
      <c r="B111" s="3" t="s">
        <v>3333</v>
      </c>
      <c r="C111" s="3" t="s">
        <v>3326</v>
      </c>
      <c r="D111" s="3">
        <v>69</v>
      </c>
      <c r="E111" s="3" t="s">
        <v>2635</v>
      </c>
      <c r="F111" s="3" t="s">
        <v>3334</v>
      </c>
      <c r="G111" s="6" t="s">
        <v>3335</v>
      </c>
      <c r="H111" s="3" t="s">
        <v>3336</v>
      </c>
      <c r="I111" s="3" t="s">
        <v>2508</v>
      </c>
      <c r="J111" s="3" t="s">
        <v>3337</v>
      </c>
      <c r="K111" s="3" t="s">
        <v>3338</v>
      </c>
      <c r="L111" s="3" t="s">
        <v>482</v>
      </c>
      <c r="M111" s="3" t="s">
        <v>3339</v>
      </c>
      <c r="N111" s="3" t="s">
        <v>1816</v>
      </c>
      <c r="O111" s="3" t="s">
        <v>3340</v>
      </c>
      <c r="P111" s="3">
        <v>1</v>
      </c>
      <c r="Q111" s="3" t="s">
        <v>3340</v>
      </c>
      <c r="R111" s="3" t="s">
        <v>3341</v>
      </c>
      <c r="S111" s="3" t="s">
        <v>482</v>
      </c>
      <c r="T111" s="3" t="s">
        <v>482</v>
      </c>
    </row>
    <row r="112" spans="1:20" ht="140" hidden="1" x14ac:dyDescent="0.2">
      <c r="A112" s="3" t="s">
        <v>3342</v>
      </c>
      <c r="B112" s="3" t="s">
        <v>3343</v>
      </c>
      <c r="C112" s="3" t="s">
        <v>3326</v>
      </c>
      <c r="D112" s="3">
        <v>170</v>
      </c>
      <c r="E112" s="3" t="s">
        <v>2514</v>
      </c>
      <c r="F112" s="3" t="s">
        <v>3344</v>
      </c>
      <c r="G112" s="6" t="s">
        <v>3345</v>
      </c>
      <c r="H112" s="3" t="s">
        <v>3346</v>
      </c>
      <c r="I112" s="3" t="s">
        <v>2508</v>
      </c>
      <c r="J112" s="3" t="s">
        <v>3347</v>
      </c>
      <c r="K112" s="3" t="s">
        <v>3348</v>
      </c>
      <c r="L112" s="3" t="s">
        <v>3349</v>
      </c>
      <c r="M112" s="3" t="s">
        <v>2774</v>
      </c>
      <c r="N112" s="3" t="s">
        <v>1931</v>
      </c>
      <c r="O112" s="3" t="s">
        <v>482</v>
      </c>
      <c r="P112" s="3">
        <v>0</v>
      </c>
      <c r="Q112" s="3" t="s">
        <v>2560</v>
      </c>
      <c r="R112" s="3" t="s">
        <v>405</v>
      </c>
      <c r="S112" s="3" t="s">
        <v>482</v>
      </c>
      <c r="T112" s="3" t="s">
        <v>482</v>
      </c>
    </row>
    <row r="113" spans="1:20" ht="196" hidden="1" x14ac:dyDescent="0.2">
      <c r="A113" s="3" t="s">
        <v>3350</v>
      </c>
      <c r="B113" s="3" t="s">
        <v>3351</v>
      </c>
      <c r="C113" s="3" t="s">
        <v>3352</v>
      </c>
      <c r="D113" s="3">
        <v>114</v>
      </c>
      <c r="E113" s="3" t="s">
        <v>2635</v>
      </c>
      <c r="F113" s="3" t="s">
        <v>3353</v>
      </c>
      <c r="G113" s="6" t="s">
        <v>3354</v>
      </c>
      <c r="H113" s="3" t="s">
        <v>3355</v>
      </c>
      <c r="I113" s="3" t="s">
        <v>2508</v>
      </c>
      <c r="J113" s="3" t="s">
        <v>3356</v>
      </c>
      <c r="K113" s="3" t="s">
        <v>3357</v>
      </c>
      <c r="L113" s="3" t="s">
        <v>482</v>
      </c>
      <c r="M113" s="3" t="s">
        <v>3358</v>
      </c>
      <c r="N113" s="3" t="s">
        <v>1816</v>
      </c>
      <c r="O113" s="3" t="s">
        <v>3359</v>
      </c>
      <c r="P113" s="3">
        <v>2</v>
      </c>
      <c r="Q113" s="3" t="s">
        <v>3359</v>
      </c>
      <c r="R113" s="3" t="s">
        <v>3360</v>
      </c>
      <c r="S113" s="3" t="s">
        <v>482</v>
      </c>
      <c r="T113" s="3" t="s">
        <v>482</v>
      </c>
    </row>
    <row r="114" spans="1:20" ht="56" hidden="1" x14ac:dyDescent="0.2">
      <c r="A114" s="3" t="s">
        <v>3361</v>
      </c>
      <c r="B114" s="3" t="s">
        <v>3362</v>
      </c>
      <c r="C114" s="3" t="s">
        <v>3352</v>
      </c>
      <c r="D114" s="3">
        <v>169</v>
      </c>
      <c r="E114" s="3" t="s">
        <v>2635</v>
      </c>
      <c r="F114" s="3" t="s">
        <v>3363</v>
      </c>
      <c r="G114" s="6" t="s">
        <v>3364</v>
      </c>
      <c r="H114" s="3" t="s">
        <v>3365</v>
      </c>
      <c r="I114" s="3" t="s">
        <v>2508</v>
      </c>
      <c r="J114" s="3" t="s">
        <v>3366</v>
      </c>
      <c r="K114" s="3" t="s">
        <v>3367</v>
      </c>
      <c r="L114" s="3" t="s">
        <v>482</v>
      </c>
      <c r="M114" s="3" t="s">
        <v>3013</v>
      </c>
      <c r="N114" s="3" t="s">
        <v>1816</v>
      </c>
      <c r="O114" s="3" t="s">
        <v>3368</v>
      </c>
      <c r="P114" s="3">
        <v>1</v>
      </c>
      <c r="Q114" s="3" t="s">
        <v>3368</v>
      </c>
      <c r="R114" s="3" t="s">
        <v>3369</v>
      </c>
      <c r="S114" s="3" t="s">
        <v>482</v>
      </c>
      <c r="T114" s="3" t="s">
        <v>482</v>
      </c>
    </row>
    <row r="115" spans="1:20" ht="32" hidden="1" x14ac:dyDescent="0.2">
      <c r="A115" s="3" t="s">
        <v>3370</v>
      </c>
      <c r="B115" s="3" t="s">
        <v>3371</v>
      </c>
      <c r="C115" s="3" t="s">
        <v>3352</v>
      </c>
      <c r="D115" s="3">
        <v>180</v>
      </c>
      <c r="E115" s="3" t="s">
        <v>2635</v>
      </c>
      <c r="F115" s="3" t="s">
        <v>3372</v>
      </c>
      <c r="G115" s="6" t="s">
        <v>3373</v>
      </c>
      <c r="H115" s="3" t="s">
        <v>3374</v>
      </c>
      <c r="I115" s="3" t="s">
        <v>2529</v>
      </c>
      <c r="J115" s="3" t="s">
        <v>3330</v>
      </c>
      <c r="K115" s="3" t="s">
        <v>3375</v>
      </c>
      <c r="L115" s="3" t="s">
        <v>482</v>
      </c>
      <c r="M115" s="3" t="s">
        <v>2540</v>
      </c>
      <c r="N115" s="3" t="s">
        <v>1816</v>
      </c>
      <c r="O115" s="3" t="s">
        <v>482</v>
      </c>
      <c r="P115" s="3">
        <v>0</v>
      </c>
      <c r="Q115" s="3" t="s">
        <v>2560</v>
      </c>
      <c r="R115" s="3" t="s">
        <v>405</v>
      </c>
      <c r="S115" s="3" t="s">
        <v>482</v>
      </c>
      <c r="T115" s="3" t="s">
        <v>482</v>
      </c>
    </row>
    <row r="116" spans="1:20" ht="42" hidden="1" x14ac:dyDescent="0.2">
      <c r="A116" s="3" t="s">
        <v>3376</v>
      </c>
      <c r="B116" s="3" t="s">
        <v>3377</v>
      </c>
      <c r="C116" s="3" t="s">
        <v>3352</v>
      </c>
      <c r="D116" s="3">
        <v>185</v>
      </c>
      <c r="E116" s="3" t="s">
        <v>2635</v>
      </c>
      <c r="F116" s="3" t="s">
        <v>3378</v>
      </c>
      <c r="G116" s="6" t="s">
        <v>3379</v>
      </c>
      <c r="H116" s="3" t="s">
        <v>3380</v>
      </c>
      <c r="I116" s="3" t="s">
        <v>2508</v>
      </c>
      <c r="J116" s="3" t="s">
        <v>3356</v>
      </c>
      <c r="K116" s="3" t="s">
        <v>3357</v>
      </c>
      <c r="L116" s="3" t="s">
        <v>482</v>
      </c>
      <c r="M116" s="3" t="s">
        <v>2813</v>
      </c>
      <c r="N116" s="3" t="s">
        <v>1816</v>
      </c>
      <c r="O116" s="3" t="s">
        <v>3381</v>
      </c>
      <c r="P116" s="3">
        <v>1</v>
      </c>
      <c r="Q116" s="3" t="s">
        <v>3381</v>
      </c>
      <c r="R116" s="3" t="s">
        <v>3382</v>
      </c>
      <c r="S116" s="3" t="s">
        <v>482</v>
      </c>
      <c r="T116" s="3" t="s">
        <v>482</v>
      </c>
    </row>
    <row r="117" spans="1:20" ht="84" hidden="1" x14ac:dyDescent="0.2">
      <c r="A117" s="3" t="s">
        <v>3383</v>
      </c>
      <c r="B117" s="3" t="s">
        <v>3384</v>
      </c>
      <c r="C117" s="3" t="s">
        <v>3352</v>
      </c>
      <c r="D117" s="3">
        <v>191</v>
      </c>
      <c r="E117" s="3" t="s">
        <v>2635</v>
      </c>
      <c r="F117" s="3" t="s">
        <v>3385</v>
      </c>
      <c r="G117" s="6" t="s">
        <v>3386</v>
      </c>
      <c r="H117" s="3" t="s">
        <v>3387</v>
      </c>
      <c r="I117" s="3" t="s">
        <v>2508</v>
      </c>
      <c r="J117" s="3" t="s">
        <v>3356</v>
      </c>
      <c r="K117" s="3" t="s">
        <v>3357</v>
      </c>
      <c r="L117" s="3" t="s">
        <v>482</v>
      </c>
      <c r="M117" s="3" t="s">
        <v>2540</v>
      </c>
      <c r="N117" s="3" t="s">
        <v>1816</v>
      </c>
      <c r="O117" s="3" t="s">
        <v>482</v>
      </c>
      <c r="P117" s="3">
        <v>0</v>
      </c>
      <c r="Q117" s="3" t="s">
        <v>2560</v>
      </c>
      <c r="R117" s="3" t="s">
        <v>405</v>
      </c>
      <c r="S117" s="3" t="s">
        <v>482</v>
      </c>
      <c r="T117" s="3" t="s">
        <v>482</v>
      </c>
    </row>
    <row r="118" spans="1:20" ht="98" hidden="1" x14ac:dyDescent="0.2">
      <c r="A118" s="3" t="s">
        <v>3388</v>
      </c>
      <c r="B118" s="3" t="s">
        <v>3389</v>
      </c>
      <c r="C118" s="3" t="s">
        <v>3352</v>
      </c>
      <c r="D118" s="3">
        <v>199</v>
      </c>
      <c r="E118" s="3" t="s">
        <v>2635</v>
      </c>
      <c r="F118" s="3" t="s">
        <v>3390</v>
      </c>
      <c r="G118" s="6" t="s">
        <v>3391</v>
      </c>
      <c r="H118" s="3" t="s">
        <v>3392</v>
      </c>
      <c r="I118" s="3" t="s">
        <v>2508</v>
      </c>
      <c r="J118" s="3" t="s">
        <v>3330</v>
      </c>
      <c r="K118" s="3" t="s">
        <v>3393</v>
      </c>
      <c r="L118" s="3" t="s">
        <v>482</v>
      </c>
      <c r="M118" s="3" t="s">
        <v>2540</v>
      </c>
      <c r="N118" s="3" t="s">
        <v>1816</v>
      </c>
      <c r="O118" s="3" t="s">
        <v>3368</v>
      </c>
      <c r="P118" s="3">
        <v>1</v>
      </c>
      <c r="Q118" s="3" t="s">
        <v>3368</v>
      </c>
      <c r="R118" s="3" t="s">
        <v>3394</v>
      </c>
      <c r="S118" s="3" t="s">
        <v>482</v>
      </c>
      <c r="T118" s="3" t="s">
        <v>482</v>
      </c>
    </row>
    <row r="119" spans="1:20" ht="42" hidden="1" x14ac:dyDescent="0.2">
      <c r="A119" s="3" t="s">
        <v>3395</v>
      </c>
      <c r="B119" s="3" t="s">
        <v>3396</v>
      </c>
      <c r="C119" s="3" t="s">
        <v>3352</v>
      </c>
      <c r="D119" s="3">
        <v>224</v>
      </c>
      <c r="E119" s="3" t="s">
        <v>2514</v>
      </c>
      <c r="F119" s="3" t="s">
        <v>3397</v>
      </c>
      <c r="G119" s="6" t="s">
        <v>3398</v>
      </c>
      <c r="H119" s="3" t="s">
        <v>3398</v>
      </c>
      <c r="I119" s="3" t="s">
        <v>3399</v>
      </c>
      <c r="J119" s="3" t="s">
        <v>3400</v>
      </c>
      <c r="K119" s="3" t="s">
        <v>3348</v>
      </c>
      <c r="L119" s="3" t="s">
        <v>3401</v>
      </c>
      <c r="M119" s="3" t="s">
        <v>2540</v>
      </c>
      <c r="N119" s="3" t="s">
        <v>1931</v>
      </c>
      <c r="O119" s="3" t="s">
        <v>482</v>
      </c>
      <c r="P119" s="3">
        <v>0</v>
      </c>
      <c r="Q119" s="3" t="s">
        <v>2560</v>
      </c>
      <c r="R119" s="3" t="s">
        <v>405</v>
      </c>
      <c r="S119" s="3" t="s">
        <v>482</v>
      </c>
      <c r="T119" s="3" t="s">
        <v>3402</v>
      </c>
    </row>
    <row r="120" spans="1:20" ht="96" hidden="1" x14ac:dyDescent="0.2">
      <c r="A120" s="3" t="s">
        <v>3403</v>
      </c>
      <c r="B120" s="3" t="s">
        <v>3404</v>
      </c>
      <c r="C120" s="3" t="s">
        <v>3352</v>
      </c>
      <c r="D120" s="3">
        <v>227</v>
      </c>
      <c r="E120" s="3" t="s">
        <v>2514</v>
      </c>
      <c r="F120" s="3" t="s">
        <v>3405</v>
      </c>
      <c r="G120" s="6" t="s">
        <v>3398</v>
      </c>
      <c r="H120" s="3" t="s">
        <v>3398</v>
      </c>
      <c r="I120" s="3" t="s">
        <v>3399</v>
      </c>
      <c r="J120" s="3" t="s">
        <v>3330</v>
      </c>
      <c r="K120" s="3" t="s">
        <v>2519</v>
      </c>
      <c r="L120" s="3" t="s">
        <v>2531</v>
      </c>
      <c r="M120" s="3" t="s">
        <v>3406</v>
      </c>
      <c r="N120" s="3" t="s">
        <v>1931</v>
      </c>
      <c r="O120" s="3" t="s">
        <v>482</v>
      </c>
      <c r="P120" s="3">
        <v>0</v>
      </c>
      <c r="Q120" s="3" t="s">
        <v>2560</v>
      </c>
      <c r="R120" s="3" t="s">
        <v>405</v>
      </c>
      <c r="S120" s="3" t="s">
        <v>482</v>
      </c>
      <c r="T120" s="3" t="s">
        <v>3407</v>
      </c>
    </row>
    <row r="121" spans="1:20" ht="80" hidden="1" x14ac:dyDescent="0.2">
      <c r="A121" s="3" t="s">
        <v>3408</v>
      </c>
      <c r="B121" s="3" t="s">
        <v>3409</v>
      </c>
      <c r="C121" s="3" t="s">
        <v>3352</v>
      </c>
      <c r="D121" s="3">
        <v>240</v>
      </c>
      <c r="E121" s="3" t="s">
        <v>2514</v>
      </c>
      <c r="F121" s="3" t="s">
        <v>3410</v>
      </c>
      <c r="G121" s="6" t="s">
        <v>3411</v>
      </c>
      <c r="H121" s="3" t="s">
        <v>3412</v>
      </c>
      <c r="I121" s="3" t="s">
        <v>2508</v>
      </c>
      <c r="J121" s="3" t="s">
        <v>3413</v>
      </c>
      <c r="K121" s="3" t="s">
        <v>2519</v>
      </c>
      <c r="L121" s="3" t="s">
        <v>3414</v>
      </c>
      <c r="M121" s="3" t="s">
        <v>3415</v>
      </c>
      <c r="N121" s="3" t="s">
        <v>1931</v>
      </c>
      <c r="O121" s="3" t="s">
        <v>2512</v>
      </c>
      <c r="P121" s="3">
        <v>1</v>
      </c>
      <c r="Q121" s="3" t="s">
        <v>2512</v>
      </c>
      <c r="R121" s="3" t="s">
        <v>3416</v>
      </c>
      <c r="S121" s="3" t="s">
        <v>482</v>
      </c>
      <c r="T121" s="3" t="s">
        <v>482</v>
      </c>
    </row>
    <row r="122" spans="1:20" ht="32" hidden="1" x14ac:dyDescent="0.2">
      <c r="A122" s="3" t="s">
        <v>3417</v>
      </c>
      <c r="B122" s="3" t="s">
        <v>3418</v>
      </c>
      <c r="C122" s="3" t="s">
        <v>3419</v>
      </c>
      <c r="D122" s="3">
        <v>102</v>
      </c>
      <c r="E122" s="3" t="s">
        <v>2514</v>
      </c>
      <c r="F122" s="3" t="s">
        <v>3420</v>
      </c>
      <c r="G122" s="6" t="s">
        <v>3421</v>
      </c>
      <c r="H122" s="3" t="s">
        <v>3422</v>
      </c>
      <c r="I122" s="3" t="s">
        <v>2529</v>
      </c>
      <c r="J122" s="3" t="s">
        <v>3423</v>
      </c>
      <c r="K122" s="3" t="s">
        <v>3424</v>
      </c>
      <c r="L122" s="3" t="s">
        <v>2531</v>
      </c>
      <c r="M122" s="3" t="s">
        <v>2813</v>
      </c>
      <c r="N122" s="3" t="s">
        <v>1931</v>
      </c>
      <c r="O122" s="3" t="s">
        <v>482</v>
      </c>
      <c r="P122" s="3">
        <v>0</v>
      </c>
      <c r="Q122" s="3" t="s">
        <v>2560</v>
      </c>
      <c r="R122" s="3" t="s">
        <v>405</v>
      </c>
      <c r="S122" s="3" t="s">
        <v>482</v>
      </c>
      <c r="T122" s="3" t="s">
        <v>482</v>
      </c>
    </row>
    <row r="123" spans="1:20" ht="42" hidden="1" x14ac:dyDescent="0.2">
      <c r="A123" s="3" t="s">
        <v>3425</v>
      </c>
      <c r="B123" s="3" t="s">
        <v>3426</v>
      </c>
      <c r="C123" s="3" t="s">
        <v>3427</v>
      </c>
      <c r="D123" s="3">
        <v>14</v>
      </c>
      <c r="E123" s="3" t="s">
        <v>2514</v>
      </c>
      <c r="F123" s="3" t="s">
        <v>3428</v>
      </c>
      <c r="G123" s="6" t="s">
        <v>3429</v>
      </c>
      <c r="H123" s="3" t="s">
        <v>3430</v>
      </c>
      <c r="I123" s="3" t="s">
        <v>2508</v>
      </c>
      <c r="J123" s="3" t="s">
        <v>3431</v>
      </c>
      <c r="K123" s="3" t="s">
        <v>3348</v>
      </c>
      <c r="L123" s="3" t="s">
        <v>2531</v>
      </c>
      <c r="M123" s="3" t="s">
        <v>3432</v>
      </c>
      <c r="N123" s="3" t="s">
        <v>1931</v>
      </c>
      <c r="O123" s="3" t="s">
        <v>482</v>
      </c>
      <c r="P123" s="3">
        <v>0</v>
      </c>
      <c r="Q123" s="3" t="s">
        <v>2560</v>
      </c>
      <c r="R123" s="3" t="s">
        <v>405</v>
      </c>
      <c r="S123" s="3" t="s">
        <v>482</v>
      </c>
      <c r="T123" s="3" t="s">
        <v>482</v>
      </c>
    </row>
    <row r="124" spans="1:20" ht="32" hidden="1" x14ac:dyDescent="0.2">
      <c r="A124" s="3" t="s">
        <v>3433</v>
      </c>
      <c r="B124" s="3" t="s">
        <v>3434</v>
      </c>
      <c r="C124" s="3" t="s">
        <v>3427</v>
      </c>
      <c r="D124" s="3">
        <v>23</v>
      </c>
      <c r="E124" s="3" t="s">
        <v>2514</v>
      </c>
      <c r="F124" s="3" t="s">
        <v>3435</v>
      </c>
      <c r="G124" s="6" t="s">
        <v>3436</v>
      </c>
      <c r="H124" s="3" t="s">
        <v>3437</v>
      </c>
      <c r="I124" s="3" t="s">
        <v>2529</v>
      </c>
      <c r="J124" s="3" t="s">
        <v>3438</v>
      </c>
      <c r="K124" s="3" t="s">
        <v>2519</v>
      </c>
      <c r="L124" s="3" t="s">
        <v>2531</v>
      </c>
      <c r="M124" s="3" t="s">
        <v>3439</v>
      </c>
      <c r="N124" s="3" t="s">
        <v>1931</v>
      </c>
      <c r="O124" s="3" t="s">
        <v>482</v>
      </c>
      <c r="P124" s="3">
        <v>0</v>
      </c>
      <c r="Q124" s="3" t="s">
        <v>2560</v>
      </c>
      <c r="R124" s="3" t="s">
        <v>405</v>
      </c>
      <c r="S124" s="3" t="s">
        <v>482</v>
      </c>
      <c r="T124" s="3" t="s">
        <v>482</v>
      </c>
    </row>
    <row r="125" spans="1:20" ht="70" hidden="1" x14ac:dyDescent="0.2">
      <c r="A125" s="3" t="s">
        <v>464</v>
      </c>
      <c r="B125" s="3" t="s">
        <v>463</v>
      </c>
      <c r="C125" s="3" t="s">
        <v>3427</v>
      </c>
      <c r="D125" s="3">
        <v>34</v>
      </c>
      <c r="E125" s="3" t="s">
        <v>2514</v>
      </c>
      <c r="F125" s="3" t="s">
        <v>3440</v>
      </c>
      <c r="G125" s="6" t="s">
        <v>3441</v>
      </c>
      <c r="H125" s="3" t="s">
        <v>3442</v>
      </c>
      <c r="I125" s="3" t="s">
        <v>2529</v>
      </c>
      <c r="J125" s="3" t="s">
        <v>3443</v>
      </c>
      <c r="K125" s="3" t="s">
        <v>2758</v>
      </c>
      <c r="L125" s="3" t="s">
        <v>2531</v>
      </c>
      <c r="M125" s="3" t="s">
        <v>2540</v>
      </c>
      <c r="N125" s="3" t="s">
        <v>1931</v>
      </c>
      <c r="O125" s="3" t="s">
        <v>3444</v>
      </c>
      <c r="P125" s="3">
        <v>1</v>
      </c>
      <c r="Q125" s="3" t="s">
        <v>3444</v>
      </c>
      <c r="R125" s="3" t="s">
        <v>468</v>
      </c>
      <c r="S125" s="3" t="s">
        <v>482</v>
      </c>
      <c r="T125" s="3" t="s">
        <v>482</v>
      </c>
    </row>
    <row r="126" spans="1:20" ht="48" hidden="1" x14ac:dyDescent="0.2">
      <c r="A126" s="3" t="s">
        <v>3445</v>
      </c>
      <c r="B126" s="3" t="s">
        <v>3446</v>
      </c>
      <c r="C126" s="3" t="s">
        <v>3447</v>
      </c>
      <c r="D126" s="3">
        <v>15</v>
      </c>
      <c r="E126" s="3" t="s">
        <v>2514</v>
      </c>
      <c r="F126" s="3" t="s">
        <v>3448</v>
      </c>
      <c r="G126" s="6" t="s">
        <v>3449</v>
      </c>
      <c r="H126" s="3" t="s">
        <v>3450</v>
      </c>
      <c r="I126" s="3" t="s">
        <v>2508</v>
      </c>
      <c r="J126" s="3" t="s">
        <v>3451</v>
      </c>
      <c r="K126" s="3" t="s">
        <v>2972</v>
      </c>
      <c r="L126" s="3" t="s">
        <v>2531</v>
      </c>
      <c r="M126" s="3" t="s">
        <v>2540</v>
      </c>
      <c r="N126" s="3" t="s">
        <v>1931</v>
      </c>
      <c r="O126" s="3" t="s">
        <v>482</v>
      </c>
      <c r="P126" s="3">
        <v>0</v>
      </c>
      <c r="Q126" s="3" t="s">
        <v>2560</v>
      </c>
      <c r="R126" s="3" t="s">
        <v>405</v>
      </c>
      <c r="S126" s="3" t="s">
        <v>482</v>
      </c>
      <c r="T126" s="3" t="s">
        <v>3452</v>
      </c>
    </row>
    <row r="127" spans="1:20" ht="96" hidden="1" x14ac:dyDescent="0.2">
      <c r="A127" s="3" t="s">
        <v>3453</v>
      </c>
      <c r="B127" s="3" t="s">
        <v>3454</v>
      </c>
      <c r="C127" s="3" t="s">
        <v>3447</v>
      </c>
      <c r="D127" s="3">
        <v>20</v>
      </c>
      <c r="E127" s="3" t="s">
        <v>2514</v>
      </c>
      <c r="F127" s="3" t="s">
        <v>2616</v>
      </c>
      <c r="G127" s="6" t="s">
        <v>3455</v>
      </c>
      <c r="H127" s="3" t="s">
        <v>3456</v>
      </c>
      <c r="I127" s="3" t="s">
        <v>2529</v>
      </c>
      <c r="J127" s="3" t="s">
        <v>3457</v>
      </c>
      <c r="K127" s="3" t="s">
        <v>3458</v>
      </c>
      <c r="L127" s="3" t="s">
        <v>3459</v>
      </c>
      <c r="M127" s="3" t="s">
        <v>3460</v>
      </c>
      <c r="N127" s="3" t="s">
        <v>1931</v>
      </c>
      <c r="O127" s="3" t="s">
        <v>3461</v>
      </c>
      <c r="P127" s="3">
        <v>6</v>
      </c>
      <c r="Q127" s="3" t="s">
        <v>3462</v>
      </c>
      <c r="R127" s="3" t="s">
        <v>3463</v>
      </c>
      <c r="S127" s="3" t="s">
        <v>482</v>
      </c>
      <c r="T127" s="3" t="s">
        <v>482</v>
      </c>
    </row>
    <row r="128" spans="1:20" ht="140" hidden="1" x14ac:dyDescent="0.2">
      <c r="A128" s="3" t="s">
        <v>671</v>
      </c>
      <c r="B128" s="3" t="s">
        <v>670</v>
      </c>
      <c r="C128" s="3" t="s">
        <v>3464</v>
      </c>
      <c r="D128" s="3">
        <v>97</v>
      </c>
      <c r="E128" s="3" t="s">
        <v>2514</v>
      </c>
      <c r="F128" s="3" t="s">
        <v>3465</v>
      </c>
      <c r="G128" s="6" t="s">
        <v>3466</v>
      </c>
      <c r="H128" s="3" t="s">
        <v>3467</v>
      </c>
      <c r="I128" s="3" t="s">
        <v>2508</v>
      </c>
      <c r="J128" s="3" t="s">
        <v>3468</v>
      </c>
      <c r="K128" s="3" t="s">
        <v>2538</v>
      </c>
      <c r="L128" s="3" t="s">
        <v>2531</v>
      </c>
      <c r="M128" s="3" t="s">
        <v>3146</v>
      </c>
      <c r="N128" s="3" t="s">
        <v>1931</v>
      </c>
      <c r="O128" s="3" t="s">
        <v>482</v>
      </c>
      <c r="P128" s="3">
        <v>0</v>
      </c>
      <c r="Q128" s="3" t="s">
        <v>2560</v>
      </c>
      <c r="R128" s="3" t="s">
        <v>405</v>
      </c>
      <c r="S128" s="3" t="s">
        <v>2147</v>
      </c>
      <c r="T128" s="3" t="s">
        <v>1717</v>
      </c>
    </row>
    <row r="129" spans="1:20" ht="112" hidden="1" x14ac:dyDescent="0.2">
      <c r="A129" s="3" t="s">
        <v>3469</v>
      </c>
      <c r="B129" s="3" t="s">
        <v>3470</v>
      </c>
      <c r="C129" s="3" t="s">
        <v>3464</v>
      </c>
      <c r="D129" s="3">
        <v>108</v>
      </c>
      <c r="E129" s="3" t="s">
        <v>2514</v>
      </c>
      <c r="F129" s="3" t="s">
        <v>3471</v>
      </c>
      <c r="G129" s="6" t="s">
        <v>3472</v>
      </c>
      <c r="H129" s="3" t="s">
        <v>3473</v>
      </c>
      <c r="I129" s="3" t="s">
        <v>2529</v>
      </c>
      <c r="J129" s="3" t="s">
        <v>3457</v>
      </c>
      <c r="K129" s="3" t="s">
        <v>2758</v>
      </c>
      <c r="L129" s="3" t="s">
        <v>3474</v>
      </c>
      <c r="M129" s="3" t="s">
        <v>2567</v>
      </c>
      <c r="N129" s="3" t="s">
        <v>1931</v>
      </c>
      <c r="O129" s="3" t="s">
        <v>3475</v>
      </c>
      <c r="P129" s="3">
        <v>7</v>
      </c>
      <c r="Q129" s="3" t="s">
        <v>3476</v>
      </c>
      <c r="R129" s="3" t="s">
        <v>3477</v>
      </c>
      <c r="S129" s="3" t="s">
        <v>482</v>
      </c>
      <c r="T129" s="3" t="s">
        <v>2413</v>
      </c>
    </row>
    <row r="130" spans="1:20" ht="126" hidden="1" x14ac:dyDescent="0.2">
      <c r="A130" s="3" t="s">
        <v>3478</v>
      </c>
      <c r="B130" s="3" t="s">
        <v>3479</v>
      </c>
      <c r="C130" s="3" t="s">
        <v>3464</v>
      </c>
      <c r="D130" s="3">
        <v>118</v>
      </c>
      <c r="E130" s="3" t="s">
        <v>2514</v>
      </c>
      <c r="F130" s="3" t="s">
        <v>3480</v>
      </c>
      <c r="G130" s="6" t="s">
        <v>3481</v>
      </c>
      <c r="H130" s="3" t="s">
        <v>3482</v>
      </c>
      <c r="I130" s="3" t="s">
        <v>2529</v>
      </c>
      <c r="J130" s="3" t="s">
        <v>3451</v>
      </c>
      <c r="K130" s="3" t="s">
        <v>2972</v>
      </c>
      <c r="L130" s="3" t="s">
        <v>2531</v>
      </c>
      <c r="M130" s="3" t="s">
        <v>2540</v>
      </c>
      <c r="N130" s="3" t="s">
        <v>1931</v>
      </c>
      <c r="O130" s="3" t="s">
        <v>3483</v>
      </c>
      <c r="P130" s="3">
        <v>3</v>
      </c>
      <c r="Q130" s="3" t="s">
        <v>3484</v>
      </c>
      <c r="R130" s="3" t="s">
        <v>3485</v>
      </c>
      <c r="S130" s="3" t="s">
        <v>482</v>
      </c>
      <c r="T130" s="3" t="s">
        <v>3486</v>
      </c>
    </row>
    <row r="131" spans="1:20" ht="64" hidden="1" x14ac:dyDescent="0.2">
      <c r="A131" s="3" t="s">
        <v>3487</v>
      </c>
      <c r="B131" s="3" t="s">
        <v>3488</v>
      </c>
      <c r="C131" s="3" t="s">
        <v>3464</v>
      </c>
      <c r="D131" s="3">
        <v>166</v>
      </c>
      <c r="E131" s="3" t="s">
        <v>2641</v>
      </c>
      <c r="F131" s="3" t="s">
        <v>3489</v>
      </c>
      <c r="G131" s="6" t="s">
        <v>3490</v>
      </c>
      <c r="H131" s="3" t="s">
        <v>3490</v>
      </c>
      <c r="I131" s="3" t="s">
        <v>2508</v>
      </c>
      <c r="J131" s="3" t="s">
        <v>3491</v>
      </c>
      <c r="K131" s="3" t="s">
        <v>2538</v>
      </c>
      <c r="L131" s="3" t="s">
        <v>482</v>
      </c>
      <c r="M131" s="3" t="s">
        <v>2540</v>
      </c>
      <c r="N131" s="3" t="s">
        <v>1816</v>
      </c>
      <c r="O131" s="3" t="s">
        <v>3492</v>
      </c>
      <c r="P131" s="3">
        <v>4</v>
      </c>
      <c r="Q131" s="3" t="s">
        <v>3493</v>
      </c>
      <c r="R131" s="3" t="s">
        <v>3494</v>
      </c>
      <c r="S131" s="3" t="s">
        <v>482</v>
      </c>
      <c r="T131" s="3" t="s">
        <v>3495</v>
      </c>
    </row>
    <row r="132" spans="1:20" ht="96" hidden="1" x14ac:dyDescent="0.2">
      <c r="A132" s="3" t="s">
        <v>3496</v>
      </c>
      <c r="B132" s="3" t="s">
        <v>3497</v>
      </c>
      <c r="C132" s="3" t="s">
        <v>3464</v>
      </c>
      <c r="D132" s="3">
        <v>167</v>
      </c>
      <c r="E132" s="3" t="s">
        <v>2514</v>
      </c>
      <c r="F132" s="3" t="s">
        <v>3498</v>
      </c>
      <c r="G132" s="6" t="s">
        <v>2803</v>
      </c>
      <c r="H132" s="3" t="s">
        <v>2803</v>
      </c>
      <c r="I132" s="3" t="s">
        <v>2529</v>
      </c>
      <c r="J132" s="3" t="s">
        <v>2804</v>
      </c>
      <c r="K132" s="3" t="s">
        <v>2538</v>
      </c>
      <c r="L132" s="3" t="s">
        <v>3499</v>
      </c>
      <c r="M132" s="3" t="s">
        <v>2540</v>
      </c>
      <c r="N132" s="3" t="s">
        <v>1931</v>
      </c>
      <c r="O132" s="3" t="s">
        <v>3483</v>
      </c>
      <c r="P132" s="3">
        <v>3</v>
      </c>
      <c r="Q132" s="3" t="s">
        <v>3484</v>
      </c>
      <c r="R132" s="3" t="s">
        <v>3500</v>
      </c>
      <c r="S132" s="3" t="s">
        <v>482</v>
      </c>
      <c r="T132" s="3" t="s">
        <v>3501</v>
      </c>
    </row>
    <row r="133" spans="1:20" ht="48" hidden="1" x14ac:dyDescent="0.2">
      <c r="A133" s="3" t="s">
        <v>3502</v>
      </c>
      <c r="B133" s="3" t="s">
        <v>3503</v>
      </c>
      <c r="C133" s="3" t="s">
        <v>3464</v>
      </c>
      <c r="D133" s="3">
        <v>193</v>
      </c>
      <c r="E133" s="3" t="s">
        <v>2504</v>
      </c>
      <c r="F133" s="3" t="s">
        <v>3504</v>
      </c>
      <c r="G133" s="6" t="s">
        <v>3505</v>
      </c>
      <c r="H133" s="3" t="s">
        <v>3506</v>
      </c>
      <c r="I133" s="3" t="s">
        <v>2529</v>
      </c>
      <c r="J133" s="3" t="s">
        <v>3507</v>
      </c>
      <c r="K133" s="3" t="s">
        <v>3508</v>
      </c>
      <c r="L133" s="3" t="s">
        <v>482</v>
      </c>
      <c r="M133" s="3" t="s">
        <v>2540</v>
      </c>
      <c r="N133" s="3" t="s">
        <v>1931</v>
      </c>
      <c r="O133" s="3" t="s">
        <v>3509</v>
      </c>
      <c r="P133" s="3">
        <v>1</v>
      </c>
      <c r="Q133" s="3" t="s">
        <v>3509</v>
      </c>
      <c r="R133" s="3" t="s">
        <v>3510</v>
      </c>
      <c r="S133" s="3" t="s">
        <v>482</v>
      </c>
      <c r="T133" s="3" t="s">
        <v>2324</v>
      </c>
    </row>
    <row r="134" spans="1:20" ht="64" hidden="1" x14ac:dyDescent="0.2">
      <c r="A134" s="3" t="s">
        <v>3511</v>
      </c>
      <c r="B134" s="3" t="s">
        <v>3512</v>
      </c>
      <c r="C134" s="3" t="s">
        <v>3464</v>
      </c>
      <c r="D134" s="3">
        <v>200</v>
      </c>
      <c r="E134" s="3" t="s">
        <v>2514</v>
      </c>
      <c r="F134" s="3" t="s">
        <v>3513</v>
      </c>
      <c r="G134" s="6" t="s">
        <v>3514</v>
      </c>
      <c r="H134" s="3" t="s">
        <v>3515</v>
      </c>
      <c r="I134" s="3" t="s">
        <v>2508</v>
      </c>
      <c r="J134" s="3" t="s">
        <v>3516</v>
      </c>
      <c r="K134" s="3" t="s">
        <v>3517</v>
      </c>
      <c r="L134" s="3" t="s">
        <v>2531</v>
      </c>
      <c r="M134" s="3" t="s">
        <v>2540</v>
      </c>
      <c r="N134" s="3" t="s">
        <v>1931</v>
      </c>
      <c r="O134" s="3" t="s">
        <v>482</v>
      </c>
      <c r="P134" s="3">
        <v>0</v>
      </c>
      <c r="Q134" s="3" t="s">
        <v>2560</v>
      </c>
      <c r="R134" s="3" t="s">
        <v>405</v>
      </c>
      <c r="S134" s="3" t="s">
        <v>482</v>
      </c>
      <c r="T134" s="3" t="s">
        <v>3518</v>
      </c>
    </row>
    <row r="135" spans="1:20" ht="42" hidden="1" x14ac:dyDescent="0.2">
      <c r="A135" s="3" t="s">
        <v>3519</v>
      </c>
      <c r="B135" s="3" t="s">
        <v>3520</v>
      </c>
      <c r="C135" s="3" t="s">
        <v>3464</v>
      </c>
      <c r="D135" s="3">
        <v>208</v>
      </c>
      <c r="E135" s="3" t="s">
        <v>2514</v>
      </c>
      <c r="F135" s="3" t="s">
        <v>3521</v>
      </c>
      <c r="G135" s="6" t="s">
        <v>3398</v>
      </c>
      <c r="H135" s="3" t="s">
        <v>3398</v>
      </c>
      <c r="I135" s="3" t="s">
        <v>3399</v>
      </c>
      <c r="J135" s="3" t="s">
        <v>3522</v>
      </c>
      <c r="K135" s="3" t="s">
        <v>2538</v>
      </c>
      <c r="L135" s="3" t="s">
        <v>2531</v>
      </c>
      <c r="M135" s="3" t="s">
        <v>2540</v>
      </c>
      <c r="N135" s="3" t="s">
        <v>1931</v>
      </c>
      <c r="O135" s="3" t="s">
        <v>482</v>
      </c>
      <c r="P135" s="3">
        <v>0</v>
      </c>
      <c r="Q135" s="3" t="s">
        <v>2560</v>
      </c>
      <c r="R135" s="3" t="s">
        <v>405</v>
      </c>
      <c r="S135" s="3" t="s">
        <v>482</v>
      </c>
      <c r="T135" s="3" t="s">
        <v>3523</v>
      </c>
    </row>
    <row r="136" spans="1:20" ht="154" hidden="1" x14ac:dyDescent="0.2">
      <c r="A136" s="3" t="s">
        <v>3524</v>
      </c>
      <c r="B136" s="3" t="s">
        <v>3525</v>
      </c>
      <c r="C136" s="3" t="s">
        <v>3464</v>
      </c>
      <c r="D136" s="3">
        <v>221</v>
      </c>
      <c r="E136" s="3" t="s">
        <v>2514</v>
      </c>
      <c r="F136" s="3" t="s">
        <v>3526</v>
      </c>
      <c r="G136" s="6" t="s">
        <v>3527</v>
      </c>
      <c r="H136" s="3" t="s">
        <v>3528</v>
      </c>
      <c r="I136" s="3" t="s">
        <v>2508</v>
      </c>
      <c r="J136" s="3" t="s">
        <v>3451</v>
      </c>
      <c r="K136" s="3" t="s">
        <v>3529</v>
      </c>
      <c r="L136" s="3" t="s">
        <v>3530</v>
      </c>
      <c r="M136" s="3" t="s">
        <v>2540</v>
      </c>
      <c r="N136" s="3" t="s">
        <v>1931</v>
      </c>
      <c r="O136" s="3" t="s">
        <v>3531</v>
      </c>
      <c r="P136" s="3">
        <v>2</v>
      </c>
      <c r="Q136" s="3" t="s">
        <v>3532</v>
      </c>
      <c r="R136" s="3" t="s">
        <v>3533</v>
      </c>
      <c r="S136" s="3" t="s">
        <v>482</v>
      </c>
      <c r="T136" s="3" t="s">
        <v>2295</v>
      </c>
    </row>
    <row r="137" spans="1:20" ht="56" hidden="1" x14ac:dyDescent="0.2">
      <c r="A137" s="3" t="s">
        <v>3534</v>
      </c>
      <c r="B137" s="3" t="s">
        <v>3535</v>
      </c>
      <c r="C137" s="3" t="s">
        <v>3464</v>
      </c>
      <c r="D137" s="3">
        <v>238</v>
      </c>
      <c r="E137" s="3" t="s">
        <v>2514</v>
      </c>
      <c r="F137" s="3" t="s">
        <v>3536</v>
      </c>
      <c r="G137" s="6" t="s">
        <v>3537</v>
      </c>
      <c r="H137" s="3" t="s">
        <v>3538</v>
      </c>
      <c r="I137" s="3" t="s">
        <v>2529</v>
      </c>
      <c r="J137" s="3" t="s">
        <v>3451</v>
      </c>
      <c r="K137" s="3" t="s">
        <v>3539</v>
      </c>
      <c r="L137" s="3" t="s">
        <v>3540</v>
      </c>
      <c r="M137" s="3" t="s">
        <v>2540</v>
      </c>
      <c r="N137" s="3" t="s">
        <v>1931</v>
      </c>
      <c r="O137" s="3" t="s">
        <v>482</v>
      </c>
      <c r="P137" s="3">
        <v>0</v>
      </c>
      <c r="Q137" s="3" t="s">
        <v>2560</v>
      </c>
      <c r="R137" s="3" t="s">
        <v>405</v>
      </c>
      <c r="S137" s="3" t="s">
        <v>482</v>
      </c>
      <c r="T137" s="3" t="s">
        <v>3541</v>
      </c>
    </row>
    <row r="138" spans="1:20" ht="32" hidden="1" x14ac:dyDescent="0.2">
      <c r="A138" s="3" t="s">
        <v>3542</v>
      </c>
      <c r="B138" s="3" t="s">
        <v>3543</v>
      </c>
      <c r="C138" s="3" t="s">
        <v>3464</v>
      </c>
      <c r="D138" s="3">
        <v>247</v>
      </c>
      <c r="E138" s="3" t="s">
        <v>2504</v>
      </c>
      <c r="F138" s="3" t="s">
        <v>3544</v>
      </c>
      <c r="G138" s="6" t="s">
        <v>3545</v>
      </c>
      <c r="H138" s="3" t="s">
        <v>3546</v>
      </c>
      <c r="I138" s="3" t="s">
        <v>2529</v>
      </c>
      <c r="J138" s="3" t="s">
        <v>3451</v>
      </c>
      <c r="K138" s="3" t="s">
        <v>3547</v>
      </c>
      <c r="L138" s="3" t="s">
        <v>482</v>
      </c>
      <c r="M138" s="3" t="s">
        <v>2540</v>
      </c>
      <c r="N138" s="3" t="s">
        <v>1931</v>
      </c>
      <c r="O138" s="3" t="s">
        <v>482</v>
      </c>
      <c r="P138" s="3">
        <v>0</v>
      </c>
      <c r="Q138" s="3" t="s">
        <v>2560</v>
      </c>
      <c r="R138" s="3" t="s">
        <v>405</v>
      </c>
      <c r="S138" s="3" t="s">
        <v>482</v>
      </c>
      <c r="T138" s="3" t="s">
        <v>3548</v>
      </c>
    </row>
    <row r="139" spans="1:20" ht="64" hidden="1" x14ac:dyDescent="0.2">
      <c r="A139" s="3" t="s">
        <v>3549</v>
      </c>
      <c r="B139" s="3" t="s">
        <v>3550</v>
      </c>
      <c r="C139" s="3" t="s">
        <v>3464</v>
      </c>
      <c r="D139" s="3">
        <v>253</v>
      </c>
      <c r="E139" s="3" t="s">
        <v>2504</v>
      </c>
      <c r="F139" s="3" t="s">
        <v>3551</v>
      </c>
      <c r="G139" s="6" t="s">
        <v>3552</v>
      </c>
      <c r="H139" s="3" t="s">
        <v>3553</v>
      </c>
      <c r="I139" s="3" t="s">
        <v>2529</v>
      </c>
      <c r="J139" s="3" t="s">
        <v>3451</v>
      </c>
      <c r="K139" s="3" t="s">
        <v>2972</v>
      </c>
      <c r="L139" s="3" t="s">
        <v>482</v>
      </c>
      <c r="M139" s="3" t="s">
        <v>3554</v>
      </c>
      <c r="N139" s="3" t="s">
        <v>1931</v>
      </c>
      <c r="O139" s="3" t="s">
        <v>3555</v>
      </c>
      <c r="P139" s="3">
        <v>4</v>
      </c>
      <c r="Q139" s="3" t="s">
        <v>3556</v>
      </c>
      <c r="R139" s="3" t="s">
        <v>3557</v>
      </c>
      <c r="S139" s="3" t="s">
        <v>482</v>
      </c>
      <c r="T139" s="3" t="s">
        <v>2476</v>
      </c>
    </row>
    <row r="140" spans="1:20" ht="48" hidden="1" x14ac:dyDescent="0.2">
      <c r="A140" s="3" t="s">
        <v>3558</v>
      </c>
      <c r="B140" s="3" t="s">
        <v>525</v>
      </c>
      <c r="C140" s="3" t="s">
        <v>3464</v>
      </c>
      <c r="D140" s="3">
        <v>264</v>
      </c>
      <c r="E140" s="3" t="s">
        <v>2504</v>
      </c>
      <c r="F140" s="3" t="s">
        <v>2616</v>
      </c>
      <c r="G140" s="6" t="s">
        <v>3559</v>
      </c>
      <c r="H140" s="3" t="s">
        <v>3560</v>
      </c>
      <c r="I140" s="3" t="s">
        <v>2529</v>
      </c>
      <c r="J140" s="3" t="s">
        <v>3457</v>
      </c>
      <c r="K140" s="3" t="s">
        <v>2519</v>
      </c>
      <c r="L140" s="3" t="s">
        <v>482</v>
      </c>
      <c r="M140" s="3" t="s">
        <v>3561</v>
      </c>
      <c r="N140" s="3" t="s">
        <v>1931</v>
      </c>
      <c r="O140" s="3" t="s">
        <v>2512</v>
      </c>
      <c r="P140" s="3">
        <v>1</v>
      </c>
      <c r="Q140" s="3" t="s">
        <v>2512</v>
      </c>
      <c r="R140" s="3" t="s">
        <v>3562</v>
      </c>
      <c r="S140" s="3" t="s">
        <v>482</v>
      </c>
      <c r="T140" s="3" t="s">
        <v>482</v>
      </c>
    </row>
    <row r="141" spans="1:20" ht="160" hidden="1" x14ac:dyDescent="0.2">
      <c r="A141" s="3" t="s">
        <v>538</v>
      </c>
      <c r="B141" s="3" t="s">
        <v>537</v>
      </c>
      <c r="C141" s="3" t="s">
        <v>3464</v>
      </c>
      <c r="D141" s="3">
        <v>271</v>
      </c>
      <c r="E141" s="3" t="s">
        <v>2514</v>
      </c>
      <c r="F141" s="3" t="s">
        <v>3563</v>
      </c>
      <c r="G141" s="6" t="s">
        <v>3564</v>
      </c>
      <c r="H141" s="3" t="s">
        <v>3565</v>
      </c>
      <c r="I141" s="3" t="s">
        <v>2529</v>
      </c>
      <c r="J141" s="3" t="s">
        <v>3457</v>
      </c>
      <c r="K141" s="3" t="s">
        <v>2519</v>
      </c>
      <c r="L141" s="3" t="s">
        <v>3566</v>
      </c>
      <c r="M141" s="3" t="s">
        <v>3561</v>
      </c>
      <c r="N141" s="3" t="s">
        <v>1931</v>
      </c>
      <c r="O141" s="3" t="s">
        <v>3567</v>
      </c>
      <c r="P141" s="3">
        <v>5</v>
      </c>
      <c r="Q141" s="3" t="s">
        <v>3568</v>
      </c>
      <c r="R141" s="3" t="s">
        <v>542</v>
      </c>
      <c r="S141" s="3" t="s">
        <v>534</v>
      </c>
      <c r="T141" s="3" t="s">
        <v>2123</v>
      </c>
    </row>
    <row r="142" spans="1:20" ht="48" hidden="1" x14ac:dyDescent="0.2">
      <c r="A142" s="3" t="s">
        <v>3569</v>
      </c>
      <c r="B142" s="3" t="s">
        <v>3570</v>
      </c>
      <c r="C142" s="3" t="s">
        <v>3464</v>
      </c>
      <c r="D142" s="3">
        <v>277</v>
      </c>
      <c r="E142" s="3" t="s">
        <v>2635</v>
      </c>
      <c r="F142" s="3" t="s">
        <v>2616</v>
      </c>
      <c r="G142" s="6" t="s">
        <v>3571</v>
      </c>
      <c r="H142" s="3" t="s">
        <v>3572</v>
      </c>
      <c r="I142" s="3" t="s">
        <v>2508</v>
      </c>
      <c r="J142" s="3" t="s">
        <v>3457</v>
      </c>
      <c r="K142" s="3" t="s">
        <v>2519</v>
      </c>
      <c r="L142" s="3" t="s">
        <v>482</v>
      </c>
      <c r="M142" s="3" t="s">
        <v>2540</v>
      </c>
      <c r="N142" s="3" t="s">
        <v>1816</v>
      </c>
      <c r="O142" s="3" t="s">
        <v>3483</v>
      </c>
      <c r="P142" s="3">
        <v>3</v>
      </c>
      <c r="Q142" s="3" t="s">
        <v>3484</v>
      </c>
      <c r="R142" s="3" t="s">
        <v>3573</v>
      </c>
      <c r="S142" s="3" t="s">
        <v>482</v>
      </c>
      <c r="T142" s="3" t="s">
        <v>482</v>
      </c>
    </row>
    <row r="143" spans="1:20" ht="48" hidden="1" x14ac:dyDescent="0.2">
      <c r="A143" s="3" t="s">
        <v>3574</v>
      </c>
      <c r="B143" s="3" t="s">
        <v>3575</v>
      </c>
      <c r="C143" s="3" t="s">
        <v>3464</v>
      </c>
      <c r="D143" s="3">
        <v>280</v>
      </c>
      <c r="E143" s="3" t="s">
        <v>2635</v>
      </c>
      <c r="F143" s="3" t="s">
        <v>2616</v>
      </c>
      <c r="G143" s="6" t="s">
        <v>3576</v>
      </c>
      <c r="H143" s="3" t="s">
        <v>3577</v>
      </c>
      <c r="I143" s="3" t="s">
        <v>2508</v>
      </c>
      <c r="J143" s="3" t="s">
        <v>3457</v>
      </c>
      <c r="K143" s="3" t="s">
        <v>2519</v>
      </c>
      <c r="L143" s="3" t="s">
        <v>482</v>
      </c>
      <c r="M143" s="3" t="s">
        <v>2540</v>
      </c>
      <c r="N143" s="3" t="s">
        <v>1816</v>
      </c>
      <c r="O143" s="3" t="s">
        <v>3483</v>
      </c>
      <c r="P143" s="3">
        <v>3</v>
      </c>
      <c r="Q143" s="3" t="s">
        <v>3484</v>
      </c>
      <c r="R143" s="3" t="s">
        <v>3578</v>
      </c>
      <c r="S143" s="3" t="s">
        <v>482</v>
      </c>
      <c r="T143" s="3" t="s">
        <v>482</v>
      </c>
    </row>
    <row r="144" spans="1:20" ht="48" hidden="1" x14ac:dyDescent="0.2">
      <c r="A144" s="3" t="s">
        <v>3579</v>
      </c>
      <c r="B144" s="3" t="s">
        <v>3580</v>
      </c>
      <c r="C144" s="3" t="s">
        <v>3464</v>
      </c>
      <c r="D144" s="3">
        <v>283</v>
      </c>
      <c r="E144" s="3" t="s">
        <v>2635</v>
      </c>
      <c r="F144" s="3" t="s">
        <v>2616</v>
      </c>
      <c r="G144" s="6" t="s">
        <v>3581</v>
      </c>
      <c r="H144" s="3" t="s">
        <v>3582</v>
      </c>
      <c r="I144" s="3" t="s">
        <v>2508</v>
      </c>
      <c r="J144" s="3" t="s">
        <v>3457</v>
      </c>
      <c r="K144" s="3" t="s">
        <v>2519</v>
      </c>
      <c r="L144" s="3" t="s">
        <v>482</v>
      </c>
      <c r="M144" s="3" t="s">
        <v>2540</v>
      </c>
      <c r="N144" s="3" t="s">
        <v>1816</v>
      </c>
      <c r="O144" s="3" t="s">
        <v>3483</v>
      </c>
      <c r="P144" s="3">
        <v>3</v>
      </c>
      <c r="Q144" s="3" t="s">
        <v>3484</v>
      </c>
      <c r="R144" s="3" t="s">
        <v>3583</v>
      </c>
      <c r="S144" s="3" t="s">
        <v>482</v>
      </c>
      <c r="T144" s="3" t="s">
        <v>482</v>
      </c>
    </row>
    <row r="145" spans="1:20" ht="48" hidden="1" x14ac:dyDescent="0.2">
      <c r="A145" s="3" t="s">
        <v>3584</v>
      </c>
      <c r="B145" s="3" t="s">
        <v>3585</v>
      </c>
      <c r="C145" s="3" t="s">
        <v>3464</v>
      </c>
      <c r="D145" s="3">
        <v>286</v>
      </c>
      <c r="E145" s="3" t="s">
        <v>2635</v>
      </c>
      <c r="F145" s="3" t="s">
        <v>2616</v>
      </c>
      <c r="G145" s="6" t="s">
        <v>3586</v>
      </c>
      <c r="H145" s="3" t="s">
        <v>3587</v>
      </c>
      <c r="I145" s="3" t="s">
        <v>2508</v>
      </c>
      <c r="J145" s="3" t="s">
        <v>3457</v>
      </c>
      <c r="K145" s="3" t="s">
        <v>2519</v>
      </c>
      <c r="L145" s="3" t="s">
        <v>482</v>
      </c>
      <c r="M145" s="3" t="s">
        <v>2540</v>
      </c>
      <c r="N145" s="3" t="s">
        <v>1816</v>
      </c>
      <c r="O145" s="3" t="s">
        <v>3483</v>
      </c>
      <c r="P145" s="3">
        <v>3</v>
      </c>
      <c r="Q145" s="3" t="s">
        <v>3484</v>
      </c>
      <c r="R145" s="3" t="s">
        <v>3588</v>
      </c>
      <c r="S145" s="3" t="s">
        <v>482</v>
      </c>
      <c r="T145" s="3" t="s">
        <v>482</v>
      </c>
    </row>
    <row r="146" spans="1:20" ht="48" hidden="1" x14ac:dyDescent="0.2">
      <c r="A146" s="3" t="s">
        <v>382</v>
      </c>
      <c r="B146" s="3" t="s">
        <v>381</v>
      </c>
      <c r="C146" s="3" t="s">
        <v>3464</v>
      </c>
      <c r="D146" s="3">
        <v>291</v>
      </c>
      <c r="E146" s="3" t="s">
        <v>2514</v>
      </c>
      <c r="F146" s="3" t="s">
        <v>3589</v>
      </c>
      <c r="G146" s="6" t="s">
        <v>3590</v>
      </c>
      <c r="H146" s="3" t="s">
        <v>3591</v>
      </c>
      <c r="I146" s="3" t="s">
        <v>2508</v>
      </c>
      <c r="J146" s="3" t="s">
        <v>3457</v>
      </c>
      <c r="K146" s="3" t="s">
        <v>2519</v>
      </c>
      <c r="L146" s="3" t="s">
        <v>3592</v>
      </c>
      <c r="M146" s="3" t="s">
        <v>2540</v>
      </c>
      <c r="N146" s="3" t="s">
        <v>1931</v>
      </c>
      <c r="O146" s="3" t="s">
        <v>3483</v>
      </c>
      <c r="P146" s="3">
        <v>3</v>
      </c>
      <c r="Q146" s="3" t="s">
        <v>3484</v>
      </c>
      <c r="R146" s="3" t="s">
        <v>387</v>
      </c>
      <c r="S146" s="3" t="s">
        <v>377</v>
      </c>
      <c r="T146" s="3" t="s">
        <v>2299</v>
      </c>
    </row>
    <row r="147" spans="1:20" ht="96" hidden="1" x14ac:dyDescent="0.2">
      <c r="A147" s="3" t="s">
        <v>3593</v>
      </c>
      <c r="B147" s="3" t="s">
        <v>3594</v>
      </c>
      <c r="C147" s="3" t="s">
        <v>3464</v>
      </c>
      <c r="D147" s="3">
        <v>296</v>
      </c>
      <c r="E147" s="3" t="s">
        <v>2514</v>
      </c>
      <c r="F147" s="3" t="s">
        <v>3595</v>
      </c>
      <c r="G147" s="6" t="s">
        <v>3596</v>
      </c>
      <c r="H147" s="3" t="s">
        <v>3597</v>
      </c>
      <c r="I147" s="3" t="s">
        <v>2508</v>
      </c>
      <c r="J147" s="3" t="s">
        <v>3457</v>
      </c>
      <c r="K147" s="3" t="s">
        <v>2519</v>
      </c>
      <c r="L147" s="3" t="s">
        <v>2531</v>
      </c>
      <c r="M147" s="3" t="s">
        <v>2540</v>
      </c>
      <c r="N147" s="3" t="s">
        <v>1931</v>
      </c>
      <c r="O147" s="3" t="s">
        <v>3598</v>
      </c>
      <c r="P147" s="3">
        <v>6</v>
      </c>
      <c r="Q147" s="3" t="s">
        <v>3599</v>
      </c>
      <c r="R147" s="3" t="s">
        <v>3600</v>
      </c>
      <c r="S147" s="3" t="s">
        <v>482</v>
      </c>
      <c r="T147" s="3" t="s">
        <v>3601</v>
      </c>
    </row>
    <row r="148" spans="1:20" ht="48" hidden="1" x14ac:dyDescent="0.2">
      <c r="A148" s="3" t="s">
        <v>3602</v>
      </c>
      <c r="B148" s="3" t="s">
        <v>3603</v>
      </c>
      <c r="C148" s="3" t="s">
        <v>3464</v>
      </c>
      <c r="D148" s="3">
        <v>315</v>
      </c>
      <c r="E148" s="3" t="s">
        <v>2641</v>
      </c>
      <c r="F148" s="3" t="s">
        <v>2616</v>
      </c>
      <c r="G148" s="6" t="s">
        <v>3604</v>
      </c>
      <c r="H148" s="3" t="s">
        <v>3605</v>
      </c>
      <c r="I148" s="3" t="s">
        <v>2529</v>
      </c>
      <c r="J148" s="3" t="s">
        <v>3491</v>
      </c>
      <c r="K148" s="3" t="s">
        <v>3348</v>
      </c>
      <c r="L148" s="3" t="s">
        <v>482</v>
      </c>
      <c r="M148" s="3" t="s">
        <v>2540</v>
      </c>
      <c r="N148" s="3" t="s">
        <v>1931</v>
      </c>
      <c r="O148" s="3" t="s">
        <v>482</v>
      </c>
      <c r="P148" s="3">
        <v>0</v>
      </c>
      <c r="Q148" s="3" t="s">
        <v>2560</v>
      </c>
      <c r="R148" s="3" t="s">
        <v>405</v>
      </c>
      <c r="S148" s="3" t="s">
        <v>482</v>
      </c>
      <c r="T148" s="3" t="s">
        <v>482</v>
      </c>
    </row>
    <row r="149" spans="1:20" ht="42" hidden="1" x14ac:dyDescent="0.2">
      <c r="A149" s="3" t="s">
        <v>3606</v>
      </c>
      <c r="B149" s="3" t="s">
        <v>3607</v>
      </c>
      <c r="C149" s="3" t="s">
        <v>3464</v>
      </c>
      <c r="D149" s="3">
        <v>321</v>
      </c>
      <c r="E149" s="3" t="s">
        <v>2504</v>
      </c>
      <c r="F149" s="3" t="s">
        <v>3608</v>
      </c>
      <c r="G149" s="6" t="s">
        <v>3609</v>
      </c>
      <c r="H149" s="3" t="s">
        <v>3610</v>
      </c>
      <c r="I149" s="3" t="s">
        <v>2508</v>
      </c>
      <c r="J149" s="3" t="s">
        <v>3611</v>
      </c>
      <c r="K149" s="3" t="s">
        <v>3612</v>
      </c>
      <c r="L149" s="3" t="s">
        <v>482</v>
      </c>
      <c r="M149" s="3" t="s">
        <v>2540</v>
      </c>
      <c r="N149" s="3" t="s">
        <v>1931</v>
      </c>
      <c r="O149" s="3" t="s">
        <v>482</v>
      </c>
      <c r="P149" s="3">
        <v>0</v>
      </c>
      <c r="Q149" s="3" t="s">
        <v>2560</v>
      </c>
      <c r="R149" s="3" t="s">
        <v>405</v>
      </c>
      <c r="S149" s="3" t="s">
        <v>482</v>
      </c>
      <c r="T149" s="3" t="s">
        <v>482</v>
      </c>
    </row>
    <row r="150" spans="1:20" ht="238" hidden="1" x14ac:dyDescent="0.2">
      <c r="A150" s="3" t="s">
        <v>3613</v>
      </c>
      <c r="B150" s="3" t="s">
        <v>3614</v>
      </c>
      <c r="C150" s="3" t="s">
        <v>3464</v>
      </c>
      <c r="D150" s="3">
        <v>333</v>
      </c>
      <c r="E150" s="3" t="s">
        <v>2504</v>
      </c>
      <c r="F150" s="3" t="s">
        <v>3615</v>
      </c>
      <c r="G150" s="6" t="s">
        <v>3616</v>
      </c>
      <c r="H150" s="3" t="s">
        <v>3617</v>
      </c>
      <c r="I150" s="3" t="s">
        <v>2508</v>
      </c>
      <c r="J150" s="3" t="s">
        <v>3618</v>
      </c>
      <c r="K150" s="3" t="s">
        <v>3348</v>
      </c>
      <c r="L150" s="3" t="s">
        <v>482</v>
      </c>
      <c r="M150" s="3" t="s">
        <v>2540</v>
      </c>
      <c r="N150" s="3" t="s">
        <v>1931</v>
      </c>
      <c r="O150" s="3" t="s">
        <v>3619</v>
      </c>
      <c r="P150" s="3">
        <v>3</v>
      </c>
      <c r="Q150" s="3" t="s">
        <v>3619</v>
      </c>
      <c r="R150" s="3" t="s">
        <v>3620</v>
      </c>
      <c r="S150" s="3" t="s">
        <v>482</v>
      </c>
      <c r="T150" s="3" t="s">
        <v>482</v>
      </c>
    </row>
    <row r="151" spans="1:20" ht="112" hidden="1" x14ac:dyDescent="0.2">
      <c r="A151" s="3" t="s">
        <v>3621</v>
      </c>
      <c r="B151" s="3" t="s">
        <v>3622</v>
      </c>
      <c r="C151" s="3" t="s">
        <v>3464</v>
      </c>
      <c r="D151" s="3">
        <v>379</v>
      </c>
      <c r="E151" s="3" t="s">
        <v>2514</v>
      </c>
      <c r="F151" s="3" t="s">
        <v>3623</v>
      </c>
      <c r="G151" s="6" t="s">
        <v>3624</v>
      </c>
      <c r="H151" s="3" t="s">
        <v>3625</v>
      </c>
      <c r="I151" s="3" t="s">
        <v>2508</v>
      </c>
      <c r="J151" s="3" t="s">
        <v>3626</v>
      </c>
      <c r="K151" s="3" t="s">
        <v>3627</v>
      </c>
      <c r="L151" s="3" t="s">
        <v>3530</v>
      </c>
      <c r="M151" s="3" t="s">
        <v>2540</v>
      </c>
      <c r="N151" s="3" t="s">
        <v>1931</v>
      </c>
      <c r="O151" s="3" t="s">
        <v>3628</v>
      </c>
      <c r="P151" s="3">
        <v>4</v>
      </c>
      <c r="Q151" s="3" t="s">
        <v>3629</v>
      </c>
      <c r="R151" s="3" t="s">
        <v>3630</v>
      </c>
      <c r="S151" s="3" t="s">
        <v>482</v>
      </c>
      <c r="T151" s="3" t="s">
        <v>3631</v>
      </c>
    </row>
    <row r="152" spans="1:20" ht="293" hidden="1" x14ac:dyDescent="0.2">
      <c r="A152" s="3" t="s">
        <v>572</v>
      </c>
      <c r="B152" s="3" t="s">
        <v>571</v>
      </c>
      <c r="C152" s="3" t="s">
        <v>3464</v>
      </c>
      <c r="D152" s="3">
        <v>401</v>
      </c>
      <c r="E152" s="3" t="s">
        <v>2514</v>
      </c>
      <c r="F152" s="3" t="s">
        <v>3632</v>
      </c>
      <c r="G152" s="6" t="s">
        <v>3633</v>
      </c>
      <c r="H152" s="3" t="s">
        <v>3634</v>
      </c>
      <c r="I152" s="3" t="s">
        <v>2508</v>
      </c>
      <c r="J152" s="3" t="s">
        <v>3451</v>
      </c>
      <c r="K152" s="3" t="s">
        <v>3635</v>
      </c>
      <c r="L152" s="3" t="s">
        <v>2531</v>
      </c>
      <c r="M152" s="3" t="s">
        <v>3636</v>
      </c>
      <c r="N152" s="3" t="s">
        <v>1931</v>
      </c>
      <c r="O152" s="3" t="s">
        <v>3637</v>
      </c>
      <c r="P152" s="3">
        <v>4</v>
      </c>
      <c r="Q152" s="3" t="s">
        <v>3638</v>
      </c>
      <c r="R152" s="3" t="s">
        <v>578</v>
      </c>
      <c r="S152" s="3" t="s">
        <v>2322</v>
      </c>
      <c r="T152" s="3" t="s">
        <v>1558</v>
      </c>
    </row>
    <row r="153" spans="1:20" ht="238" hidden="1" x14ac:dyDescent="0.2">
      <c r="A153" s="3" t="s">
        <v>3639</v>
      </c>
      <c r="B153" s="3" t="s">
        <v>3640</v>
      </c>
      <c r="C153" s="3" t="s">
        <v>3464</v>
      </c>
      <c r="D153" s="3">
        <v>465</v>
      </c>
      <c r="E153" s="3" t="s">
        <v>2514</v>
      </c>
      <c r="F153" s="3" t="s">
        <v>3641</v>
      </c>
      <c r="G153" s="6" t="s">
        <v>3642</v>
      </c>
      <c r="H153" s="3" t="s">
        <v>3643</v>
      </c>
      <c r="I153" s="3" t="s">
        <v>2508</v>
      </c>
      <c r="J153" s="3" t="s">
        <v>3644</v>
      </c>
      <c r="K153" s="3" t="s">
        <v>3348</v>
      </c>
      <c r="L153" s="3" t="s">
        <v>2531</v>
      </c>
      <c r="M153" s="3" t="s">
        <v>2813</v>
      </c>
      <c r="N153" s="3" t="s">
        <v>1931</v>
      </c>
      <c r="O153" s="3" t="s">
        <v>482</v>
      </c>
      <c r="P153" s="3">
        <v>0</v>
      </c>
      <c r="Q153" s="3" t="s">
        <v>2560</v>
      </c>
      <c r="R153" s="3" t="s">
        <v>405</v>
      </c>
      <c r="S153" s="3" t="s">
        <v>482</v>
      </c>
      <c r="T153" s="3" t="s">
        <v>3645</v>
      </c>
    </row>
    <row r="154" spans="1:20" ht="160" hidden="1" x14ac:dyDescent="0.2">
      <c r="A154" s="3" t="s">
        <v>558</v>
      </c>
      <c r="B154" s="3" t="s">
        <v>557</v>
      </c>
      <c r="C154" s="3" t="s">
        <v>3464</v>
      </c>
      <c r="D154" s="3">
        <v>502</v>
      </c>
      <c r="E154" s="3" t="s">
        <v>2514</v>
      </c>
      <c r="F154" s="3" t="s">
        <v>2129</v>
      </c>
      <c r="G154" s="6" t="s">
        <v>3646</v>
      </c>
      <c r="H154" s="3" t="s">
        <v>3647</v>
      </c>
      <c r="I154" s="3" t="s">
        <v>2529</v>
      </c>
      <c r="J154" s="3" t="s">
        <v>3457</v>
      </c>
      <c r="K154" s="3" t="s">
        <v>3648</v>
      </c>
      <c r="L154" s="3" t="s">
        <v>2531</v>
      </c>
      <c r="M154" s="3" t="s">
        <v>3561</v>
      </c>
      <c r="N154" s="3" t="s">
        <v>1931</v>
      </c>
      <c r="O154" s="3" t="s">
        <v>3567</v>
      </c>
      <c r="P154" s="3">
        <v>5</v>
      </c>
      <c r="Q154" s="3" t="s">
        <v>3568</v>
      </c>
      <c r="R154" s="3" t="s">
        <v>563</v>
      </c>
      <c r="S154" s="3" t="s">
        <v>554</v>
      </c>
      <c r="T154" s="3" t="s">
        <v>2127</v>
      </c>
    </row>
    <row r="155" spans="1:20" ht="80" hidden="1" x14ac:dyDescent="0.2">
      <c r="A155" s="3" t="s">
        <v>3649</v>
      </c>
      <c r="B155" s="3" t="s">
        <v>3650</v>
      </c>
      <c r="C155" s="3" t="s">
        <v>3464</v>
      </c>
      <c r="D155" s="3">
        <v>528</v>
      </c>
      <c r="E155" s="3" t="s">
        <v>2514</v>
      </c>
      <c r="F155" s="3" t="s">
        <v>3651</v>
      </c>
      <c r="G155" s="6" t="s">
        <v>3652</v>
      </c>
      <c r="H155" s="3" t="s">
        <v>3653</v>
      </c>
      <c r="I155" s="3" t="s">
        <v>2529</v>
      </c>
      <c r="J155" s="3" t="s">
        <v>3654</v>
      </c>
      <c r="K155" s="3" t="s">
        <v>2519</v>
      </c>
      <c r="L155" s="3" t="s">
        <v>3655</v>
      </c>
      <c r="M155" s="3" t="s">
        <v>2540</v>
      </c>
      <c r="N155" s="3" t="s">
        <v>1931</v>
      </c>
      <c r="O155" s="3" t="s">
        <v>3656</v>
      </c>
      <c r="P155" s="3">
        <v>4</v>
      </c>
      <c r="Q155" s="3" t="s">
        <v>3657</v>
      </c>
      <c r="R155" s="3" t="s">
        <v>3658</v>
      </c>
      <c r="S155" s="3" t="s">
        <v>482</v>
      </c>
      <c r="T155" s="3" t="s">
        <v>3659</v>
      </c>
    </row>
    <row r="156" spans="1:20" ht="98" hidden="1" x14ac:dyDescent="0.2">
      <c r="A156" s="3" t="s">
        <v>3660</v>
      </c>
      <c r="B156" s="3" t="s">
        <v>3661</v>
      </c>
      <c r="C156" s="3" t="s">
        <v>3464</v>
      </c>
      <c r="D156" s="3">
        <v>537</v>
      </c>
      <c r="E156" s="3" t="s">
        <v>2514</v>
      </c>
      <c r="F156" s="3" t="s">
        <v>3662</v>
      </c>
      <c r="G156" s="6" t="s">
        <v>3663</v>
      </c>
      <c r="H156" s="3" t="s">
        <v>3664</v>
      </c>
      <c r="I156" s="3" t="s">
        <v>2508</v>
      </c>
      <c r="J156" s="3" t="s">
        <v>3457</v>
      </c>
      <c r="K156" s="3" t="s">
        <v>3665</v>
      </c>
      <c r="L156" s="3" t="s">
        <v>3666</v>
      </c>
      <c r="M156" s="3" t="s">
        <v>3554</v>
      </c>
      <c r="N156" s="3" t="s">
        <v>1931</v>
      </c>
      <c r="O156" s="3" t="s">
        <v>3483</v>
      </c>
      <c r="P156" s="3">
        <v>3</v>
      </c>
      <c r="Q156" s="3" t="s">
        <v>3484</v>
      </c>
      <c r="R156" s="3" t="s">
        <v>3667</v>
      </c>
      <c r="S156" s="3" t="s">
        <v>482</v>
      </c>
      <c r="T156" s="3" t="s">
        <v>3668</v>
      </c>
    </row>
    <row r="157" spans="1:20" ht="96" hidden="1" x14ac:dyDescent="0.2">
      <c r="A157" s="3" t="s">
        <v>3669</v>
      </c>
      <c r="B157" s="3" t="s">
        <v>3670</v>
      </c>
      <c r="C157" s="3" t="s">
        <v>3464</v>
      </c>
      <c r="D157" s="3">
        <v>543</v>
      </c>
      <c r="E157" s="3" t="s">
        <v>2514</v>
      </c>
      <c r="F157" s="3" t="s">
        <v>3671</v>
      </c>
      <c r="G157" s="6" t="s">
        <v>3672</v>
      </c>
      <c r="H157" s="3" t="s">
        <v>3673</v>
      </c>
      <c r="I157" s="3" t="s">
        <v>2529</v>
      </c>
      <c r="J157" s="3" t="s">
        <v>3654</v>
      </c>
      <c r="K157" s="3" t="s">
        <v>2519</v>
      </c>
      <c r="L157" s="3" t="s">
        <v>3666</v>
      </c>
      <c r="M157" s="3" t="s">
        <v>3561</v>
      </c>
      <c r="N157" s="3" t="s">
        <v>1931</v>
      </c>
      <c r="O157" s="3" t="s">
        <v>3674</v>
      </c>
      <c r="P157" s="3">
        <v>6</v>
      </c>
      <c r="Q157" s="3" t="s">
        <v>3675</v>
      </c>
      <c r="R157" s="3" t="s">
        <v>3676</v>
      </c>
      <c r="S157" s="3" t="s">
        <v>482</v>
      </c>
      <c r="T157" s="3" t="s">
        <v>3677</v>
      </c>
    </row>
    <row r="158" spans="1:20" ht="176" hidden="1" x14ac:dyDescent="0.2">
      <c r="A158" s="3" t="s">
        <v>3678</v>
      </c>
      <c r="B158" s="3" t="s">
        <v>3679</v>
      </c>
      <c r="C158" s="3" t="s">
        <v>3464</v>
      </c>
      <c r="D158" s="3">
        <v>548</v>
      </c>
      <c r="E158" s="3" t="s">
        <v>2514</v>
      </c>
      <c r="F158" s="3" t="s">
        <v>3680</v>
      </c>
      <c r="G158" s="6" t="s">
        <v>3681</v>
      </c>
      <c r="H158" s="3" t="s">
        <v>3682</v>
      </c>
      <c r="I158" s="3" t="s">
        <v>2529</v>
      </c>
      <c r="J158" s="3" t="s">
        <v>3457</v>
      </c>
      <c r="K158" s="3" t="s">
        <v>2519</v>
      </c>
      <c r="L158" s="3" t="s">
        <v>3683</v>
      </c>
      <c r="M158" s="3" t="s">
        <v>2540</v>
      </c>
      <c r="N158" s="3" t="s">
        <v>1931</v>
      </c>
      <c r="O158" s="3" t="s">
        <v>3684</v>
      </c>
      <c r="P158" s="3">
        <v>8</v>
      </c>
      <c r="Q158" s="3" t="s">
        <v>3685</v>
      </c>
      <c r="R158" s="3" t="s">
        <v>3686</v>
      </c>
      <c r="S158" s="3" t="s">
        <v>482</v>
      </c>
      <c r="T158" s="3" t="s">
        <v>2272</v>
      </c>
    </row>
    <row r="159" spans="1:20" ht="64" hidden="1" x14ac:dyDescent="0.2">
      <c r="A159" s="3" t="s">
        <v>3687</v>
      </c>
      <c r="B159" s="3" t="s">
        <v>3688</v>
      </c>
      <c r="C159" s="3" t="s">
        <v>3464</v>
      </c>
      <c r="D159" s="3">
        <v>554</v>
      </c>
      <c r="E159" s="3" t="s">
        <v>2514</v>
      </c>
      <c r="F159" s="3" t="s">
        <v>3689</v>
      </c>
      <c r="G159" s="6" t="s">
        <v>3690</v>
      </c>
      <c r="H159" s="3" t="s">
        <v>3691</v>
      </c>
      <c r="I159" s="3" t="s">
        <v>2508</v>
      </c>
      <c r="J159" s="3" t="s">
        <v>3692</v>
      </c>
      <c r="K159" s="3" t="s">
        <v>2519</v>
      </c>
      <c r="L159" s="3" t="s">
        <v>3693</v>
      </c>
      <c r="M159" s="3" t="s">
        <v>3694</v>
      </c>
      <c r="N159" s="3" t="s">
        <v>1931</v>
      </c>
      <c r="O159" s="3" t="s">
        <v>3492</v>
      </c>
      <c r="P159" s="3">
        <v>4</v>
      </c>
      <c r="Q159" s="3" t="s">
        <v>3493</v>
      </c>
      <c r="R159" s="3" t="s">
        <v>3695</v>
      </c>
      <c r="S159" s="3" t="s">
        <v>482</v>
      </c>
      <c r="T159" s="3" t="s">
        <v>3696</v>
      </c>
    </row>
    <row r="160" spans="1:20" ht="160" hidden="1" x14ac:dyDescent="0.2">
      <c r="A160" s="3" t="s">
        <v>3697</v>
      </c>
      <c r="B160" s="3" t="s">
        <v>3698</v>
      </c>
      <c r="C160" s="3" t="s">
        <v>3464</v>
      </c>
      <c r="D160" s="3">
        <v>597</v>
      </c>
      <c r="E160" s="3" t="s">
        <v>2504</v>
      </c>
      <c r="F160" s="3" t="s">
        <v>3699</v>
      </c>
      <c r="G160" s="6" t="s">
        <v>3700</v>
      </c>
      <c r="H160" s="3" t="s">
        <v>3701</v>
      </c>
      <c r="I160" s="3" t="s">
        <v>2508</v>
      </c>
      <c r="J160" s="3" t="s">
        <v>3702</v>
      </c>
      <c r="K160" s="3" t="s">
        <v>2519</v>
      </c>
      <c r="L160" s="3" t="s">
        <v>482</v>
      </c>
      <c r="M160" s="3" t="s">
        <v>3703</v>
      </c>
      <c r="N160" s="3" t="s">
        <v>1931</v>
      </c>
      <c r="O160" s="3" t="s">
        <v>3704</v>
      </c>
      <c r="P160" s="3">
        <v>8</v>
      </c>
      <c r="Q160" s="3" t="s">
        <v>3705</v>
      </c>
      <c r="R160" s="3" t="s">
        <v>3706</v>
      </c>
      <c r="S160" s="3" t="s">
        <v>482</v>
      </c>
      <c r="T160" s="3" t="s">
        <v>2397</v>
      </c>
    </row>
    <row r="161" spans="1:20" ht="196" hidden="1" x14ac:dyDescent="0.2">
      <c r="A161" s="3" t="s">
        <v>3707</v>
      </c>
      <c r="B161" s="3" t="s">
        <v>3708</v>
      </c>
      <c r="C161" s="3" t="s">
        <v>3464</v>
      </c>
      <c r="D161" s="3">
        <v>630</v>
      </c>
      <c r="E161" s="3" t="s">
        <v>2514</v>
      </c>
      <c r="F161" s="3" t="s">
        <v>3709</v>
      </c>
      <c r="G161" s="6" t="s">
        <v>3710</v>
      </c>
      <c r="H161" s="3" t="s">
        <v>3711</v>
      </c>
      <c r="I161" s="3" t="s">
        <v>2508</v>
      </c>
      <c r="J161" s="3" t="s">
        <v>3692</v>
      </c>
      <c r="K161" s="3" t="s">
        <v>2538</v>
      </c>
      <c r="L161" s="3" t="s">
        <v>2531</v>
      </c>
      <c r="M161" s="3" t="s">
        <v>2540</v>
      </c>
      <c r="N161" s="3" t="s">
        <v>1931</v>
      </c>
      <c r="O161" s="3" t="s">
        <v>3712</v>
      </c>
      <c r="P161" s="3">
        <v>5</v>
      </c>
      <c r="Q161" s="3" t="s">
        <v>3713</v>
      </c>
      <c r="R161" s="3" t="s">
        <v>3714</v>
      </c>
      <c r="S161" s="3" t="s">
        <v>482</v>
      </c>
      <c r="T161" s="3" t="s">
        <v>482</v>
      </c>
    </row>
    <row r="162" spans="1:20" ht="192" hidden="1" x14ac:dyDescent="0.2">
      <c r="A162" s="3" t="s">
        <v>3715</v>
      </c>
      <c r="B162" s="3" t="s">
        <v>3716</v>
      </c>
      <c r="C162" s="3" t="s">
        <v>3464</v>
      </c>
      <c r="D162" s="3">
        <v>638</v>
      </c>
      <c r="E162" s="3" t="s">
        <v>2514</v>
      </c>
      <c r="F162" s="3" t="s">
        <v>3717</v>
      </c>
      <c r="G162" s="6" t="s">
        <v>3718</v>
      </c>
      <c r="H162" s="3" t="s">
        <v>3719</v>
      </c>
      <c r="I162" s="3" t="s">
        <v>2529</v>
      </c>
      <c r="J162" s="3" t="s">
        <v>3702</v>
      </c>
      <c r="K162" s="3" t="s">
        <v>2519</v>
      </c>
      <c r="L162" s="3" t="s">
        <v>3720</v>
      </c>
      <c r="M162" s="3" t="s">
        <v>2567</v>
      </c>
      <c r="N162" s="3" t="s">
        <v>1931</v>
      </c>
      <c r="O162" s="3" t="s">
        <v>3721</v>
      </c>
      <c r="P162" s="3">
        <v>10</v>
      </c>
      <c r="Q162" s="3" t="s">
        <v>3722</v>
      </c>
      <c r="R162" s="3" t="s">
        <v>3723</v>
      </c>
      <c r="S162" s="3" t="s">
        <v>482</v>
      </c>
      <c r="T162" s="3" t="s">
        <v>2393</v>
      </c>
    </row>
    <row r="163" spans="1:20" ht="112" hidden="1" x14ac:dyDescent="0.2">
      <c r="A163" s="3" t="s">
        <v>3724</v>
      </c>
      <c r="B163" s="3" t="s">
        <v>3725</v>
      </c>
      <c r="C163" s="3" t="s">
        <v>3464</v>
      </c>
      <c r="D163" s="3">
        <v>647</v>
      </c>
      <c r="E163" s="3" t="s">
        <v>2635</v>
      </c>
      <c r="F163" s="3" t="s">
        <v>3726</v>
      </c>
      <c r="G163" s="6" t="s">
        <v>3727</v>
      </c>
      <c r="H163" s="3" t="s">
        <v>3728</v>
      </c>
      <c r="I163" s="3" t="s">
        <v>2508</v>
      </c>
      <c r="J163" s="3" t="s">
        <v>3457</v>
      </c>
      <c r="K163" s="3" t="s">
        <v>3729</v>
      </c>
      <c r="L163" s="3" t="s">
        <v>482</v>
      </c>
      <c r="M163" s="3" t="s">
        <v>3730</v>
      </c>
      <c r="N163" s="3" t="s">
        <v>1816</v>
      </c>
      <c r="O163" s="3" t="s">
        <v>3475</v>
      </c>
      <c r="P163" s="3">
        <v>7</v>
      </c>
      <c r="Q163" s="3" t="s">
        <v>3476</v>
      </c>
      <c r="R163" s="3" t="s">
        <v>3731</v>
      </c>
      <c r="S163" s="3" t="s">
        <v>482</v>
      </c>
      <c r="T163" s="3" t="s">
        <v>482</v>
      </c>
    </row>
    <row r="164" spans="1:20" ht="84" hidden="1" x14ac:dyDescent="0.2">
      <c r="A164" s="3" t="s">
        <v>527</v>
      </c>
      <c r="B164" s="3" t="s">
        <v>526</v>
      </c>
      <c r="C164" s="3" t="s">
        <v>3464</v>
      </c>
      <c r="D164" s="3">
        <v>663</v>
      </c>
      <c r="E164" s="3" t="s">
        <v>2514</v>
      </c>
      <c r="F164" s="3" t="s">
        <v>2121</v>
      </c>
      <c r="G164" s="6" t="s">
        <v>3732</v>
      </c>
      <c r="H164" s="3" t="s">
        <v>3733</v>
      </c>
      <c r="I164" s="3" t="s">
        <v>2794</v>
      </c>
      <c r="J164" s="3" t="s">
        <v>3734</v>
      </c>
      <c r="K164" s="3" t="s">
        <v>3735</v>
      </c>
      <c r="L164" s="3" t="s">
        <v>2531</v>
      </c>
      <c r="M164" s="3" t="s">
        <v>3736</v>
      </c>
      <c r="N164" s="3" t="s">
        <v>1931</v>
      </c>
      <c r="O164" s="3" t="s">
        <v>2512</v>
      </c>
      <c r="P164" s="3">
        <v>1</v>
      </c>
      <c r="Q164" s="3" t="s">
        <v>2512</v>
      </c>
      <c r="R164" s="3" t="s">
        <v>532</v>
      </c>
      <c r="S164" s="3" t="s">
        <v>523</v>
      </c>
      <c r="T164" s="3" t="s">
        <v>2012</v>
      </c>
    </row>
    <row r="165" spans="1:20" ht="84" hidden="1" x14ac:dyDescent="0.2">
      <c r="A165" s="3" t="s">
        <v>3737</v>
      </c>
      <c r="B165" s="3" t="s">
        <v>3738</v>
      </c>
      <c r="C165" s="3" t="s">
        <v>3464</v>
      </c>
      <c r="D165" s="3">
        <v>675</v>
      </c>
      <c r="E165" s="3" t="s">
        <v>2504</v>
      </c>
      <c r="F165" s="3" t="s">
        <v>3739</v>
      </c>
      <c r="G165" s="6" t="s">
        <v>3740</v>
      </c>
      <c r="H165" s="3" t="s">
        <v>3741</v>
      </c>
      <c r="I165" s="3" t="s">
        <v>2529</v>
      </c>
      <c r="J165" s="3" t="s">
        <v>2829</v>
      </c>
      <c r="K165" s="3" t="s">
        <v>3742</v>
      </c>
      <c r="L165" s="3" t="s">
        <v>482</v>
      </c>
      <c r="M165" s="3" t="s">
        <v>2540</v>
      </c>
      <c r="N165" s="3" t="s">
        <v>1931</v>
      </c>
      <c r="O165" s="3" t="s">
        <v>3743</v>
      </c>
      <c r="P165" s="3">
        <v>2</v>
      </c>
      <c r="Q165" s="3" t="s">
        <v>3743</v>
      </c>
      <c r="R165" s="3" t="s">
        <v>3744</v>
      </c>
      <c r="S165" s="3" t="s">
        <v>482</v>
      </c>
      <c r="T165" s="3" t="s">
        <v>3745</v>
      </c>
    </row>
    <row r="166" spans="1:20" ht="56" hidden="1" x14ac:dyDescent="0.2">
      <c r="A166" s="3" t="s">
        <v>3746</v>
      </c>
      <c r="B166" s="3" t="s">
        <v>3747</v>
      </c>
      <c r="C166" s="3" t="s">
        <v>3464</v>
      </c>
      <c r="D166" s="3">
        <v>695</v>
      </c>
      <c r="E166" s="3" t="s">
        <v>2514</v>
      </c>
      <c r="F166" s="3" t="s">
        <v>3748</v>
      </c>
      <c r="G166" s="6" t="s">
        <v>3749</v>
      </c>
      <c r="H166" s="3" t="s">
        <v>3750</v>
      </c>
      <c r="I166" s="3" t="s">
        <v>2508</v>
      </c>
      <c r="J166" s="3" t="s">
        <v>3751</v>
      </c>
      <c r="K166" s="3" t="s">
        <v>2519</v>
      </c>
      <c r="L166" s="3" t="s">
        <v>2531</v>
      </c>
      <c r="M166" s="3" t="s">
        <v>2540</v>
      </c>
      <c r="N166" s="3" t="s">
        <v>1931</v>
      </c>
      <c r="O166" s="3" t="s">
        <v>3752</v>
      </c>
      <c r="P166" s="3">
        <v>2</v>
      </c>
      <c r="Q166" s="3" t="s">
        <v>3752</v>
      </c>
      <c r="R166" s="3" t="s">
        <v>3753</v>
      </c>
      <c r="S166" s="3" t="s">
        <v>482</v>
      </c>
      <c r="T166" s="3" t="s">
        <v>2409</v>
      </c>
    </row>
    <row r="167" spans="1:20" ht="48" hidden="1" x14ac:dyDescent="0.2">
      <c r="A167" s="3" t="s">
        <v>3754</v>
      </c>
      <c r="B167" s="3" t="s">
        <v>3755</v>
      </c>
      <c r="C167" s="3" t="s">
        <v>3464</v>
      </c>
      <c r="D167" s="3">
        <v>702</v>
      </c>
      <c r="E167" s="3" t="s">
        <v>2635</v>
      </c>
      <c r="F167" s="3" t="s">
        <v>2616</v>
      </c>
      <c r="G167" s="6" t="s">
        <v>2636</v>
      </c>
      <c r="H167" s="3" t="s">
        <v>2636</v>
      </c>
      <c r="I167" s="3" t="s">
        <v>2637</v>
      </c>
      <c r="J167" s="3" t="s">
        <v>2638</v>
      </c>
      <c r="K167" s="3" t="s">
        <v>2538</v>
      </c>
      <c r="L167" s="3" t="s">
        <v>482</v>
      </c>
      <c r="M167" s="3" t="s">
        <v>2540</v>
      </c>
      <c r="N167" s="3" t="s">
        <v>1816</v>
      </c>
      <c r="O167" s="3" t="s">
        <v>482</v>
      </c>
      <c r="P167" s="3">
        <v>0</v>
      </c>
      <c r="Q167" s="3" t="s">
        <v>2560</v>
      </c>
      <c r="R167" s="3" t="s">
        <v>405</v>
      </c>
      <c r="S167" s="3" t="s">
        <v>482</v>
      </c>
      <c r="T167" s="3" t="s">
        <v>482</v>
      </c>
    </row>
    <row r="168" spans="1:20" ht="48" hidden="1" x14ac:dyDescent="0.2">
      <c r="A168" s="3" t="s">
        <v>3756</v>
      </c>
      <c r="B168" s="3" t="s">
        <v>3757</v>
      </c>
      <c r="C168" s="3" t="s">
        <v>3464</v>
      </c>
      <c r="D168" s="3">
        <v>703</v>
      </c>
      <c r="E168" s="3" t="s">
        <v>2641</v>
      </c>
      <c r="F168" s="3" t="s">
        <v>2616</v>
      </c>
      <c r="G168" s="6" t="s">
        <v>2642</v>
      </c>
      <c r="H168" s="3" t="s">
        <v>2642</v>
      </c>
      <c r="I168" s="3" t="s">
        <v>2637</v>
      </c>
      <c r="J168" s="3" t="s">
        <v>3758</v>
      </c>
      <c r="K168" s="3" t="s">
        <v>2839</v>
      </c>
      <c r="L168" s="3" t="s">
        <v>482</v>
      </c>
      <c r="M168" s="3" t="s">
        <v>2540</v>
      </c>
      <c r="N168" s="3" t="s">
        <v>1816</v>
      </c>
      <c r="O168" s="3" t="s">
        <v>2840</v>
      </c>
      <c r="P168" s="3">
        <v>2</v>
      </c>
      <c r="Q168" s="3" t="s">
        <v>2840</v>
      </c>
      <c r="R168" s="3" t="s">
        <v>3759</v>
      </c>
      <c r="S168" s="3" t="s">
        <v>482</v>
      </c>
      <c r="T168" s="3" t="s">
        <v>482</v>
      </c>
    </row>
    <row r="169" spans="1:20" ht="48" hidden="1" x14ac:dyDescent="0.2">
      <c r="A169" s="3" t="s">
        <v>3760</v>
      </c>
      <c r="B169" s="3" t="s">
        <v>3761</v>
      </c>
      <c r="C169" s="3" t="s">
        <v>3464</v>
      </c>
      <c r="D169" s="3">
        <v>704</v>
      </c>
      <c r="E169" s="3" t="s">
        <v>2635</v>
      </c>
      <c r="F169" s="3" t="s">
        <v>2616</v>
      </c>
      <c r="G169" s="6" t="s">
        <v>3762</v>
      </c>
      <c r="H169" s="3" t="s">
        <v>3763</v>
      </c>
      <c r="I169" s="3" t="s">
        <v>2508</v>
      </c>
      <c r="J169" s="3" t="s">
        <v>2638</v>
      </c>
      <c r="K169" s="3" t="s">
        <v>2538</v>
      </c>
      <c r="L169" s="3" t="s">
        <v>482</v>
      </c>
      <c r="M169" s="3" t="s">
        <v>2540</v>
      </c>
      <c r="N169" s="3" t="s">
        <v>1816</v>
      </c>
      <c r="O169" s="3" t="s">
        <v>3764</v>
      </c>
      <c r="P169" s="3">
        <v>3</v>
      </c>
      <c r="Q169" s="3" t="s">
        <v>3765</v>
      </c>
      <c r="R169" s="3" t="s">
        <v>3766</v>
      </c>
      <c r="S169" s="3" t="s">
        <v>482</v>
      </c>
      <c r="T169" s="3" t="s">
        <v>482</v>
      </c>
    </row>
    <row r="170" spans="1:20" ht="98" hidden="1" x14ac:dyDescent="0.2">
      <c r="A170" s="3" t="s">
        <v>3767</v>
      </c>
      <c r="B170" s="3" t="s">
        <v>3768</v>
      </c>
      <c r="C170" s="3" t="s">
        <v>3464</v>
      </c>
      <c r="D170" s="3">
        <v>711</v>
      </c>
      <c r="E170" s="3" t="s">
        <v>2514</v>
      </c>
      <c r="F170" s="3" t="s">
        <v>3769</v>
      </c>
      <c r="G170" s="6" t="s">
        <v>3770</v>
      </c>
      <c r="H170" s="3" t="s">
        <v>3771</v>
      </c>
      <c r="I170" s="3" t="s">
        <v>2508</v>
      </c>
      <c r="J170" s="3" t="s">
        <v>3451</v>
      </c>
      <c r="K170" s="3" t="s">
        <v>3348</v>
      </c>
      <c r="L170" s="3" t="s">
        <v>2531</v>
      </c>
      <c r="M170" s="3" t="s">
        <v>2540</v>
      </c>
      <c r="N170" s="3" t="s">
        <v>1931</v>
      </c>
      <c r="O170" s="3" t="s">
        <v>482</v>
      </c>
      <c r="P170" s="3">
        <v>0</v>
      </c>
      <c r="Q170" s="3" t="s">
        <v>2560</v>
      </c>
      <c r="R170" s="3" t="s">
        <v>405</v>
      </c>
      <c r="S170" s="3" t="s">
        <v>482</v>
      </c>
      <c r="T170" s="3" t="s">
        <v>3772</v>
      </c>
    </row>
    <row r="171" spans="1:20" ht="126" hidden="1" x14ac:dyDescent="0.2">
      <c r="A171" s="3" t="s">
        <v>3773</v>
      </c>
      <c r="B171" s="3" t="s">
        <v>3774</v>
      </c>
      <c r="C171" s="3" t="s">
        <v>3464</v>
      </c>
      <c r="D171" s="3">
        <v>729</v>
      </c>
      <c r="E171" s="3" t="s">
        <v>2514</v>
      </c>
      <c r="F171" s="3" t="s">
        <v>2616</v>
      </c>
      <c r="G171" s="6" t="s">
        <v>3775</v>
      </c>
      <c r="H171" s="3" t="s">
        <v>3776</v>
      </c>
      <c r="I171" s="3" t="s">
        <v>2508</v>
      </c>
      <c r="J171" s="3" t="s">
        <v>2547</v>
      </c>
      <c r="K171" s="3" t="s">
        <v>2538</v>
      </c>
      <c r="L171" s="3" t="s">
        <v>2531</v>
      </c>
      <c r="M171" s="3" t="s">
        <v>3777</v>
      </c>
      <c r="N171" s="3" t="s">
        <v>1931</v>
      </c>
      <c r="O171" s="3" t="s">
        <v>482</v>
      </c>
      <c r="P171" s="3">
        <v>0</v>
      </c>
      <c r="Q171" s="3" t="s">
        <v>2560</v>
      </c>
      <c r="R171" s="3" t="s">
        <v>405</v>
      </c>
      <c r="S171" s="3" t="s">
        <v>482</v>
      </c>
      <c r="T171" s="3" t="s">
        <v>482</v>
      </c>
    </row>
    <row r="172" spans="1:20" ht="48" hidden="1" x14ac:dyDescent="0.2">
      <c r="A172" s="3" t="s">
        <v>3778</v>
      </c>
      <c r="B172" s="3" t="s">
        <v>3779</v>
      </c>
      <c r="C172" s="3" t="s">
        <v>3464</v>
      </c>
      <c r="D172" s="3">
        <v>776</v>
      </c>
      <c r="E172" s="3" t="s">
        <v>2641</v>
      </c>
      <c r="F172" s="3" t="s">
        <v>2616</v>
      </c>
      <c r="G172" s="6" t="s">
        <v>3780</v>
      </c>
      <c r="H172" s="3" t="s">
        <v>3781</v>
      </c>
      <c r="I172" s="3" t="s">
        <v>2529</v>
      </c>
      <c r="J172" s="3" t="s">
        <v>3782</v>
      </c>
      <c r="K172" s="3" t="s">
        <v>3783</v>
      </c>
      <c r="L172" s="3" t="s">
        <v>482</v>
      </c>
      <c r="M172" s="3" t="s">
        <v>2540</v>
      </c>
      <c r="N172" s="3" t="s">
        <v>1931</v>
      </c>
      <c r="O172" s="3" t="s">
        <v>482</v>
      </c>
      <c r="P172" s="3">
        <v>0</v>
      </c>
      <c r="Q172" s="3" t="s">
        <v>2560</v>
      </c>
      <c r="R172" s="3" t="s">
        <v>405</v>
      </c>
      <c r="S172" s="3" t="s">
        <v>482</v>
      </c>
      <c r="T172" s="3" t="s">
        <v>482</v>
      </c>
    </row>
    <row r="173" spans="1:20" ht="32" hidden="1" x14ac:dyDescent="0.2">
      <c r="A173" s="3" t="s">
        <v>3784</v>
      </c>
      <c r="B173" s="3" t="s">
        <v>3785</v>
      </c>
      <c r="C173" s="3" t="s">
        <v>3464</v>
      </c>
      <c r="D173" s="3">
        <v>779</v>
      </c>
      <c r="E173" s="3" t="s">
        <v>2514</v>
      </c>
      <c r="F173" s="3" t="s">
        <v>3786</v>
      </c>
      <c r="G173" s="6" t="s">
        <v>3787</v>
      </c>
      <c r="H173" s="3" t="s">
        <v>3788</v>
      </c>
      <c r="I173" s="3" t="s">
        <v>2529</v>
      </c>
      <c r="J173" s="3" t="s">
        <v>2547</v>
      </c>
      <c r="K173" s="3" t="s">
        <v>2538</v>
      </c>
      <c r="L173" s="3" t="s">
        <v>2531</v>
      </c>
      <c r="M173" s="3" t="s">
        <v>2813</v>
      </c>
      <c r="N173" s="3" t="s">
        <v>1931</v>
      </c>
      <c r="O173" s="3" t="s">
        <v>3789</v>
      </c>
      <c r="P173" s="3">
        <v>2</v>
      </c>
      <c r="Q173" s="3" t="s">
        <v>3789</v>
      </c>
      <c r="R173" s="3" t="s">
        <v>3790</v>
      </c>
      <c r="S173" s="3" t="s">
        <v>482</v>
      </c>
      <c r="T173" s="3" t="s">
        <v>3791</v>
      </c>
    </row>
    <row r="174" spans="1:20" ht="42" hidden="1" x14ac:dyDescent="0.2">
      <c r="A174" s="3" t="s">
        <v>3792</v>
      </c>
      <c r="B174" s="3" t="s">
        <v>3793</v>
      </c>
      <c r="C174" s="3" t="s">
        <v>3794</v>
      </c>
      <c r="D174" s="3">
        <v>28</v>
      </c>
      <c r="E174" s="3" t="s">
        <v>2641</v>
      </c>
      <c r="F174" s="3" t="s">
        <v>3795</v>
      </c>
      <c r="G174" s="6" t="s">
        <v>3398</v>
      </c>
      <c r="H174" s="3" t="s">
        <v>3398</v>
      </c>
      <c r="I174" s="3" t="s">
        <v>3399</v>
      </c>
      <c r="J174" s="3" t="s">
        <v>3796</v>
      </c>
      <c r="K174" s="3" t="s">
        <v>2519</v>
      </c>
      <c r="L174" s="3" t="s">
        <v>3797</v>
      </c>
      <c r="M174" s="3" t="s">
        <v>3798</v>
      </c>
      <c r="N174" s="3" t="s">
        <v>1931</v>
      </c>
      <c r="O174" s="3" t="s">
        <v>2512</v>
      </c>
      <c r="P174" s="3">
        <v>1</v>
      </c>
      <c r="Q174" s="3" t="s">
        <v>2512</v>
      </c>
      <c r="R174" s="3" t="s">
        <v>3799</v>
      </c>
      <c r="S174" s="3" t="s">
        <v>482</v>
      </c>
      <c r="T174" s="3" t="s">
        <v>3800</v>
      </c>
    </row>
    <row r="175" spans="1:20" ht="48" hidden="1" x14ac:dyDescent="0.2">
      <c r="A175" s="3" t="s">
        <v>3801</v>
      </c>
      <c r="B175" s="3" t="s">
        <v>3802</v>
      </c>
      <c r="C175" s="3" t="s">
        <v>3794</v>
      </c>
      <c r="D175" s="3">
        <v>32</v>
      </c>
      <c r="E175" s="3" t="s">
        <v>2641</v>
      </c>
      <c r="F175" s="3" t="s">
        <v>3803</v>
      </c>
      <c r="G175" s="6" t="s">
        <v>3398</v>
      </c>
      <c r="H175" s="3" t="s">
        <v>3398</v>
      </c>
      <c r="I175" s="3" t="s">
        <v>3399</v>
      </c>
      <c r="J175" s="3" t="s">
        <v>3804</v>
      </c>
      <c r="K175" s="3" t="s">
        <v>2519</v>
      </c>
      <c r="L175" s="3" t="s">
        <v>3797</v>
      </c>
      <c r="M175" s="3" t="s">
        <v>3805</v>
      </c>
      <c r="N175" s="3" t="s">
        <v>1931</v>
      </c>
      <c r="O175" s="3" t="s">
        <v>3806</v>
      </c>
      <c r="P175" s="3">
        <v>2</v>
      </c>
      <c r="Q175" s="3" t="s">
        <v>3806</v>
      </c>
      <c r="R175" s="3" t="s">
        <v>3807</v>
      </c>
      <c r="S175" s="3" t="s">
        <v>482</v>
      </c>
      <c r="T175" s="3" t="s">
        <v>3808</v>
      </c>
    </row>
    <row r="176" spans="1:20" ht="112" hidden="1" x14ac:dyDescent="0.2">
      <c r="A176" s="3" t="s">
        <v>3809</v>
      </c>
      <c r="B176" s="3" t="s">
        <v>3810</v>
      </c>
      <c r="C176" s="3" t="s">
        <v>3794</v>
      </c>
      <c r="D176" s="3">
        <v>37</v>
      </c>
      <c r="E176" s="3" t="s">
        <v>2514</v>
      </c>
      <c r="F176" s="3" t="s">
        <v>3811</v>
      </c>
      <c r="G176" s="6" t="s">
        <v>3812</v>
      </c>
      <c r="H176" s="3" t="s">
        <v>3813</v>
      </c>
      <c r="I176" s="3" t="s">
        <v>2529</v>
      </c>
      <c r="J176" s="3" t="s">
        <v>2547</v>
      </c>
      <c r="K176" s="3" t="s">
        <v>2538</v>
      </c>
      <c r="L176" s="3" t="s">
        <v>2531</v>
      </c>
      <c r="M176" s="3" t="s">
        <v>2540</v>
      </c>
      <c r="N176" s="3" t="s">
        <v>1931</v>
      </c>
      <c r="O176" s="3" t="s">
        <v>3814</v>
      </c>
      <c r="P176" s="3">
        <v>3</v>
      </c>
      <c r="Q176" s="3" t="s">
        <v>3814</v>
      </c>
      <c r="R176" s="3" t="s">
        <v>3815</v>
      </c>
      <c r="S176" s="3" t="s">
        <v>482</v>
      </c>
      <c r="T176" s="3" t="s">
        <v>482</v>
      </c>
    </row>
    <row r="177" spans="1:20" ht="80" hidden="1" x14ac:dyDescent="0.2">
      <c r="A177" s="3" t="s">
        <v>3816</v>
      </c>
      <c r="B177" s="3" t="s">
        <v>3817</v>
      </c>
      <c r="C177" s="3" t="s">
        <v>3794</v>
      </c>
      <c r="D177" s="3">
        <v>48</v>
      </c>
      <c r="E177" s="3" t="s">
        <v>2514</v>
      </c>
      <c r="F177" s="3" t="s">
        <v>3818</v>
      </c>
      <c r="G177" s="6" t="s">
        <v>3819</v>
      </c>
      <c r="H177" s="3" t="s">
        <v>3820</v>
      </c>
      <c r="I177" s="3" t="s">
        <v>2508</v>
      </c>
      <c r="J177" s="3" t="s">
        <v>2547</v>
      </c>
      <c r="K177" s="3" t="s">
        <v>2538</v>
      </c>
      <c r="L177" s="3" t="s">
        <v>2531</v>
      </c>
      <c r="M177" s="3" t="s">
        <v>3821</v>
      </c>
      <c r="N177" s="3" t="s">
        <v>1931</v>
      </c>
      <c r="O177" s="3" t="s">
        <v>3822</v>
      </c>
      <c r="P177" s="3">
        <v>3</v>
      </c>
      <c r="Q177" s="3" t="s">
        <v>3823</v>
      </c>
      <c r="R177" s="3" t="s">
        <v>3824</v>
      </c>
      <c r="S177" s="3" t="s">
        <v>482</v>
      </c>
      <c r="T177" s="3" t="s">
        <v>3825</v>
      </c>
    </row>
    <row r="178" spans="1:20" ht="84" hidden="1" x14ac:dyDescent="0.2">
      <c r="A178" s="3" t="s">
        <v>3826</v>
      </c>
      <c r="B178" s="3" t="s">
        <v>3827</v>
      </c>
      <c r="C178" s="3" t="s">
        <v>3828</v>
      </c>
      <c r="D178" s="3">
        <v>11</v>
      </c>
      <c r="E178" s="3" t="s">
        <v>2635</v>
      </c>
      <c r="F178" s="3" t="s">
        <v>3829</v>
      </c>
      <c r="G178" s="6" t="s">
        <v>3830</v>
      </c>
      <c r="H178" s="3" t="s">
        <v>3831</v>
      </c>
      <c r="I178" s="3" t="s">
        <v>2529</v>
      </c>
      <c r="J178" s="3" t="s">
        <v>3451</v>
      </c>
      <c r="K178" s="3" t="s">
        <v>3508</v>
      </c>
      <c r="L178" s="3" t="s">
        <v>482</v>
      </c>
      <c r="M178" s="3" t="s">
        <v>2540</v>
      </c>
      <c r="N178" s="3" t="s">
        <v>1816</v>
      </c>
      <c r="O178" s="3" t="s">
        <v>3832</v>
      </c>
      <c r="P178" s="3">
        <v>3</v>
      </c>
      <c r="Q178" s="3" t="s">
        <v>3833</v>
      </c>
      <c r="R178" s="3" t="s">
        <v>3834</v>
      </c>
      <c r="S178" s="3" t="s">
        <v>482</v>
      </c>
      <c r="T178" s="3" t="s">
        <v>482</v>
      </c>
    </row>
    <row r="179" spans="1:20" ht="96" hidden="1" x14ac:dyDescent="0.2">
      <c r="A179" s="3" t="s">
        <v>3835</v>
      </c>
      <c r="B179" s="3" t="s">
        <v>3836</v>
      </c>
      <c r="C179" s="3" t="s">
        <v>3828</v>
      </c>
      <c r="D179" s="3">
        <v>20</v>
      </c>
      <c r="E179" s="3" t="s">
        <v>2635</v>
      </c>
      <c r="F179" s="3" t="s">
        <v>2616</v>
      </c>
      <c r="G179" s="6" t="s">
        <v>3837</v>
      </c>
      <c r="H179" s="3" t="s">
        <v>3838</v>
      </c>
      <c r="I179" s="3" t="s">
        <v>2508</v>
      </c>
      <c r="J179" s="3" t="s">
        <v>3457</v>
      </c>
      <c r="K179" s="3" t="s">
        <v>2538</v>
      </c>
      <c r="L179" s="3" t="s">
        <v>482</v>
      </c>
      <c r="M179" s="3" t="s">
        <v>3839</v>
      </c>
      <c r="N179" s="3" t="s">
        <v>1816</v>
      </c>
      <c r="O179" s="3" t="s">
        <v>3840</v>
      </c>
      <c r="P179" s="3">
        <v>4</v>
      </c>
      <c r="Q179" s="3" t="s">
        <v>3841</v>
      </c>
      <c r="R179" s="3" t="s">
        <v>3842</v>
      </c>
      <c r="S179" s="3" t="s">
        <v>482</v>
      </c>
      <c r="T179" s="3" t="s">
        <v>482</v>
      </c>
    </row>
    <row r="180" spans="1:20" ht="48" hidden="1" x14ac:dyDescent="0.2">
      <c r="A180" s="3" t="s">
        <v>3843</v>
      </c>
      <c r="B180" s="3" t="s">
        <v>3844</v>
      </c>
      <c r="C180" s="3" t="s">
        <v>3845</v>
      </c>
      <c r="D180" s="3">
        <v>13</v>
      </c>
      <c r="E180" s="3" t="s">
        <v>2514</v>
      </c>
      <c r="F180" s="3" t="s">
        <v>3846</v>
      </c>
      <c r="G180" s="6" t="s">
        <v>3847</v>
      </c>
      <c r="H180" s="3" t="s">
        <v>3848</v>
      </c>
      <c r="I180" s="3" t="s">
        <v>2529</v>
      </c>
      <c r="J180" s="3" t="s">
        <v>3451</v>
      </c>
      <c r="K180" s="3" t="s">
        <v>2972</v>
      </c>
      <c r="L180" s="3" t="s">
        <v>2531</v>
      </c>
      <c r="M180" s="3" t="s">
        <v>2540</v>
      </c>
      <c r="N180" s="3" t="s">
        <v>1931</v>
      </c>
      <c r="O180" s="3" t="s">
        <v>3483</v>
      </c>
      <c r="P180" s="3">
        <v>3</v>
      </c>
      <c r="Q180" s="3" t="s">
        <v>3484</v>
      </c>
      <c r="R180" s="3" t="s">
        <v>3849</v>
      </c>
      <c r="S180" s="3" t="s">
        <v>482</v>
      </c>
      <c r="T180" s="3" t="s">
        <v>3850</v>
      </c>
    </row>
    <row r="181" spans="1:20" ht="96" hidden="1" x14ac:dyDescent="0.2">
      <c r="A181" s="3" t="s">
        <v>710</v>
      </c>
      <c r="B181" s="3" t="s">
        <v>709</v>
      </c>
      <c r="C181" s="3" t="s">
        <v>3845</v>
      </c>
      <c r="D181" s="3">
        <v>16</v>
      </c>
      <c r="E181" s="3" t="s">
        <v>2514</v>
      </c>
      <c r="F181" s="3" t="s">
        <v>2157</v>
      </c>
      <c r="G181" s="6" t="s">
        <v>3851</v>
      </c>
      <c r="H181" s="3" t="s">
        <v>3852</v>
      </c>
      <c r="I181" s="3" t="s">
        <v>2529</v>
      </c>
      <c r="J181" s="3" t="s">
        <v>3451</v>
      </c>
      <c r="K181" s="3" t="s">
        <v>3853</v>
      </c>
      <c r="L181" s="3" t="s">
        <v>3854</v>
      </c>
      <c r="M181" s="3" t="s">
        <v>3855</v>
      </c>
      <c r="N181" s="3" t="s">
        <v>1931</v>
      </c>
      <c r="O181" s="3" t="s">
        <v>482</v>
      </c>
      <c r="P181" s="3">
        <v>0</v>
      </c>
      <c r="Q181" s="3" t="s">
        <v>2560</v>
      </c>
      <c r="R181" s="3" t="s">
        <v>405</v>
      </c>
      <c r="S181" s="3" t="s">
        <v>2158</v>
      </c>
      <c r="T181" s="3" t="s">
        <v>1600</v>
      </c>
    </row>
    <row r="182" spans="1:20" ht="32" hidden="1" x14ac:dyDescent="0.2">
      <c r="A182" s="3" t="s">
        <v>722</v>
      </c>
      <c r="B182" s="3" t="s">
        <v>721</v>
      </c>
      <c r="C182" s="3" t="s">
        <v>3845</v>
      </c>
      <c r="D182" s="3">
        <v>21</v>
      </c>
      <c r="E182" s="3" t="s">
        <v>2514</v>
      </c>
      <c r="F182" s="3" t="s">
        <v>3856</v>
      </c>
      <c r="G182" s="6" t="s">
        <v>3857</v>
      </c>
      <c r="H182" s="3" t="s">
        <v>3858</v>
      </c>
      <c r="I182" s="3" t="s">
        <v>2794</v>
      </c>
      <c r="J182" s="3" t="s">
        <v>3859</v>
      </c>
      <c r="K182" s="3" t="s">
        <v>2519</v>
      </c>
      <c r="L182" s="3" t="s">
        <v>3860</v>
      </c>
      <c r="M182" s="3" t="s">
        <v>2540</v>
      </c>
      <c r="N182" s="3" t="s">
        <v>1931</v>
      </c>
      <c r="O182" s="3" t="s">
        <v>2512</v>
      </c>
      <c r="P182" s="3">
        <v>1</v>
      </c>
      <c r="Q182" s="3" t="s">
        <v>2512</v>
      </c>
      <c r="R182" s="3" t="s">
        <v>727</v>
      </c>
      <c r="S182" s="3" t="s">
        <v>2163</v>
      </c>
      <c r="T182" s="3" t="s">
        <v>2160</v>
      </c>
    </row>
    <row r="183" spans="1:20" ht="32" hidden="1" x14ac:dyDescent="0.2">
      <c r="A183" s="3" t="s">
        <v>735</v>
      </c>
      <c r="B183" s="3" t="s">
        <v>734</v>
      </c>
      <c r="C183" s="3" t="s">
        <v>3845</v>
      </c>
      <c r="D183" s="3">
        <v>24</v>
      </c>
      <c r="E183" s="3" t="s">
        <v>2514</v>
      </c>
      <c r="F183" s="3" t="s">
        <v>2167</v>
      </c>
      <c r="G183" s="6" t="s">
        <v>3861</v>
      </c>
      <c r="H183" s="3" t="s">
        <v>3862</v>
      </c>
      <c r="I183" s="3" t="s">
        <v>2794</v>
      </c>
      <c r="J183" s="3" t="s">
        <v>3863</v>
      </c>
      <c r="K183" s="3" t="s">
        <v>2519</v>
      </c>
      <c r="L183" s="3" t="s">
        <v>3864</v>
      </c>
      <c r="M183" s="3" t="s">
        <v>3013</v>
      </c>
      <c r="N183" s="3" t="s">
        <v>1931</v>
      </c>
      <c r="O183" s="3" t="s">
        <v>482</v>
      </c>
      <c r="P183" s="3">
        <v>0</v>
      </c>
      <c r="Q183" s="3" t="s">
        <v>2560</v>
      </c>
      <c r="R183" s="3" t="s">
        <v>405</v>
      </c>
      <c r="S183" s="3" t="s">
        <v>731</v>
      </c>
      <c r="T183" s="3" t="s">
        <v>2165</v>
      </c>
    </row>
    <row r="184" spans="1:20" ht="48" hidden="1" x14ac:dyDescent="0.2">
      <c r="A184" s="3" t="s">
        <v>763</v>
      </c>
      <c r="B184" s="3" t="s">
        <v>762</v>
      </c>
      <c r="C184" s="3" t="s">
        <v>3845</v>
      </c>
      <c r="D184" s="3">
        <v>29</v>
      </c>
      <c r="E184" s="3" t="s">
        <v>2514</v>
      </c>
      <c r="F184" s="3" t="s">
        <v>3865</v>
      </c>
      <c r="G184" s="6" t="s">
        <v>3866</v>
      </c>
      <c r="H184" s="3" t="s">
        <v>3867</v>
      </c>
      <c r="I184" s="3" t="s">
        <v>2794</v>
      </c>
      <c r="J184" s="3" t="s">
        <v>3859</v>
      </c>
      <c r="K184" s="3" t="s">
        <v>2758</v>
      </c>
      <c r="L184" s="3" t="s">
        <v>3868</v>
      </c>
      <c r="M184" s="3" t="s">
        <v>2774</v>
      </c>
      <c r="N184" s="3" t="s">
        <v>1931</v>
      </c>
      <c r="O184" s="3" t="s">
        <v>3869</v>
      </c>
      <c r="P184" s="3">
        <v>2</v>
      </c>
      <c r="Q184" s="3" t="s">
        <v>3870</v>
      </c>
      <c r="R184" s="3" t="s">
        <v>769</v>
      </c>
      <c r="S184" s="3" t="s">
        <v>2176</v>
      </c>
      <c r="T184" s="3" t="s">
        <v>2173</v>
      </c>
    </row>
    <row r="185" spans="1:20" ht="80" hidden="1" x14ac:dyDescent="0.2">
      <c r="A185" s="3" t="s">
        <v>748</v>
      </c>
      <c r="B185" s="3" t="s">
        <v>747</v>
      </c>
      <c r="C185" s="3" t="s">
        <v>3845</v>
      </c>
      <c r="D185" s="3">
        <v>33</v>
      </c>
      <c r="E185" s="3" t="s">
        <v>2514</v>
      </c>
      <c r="F185" s="3" t="s">
        <v>3871</v>
      </c>
      <c r="G185" s="6" t="s">
        <v>3872</v>
      </c>
      <c r="H185" s="3" t="s">
        <v>3873</v>
      </c>
      <c r="I185" s="3" t="s">
        <v>2794</v>
      </c>
      <c r="J185" s="3" t="s">
        <v>3874</v>
      </c>
      <c r="K185" s="3" t="s">
        <v>2758</v>
      </c>
      <c r="L185" s="3" t="s">
        <v>3875</v>
      </c>
      <c r="M185" s="3" t="s">
        <v>3876</v>
      </c>
      <c r="N185" s="3" t="s">
        <v>1931</v>
      </c>
      <c r="O185" s="3" t="s">
        <v>3877</v>
      </c>
      <c r="P185" s="3">
        <v>3</v>
      </c>
      <c r="Q185" s="3" t="s">
        <v>3878</v>
      </c>
      <c r="R185" s="3" t="s">
        <v>754</v>
      </c>
      <c r="S185" s="3" t="s">
        <v>744</v>
      </c>
      <c r="T185" s="3" t="s">
        <v>2169</v>
      </c>
    </row>
    <row r="186" spans="1:20" ht="252" hidden="1" x14ac:dyDescent="0.2">
      <c r="A186" s="3" t="s">
        <v>3879</v>
      </c>
      <c r="B186" s="3" t="s">
        <v>3880</v>
      </c>
      <c r="C186" s="3" t="s">
        <v>3845</v>
      </c>
      <c r="D186" s="3">
        <v>42</v>
      </c>
      <c r="E186" s="3" t="s">
        <v>2514</v>
      </c>
      <c r="F186" s="3" t="s">
        <v>2616</v>
      </c>
      <c r="G186" s="6" t="s">
        <v>3881</v>
      </c>
      <c r="H186" s="3" t="s">
        <v>3882</v>
      </c>
      <c r="I186" s="3" t="s">
        <v>2508</v>
      </c>
      <c r="J186" s="3" t="s">
        <v>3883</v>
      </c>
      <c r="K186" s="3" t="s">
        <v>3884</v>
      </c>
      <c r="L186" s="3" t="s">
        <v>3885</v>
      </c>
      <c r="M186" s="3" t="s">
        <v>3886</v>
      </c>
      <c r="N186" s="3" t="s">
        <v>1931</v>
      </c>
      <c r="O186" s="3" t="s">
        <v>3870</v>
      </c>
      <c r="P186" s="3">
        <v>2</v>
      </c>
      <c r="Q186" s="3" t="s">
        <v>3870</v>
      </c>
      <c r="R186" s="3" t="s">
        <v>3887</v>
      </c>
      <c r="S186" s="3" t="s">
        <v>482</v>
      </c>
      <c r="T186" s="3" t="s">
        <v>482</v>
      </c>
    </row>
    <row r="187" spans="1:20" ht="64" hidden="1" x14ac:dyDescent="0.2">
      <c r="A187" s="3" t="s">
        <v>3888</v>
      </c>
      <c r="B187" s="3" t="s">
        <v>3889</v>
      </c>
      <c r="C187" s="3" t="s">
        <v>3845</v>
      </c>
      <c r="D187" s="3">
        <v>52</v>
      </c>
      <c r="E187" s="3" t="s">
        <v>2635</v>
      </c>
      <c r="F187" s="3" t="s">
        <v>3890</v>
      </c>
      <c r="G187" s="6" t="s">
        <v>3891</v>
      </c>
      <c r="H187" s="3" t="s">
        <v>3892</v>
      </c>
      <c r="I187" s="3" t="s">
        <v>2529</v>
      </c>
      <c r="J187" s="3" t="s">
        <v>3457</v>
      </c>
      <c r="K187" s="3" t="s">
        <v>2519</v>
      </c>
      <c r="L187" s="3" t="s">
        <v>482</v>
      </c>
      <c r="M187" s="3" t="s">
        <v>3893</v>
      </c>
      <c r="N187" s="3" t="s">
        <v>1816</v>
      </c>
      <c r="O187" s="3" t="s">
        <v>3894</v>
      </c>
      <c r="P187" s="3">
        <v>3</v>
      </c>
      <c r="Q187" s="3" t="s">
        <v>3894</v>
      </c>
      <c r="R187" s="3" t="s">
        <v>3895</v>
      </c>
      <c r="S187" s="3" t="s">
        <v>482</v>
      </c>
      <c r="T187" s="3" t="s">
        <v>482</v>
      </c>
    </row>
    <row r="188" spans="1:20" ht="168" hidden="1" x14ac:dyDescent="0.2">
      <c r="A188" s="3" t="s">
        <v>3896</v>
      </c>
      <c r="B188" s="3" t="s">
        <v>3897</v>
      </c>
      <c r="C188" s="3" t="s">
        <v>3845</v>
      </c>
      <c r="D188" s="3">
        <v>62</v>
      </c>
      <c r="E188" s="3" t="s">
        <v>2514</v>
      </c>
      <c r="F188" s="3" t="s">
        <v>3898</v>
      </c>
      <c r="G188" s="6" t="s">
        <v>3899</v>
      </c>
      <c r="H188" s="3" t="s">
        <v>3900</v>
      </c>
      <c r="I188" s="3" t="s">
        <v>2529</v>
      </c>
      <c r="J188" s="3" t="s">
        <v>3457</v>
      </c>
      <c r="K188" s="3" t="s">
        <v>2519</v>
      </c>
      <c r="L188" s="3" t="s">
        <v>3414</v>
      </c>
      <c r="M188" s="3" t="s">
        <v>3901</v>
      </c>
      <c r="N188" s="3" t="s">
        <v>1931</v>
      </c>
      <c r="O188" s="3" t="s">
        <v>3902</v>
      </c>
      <c r="P188" s="3">
        <v>6</v>
      </c>
      <c r="Q188" s="3" t="s">
        <v>3903</v>
      </c>
      <c r="R188" s="3" t="s">
        <v>3904</v>
      </c>
      <c r="S188" s="3" t="s">
        <v>482</v>
      </c>
      <c r="T188" s="3" t="s">
        <v>482</v>
      </c>
    </row>
    <row r="189" spans="1:20" ht="98" hidden="1" x14ac:dyDescent="0.2">
      <c r="A189" s="3" t="s">
        <v>3905</v>
      </c>
      <c r="B189" s="3" t="s">
        <v>3906</v>
      </c>
      <c r="C189" s="3" t="s">
        <v>3845</v>
      </c>
      <c r="D189" s="3">
        <v>97</v>
      </c>
      <c r="E189" s="3" t="s">
        <v>2514</v>
      </c>
      <c r="F189" s="3" t="s">
        <v>3907</v>
      </c>
      <c r="G189" s="6" t="s">
        <v>3908</v>
      </c>
      <c r="H189" s="3" t="s">
        <v>3909</v>
      </c>
      <c r="I189" s="3" t="s">
        <v>2508</v>
      </c>
      <c r="J189" s="3" t="s">
        <v>3874</v>
      </c>
      <c r="K189" s="3" t="s">
        <v>3910</v>
      </c>
      <c r="L189" s="3" t="s">
        <v>3911</v>
      </c>
      <c r="M189" s="3" t="s">
        <v>3912</v>
      </c>
      <c r="N189" s="3" t="s">
        <v>1931</v>
      </c>
      <c r="O189" s="3" t="s">
        <v>3913</v>
      </c>
      <c r="P189" s="3">
        <v>4</v>
      </c>
      <c r="Q189" s="3" t="s">
        <v>3914</v>
      </c>
      <c r="R189" s="3" t="s">
        <v>3915</v>
      </c>
      <c r="S189" s="3" t="s">
        <v>482</v>
      </c>
      <c r="T189" s="3" t="s">
        <v>3916</v>
      </c>
    </row>
    <row r="190" spans="1:20" ht="64" hidden="1" x14ac:dyDescent="0.2">
      <c r="A190" s="3" t="s">
        <v>341</v>
      </c>
      <c r="B190" s="3" t="s">
        <v>340</v>
      </c>
      <c r="C190" s="3" t="s">
        <v>3917</v>
      </c>
      <c r="D190" s="3">
        <v>12</v>
      </c>
      <c r="E190" s="3" t="s">
        <v>2514</v>
      </c>
      <c r="F190" s="3" t="s">
        <v>2269</v>
      </c>
      <c r="G190" s="6" t="s">
        <v>3918</v>
      </c>
      <c r="H190" s="3" t="s">
        <v>3919</v>
      </c>
      <c r="I190" s="3" t="s">
        <v>2794</v>
      </c>
      <c r="J190" s="3" t="s">
        <v>3920</v>
      </c>
      <c r="K190" s="3" t="s">
        <v>3921</v>
      </c>
      <c r="L190" s="3" t="s">
        <v>3922</v>
      </c>
      <c r="M190" s="3" t="s">
        <v>2540</v>
      </c>
      <c r="N190" s="3" t="s">
        <v>1931</v>
      </c>
      <c r="O190" s="3" t="s">
        <v>2512</v>
      </c>
      <c r="P190" s="3">
        <v>1</v>
      </c>
      <c r="Q190" s="3" t="s">
        <v>2512</v>
      </c>
      <c r="R190" s="3" t="s">
        <v>350</v>
      </c>
      <c r="S190" s="3" t="s">
        <v>2270</v>
      </c>
      <c r="T190" s="3" t="s">
        <v>2267</v>
      </c>
    </row>
    <row r="191" spans="1:20" ht="48" hidden="1" x14ac:dyDescent="0.2">
      <c r="A191" s="3" t="s">
        <v>804</v>
      </c>
      <c r="B191" s="3" t="s">
        <v>803</v>
      </c>
      <c r="C191" s="3" t="s">
        <v>3923</v>
      </c>
      <c r="D191" s="3">
        <v>37</v>
      </c>
      <c r="E191" s="3" t="s">
        <v>2514</v>
      </c>
      <c r="F191" s="3" t="s">
        <v>3924</v>
      </c>
      <c r="G191" s="6" t="s">
        <v>3925</v>
      </c>
      <c r="H191" s="3" t="s">
        <v>3926</v>
      </c>
      <c r="I191" s="3" t="s">
        <v>2794</v>
      </c>
      <c r="J191" s="3" t="s">
        <v>3927</v>
      </c>
      <c r="K191" s="3" t="s">
        <v>2519</v>
      </c>
      <c r="L191" s="3" t="s">
        <v>3928</v>
      </c>
      <c r="M191" s="3" t="s">
        <v>3929</v>
      </c>
      <c r="N191" s="3" t="s">
        <v>1931</v>
      </c>
      <c r="O191" s="3" t="s">
        <v>482</v>
      </c>
      <c r="P191" s="3">
        <v>0</v>
      </c>
      <c r="Q191" s="3" t="s">
        <v>2560</v>
      </c>
      <c r="R191" s="3" t="s">
        <v>405</v>
      </c>
      <c r="S191" s="3" t="s">
        <v>800</v>
      </c>
      <c r="T191" s="3" t="s">
        <v>2349</v>
      </c>
    </row>
    <row r="192" spans="1:20" ht="64" hidden="1" x14ac:dyDescent="0.2">
      <c r="A192" s="3" t="s">
        <v>816</v>
      </c>
      <c r="B192" s="3" t="s">
        <v>815</v>
      </c>
      <c r="C192" s="3" t="s">
        <v>3923</v>
      </c>
      <c r="D192" s="3">
        <v>40</v>
      </c>
      <c r="E192" s="3" t="s">
        <v>2514</v>
      </c>
      <c r="F192" s="3" t="s">
        <v>2189</v>
      </c>
      <c r="G192" s="6" t="s">
        <v>3930</v>
      </c>
      <c r="H192" s="3" t="s">
        <v>3931</v>
      </c>
      <c r="I192" s="3" t="s">
        <v>2794</v>
      </c>
      <c r="J192" s="3" t="s">
        <v>3927</v>
      </c>
      <c r="K192" s="3" t="s">
        <v>2519</v>
      </c>
      <c r="L192" s="3" t="s">
        <v>3932</v>
      </c>
      <c r="M192" s="3" t="s">
        <v>3933</v>
      </c>
      <c r="N192" s="3" t="s">
        <v>1931</v>
      </c>
      <c r="O192" s="3" t="s">
        <v>2512</v>
      </c>
      <c r="P192" s="3">
        <v>1</v>
      </c>
      <c r="Q192" s="3" t="s">
        <v>2512</v>
      </c>
      <c r="R192" s="3" t="s">
        <v>820</v>
      </c>
      <c r="S192" s="3" t="s">
        <v>2190</v>
      </c>
      <c r="T192" s="3" t="s">
        <v>2187</v>
      </c>
    </row>
    <row r="193" spans="1:20" ht="56" hidden="1" x14ac:dyDescent="0.2">
      <c r="A193" s="3" t="s">
        <v>3934</v>
      </c>
      <c r="B193" s="3" t="s">
        <v>3935</v>
      </c>
      <c r="C193" s="3" t="s">
        <v>3923</v>
      </c>
      <c r="D193" s="3">
        <v>43</v>
      </c>
      <c r="E193" s="3" t="s">
        <v>2514</v>
      </c>
      <c r="F193" s="3" t="s">
        <v>2616</v>
      </c>
      <c r="G193" s="6" t="s">
        <v>3936</v>
      </c>
      <c r="H193" s="3" t="s">
        <v>3937</v>
      </c>
      <c r="I193" s="3" t="s">
        <v>2529</v>
      </c>
      <c r="J193" s="3" t="s">
        <v>3927</v>
      </c>
      <c r="K193" s="3" t="s">
        <v>2519</v>
      </c>
      <c r="L193" s="3" t="s">
        <v>2531</v>
      </c>
      <c r="M193" s="3" t="s">
        <v>2540</v>
      </c>
      <c r="N193" s="3" t="s">
        <v>1931</v>
      </c>
      <c r="O193" s="3" t="s">
        <v>3938</v>
      </c>
      <c r="P193" s="3">
        <v>3</v>
      </c>
      <c r="Q193" s="3" t="s">
        <v>3938</v>
      </c>
      <c r="R193" s="3" t="s">
        <v>3939</v>
      </c>
      <c r="S193" s="3" t="s">
        <v>482</v>
      </c>
      <c r="T193" s="3" t="s">
        <v>482</v>
      </c>
    </row>
    <row r="194" spans="1:20" ht="64" hidden="1" x14ac:dyDescent="0.2">
      <c r="A194" s="3" t="s">
        <v>788</v>
      </c>
      <c r="B194" s="3" t="s">
        <v>787</v>
      </c>
      <c r="C194" s="3" t="s">
        <v>3923</v>
      </c>
      <c r="D194" s="3">
        <v>47</v>
      </c>
      <c r="E194" s="3" t="s">
        <v>2504</v>
      </c>
      <c r="F194" s="3" t="s">
        <v>2184</v>
      </c>
      <c r="G194" s="6" t="s">
        <v>3940</v>
      </c>
      <c r="H194" s="3" t="s">
        <v>3941</v>
      </c>
      <c r="I194" s="3" t="s">
        <v>2794</v>
      </c>
      <c r="J194" s="3" t="s">
        <v>3942</v>
      </c>
      <c r="K194" s="3" t="s">
        <v>2519</v>
      </c>
      <c r="L194" s="3" t="s">
        <v>482</v>
      </c>
      <c r="M194" s="3" t="s">
        <v>2540</v>
      </c>
      <c r="N194" s="3" t="s">
        <v>1931</v>
      </c>
      <c r="O194" s="3" t="s">
        <v>3359</v>
      </c>
      <c r="P194" s="3">
        <v>2</v>
      </c>
      <c r="Q194" s="3" t="s">
        <v>3359</v>
      </c>
      <c r="R194" s="3" t="s">
        <v>793</v>
      </c>
      <c r="S194" s="3" t="s">
        <v>2185</v>
      </c>
      <c r="T194" s="3" t="s">
        <v>2182</v>
      </c>
    </row>
    <row r="195" spans="1:20" ht="80" hidden="1" x14ac:dyDescent="0.2">
      <c r="A195" s="3" t="s">
        <v>3943</v>
      </c>
      <c r="B195" s="3" t="s">
        <v>3944</v>
      </c>
      <c r="C195" s="3" t="s">
        <v>3923</v>
      </c>
      <c r="D195" s="3">
        <v>51</v>
      </c>
      <c r="E195" s="3" t="s">
        <v>2504</v>
      </c>
      <c r="F195" s="3" t="s">
        <v>3945</v>
      </c>
      <c r="G195" s="6" t="s">
        <v>3946</v>
      </c>
      <c r="H195" s="3" t="s">
        <v>3947</v>
      </c>
      <c r="I195" s="3" t="s">
        <v>2529</v>
      </c>
      <c r="J195" s="3" t="s">
        <v>3942</v>
      </c>
      <c r="K195" s="3" t="s">
        <v>2519</v>
      </c>
      <c r="L195" s="3" t="s">
        <v>482</v>
      </c>
      <c r="M195" s="3" t="s">
        <v>2540</v>
      </c>
      <c r="N195" s="3" t="s">
        <v>1931</v>
      </c>
      <c r="O195" s="3" t="s">
        <v>3948</v>
      </c>
      <c r="P195" s="3">
        <v>4</v>
      </c>
      <c r="Q195" s="3" t="s">
        <v>3949</v>
      </c>
      <c r="R195" s="3" t="s">
        <v>3950</v>
      </c>
      <c r="S195" s="3" t="s">
        <v>482</v>
      </c>
      <c r="T195" s="3" t="s">
        <v>2365</v>
      </c>
    </row>
    <row r="196" spans="1:20" ht="80" hidden="1" x14ac:dyDescent="0.2">
      <c r="A196" s="3" t="s">
        <v>849</v>
      </c>
      <c r="B196" s="3" t="s">
        <v>848</v>
      </c>
      <c r="C196" s="3" t="s">
        <v>3923</v>
      </c>
      <c r="D196" s="3">
        <v>63</v>
      </c>
      <c r="E196" s="3" t="s">
        <v>2514</v>
      </c>
      <c r="F196" s="3" t="s">
        <v>2200</v>
      </c>
      <c r="G196" s="6" t="s">
        <v>3951</v>
      </c>
      <c r="H196" s="3" t="s">
        <v>3952</v>
      </c>
      <c r="I196" s="3" t="s">
        <v>2794</v>
      </c>
      <c r="J196" s="3" t="s">
        <v>3953</v>
      </c>
      <c r="K196" s="3" t="s">
        <v>3954</v>
      </c>
      <c r="L196" s="3" t="s">
        <v>3955</v>
      </c>
      <c r="M196" s="3" t="s">
        <v>3013</v>
      </c>
      <c r="N196" s="3" t="s">
        <v>1931</v>
      </c>
      <c r="O196" s="3" t="s">
        <v>2512</v>
      </c>
      <c r="P196" s="3">
        <v>1</v>
      </c>
      <c r="Q196" s="3" t="s">
        <v>2512</v>
      </c>
      <c r="R196" s="3" t="s">
        <v>854</v>
      </c>
      <c r="S196" s="3" t="s">
        <v>2201</v>
      </c>
      <c r="T196" s="3" t="s">
        <v>2198</v>
      </c>
    </row>
    <row r="197" spans="1:20" ht="128" hidden="1" x14ac:dyDescent="0.2">
      <c r="A197" s="3" t="s">
        <v>3956</v>
      </c>
      <c r="B197" s="3" t="s">
        <v>3957</v>
      </c>
      <c r="C197" s="3" t="s">
        <v>3923</v>
      </c>
      <c r="D197" s="3">
        <v>89</v>
      </c>
      <c r="E197" s="3" t="s">
        <v>2504</v>
      </c>
      <c r="F197" s="3" t="s">
        <v>3958</v>
      </c>
      <c r="G197" s="6" t="s">
        <v>3959</v>
      </c>
      <c r="H197" s="3" t="s">
        <v>3960</v>
      </c>
      <c r="I197" s="3" t="s">
        <v>2529</v>
      </c>
      <c r="J197" s="3" t="s">
        <v>3942</v>
      </c>
      <c r="K197" s="3" t="s">
        <v>2758</v>
      </c>
      <c r="L197" s="3" t="s">
        <v>482</v>
      </c>
      <c r="M197" s="3" t="s">
        <v>2774</v>
      </c>
      <c r="N197" s="3" t="s">
        <v>1931</v>
      </c>
      <c r="O197" s="3" t="s">
        <v>3961</v>
      </c>
      <c r="P197" s="3">
        <v>5</v>
      </c>
      <c r="Q197" s="3" t="s">
        <v>3962</v>
      </c>
      <c r="R197" s="3" t="s">
        <v>3963</v>
      </c>
      <c r="S197" s="3" t="s">
        <v>482</v>
      </c>
      <c r="T197" s="3" t="s">
        <v>2361</v>
      </c>
    </row>
    <row r="198" spans="1:20" ht="84" hidden="1" x14ac:dyDescent="0.2">
      <c r="A198" s="3" t="s">
        <v>3964</v>
      </c>
      <c r="B198" s="3" t="s">
        <v>3965</v>
      </c>
      <c r="C198" s="3" t="s">
        <v>3923</v>
      </c>
      <c r="D198" s="3">
        <v>96</v>
      </c>
      <c r="E198" s="3" t="s">
        <v>2514</v>
      </c>
      <c r="F198" s="3" t="s">
        <v>3966</v>
      </c>
      <c r="G198" s="6" t="s">
        <v>3967</v>
      </c>
      <c r="H198" s="3" t="s">
        <v>3968</v>
      </c>
      <c r="I198" s="3" t="s">
        <v>2508</v>
      </c>
      <c r="J198" s="3" t="s">
        <v>3969</v>
      </c>
      <c r="K198" s="3" t="s">
        <v>3970</v>
      </c>
      <c r="L198" s="3" t="s">
        <v>2531</v>
      </c>
      <c r="M198" s="3" t="s">
        <v>2540</v>
      </c>
      <c r="N198" s="3" t="s">
        <v>1931</v>
      </c>
      <c r="O198" s="3" t="s">
        <v>482</v>
      </c>
      <c r="P198" s="3">
        <v>0</v>
      </c>
      <c r="Q198" s="3" t="s">
        <v>2560</v>
      </c>
      <c r="R198" s="3" t="s">
        <v>405</v>
      </c>
      <c r="S198" s="3" t="s">
        <v>482</v>
      </c>
      <c r="T198" s="3" t="s">
        <v>2373</v>
      </c>
    </row>
    <row r="199" spans="1:20" ht="32" hidden="1" x14ac:dyDescent="0.2">
      <c r="A199" s="3" t="s">
        <v>3971</v>
      </c>
      <c r="B199" s="3" t="s">
        <v>3972</v>
      </c>
      <c r="C199" s="3" t="s">
        <v>3923</v>
      </c>
      <c r="D199" s="3">
        <v>117</v>
      </c>
      <c r="E199" s="3" t="s">
        <v>2504</v>
      </c>
      <c r="F199" s="3" t="s">
        <v>2379</v>
      </c>
      <c r="G199" s="6" t="s">
        <v>3973</v>
      </c>
      <c r="H199" s="3" t="s">
        <v>3974</v>
      </c>
      <c r="I199" s="3" t="s">
        <v>2794</v>
      </c>
      <c r="J199" s="3" t="s">
        <v>3975</v>
      </c>
      <c r="K199" s="3" t="s">
        <v>2758</v>
      </c>
      <c r="L199" s="3" t="s">
        <v>482</v>
      </c>
      <c r="M199" s="3" t="s">
        <v>2540</v>
      </c>
      <c r="N199" s="3" t="s">
        <v>1931</v>
      </c>
      <c r="O199" s="3" t="s">
        <v>482</v>
      </c>
      <c r="P199" s="3">
        <v>0</v>
      </c>
      <c r="Q199" s="3" t="s">
        <v>2560</v>
      </c>
      <c r="R199" s="3" t="s">
        <v>405</v>
      </c>
      <c r="S199" s="3" t="s">
        <v>482</v>
      </c>
      <c r="T199" s="3" t="s">
        <v>2377</v>
      </c>
    </row>
    <row r="200" spans="1:20" ht="140" hidden="1" x14ac:dyDescent="0.2">
      <c r="A200" s="3" t="s">
        <v>3976</v>
      </c>
      <c r="B200" s="3" t="s">
        <v>3977</v>
      </c>
      <c r="C200" s="3" t="s">
        <v>3923</v>
      </c>
      <c r="D200" s="3">
        <v>122</v>
      </c>
      <c r="E200" s="3" t="s">
        <v>2504</v>
      </c>
      <c r="F200" s="3" t="s">
        <v>3978</v>
      </c>
      <c r="G200" s="6" t="s">
        <v>3979</v>
      </c>
      <c r="H200" s="3" t="s">
        <v>3980</v>
      </c>
      <c r="I200" s="3" t="s">
        <v>2529</v>
      </c>
      <c r="J200" s="3" t="s">
        <v>3981</v>
      </c>
      <c r="K200" s="3" t="s">
        <v>2758</v>
      </c>
      <c r="L200" s="3" t="s">
        <v>482</v>
      </c>
      <c r="M200" s="3" t="s">
        <v>3876</v>
      </c>
      <c r="N200" s="3" t="s">
        <v>1931</v>
      </c>
      <c r="O200" s="3" t="s">
        <v>3982</v>
      </c>
      <c r="P200" s="3">
        <v>2</v>
      </c>
      <c r="Q200" s="3" t="s">
        <v>3982</v>
      </c>
      <c r="R200" s="3" t="s">
        <v>3983</v>
      </c>
      <c r="S200" s="3" t="s">
        <v>482</v>
      </c>
      <c r="T200" s="3" t="s">
        <v>2369</v>
      </c>
    </row>
    <row r="201" spans="1:20" ht="98" hidden="1" x14ac:dyDescent="0.2">
      <c r="A201" s="3" t="s">
        <v>3984</v>
      </c>
      <c r="B201" s="3" t="s">
        <v>3985</v>
      </c>
      <c r="C201" s="3" t="s">
        <v>3923</v>
      </c>
      <c r="D201" s="3">
        <v>137</v>
      </c>
      <c r="E201" s="3" t="s">
        <v>2504</v>
      </c>
      <c r="F201" s="3" t="s">
        <v>3986</v>
      </c>
      <c r="G201" s="6" t="s">
        <v>3987</v>
      </c>
      <c r="H201" s="3" t="s">
        <v>3988</v>
      </c>
      <c r="I201" s="3" t="s">
        <v>2508</v>
      </c>
      <c r="J201" s="3" t="s">
        <v>3989</v>
      </c>
      <c r="K201" s="3" t="s">
        <v>2758</v>
      </c>
      <c r="L201" s="3" t="s">
        <v>482</v>
      </c>
      <c r="M201" s="3" t="s">
        <v>3876</v>
      </c>
      <c r="N201" s="3" t="s">
        <v>1931</v>
      </c>
      <c r="O201" s="3" t="s">
        <v>3990</v>
      </c>
      <c r="P201" s="3">
        <v>1</v>
      </c>
      <c r="Q201" s="3" t="s">
        <v>3990</v>
      </c>
      <c r="R201" s="3" t="s">
        <v>3991</v>
      </c>
      <c r="S201" s="3" t="s">
        <v>482</v>
      </c>
      <c r="T201" s="3" t="s">
        <v>2381</v>
      </c>
    </row>
    <row r="202" spans="1:20" ht="84" hidden="1" x14ac:dyDescent="0.2">
      <c r="A202" s="3" t="s">
        <v>3992</v>
      </c>
      <c r="B202" s="3" t="s">
        <v>3993</v>
      </c>
      <c r="C202" s="3" t="s">
        <v>3923</v>
      </c>
      <c r="D202" s="3">
        <v>146</v>
      </c>
      <c r="E202" s="3" t="s">
        <v>2504</v>
      </c>
      <c r="F202" s="3" t="s">
        <v>3994</v>
      </c>
      <c r="G202" s="6" t="s">
        <v>3995</v>
      </c>
      <c r="H202" s="3" t="s">
        <v>3996</v>
      </c>
      <c r="I202" s="3" t="s">
        <v>2508</v>
      </c>
      <c r="J202" s="3" t="s">
        <v>3927</v>
      </c>
      <c r="K202" s="3" t="s">
        <v>3612</v>
      </c>
      <c r="L202" s="3" t="s">
        <v>482</v>
      </c>
      <c r="M202" s="3" t="s">
        <v>2813</v>
      </c>
      <c r="N202" s="3" t="s">
        <v>1931</v>
      </c>
      <c r="O202" s="3" t="s">
        <v>482</v>
      </c>
      <c r="P202" s="3">
        <v>0</v>
      </c>
      <c r="Q202" s="3" t="s">
        <v>2560</v>
      </c>
      <c r="R202" s="3" t="s">
        <v>405</v>
      </c>
      <c r="S202" s="3" t="s">
        <v>482</v>
      </c>
      <c r="T202" s="3" t="s">
        <v>2357</v>
      </c>
    </row>
    <row r="203" spans="1:20" ht="64" hidden="1" x14ac:dyDescent="0.2">
      <c r="A203" s="3" t="s">
        <v>3997</v>
      </c>
      <c r="B203" s="3" t="s">
        <v>3998</v>
      </c>
      <c r="C203" s="3" t="s">
        <v>3923</v>
      </c>
      <c r="D203" s="3">
        <v>167</v>
      </c>
      <c r="E203" s="3" t="s">
        <v>2514</v>
      </c>
      <c r="F203" s="3" t="s">
        <v>2355</v>
      </c>
      <c r="G203" s="6" t="s">
        <v>3999</v>
      </c>
      <c r="H203" s="3" t="s">
        <v>4000</v>
      </c>
      <c r="I203" s="3" t="s">
        <v>2508</v>
      </c>
      <c r="J203" s="3" t="s">
        <v>3491</v>
      </c>
      <c r="K203" s="3" t="s">
        <v>3348</v>
      </c>
      <c r="L203" s="3" t="s">
        <v>4001</v>
      </c>
      <c r="M203" s="3" t="s">
        <v>2540</v>
      </c>
      <c r="N203" s="3" t="s">
        <v>1931</v>
      </c>
      <c r="O203" s="3" t="s">
        <v>4002</v>
      </c>
      <c r="P203" s="3">
        <v>4</v>
      </c>
      <c r="Q203" s="3" t="s">
        <v>4003</v>
      </c>
      <c r="R203" s="3" t="s">
        <v>4004</v>
      </c>
      <c r="S203" s="3" t="s">
        <v>482</v>
      </c>
      <c r="T203" s="3" t="s">
        <v>2353</v>
      </c>
    </row>
    <row r="204" spans="1:20" ht="256" hidden="1" x14ac:dyDescent="0.2">
      <c r="A204" s="3" t="s">
        <v>931</v>
      </c>
      <c r="B204" s="3" t="s">
        <v>930</v>
      </c>
      <c r="C204" s="3" t="s">
        <v>3923</v>
      </c>
      <c r="D204" s="3">
        <v>191</v>
      </c>
      <c r="E204" s="3" t="s">
        <v>2514</v>
      </c>
      <c r="F204" s="3" t="s">
        <v>4005</v>
      </c>
      <c r="G204" s="6" t="s">
        <v>4006</v>
      </c>
      <c r="H204" s="3" t="s">
        <v>4007</v>
      </c>
      <c r="I204" s="3" t="s">
        <v>2508</v>
      </c>
      <c r="J204" s="3" t="s">
        <v>2547</v>
      </c>
      <c r="K204" s="3" t="s">
        <v>2538</v>
      </c>
      <c r="L204" s="3" t="s">
        <v>2531</v>
      </c>
      <c r="M204" s="3" t="s">
        <v>3876</v>
      </c>
      <c r="N204" s="3" t="s">
        <v>1931</v>
      </c>
      <c r="O204" s="3" t="s">
        <v>4008</v>
      </c>
      <c r="P204" s="3">
        <v>16</v>
      </c>
      <c r="Q204" s="3" t="s">
        <v>4009</v>
      </c>
      <c r="R204" s="3" t="s">
        <v>936</v>
      </c>
      <c r="S204" s="3" t="s">
        <v>2214</v>
      </c>
      <c r="T204" s="3" t="s">
        <v>2211</v>
      </c>
    </row>
    <row r="205" spans="1:20" ht="154" hidden="1" x14ac:dyDescent="0.2">
      <c r="A205" s="3" t="s">
        <v>4010</v>
      </c>
      <c r="B205" s="3" t="s">
        <v>4011</v>
      </c>
      <c r="C205" s="3" t="s">
        <v>3923</v>
      </c>
      <c r="D205" s="3">
        <v>223</v>
      </c>
      <c r="E205" s="3" t="s">
        <v>2514</v>
      </c>
      <c r="F205" s="3" t="s">
        <v>4012</v>
      </c>
      <c r="G205" s="6" t="s">
        <v>4013</v>
      </c>
      <c r="H205" s="3" t="s">
        <v>4014</v>
      </c>
      <c r="I205" s="3" t="s">
        <v>2508</v>
      </c>
      <c r="J205" s="3" t="s">
        <v>4015</v>
      </c>
      <c r="K205" s="3" t="s">
        <v>2538</v>
      </c>
      <c r="L205" s="3" t="s">
        <v>4016</v>
      </c>
      <c r="M205" s="3" t="s">
        <v>3736</v>
      </c>
      <c r="N205" s="3" t="s">
        <v>1931</v>
      </c>
      <c r="O205" s="3" t="s">
        <v>482</v>
      </c>
      <c r="P205" s="3">
        <v>0</v>
      </c>
      <c r="Q205" s="3" t="s">
        <v>2560</v>
      </c>
      <c r="R205" s="3" t="s">
        <v>405</v>
      </c>
      <c r="S205" s="3" t="s">
        <v>482</v>
      </c>
      <c r="T205" s="3" t="s">
        <v>4017</v>
      </c>
    </row>
    <row r="206" spans="1:20" ht="32" hidden="1" x14ac:dyDescent="0.2">
      <c r="A206" s="3" t="s">
        <v>4018</v>
      </c>
      <c r="B206" s="3" t="s">
        <v>4019</v>
      </c>
      <c r="C206" s="3" t="s">
        <v>3923</v>
      </c>
      <c r="D206" s="3">
        <v>233</v>
      </c>
      <c r="E206" s="3" t="s">
        <v>2514</v>
      </c>
      <c r="F206" s="3" t="s">
        <v>4020</v>
      </c>
      <c r="G206" s="6" t="s">
        <v>4021</v>
      </c>
      <c r="H206" s="3" t="s">
        <v>4022</v>
      </c>
      <c r="I206" s="3" t="s">
        <v>2529</v>
      </c>
      <c r="J206" s="3" t="s">
        <v>4015</v>
      </c>
      <c r="K206" s="3" t="s">
        <v>2538</v>
      </c>
      <c r="L206" s="3" t="s">
        <v>2531</v>
      </c>
      <c r="M206" s="3" t="s">
        <v>2567</v>
      </c>
      <c r="N206" s="3" t="s">
        <v>1931</v>
      </c>
      <c r="O206" s="3" t="s">
        <v>482</v>
      </c>
      <c r="P206" s="3">
        <v>0</v>
      </c>
      <c r="Q206" s="3" t="s">
        <v>2560</v>
      </c>
      <c r="R206" s="3" t="s">
        <v>405</v>
      </c>
      <c r="S206" s="3" t="s">
        <v>482</v>
      </c>
      <c r="T206" s="3" t="s">
        <v>4023</v>
      </c>
    </row>
    <row r="207" spans="1:20" ht="112" hidden="1" x14ac:dyDescent="0.2">
      <c r="A207" s="3" t="s">
        <v>4024</v>
      </c>
      <c r="B207" s="3" t="s">
        <v>4025</v>
      </c>
      <c r="C207" s="3" t="s">
        <v>3923</v>
      </c>
      <c r="D207" s="3">
        <v>244</v>
      </c>
      <c r="E207" s="3" t="s">
        <v>2514</v>
      </c>
      <c r="F207" s="3" t="s">
        <v>4026</v>
      </c>
      <c r="G207" s="6" t="s">
        <v>4027</v>
      </c>
      <c r="H207" s="3" t="s">
        <v>4028</v>
      </c>
      <c r="I207" s="3" t="s">
        <v>2508</v>
      </c>
      <c r="J207" s="3" t="s">
        <v>4029</v>
      </c>
      <c r="K207" s="3" t="s">
        <v>4030</v>
      </c>
      <c r="L207" s="3" t="s">
        <v>2531</v>
      </c>
      <c r="M207" s="3" t="s">
        <v>4031</v>
      </c>
      <c r="N207" s="3" t="s">
        <v>1931</v>
      </c>
      <c r="O207" s="3" t="s">
        <v>2512</v>
      </c>
      <c r="P207" s="3">
        <v>1</v>
      </c>
      <c r="Q207" s="3" t="s">
        <v>2512</v>
      </c>
      <c r="R207" s="3" t="s">
        <v>4032</v>
      </c>
      <c r="S207" s="3" t="s">
        <v>482</v>
      </c>
      <c r="T207" s="3" t="s">
        <v>4033</v>
      </c>
    </row>
    <row r="208" spans="1:20" ht="224" hidden="1" x14ac:dyDescent="0.2">
      <c r="A208" s="3" t="s">
        <v>4034</v>
      </c>
      <c r="B208" s="3" t="s">
        <v>4035</v>
      </c>
      <c r="C208" s="3" t="s">
        <v>3923</v>
      </c>
      <c r="D208" s="3">
        <v>257</v>
      </c>
      <c r="E208" s="3" t="s">
        <v>2514</v>
      </c>
      <c r="F208" s="3" t="s">
        <v>4036</v>
      </c>
      <c r="G208" s="6" t="s">
        <v>4037</v>
      </c>
      <c r="H208" s="3" t="s">
        <v>4038</v>
      </c>
      <c r="I208" s="3" t="s">
        <v>2508</v>
      </c>
      <c r="J208" s="3" t="s">
        <v>2547</v>
      </c>
      <c r="K208" s="3" t="s">
        <v>2538</v>
      </c>
      <c r="L208" s="3" t="s">
        <v>2531</v>
      </c>
      <c r="M208" s="3" t="s">
        <v>4039</v>
      </c>
      <c r="N208" s="3" t="s">
        <v>1931</v>
      </c>
      <c r="O208" s="3" t="s">
        <v>4040</v>
      </c>
      <c r="P208" s="3">
        <v>2</v>
      </c>
      <c r="Q208" s="3" t="s">
        <v>4040</v>
      </c>
      <c r="R208" s="3" t="s">
        <v>4041</v>
      </c>
      <c r="S208" s="3" t="s">
        <v>482</v>
      </c>
      <c r="T208" s="3" t="s">
        <v>4042</v>
      </c>
    </row>
    <row r="209" spans="1:20" ht="84" hidden="1" x14ac:dyDescent="0.2">
      <c r="A209" s="3" t="s">
        <v>397</v>
      </c>
      <c r="B209" s="3" t="s">
        <v>396</v>
      </c>
      <c r="C209" s="3" t="s">
        <v>3923</v>
      </c>
      <c r="D209" s="3">
        <v>283</v>
      </c>
      <c r="E209" s="3" t="s">
        <v>2514</v>
      </c>
      <c r="F209" s="3" t="s">
        <v>4043</v>
      </c>
      <c r="G209" s="6" t="s">
        <v>4044</v>
      </c>
      <c r="H209" s="3" t="s">
        <v>4045</v>
      </c>
      <c r="I209" s="3" t="s">
        <v>2529</v>
      </c>
      <c r="J209" s="3" t="s">
        <v>4015</v>
      </c>
      <c r="K209" s="3" t="s">
        <v>2758</v>
      </c>
      <c r="L209" s="3" t="s">
        <v>2531</v>
      </c>
      <c r="M209" s="3" t="s">
        <v>2567</v>
      </c>
      <c r="N209" s="3" t="s">
        <v>1931</v>
      </c>
      <c r="O209" s="3" t="s">
        <v>482</v>
      </c>
      <c r="P209" s="3">
        <v>0</v>
      </c>
      <c r="Q209" s="3" t="s">
        <v>2560</v>
      </c>
      <c r="R209" s="3" t="s">
        <v>405</v>
      </c>
      <c r="S209" s="3" t="s">
        <v>392</v>
      </c>
      <c r="T209" s="3" t="s">
        <v>2303</v>
      </c>
    </row>
    <row r="210" spans="1:20" ht="84" hidden="1" x14ac:dyDescent="0.2">
      <c r="A210" s="3" t="s">
        <v>949</v>
      </c>
      <c r="B210" s="3" t="s">
        <v>948</v>
      </c>
      <c r="C210" s="3" t="s">
        <v>3923</v>
      </c>
      <c r="D210" s="3">
        <v>293</v>
      </c>
      <c r="E210" s="3" t="s">
        <v>2514</v>
      </c>
      <c r="F210" s="3" t="s">
        <v>4046</v>
      </c>
      <c r="G210" s="6" t="s">
        <v>4047</v>
      </c>
      <c r="H210" s="3" t="s">
        <v>4048</v>
      </c>
      <c r="I210" s="3" t="s">
        <v>2529</v>
      </c>
      <c r="J210" s="3" t="s">
        <v>4015</v>
      </c>
      <c r="K210" s="3" t="s">
        <v>2758</v>
      </c>
      <c r="L210" s="3" t="s">
        <v>4049</v>
      </c>
      <c r="M210" s="3" t="s">
        <v>2813</v>
      </c>
      <c r="N210" s="3" t="s">
        <v>1931</v>
      </c>
      <c r="O210" s="3" t="s">
        <v>482</v>
      </c>
      <c r="P210" s="3">
        <v>0</v>
      </c>
      <c r="Q210" s="3" t="s">
        <v>2560</v>
      </c>
      <c r="R210" s="3" t="s">
        <v>405</v>
      </c>
      <c r="S210" s="3" t="s">
        <v>945</v>
      </c>
      <c r="T210" s="3" t="s">
        <v>2216</v>
      </c>
    </row>
    <row r="211" spans="1:20" ht="80" hidden="1" x14ac:dyDescent="0.2">
      <c r="A211" s="3" t="s">
        <v>4050</v>
      </c>
      <c r="B211" s="3" t="s">
        <v>4051</v>
      </c>
      <c r="C211" s="3" t="s">
        <v>3923</v>
      </c>
      <c r="D211" s="3">
        <v>304</v>
      </c>
      <c r="E211" s="3" t="s">
        <v>2514</v>
      </c>
      <c r="F211" s="3" t="s">
        <v>4052</v>
      </c>
      <c r="G211" s="6" t="s">
        <v>4053</v>
      </c>
      <c r="H211" s="3" t="s">
        <v>4054</v>
      </c>
      <c r="I211" s="3" t="s">
        <v>2508</v>
      </c>
      <c r="J211" s="3" t="s">
        <v>4055</v>
      </c>
      <c r="K211" s="3" t="s">
        <v>2519</v>
      </c>
      <c r="L211" s="3" t="s">
        <v>2531</v>
      </c>
      <c r="M211" s="3" t="s">
        <v>2774</v>
      </c>
      <c r="N211" s="3" t="s">
        <v>1931</v>
      </c>
      <c r="O211" s="3" t="s">
        <v>482</v>
      </c>
      <c r="P211" s="3">
        <v>0</v>
      </c>
      <c r="Q211" s="3" t="s">
        <v>2560</v>
      </c>
      <c r="R211" s="3" t="s">
        <v>405</v>
      </c>
      <c r="S211" s="3" t="s">
        <v>482</v>
      </c>
      <c r="T211" s="3" t="s">
        <v>482</v>
      </c>
    </row>
    <row r="212" spans="1:20" ht="154" hidden="1" x14ac:dyDescent="0.2">
      <c r="A212" s="3" t="s">
        <v>4056</v>
      </c>
      <c r="B212" s="3" t="s">
        <v>4057</v>
      </c>
      <c r="C212" s="3" t="s">
        <v>4058</v>
      </c>
      <c r="D212" s="3">
        <v>19</v>
      </c>
      <c r="E212" s="3" t="s">
        <v>2504</v>
      </c>
      <c r="F212" s="3" t="s">
        <v>4059</v>
      </c>
      <c r="G212" s="6" t="s">
        <v>4060</v>
      </c>
      <c r="H212" s="3" t="s">
        <v>4061</v>
      </c>
      <c r="I212" s="3" t="s">
        <v>2508</v>
      </c>
      <c r="J212" s="3" t="s">
        <v>4062</v>
      </c>
      <c r="K212" s="3" t="s">
        <v>2758</v>
      </c>
      <c r="L212" s="3" t="s">
        <v>482</v>
      </c>
      <c r="M212" s="3" t="s">
        <v>3013</v>
      </c>
      <c r="N212" s="3" t="s">
        <v>1931</v>
      </c>
      <c r="O212" s="3" t="s">
        <v>482</v>
      </c>
      <c r="P212" s="3">
        <v>0</v>
      </c>
      <c r="Q212" s="3" t="s">
        <v>2560</v>
      </c>
      <c r="R212" s="3" t="s">
        <v>405</v>
      </c>
      <c r="S212" s="3" t="s">
        <v>482</v>
      </c>
      <c r="T212" s="3" t="s">
        <v>2385</v>
      </c>
    </row>
    <row r="213" spans="1:20" ht="182" hidden="1" x14ac:dyDescent="0.2">
      <c r="A213" s="3" t="s">
        <v>968</v>
      </c>
      <c r="B213" s="3" t="s">
        <v>967</v>
      </c>
      <c r="C213" s="3" t="s">
        <v>4058</v>
      </c>
      <c r="D213" s="3">
        <v>32</v>
      </c>
      <c r="E213" s="3" t="s">
        <v>2514</v>
      </c>
      <c r="F213" s="3" t="s">
        <v>2224</v>
      </c>
      <c r="G213" s="6" t="s">
        <v>4063</v>
      </c>
      <c r="H213" s="3" t="s">
        <v>4064</v>
      </c>
      <c r="I213" s="3" t="s">
        <v>2529</v>
      </c>
      <c r="J213" s="3" t="s">
        <v>4065</v>
      </c>
      <c r="K213" s="3" t="s">
        <v>4066</v>
      </c>
      <c r="L213" s="3" t="s">
        <v>2531</v>
      </c>
      <c r="M213" s="3" t="s">
        <v>3876</v>
      </c>
      <c r="N213" s="3" t="s">
        <v>1931</v>
      </c>
      <c r="O213" s="3" t="s">
        <v>4067</v>
      </c>
      <c r="P213" s="3">
        <v>2</v>
      </c>
      <c r="Q213" s="3" t="s">
        <v>4067</v>
      </c>
      <c r="R213" s="3" t="s">
        <v>974</v>
      </c>
      <c r="S213" s="3" t="s">
        <v>2225</v>
      </c>
      <c r="T213" s="3" t="s">
        <v>2222</v>
      </c>
    </row>
    <row r="214" spans="1:20" ht="112" hidden="1" x14ac:dyDescent="0.2">
      <c r="A214" s="3" t="s">
        <v>4068</v>
      </c>
      <c r="B214" s="3" t="s">
        <v>4069</v>
      </c>
      <c r="C214" s="3" t="s">
        <v>4070</v>
      </c>
      <c r="D214" s="3">
        <v>27</v>
      </c>
      <c r="E214" s="3" t="s">
        <v>2504</v>
      </c>
      <c r="F214" s="3" t="s">
        <v>4071</v>
      </c>
      <c r="G214" s="6" t="s">
        <v>4072</v>
      </c>
      <c r="H214" s="3" t="s">
        <v>4073</v>
      </c>
      <c r="I214" s="3" t="s">
        <v>2508</v>
      </c>
      <c r="J214" s="3" t="s">
        <v>4074</v>
      </c>
      <c r="K214" s="3" t="s">
        <v>2538</v>
      </c>
      <c r="L214" s="3" t="s">
        <v>482</v>
      </c>
      <c r="M214" s="3" t="s">
        <v>4075</v>
      </c>
      <c r="N214" s="3" t="s">
        <v>1931</v>
      </c>
      <c r="O214" s="3" t="s">
        <v>482</v>
      </c>
      <c r="P214" s="3">
        <v>0</v>
      </c>
      <c r="Q214" s="3" t="s">
        <v>2560</v>
      </c>
      <c r="R214" s="3" t="s">
        <v>405</v>
      </c>
      <c r="S214" s="3" t="s">
        <v>482</v>
      </c>
      <c r="T214" s="3" t="s">
        <v>4076</v>
      </c>
    </row>
    <row r="215" spans="1:20" ht="98" hidden="1" x14ac:dyDescent="0.2">
      <c r="A215" s="3" t="s">
        <v>4077</v>
      </c>
      <c r="B215" s="3" t="s">
        <v>4078</v>
      </c>
      <c r="C215" s="3" t="s">
        <v>4070</v>
      </c>
      <c r="D215" s="3">
        <v>60</v>
      </c>
      <c r="E215" s="3" t="s">
        <v>2504</v>
      </c>
      <c r="F215" s="3" t="s">
        <v>4079</v>
      </c>
      <c r="G215" s="6" t="s">
        <v>4080</v>
      </c>
      <c r="H215" s="3" t="s">
        <v>4081</v>
      </c>
      <c r="I215" s="3" t="s">
        <v>2508</v>
      </c>
      <c r="J215" s="3" t="s">
        <v>4082</v>
      </c>
      <c r="K215" s="3" t="s">
        <v>2972</v>
      </c>
      <c r="L215" s="3" t="s">
        <v>482</v>
      </c>
      <c r="M215" s="3" t="s">
        <v>4083</v>
      </c>
      <c r="N215" s="3" t="s">
        <v>1931</v>
      </c>
      <c r="O215" s="3" t="s">
        <v>482</v>
      </c>
      <c r="P215" s="3">
        <v>0</v>
      </c>
      <c r="Q215" s="3" t="s">
        <v>2560</v>
      </c>
      <c r="R215" s="3" t="s">
        <v>405</v>
      </c>
      <c r="S215" s="3" t="s">
        <v>482</v>
      </c>
      <c r="T215" s="3" t="s">
        <v>4084</v>
      </c>
    </row>
    <row r="216" spans="1:20" ht="210" hidden="1" x14ac:dyDescent="0.2">
      <c r="A216" s="3" t="s">
        <v>4085</v>
      </c>
      <c r="B216" s="3" t="s">
        <v>4086</v>
      </c>
      <c r="C216" s="3" t="s">
        <v>4070</v>
      </c>
      <c r="D216" s="3">
        <v>80</v>
      </c>
      <c r="E216" s="3" t="s">
        <v>2514</v>
      </c>
      <c r="F216" s="3" t="s">
        <v>4087</v>
      </c>
      <c r="G216" s="6" t="s">
        <v>4088</v>
      </c>
      <c r="H216" s="3" t="s">
        <v>4089</v>
      </c>
      <c r="I216" s="3" t="s">
        <v>2508</v>
      </c>
      <c r="J216" s="3" t="s">
        <v>2547</v>
      </c>
      <c r="K216" s="3" t="s">
        <v>2538</v>
      </c>
      <c r="L216" s="3" t="s">
        <v>2531</v>
      </c>
      <c r="M216" s="3" t="s">
        <v>4090</v>
      </c>
      <c r="N216" s="3" t="s">
        <v>1931</v>
      </c>
      <c r="O216" s="3" t="s">
        <v>4091</v>
      </c>
      <c r="P216" s="3">
        <v>2</v>
      </c>
      <c r="Q216" s="3" t="s">
        <v>4091</v>
      </c>
      <c r="R216" s="3" t="s">
        <v>4092</v>
      </c>
      <c r="S216" s="3" t="s">
        <v>482</v>
      </c>
      <c r="T216" s="3" t="s">
        <v>4093</v>
      </c>
    </row>
    <row r="217" spans="1:20" ht="32" hidden="1" x14ac:dyDescent="0.2">
      <c r="A217" s="3" t="s">
        <v>4094</v>
      </c>
      <c r="B217" s="3" t="s">
        <v>4095</v>
      </c>
      <c r="C217" s="3" t="s">
        <v>4070</v>
      </c>
      <c r="D217" s="3">
        <v>110</v>
      </c>
      <c r="E217" s="3" t="s">
        <v>2514</v>
      </c>
      <c r="F217" s="3" t="s">
        <v>4096</v>
      </c>
      <c r="G217" s="6" t="s">
        <v>4097</v>
      </c>
      <c r="H217" s="3" t="s">
        <v>4098</v>
      </c>
      <c r="I217" s="3" t="s">
        <v>2508</v>
      </c>
      <c r="J217" s="3" t="s">
        <v>4099</v>
      </c>
      <c r="K217" s="3" t="s">
        <v>4100</v>
      </c>
      <c r="L217" s="3" t="s">
        <v>2531</v>
      </c>
      <c r="M217" s="3" t="s">
        <v>2540</v>
      </c>
      <c r="N217" s="3" t="s">
        <v>1931</v>
      </c>
      <c r="O217" s="3" t="s">
        <v>482</v>
      </c>
      <c r="P217" s="3">
        <v>0</v>
      </c>
      <c r="Q217" s="3" t="s">
        <v>2560</v>
      </c>
      <c r="R217" s="3" t="s">
        <v>405</v>
      </c>
      <c r="S217" s="3" t="s">
        <v>482</v>
      </c>
      <c r="T217" s="3" t="s">
        <v>4101</v>
      </c>
    </row>
    <row r="218" spans="1:20" ht="210" x14ac:dyDescent="0.2">
      <c r="A218" s="3" t="s">
        <v>837</v>
      </c>
      <c r="B218" s="3" t="s">
        <v>836</v>
      </c>
      <c r="C218" s="3" t="s">
        <v>4102</v>
      </c>
      <c r="D218" s="3">
        <v>14</v>
      </c>
      <c r="E218" s="3" t="s">
        <v>2514</v>
      </c>
      <c r="F218" s="3" t="s">
        <v>2196</v>
      </c>
      <c r="G218" s="6" t="s">
        <v>4103</v>
      </c>
      <c r="H218" s="3" t="s">
        <v>4104</v>
      </c>
      <c r="I218" s="3" t="s">
        <v>2508</v>
      </c>
      <c r="J218" s="3" t="s">
        <v>2547</v>
      </c>
      <c r="K218" s="3" t="s">
        <v>2538</v>
      </c>
      <c r="L218" s="3" t="s">
        <v>4105</v>
      </c>
      <c r="M218" s="3" t="s">
        <v>4106</v>
      </c>
      <c r="N218" s="3" t="s">
        <v>1931</v>
      </c>
      <c r="O218" s="3" t="s">
        <v>482</v>
      </c>
      <c r="P218" s="3">
        <v>0</v>
      </c>
      <c r="Q218" s="3" t="s">
        <v>2560</v>
      </c>
      <c r="R218" s="3" t="s">
        <v>405</v>
      </c>
      <c r="S218" s="3" t="s">
        <v>833</v>
      </c>
      <c r="T218" s="3" t="s">
        <v>2194</v>
      </c>
    </row>
    <row r="219" spans="1:20" ht="128" hidden="1" x14ac:dyDescent="0.2">
      <c r="A219" s="3" t="s">
        <v>4107</v>
      </c>
      <c r="B219" s="3" t="s">
        <v>4108</v>
      </c>
      <c r="C219" s="3" t="s">
        <v>4109</v>
      </c>
      <c r="D219" s="3">
        <v>11</v>
      </c>
      <c r="E219" s="3" t="s">
        <v>2514</v>
      </c>
      <c r="F219" s="3" t="s">
        <v>2419</v>
      </c>
      <c r="G219" s="6" t="s">
        <v>4110</v>
      </c>
      <c r="H219" s="3" t="s">
        <v>4111</v>
      </c>
      <c r="I219" s="3" t="s">
        <v>2529</v>
      </c>
      <c r="J219" s="3" t="s">
        <v>3457</v>
      </c>
      <c r="K219" s="3" t="s">
        <v>4112</v>
      </c>
      <c r="L219" s="3" t="s">
        <v>4113</v>
      </c>
      <c r="M219" s="3" t="s">
        <v>2540</v>
      </c>
      <c r="N219" s="3" t="s">
        <v>1931</v>
      </c>
      <c r="O219" s="3" t="s">
        <v>4114</v>
      </c>
      <c r="P219" s="3">
        <v>7</v>
      </c>
      <c r="Q219" s="3" t="s">
        <v>4115</v>
      </c>
      <c r="R219" s="3" t="s">
        <v>4116</v>
      </c>
      <c r="S219" s="3" t="s">
        <v>482</v>
      </c>
      <c r="T219" s="3" t="s">
        <v>2417</v>
      </c>
    </row>
    <row r="220" spans="1:20" ht="126" hidden="1" x14ac:dyDescent="0.2">
      <c r="A220" s="3" t="s">
        <v>4117</v>
      </c>
      <c r="B220" s="3" t="s">
        <v>4118</v>
      </c>
      <c r="C220" s="3" t="s">
        <v>4109</v>
      </c>
      <c r="D220" s="3">
        <v>34</v>
      </c>
      <c r="E220" s="3" t="s">
        <v>2514</v>
      </c>
      <c r="F220" s="3" t="s">
        <v>2616</v>
      </c>
      <c r="G220" s="6" t="s">
        <v>4119</v>
      </c>
      <c r="H220" s="3" t="s">
        <v>4120</v>
      </c>
      <c r="I220" s="3" t="s">
        <v>2529</v>
      </c>
      <c r="J220" s="3" t="s">
        <v>4121</v>
      </c>
      <c r="K220" s="3" t="s">
        <v>4122</v>
      </c>
      <c r="L220" s="3" t="s">
        <v>4123</v>
      </c>
      <c r="M220" s="3" t="s">
        <v>4124</v>
      </c>
      <c r="N220" s="3" t="s">
        <v>1931</v>
      </c>
      <c r="O220" s="3" t="s">
        <v>2512</v>
      </c>
      <c r="P220" s="3">
        <v>1</v>
      </c>
      <c r="Q220" s="3" t="s">
        <v>2512</v>
      </c>
      <c r="R220" s="3" t="s">
        <v>4125</v>
      </c>
      <c r="S220" s="3" t="s">
        <v>482</v>
      </c>
      <c r="T220" s="3" t="s">
        <v>482</v>
      </c>
    </row>
    <row r="221" spans="1:20" ht="154" hidden="1" x14ac:dyDescent="0.2">
      <c r="A221" s="3" t="s">
        <v>4126</v>
      </c>
      <c r="B221" s="3" t="s">
        <v>4127</v>
      </c>
      <c r="C221" s="3" t="s">
        <v>4109</v>
      </c>
      <c r="D221" s="3">
        <v>49</v>
      </c>
      <c r="E221" s="3" t="s">
        <v>2514</v>
      </c>
      <c r="F221" s="3" t="s">
        <v>4128</v>
      </c>
      <c r="G221" s="6" t="s">
        <v>4129</v>
      </c>
      <c r="H221" s="3" t="s">
        <v>4130</v>
      </c>
      <c r="I221" s="3" t="s">
        <v>2508</v>
      </c>
      <c r="J221" s="3" t="s">
        <v>4131</v>
      </c>
      <c r="K221" s="3" t="s">
        <v>2758</v>
      </c>
      <c r="L221" s="3" t="s">
        <v>2531</v>
      </c>
      <c r="M221" s="3" t="s">
        <v>4132</v>
      </c>
      <c r="N221" s="3" t="s">
        <v>1931</v>
      </c>
      <c r="O221" s="3" t="s">
        <v>4133</v>
      </c>
      <c r="P221" s="3">
        <v>6</v>
      </c>
      <c r="Q221" s="3" t="s">
        <v>4134</v>
      </c>
      <c r="R221" s="3" t="s">
        <v>4135</v>
      </c>
      <c r="S221" s="3" t="s">
        <v>482</v>
      </c>
      <c r="T221" s="3" t="s">
        <v>482</v>
      </c>
    </row>
    <row r="222" spans="1:20" ht="112" hidden="1" x14ac:dyDescent="0.2">
      <c r="A222" s="3" t="s">
        <v>4136</v>
      </c>
      <c r="B222" s="3" t="s">
        <v>4137</v>
      </c>
      <c r="C222" s="3" t="s">
        <v>4109</v>
      </c>
      <c r="D222" s="3">
        <v>81</v>
      </c>
      <c r="E222" s="3" t="s">
        <v>2514</v>
      </c>
      <c r="F222" s="3" t="s">
        <v>2616</v>
      </c>
      <c r="G222" s="6" t="s">
        <v>4138</v>
      </c>
      <c r="H222" s="3" t="s">
        <v>4139</v>
      </c>
      <c r="I222" s="3" t="s">
        <v>2508</v>
      </c>
      <c r="J222" s="3" t="s">
        <v>4140</v>
      </c>
      <c r="K222" s="3" t="s">
        <v>4141</v>
      </c>
      <c r="L222" s="3" t="s">
        <v>4142</v>
      </c>
      <c r="M222" s="3" t="s">
        <v>2813</v>
      </c>
      <c r="N222" s="3" t="s">
        <v>1931</v>
      </c>
      <c r="O222" s="3" t="s">
        <v>4143</v>
      </c>
      <c r="P222" s="3">
        <v>7</v>
      </c>
      <c r="Q222" s="3" t="s">
        <v>4144</v>
      </c>
      <c r="R222" s="3" t="s">
        <v>4145</v>
      </c>
      <c r="S222" s="3" t="s">
        <v>482</v>
      </c>
      <c r="T222" s="3" t="s">
        <v>482</v>
      </c>
    </row>
    <row r="223" spans="1:20" ht="128" hidden="1" x14ac:dyDescent="0.2">
      <c r="A223" s="3" t="s">
        <v>4146</v>
      </c>
      <c r="B223" s="3" t="s">
        <v>4147</v>
      </c>
      <c r="C223" s="3" t="s">
        <v>4109</v>
      </c>
      <c r="D223" s="3">
        <v>109</v>
      </c>
      <c r="E223" s="3" t="s">
        <v>2514</v>
      </c>
      <c r="F223" s="3" t="s">
        <v>4148</v>
      </c>
      <c r="G223" s="6" t="s">
        <v>4149</v>
      </c>
      <c r="H223" s="3" t="s">
        <v>4150</v>
      </c>
      <c r="I223" s="3" t="s">
        <v>2529</v>
      </c>
      <c r="J223" s="3" t="s">
        <v>4151</v>
      </c>
      <c r="K223" s="3" t="s">
        <v>2519</v>
      </c>
      <c r="L223" s="3" t="s">
        <v>4152</v>
      </c>
      <c r="M223" s="3" t="s">
        <v>3013</v>
      </c>
      <c r="N223" s="3" t="s">
        <v>1931</v>
      </c>
      <c r="O223" s="3" t="s">
        <v>4153</v>
      </c>
      <c r="P223" s="3">
        <v>2</v>
      </c>
      <c r="Q223" s="3" t="s">
        <v>4154</v>
      </c>
      <c r="R223" s="3" t="s">
        <v>4155</v>
      </c>
      <c r="S223" s="3" t="s">
        <v>482</v>
      </c>
      <c r="T223" s="3" t="s">
        <v>482</v>
      </c>
    </row>
    <row r="224" spans="1:20" ht="84" hidden="1" x14ac:dyDescent="0.2">
      <c r="A224" s="3" t="s">
        <v>4156</v>
      </c>
      <c r="B224" s="3" t="s">
        <v>4157</v>
      </c>
      <c r="C224" s="3" t="s">
        <v>4109</v>
      </c>
      <c r="D224" s="3">
        <v>112</v>
      </c>
      <c r="E224" s="3" t="s">
        <v>2514</v>
      </c>
      <c r="F224" s="3" t="s">
        <v>2616</v>
      </c>
      <c r="G224" s="6" t="s">
        <v>4158</v>
      </c>
      <c r="H224" s="3" t="s">
        <v>4159</v>
      </c>
      <c r="I224" s="3" t="s">
        <v>2794</v>
      </c>
      <c r="J224" s="3" t="s">
        <v>4160</v>
      </c>
      <c r="K224" s="3" t="s">
        <v>2519</v>
      </c>
      <c r="L224" s="3" t="s">
        <v>4161</v>
      </c>
      <c r="M224" s="3" t="s">
        <v>3013</v>
      </c>
      <c r="N224" s="3" t="s">
        <v>1931</v>
      </c>
      <c r="O224" s="3" t="s">
        <v>482</v>
      </c>
      <c r="P224" s="3">
        <v>0</v>
      </c>
      <c r="Q224" s="3" t="s">
        <v>2560</v>
      </c>
      <c r="R224" s="3" t="s">
        <v>405</v>
      </c>
      <c r="S224" s="3" t="s">
        <v>482</v>
      </c>
      <c r="T224" s="3" t="s">
        <v>482</v>
      </c>
    </row>
    <row r="225" spans="1:20" ht="112" hidden="1" x14ac:dyDescent="0.2">
      <c r="A225" s="3" t="s">
        <v>4162</v>
      </c>
      <c r="B225" s="3" t="s">
        <v>4163</v>
      </c>
      <c r="C225" s="3" t="s">
        <v>4109</v>
      </c>
      <c r="D225" s="3">
        <v>116</v>
      </c>
      <c r="E225" s="3" t="s">
        <v>2514</v>
      </c>
      <c r="F225" s="3" t="s">
        <v>4164</v>
      </c>
      <c r="G225" s="6" t="s">
        <v>4165</v>
      </c>
      <c r="H225" s="3" t="s">
        <v>4166</v>
      </c>
      <c r="I225" s="3" t="s">
        <v>2794</v>
      </c>
      <c r="J225" s="3" t="s">
        <v>4167</v>
      </c>
      <c r="K225" s="3" t="s">
        <v>2519</v>
      </c>
      <c r="L225" s="3" t="s">
        <v>4168</v>
      </c>
      <c r="M225" s="3" t="s">
        <v>2540</v>
      </c>
      <c r="N225" s="3" t="s">
        <v>1931</v>
      </c>
      <c r="O225" s="3" t="s">
        <v>4169</v>
      </c>
      <c r="P225" s="3">
        <v>2</v>
      </c>
      <c r="Q225" s="3" t="s">
        <v>4169</v>
      </c>
      <c r="R225" s="3" t="s">
        <v>4170</v>
      </c>
      <c r="S225" s="3" t="s">
        <v>482</v>
      </c>
      <c r="T225" s="3" t="s">
        <v>482</v>
      </c>
    </row>
    <row r="226" spans="1:20" ht="126" hidden="1" x14ac:dyDescent="0.2">
      <c r="A226" s="3" t="s">
        <v>4171</v>
      </c>
      <c r="B226" s="3" t="s">
        <v>4172</v>
      </c>
      <c r="C226" s="3" t="s">
        <v>4109</v>
      </c>
      <c r="D226" s="3">
        <v>136</v>
      </c>
      <c r="E226" s="3" t="s">
        <v>2514</v>
      </c>
      <c r="F226" s="3" t="s">
        <v>4173</v>
      </c>
      <c r="G226" s="6" t="s">
        <v>4174</v>
      </c>
      <c r="H226" s="3" t="s">
        <v>4175</v>
      </c>
      <c r="I226" s="3" t="s">
        <v>2529</v>
      </c>
      <c r="J226" s="3" t="s">
        <v>4176</v>
      </c>
      <c r="K226" s="3" t="s">
        <v>4177</v>
      </c>
      <c r="L226" s="3" t="s">
        <v>2531</v>
      </c>
      <c r="M226" s="3" t="s">
        <v>4178</v>
      </c>
      <c r="N226" s="3" t="s">
        <v>1931</v>
      </c>
      <c r="O226" s="3" t="s">
        <v>4179</v>
      </c>
      <c r="P226" s="3">
        <v>7</v>
      </c>
      <c r="Q226" s="3" t="s">
        <v>4180</v>
      </c>
      <c r="R226" s="3" t="s">
        <v>4181</v>
      </c>
      <c r="S226" s="3" t="s">
        <v>482</v>
      </c>
      <c r="T226" s="3" t="s">
        <v>482</v>
      </c>
    </row>
    <row r="227" spans="1:20" ht="80" hidden="1" x14ac:dyDescent="0.2">
      <c r="A227" s="3" t="s">
        <v>4182</v>
      </c>
      <c r="B227" s="3" t="s">
        <v>4183</v>
      </c>
      <c r="C227" s="3" t="s">
        <v>4109</v>
      </c>
      <c r="D227" s="3">
        <v>156</v>
      </c>
      <c r="E227" s="3" t="s">
        <v>2514</v>
      </c>
      <c r="F227" s="3" t="s">
        <v>4184</v>
      </c>
      <c r="G227" s="6" t="s">
        <v>4185</v>
      </c>
      <c r="H227" s="3" t="s">
        <v>4186</v>
      </c>
      <c r="I227" s="3" t="s">
        <v>2529</v>
      </c>
      <c r="J227" s="3" t="s">
        <v>4187</v>
      </c>
      <c r="K227" s="3" t="s">
        <v>2519</v>
      </c>
      <c r="L227" s="3" t="s">
        <v>2531</v>
      </c>
      <c r="M227" s="3" t="s">
        <v>3415</v>
      </c>
      <c r="N227" s="3" t="s">
        <v>1931</v>
      </c>
      <c r="O227" s="3" t="s">
        <v>2512</v>
      </c>
      <c r="P227" s="3">
        <v>1</v>
      </c>
      <c r="Q227" s="3" t="s">
        <v>2512</v>
      </c>
      <c r="R227" s="3" t="s">
        <v>4188</v>
      </c>
      <c r="S227" s="3" t="s">
        <v>482</v>
      </c>
      <c r="T227" s="3" t="s">
        <v>482</v>
      </c>
    </row>
    <row r="228" spans="1:20" ht="293" hidden="1" x14ac:dyDescent="0.2">
      <c r="A228" s="3" t="s">
        <v>4189</v>
      </c>
      <c r="B228" s="3" t="s">
        <v>4190</v>
      </c>
      <c r="C228" s="3" t="s">
        <v>4109</v>
      </c>
      <c r="D228" s="3">
        <v>171</v>
      </c>
      <c r="E228" s="3" t="s">
        <v>2514</v>
      </c>
      <c r="F228" s="3" t="s">
        <v>2616</v>
      </c>
      <c r="G228" s="6" t="s">
        <v>4191</v>
      </c>
      <c r="H228" s="3" t="s">
        <v>4192</v>
      </c>
      <c r="I228" s="3" t="s">
        <v>2508</v>
      </c>
      <c r="J228" s="3" t="s">
        <v>2547</v>
      </c>
      <c r="K228" s="3" t="s">
        <v>2538</v>
      </c>
      <c r="L228" s="3" t="s">
        <v>2531</v>
      </c>
      <c r="M228" s="3" t="s">
        <v>4193</v>
      </c>
      <c r="N228" s="3" t="s">
        <v>1931</v>
      </c>
      <c r="O228" s="3" t="s">
        <v>4194</v>
      </c>
      <c r="P228" s="3">
        <v>6</v>
      </c>
      <c r="Q228" s="3" t="s">
        <v>4195</v>
      </c>
      <c r="R228" s="3" t="s">
        <v>4196</v>
      </c>
      <c r="S228" s="3" t="s">
        <v>482</v>
      </c>
      <c r="T228" s="3" t="s">
        <v>482</v>
      </c>
    </row>
    <row r="229" spans="1:20" ht="48" hidden="1" x14ac:dyDescent="0.2">
      <c r="A229" s="3" t="s">
        <v>4197</v>
      </c>
      <c r="B229" s="3" t="s">
        <v>4198</v>
      </c>
      <c r="C229" s="3" t="s">
        <v>4199</v>
      </c>
      <c r="D229" s="3">
        <v>24</v>
      </c>
      <c r="E229" s="3" t="s">
        <v>2504</v>
      </c>
      <c r="F229" s="3" t="s">
        <v>4200</v>
      </c>
      <c r="G229" s="6" t="s">
        <v>4201</v>
      </c>
      <c r="H229" s="3" t="s">
        <v>4202</v>
      </c>
      <c r="I229" s="3" t="s">
        <v>2529</v>
      </c>
      <c r="J229" s="3" t="s">
        <v>4203</v>
      </c>
      <c r="K229" s="3" t="s">
        <v>4204</v>
      </c>
      <c r="L229" s="3" t="s">
        <v>482</v>
      </c>
      <c r="M229" s="3" t="s">
        <v>2540</v>
      </c>
      <c r="N229" s="3" t="s">
        <v>1931</v>
      </c>
      <c r="O229" s="3" t="s">
        <v>4205</v>
      </c>
      <c r="P229" s="3">
        <v>2</v>
      </c>
      <c r="Q229" s="3" t="s">
        <v>4205</v>
      </c>
      <c r="R229" s="3" t="s">
        <v>4206</v>
      </c>
      <c r="S229" s="3" t="s">
        <v>482</v>
      </c>
      <c r="T229" s="3" t="s">
        <v>482</v>
      </c>
    </row>
    <row r="230" spans="1:20" ht="70" hidden="1" x14ac:dyDescent="0.2">
      <c r="A230" s="3" t="s">
        <v>4207</v>
      </c>
      <c r="B230" s="3" t="s">
        <v>4208</v>
      </c>
      <c r="C230" s="3" t="s">
        <v>4199</v>
      </c>
      <c r="D230" s="3">
        <v>35</v>
      </c>
      <c r="E230" s="3" t="s">
        <v>2504</v>
      </c>
      <c r="F230" s="3" t="s">
        <v>2616</v>
      </c>
      <c r="G230" s="6" t="s">
        <v>4209</v>
      </c>
      <c r="H230" s="3" t="s">
        <v>4210</v>
      </c>
      <c r="I230" s="3" t="s">
        <v>2508</v>
      </c>
      <c r="J230" s="3" t="s">
        <v>2547</v>
      </c>
      <c r="K230" s="3" t="s">
        <v>2538</v>
      </c>
      <c r="L230" s="3" t="s">
        <v>482</v>
      </c>
      <c r="M230" s="3" t="s">
        <v>4211</v>
      </c>
      <c r="N230" s="3" t="s">
        <v>1931</v>
      </c>
      <c r="O230" s="3" t="s">
        <v>2512</v>
      </c>
      <c r="P230" s="3">
        <v>1</v>
      </c>
      <c r="Q230" s="3" t="s">
        <v>2512</v>
      </c>
      <c r="R230" s="3" t="s">
        <v>4212</v>
      </c>
      <c r="S230" s="3" t="s">
        <v>482</v>
      </c>
      <c r="T230" s="3" t="s">
        <v>482</v>
      </c>
    </row>
    <row r="231" spans="1:20" ht="84" hidden="1" x14ac:dyDescent="0.2">
      <c r="A231" s="3" t="s">
        <v>4213</v>
      </c>
      <c r="B231" s="3" t="s">
        <v>4214</v>
      </c>
      <c r="C231" s="3" t="s">
        <v>4199</v>
      </c>
      <c r="D231" s="3">
        <v>51</v>
      </c>
      <c r="E231" s="3" t="s">
        <v>2504</v>
      </c>
      <c r="F231" s="3" t="s">
        <v>2616</v>
      </c>
      <c r="G231" s="6" t="s">
        <v>4215</v>
      </c>
      <c r="H231" s="3" t="s">
        <v>4216</v>
      </c>
      <c r="I231" s="3" t="s">
        <v>2508</v>
      </c>
      <c r="J231" s="3" t="s">
        <v>2829</v>
      </c>
      <c r="K231" s="3" t="s">
        <v>4217</v>
      </c>
      <c r="L231" s="3" t="s">
        <v>482</v>
      </c>
      <c r="M231" s="3" t="s">
        <v>2813</v>
      </c>
      <c r="N231" s="3" t="s">
        <v>1931</v>
      </c>
      <c r="O231" s="3" t="s">
        <v>3743</v>
      </c>
      <c r="P231" s="3">
        <v>2</v>
      </c>
      <c r="Q231" s="3" t="s">
        <v>3743</v>
      </c>
      <c r="R231" s="3" t="s">
        <v>4218</v>
      </c>
      <c r="S231" s="3" t="s">
        <v>482</v>
      </c>
      <c r="T231" s="3" t="s">
        <v>482</v>
      </c>
    </row>
    <row r="232" spans="1:20" ht="48" hidden="1" x14ac:dyDescent="0.2">
      <c r="A232" s="3" t="s">
        <v>4219</v>
      </c>
      <c r="B232" s="3" t="s">
        <v>4220</v>
      </c>
      <c r="C232" s="3" t="s">
        <v>4199</v>
      </c>
      <c r="D232" s="3">
        <v>64</v>
      </c>
      <c r="E232" s="3" t="s">
        <v>2635</v>
      </c>
      <c r="F232" s="3" t="s">
        <v>2616</v>
      </c>
      <c r="G232" s="6" t="s">
        <v>2636</v>
      </c>
      <c r="H232" s="3" t="s">
        <v>2636</v>
      </c>
      <c r="I232" s="3" t="s">
        <v>2637</v>
      </c>
      <c r="J232" s="3" t="s">
        <v>2638</v>
      </c>
      <c r="K232" s="3" t="s">
        <v>2538</v>
      </c>
      <c r="L232" s="3" t="s">
        <v>482</v>
      </c>
      <c r="M232" s="3" t="s">
        <v>2540</v>
      </c>
      <c r="N232" s="3" t="s">
        <v>1816</v>
      </c>
      <c r="O232" s="3" t="s">
        <v>482</v>
      </c>
      <c r="P232" s="3">
        <v>0</v>
      </c>
      <c r="Q232" s="3" t="s">
        <v>2560</v>
      </c>
      <c r="R232" s="3" t="s">
        <v>405</v>
      </c>
      <c r="S232" s="3" t="s">
        <v>482</v>
      </c>
      <c r="T232" s="3" t="s">
        <v>482</v>
      </c>
    </row>
    <row r="233" spans="1:20" ht="48" hidden="1" x14ac:dyDescent="0.2">
      <c r="A233" s="3" t="s">
        <v>4221</v>
      </c>
      <c r="B233" s="3" t="s">
        <v>4222</v>
      </c>
      <c r="C233" s="3" t="s">
        <v>4199</v>
      </c>
      <c r="D233" s="3">
        <v>65</v>
      </c>
      <c r="E233" s="3" t="s">
        <v>2641</v>
      </c>
      <c r="F233" s="3" t="s">
        <v>2616</v>
      </c>
      <c r="G233" s="6" t="s">
        <v>2642</v>
      </c>
      <c r="H233" s="3" t="s">
        <v>2642</v>
      </c>
      <c r="I233" s="3" t="s">
        <v>2637</v>
      </c>
      <c r="J233" s="3" t="s">
        <v>4223</v>
      </c>
      <c r="K233" s="3" t="s">
        <v>2538</v>
      </c>
      <c r="L233" s="3" t="s">
        <v>482</v>
      </c>
      <c r="M233" s="3" t="s">
        <v>2540</v>
      </c>
      <c r="N233" s="3" t="s">
        <v>1816</v>
      </c>
      <c r="O233" s="3" t="s">
        <v>2644</v>
      </c>
      <c r="P233" s="3">
        <v>1</v>
      </c>
      <c r="Q233" s="3" t="s">
        <v>2644</v>
      </c>
      <c r="R233" s="3" t="s">
        <v>4224</v>
      </c>
      <c r="S233" s="3" t="s">
        <v>482</v>
      </c>
      <c r="T233" s="3" t="s">
        <v>482</v>
      </c>
    </row>
    <row r="234" spans="1:20" ht="182" hidden="1" x14ac:dyDescent="0.2">
      <c r="A234" s="3" t="s">
        <v>4225</v>
      </c>
      <c r="B234" s="3" t="s">
        <v>4226</v>
      </c>
      <c r="C234" s="3" t="s">
        <v>4199</v>
      </c>
      <c r="D234" s="3">
        <v>70</v>
      </c>
      <c r="E234" s="3" t="s">
        <v>2514</v>
      </c>
      <c r="F234" s="3" t="s">
        <v>4227</v>
      </c>
      <c r="G234" s="6" t="s">
        <v>4228</v>
      </c>
      <c r="H234" s="3" t="s">
        <v>4229</v>
      </c>
      <c r="I234" s="3" t="s">
        <v>2529</v>
      </c>
      <c r="J234" s="3" t="s">
        <v>4230</v>
      </c>
      <c r="K234" s="3" t="s">
        <v>4231</v>
      </c>
      <c r="L234" s="3" t="s">
        <v>4232</v>
      </c>
      <c r="M234" s="3" t="s">
        <v>4233</v>
      </c>
      <c r="N234" s="3" t="s">
        <v>1931</v>
      </c>
      <c r="O234" s="3" t="s">
        <v>482</v>
      </c>
      <c r="P234" s="3">
        <v>0</v>
      </c>
      <c r="Q234" s="3" t="s">
        <v>2560</v>
      </c>
      <c r="R234" s="3" t="s">
        <v>405</v>
      </c>
      <c r="S234" s="3" t="s">
        <v>482</v>
      </c>
      <c r="T234" s="3" t="s">
        <v>482</v>
      </c>
    </row>
    <row r="235" spans="1:20" ht="56" hidden="1" x14ac:dyDescent="0.2">
      <c r="A235" s="3" t="s">
        <v>4234</v>
      </c>
      <c r="B235" s="3" t="s">
        <v>4235</v>
      </c>
      <c r="C235" s="3" t="s">
        <v>4199</v>
      </c>
      <c r="D235" s="3">
        <v>81</v>
      </c>
      <c r="E235" s="3" t="s">
        <v>2514</v>
      </c>
      <c r="F235" s="3" t="s">
        <v>2616</v>
      </c>
      <c r="G235" s="6" t="s">
        <v>4236</v>
      </c>
      <c r="H235" s="3" t="s">
        <v>4237</v>
      </c>
      <c r="I235" s="3" t="s">
        <v>2529</v>
      </c>
      <c r="J235" s="3" t="s">
        <v>4238</v>
      </c>
      <c r="K235" s="3" t="s">
        <v>4239</v>
      </c>
      <c r="L235" s="3" t="s">
        <v>2566</v>
      </c>
      <c r="M235" s="3" t="s">
        <v>4124</v>
      </c>
      <c r="N235" s="3" t="s">
        <v>1931</v>
      </c>
      <c r="O235" s="3" t="s">
        <v>482</v>
      </c>
      <c r="P235" s="3">
        <v>0</v>
      </c>
      <c r="Q235" s="3" t="s">
        <v>2560</v>
      </c>
      <c r="R235" s="3" t="s">
        <v>405</v>
      </c>
      <c r="S235" s="3" t="s">
        <v>482</v>
      </c>
      <c r="T235" s="3" t="s">
        <v>482</v>
      </c>
    </row>
    <row r="236" spans="1:20" ht="70" hidden="1" x14ac:dyDescent="0.2">
      <c r="A236" s="3" t="s">
        <v>4240</v>
      </c>
      <c r="B236" s="3" t="s">
        <v>4241</v>
      </c>
      <c r="C236" s="3" t="s">
        <v>4199</v>
      </c>
      <c r="D236" s="3">
        <v>92</v>
      </c>
      <c r="E236" s="3" t="s">
        <v>2514</v>
      </c>
      <c r="F236" s="3" t="s">
        <v>4242</v>
      </c>
      <c r="G236" s="6" t="s">
        <v>4243</v>
      </c>
      <c r="H236" s="3" t="s">
        <v>4244</v>
      </c>
      <c r="I236" s="3" t="s">
        <v>2508</v>
      </c>
      <c r="J236" s="3" t="s">
        <v>4245</v>
      </c>
      <c r="K236" s="3" t="s">
        <v>2758</v>
      </c>
      <c r="L236" s="3" t="s">
        <v>2531</v>
      </c>
      <c r="M236" s="3" t="s">
        <v>3050</v>
      </c>
      <c r="N236" s="3" t="s">
        <v>1931</v>
      </c>
      <c r="O236" s="3" t="s">
        <v>482</v>
      </c>
      <c r="P236" s="3">
        <v>0</v>
      </c>
      <c r="Q236" s="3" t="s">
        <v>2560</v>
      </c>
      <c r="R236" s="3" t="s">
        <v>405</v>
      </c>
      <c r="S236" s="3" t="s">
        <v>482</v>
      </c>
      <c r="T236" s="3" t="s">
        <v>482</v>
      </c>
    </row>
    <row r="237" spans="1:20" ht="84" hidden="1" x14ac:dyDescent="0.2">
      <c r="A237" s="3" t="s">
        <v>4246</v>
      </c>
      <c r="B237" s="3" t="s">
        <v>4247</v>
      </c>
      <c r="C237" s="3" t="s">
        <v>4199</v>
      </c>
      <c r="D237" s="3">
        <v>100</v>
      </c>
      <c r="E237" s="3" t="s">
        <v>2504</v>
      </c>
      <c r="F237" s="3" t="s">
        <v>4248</v>
      </c>
      <c r="G237" s="6" t="s">
        <v>4249</v>
      </c>
      <c r="H237" s="3" t="s">
        <v>4250</v>
      </c>
      <c r="I237" s="3" t="s">
        <v>2508</v>
      </c>
      <c r="J237" s="3" t="s">
        <v>4251</v>
      </c>
      <c r="K237" s="3" t="s">
        <v>2758</v>
      </c>
      <c r="L237" s="3" t="s">
        <v>482</v>
      </c>
      <c r="M237" s="3" t="s">
        <v>3013</v>
      </c>
      <c r="N237" s="3" t="s">
        <v>1931</v>
      </c>
      <c r="O237" s="3" t="s">
        <v>4252</v>
      </c>
      <c r="P237" s="3">
        <v>1</v>
      </c>
      <c r="Q237" s="3" t="s">
        <v>4252</v>
      </c>
      <c r="R237" s="3" t="s">
        <v>4253</v>
      </c>
      <c r="S237" s="3" t="s">
        <v>482</v>
      </c>
      <c r="T237" s="3" t="s">
        <v>482</v>
      </c>
    </row>
    <row r="238" spans="1:20" ht="96" hidden="1" x14ac:dyDescent="0.2">
      <c r="A238" s="3" t="s">
        <v>4254</v>
      </c>
      <c r="B238" s="3" t="s">
        <v>4255</v>
      </c>
      <c r="C238" s="3" t="s">
        <v>4199</v>
      </c>
      <c r="D238" s="3">
        <v>108</v>
      </c>
      <c r="E238" s="3" t="s">
        <v>2514</v>
      </c>
      <c r="F238" s="3" t="s">
        <v>4256</v>
      </c>
      <c r="G238" s="6" t="s">
        <v>4257</v>
      </c>
      <c r="H238" s="3" t="s">
        <v>4258</v>
      </c>
      <c r="I238" s="3" t="s">
        <v>2529</v>
      </c>
      <c r="J238" s="3" t="s">
        <v>4251</v>
      </c>
      <c r="K238" s="3" t="s">
        <v>2758</v>
      </c>
      <c r="L238" s="3" t="s">
        <v>2531</v>
      </c>
      <c r="M238" s="3" t="s">
        <v>4259</v>
      </c>
      <c r="N238" s="3" t="s">
        <v>1931</v>
      </c>
      <c r="O238" s="3" t="s">
        <v>4260</v>
      </c>
      <c r="P238" s="3">
        <v>3</v>
      </c>
      <c r="Q238" s="3" t="s">
        <v>4261</v>
      </c>
      <c r="R238" s="3" t="s">
        <v>4262</v>
      </c>
      <c r="S238" s="3" t="s">
        <v>482</v>
      </c>
      <c r="T238" s="3" t="s">
        <v>482</v>
      </c>
    </row>
    <row r="239" spans="1:20" ht="84" hidden="1" x14ac:dyDescent="0.2">
      <c r="A239" s="3" t="s">
        <v>4263</v>
      </c>
      <c r="B239" s="3" t="s">
        <v>4264</v>
      </c>
      <c r="C239" s="3" t="s">
        <v>4199</v>
      </c>
      <c r="D239" s="3">
        <v>116</v>
      </c>
      <c r="E239" s="3" t="s">
        <v>2514</v>
      </c>
      <c r="F239" s="3" t="s">
        <v>4265</v>
      </c>
      <c r="G239" s="6" t="s">
        <v>4266</v>
      </c>
      <c r="H239" s="3" t="s">
        <v>4267</v>
      </c>
      <c r="I239" s="3" t="s">
        <v>2529</v>
      </c>
      <c r="J239" s="3" t="s">
        <v>4268</v>
      </c>
      <c r="K239" s="3" t="s">
        <v>2758</v>
      </c>
      <c r="L239" s="3" t="s">
        <v>2531</v>
      </c>
      <c r="M239" s="3" t="s">
        <v>4269</v>
      </c>
      <c r="N239" s="3" t="s">
        <v>1931</v>
      </c>
      <c r="O239" s="3" t="s">
        <v>482</v>
      </c>
      <c r="P239" s="3">
        <v>0</v>
      </c>
      <c r="Q239" s="3" t="s">
        <v>2560</v>
      </c>
      <c r="R239" s="3" t="s">
        <v>405</v>
      </c>
      <c r="S239" s="3" t="s">
        <v>482</v>
      </c>
      <c r="T239" s="3" t="s">
        <v>482</v>
      </c>
    </row>
    <row r="240" spans="1:20" ht="112" hidden="1" x14ac:dyDescent="0.2">
      <c r="A240" s="3" t="s">
        <v>4270</v>
      </c>
      <c r="B240" s="3" t="s">
        <v>4271</v>
      </c>
      <c r="C240" s="3" t="s">
        <v>4199</v>
      </c>
      <c r="D240" s="3">
        <v>123</v>
      </c>
      <c r="E240" s="3" t="s">
        <v>2635</v>
      </c>
      <c r="F240" s="3" t="s">
        <v>4272</v>
      </c>
      <c r="G240" s="6" t="s">
        <v>4273</v>
      </c>
      <c r="H240" s="3" t="s">
        <v>4274</v>
      </c>
      <c r="I240" s="3" t="s">
        <v>2529</v>
      </c>
      <c r="J240" s="3" t="s">
        <v>4275</v>
      </c>
      <c r="K240" s="3" t="s">
        <v>2519</v>
      </c>
      <c r="L240" s="3" t="s">
        <v>482</v>
      </c>
      <c r="M240" s="3" t="s">
        <v>4276</v>
      </c>
      <c r="N240" s="3" t="s">
        <v>1816</v>
      </c>
      <c r="O240" s="3" t="s">
        <v>482</v>
      </c>
      <c r="P240" s="3">
        <v>0</v>
      </c>
      <c r="Q240" s="3" t="s">
        <v>2560</v>
      </c>
      <c r="R240" s="3" t="s">
        <v>405</v>
      </c>
      <c r="S240" s="3" t="s">
        <v>482</v>
      </c>
      <c r="T240" s="3" t="s">
        <v>482</v>
      </c>
    </row>
    <row r="241" spans="1:20" ht="128" hidden="1" x14ac:dyDescent="0.2">
      <c r="A241" s="3" t="s">
        <v>4277</v>
      </c>
      <c r="B241" s="3" t="s">
        <v>4278</v>
      </c>
      <c r="C241" s="3" t="s">
        <v>4199</v>
      </c>
      <c r="D241" s="3">
        <v>136</v>
      </c>
      <c r="E241" s="3" t="s">
        <v>2514</v>
      </c>
      <c r="F241" s="3" t="s">
        <v>2616</v>
      </c>
      <c r="G241" s="6" t="s">
        <v>4279</v>
      </c>
      <c r="H241" s="3" t="s">
        <v>4280</v>
      </c>
      <c r="I241" s="3" t="s">
        <v>2529</v>
      </c>
      <c r="J241" s="3" t="s">
        <v>4281</v>
      </c>
      <c r="K241" s="3" t="s">
        <v>4282</v>
      </c>
      <c r="L241" s="3" t="s">
        <v>4283</v>
      </c>
      <c r="M241" s="3" t="s">
        <v>4284</v>
      </c>
      <c r="N241" s="3" t="s">
        <v>1931</v>
      </c>
      <c r="O241" s="3" t="s">
        <v>4285</v>
      </c>
      <c r="P241" s="3">
        <v>4</v>
      </c>
      <c r="Q241" s="3" t="s">
        <v>4286</v>
      </c>
      <c r="R241" s="3" t="s">
        <v>4287</v>
      </c>
      <c r="S241" s="3" t="s">
        <v>482</v>
      </c>
      <c r="T241" s="3" t="s">
        <v>482</v>
      </c>
    </row>
    <row r="242" spans="1:20" ht="48" hidden="1" x14ac:dyDescent="0.2">
      <c r="A242" s="3" t="s">
        <v>4288</v>
      </c>
      <c r="B242" s="3" t="s">
        <v>4289</v>
      </c>
      <c r="C242" s="3" t="s">
        <v>4290</v>
      </c>
      <c r="D242" s="3">
        <v>30</v>
      </c>
      <c r="E242" s="3" t="s">
        <v>2514</v>
      </c>
      <c r="F242" s="3" t="s">
        <v>4291</v>
      </c>
      <c r="G242" s="6" t="s">
        <v>4292</v>
      </c>
      <c r="H242" s="3" t="s">
        <v>4293</v>
      </c>
      <c r="I242" s="3" t="s">
        <v>2508</v>
      </c>
      <c r="J242" s="3" t="s">
        <v>4294</v>
      </c>
      <c r="K242" s="3" t="s">
        <v>3348</v>
      </c>
      <c r="L242" s="3" t="s">
        <v>4295</v>
      </c>
      <c r="M242" s="3" t="s">
        <v>2540</v>
      </c>
      <c r="N242" s="3" t="s">
        <v>1931</v>
      </c>
      <c r="O242" s="3" t="s">
        <v>482</v>
      </c>
      <c r="P242" s="3">
        <v>0</v>
      </c>
      <c r="Q242" s="3" t="s">
        <v>2560</v>
      </c>
      <c r="R242" s="3" t="s">
        <v>405</v>
      </c>
      <c r="S242" s="3" t="s">
        <v>482</v>
      </c>
      <c r="T242" s="3" t="s">
        <v>4296</v>
      </c>
    </row>
    <row r="243" spans="1:20" ht="32" hidden="1" x14ac:dyDescent="0.2">
      <c r="A243" s="3" t="s">
        <v>4297</v>
      </c>
      <c r="B243" s="3" t="s">
        <v>4298</v>
      </c>
      <c r="C243" s="3" t="s">
        <v>4290</v>
      </c>
      <c r="D243" s="3">
        <v>34</v>
      </c>
      <c r="E243" s="3" t="s">
        <v>2514</v>
      </c>
      <c r="F243" s="3" t="s">
        <v>4299</v>
      </c>
      <c r="G243" s="6" t="s">
        <v>4300</v>
      </c>
      <c r="H243" s="3" t="s">
        <v>4301</v>
      </c>
      <c r="I243" s="3" t="s">
        <v>2508</v>
      </c>
      <c r="J243" s="3" t="s">
        <v>4302</v>
      </c>
      <c r="K243" s="3" t="s">
        <v>3348</v>
      </c>
      <c r="L243" s="3" t="s">
        <v>4303</v>
      </c>
      <c r="M243" s="3" t="s">
        <v>2540</v>
      </c>
      <c r="N243" s="3" t="s">
        <v>1931</v>
      </c>
      <c r="O243" s="3" t="s">
        <v>482</v>
      </c>
      <c r="P243" s="3">
        <v>0</v>
      </c>
      <c r="Q243" s="3" t="s">
        <v>2560</v>
      </c>
      <c r="R243" s="3" t="s">
        <v>405</v>
      </c>
      <c r="S243" s="3" t="s">
        <v>482</v>
      </c>
      <c r="T243" s="3" t="s">
        <v>4304</v>
      </c>
    </row>
    <row r="244" spans="1:20" ht="224" hidden="1" x14ac:dyDescent="0.2">
      <c r="A244" s="3" t="s">
        <v>987</v>
      </c>
      <c r="B244" s="3" t="s">
        <v>986</v>
      </c>
      <c r="C244" s="3" t="s">
        <v>4290</v>
      </c>
      <c r="D244" s="3">
        <v>44</v>
      </c>
      <c r="E244" s="3" t="s">
        <v>2514</v>
      </c>
      <c r="F244" s="3" t="s">
        <v>2229</v>
      </c>
      <c r="G244" s="6" t="s">
        <v>4305</v>
      </c>
      <c r="H244" s="3" t="s">
        <v>4306</v>
      </c>
      <c r="I244" s="3" t="s">
        <v>2508</v>
      </c>
      <c r="J244" s="3" t="s">
        <v>4307</v>
      </c>
      <c r="K244" s="3" t="s">
        <v>4308</v>
      </c>
      <c r="L244" s="3" t="s">
        <v>2531</v>
      </c>
      <c r="M244" s="3" t="s">
        <v>3561</v>
      </c>
      <c r="N244" s="3" t="s">
        <v>1931</v>
      </c>
      <c r="O244" s="3" t="s">
        <v>4309</v>
      </c>
      <c r="P244" s="3">
        <v>9</v>
      </c>
      <c r="Q244" s="3" t="s">
        <v>4310</v>
      </c>
      <c r="R244" s="3" t="s">
        <v>993</v>
      </c>
      <c r="S244" s="3" t="s">
        <v>2230</v>
      </c>
      <c r="T244" s="3" t="s">
        <v>2227</v>
      </c>
    </row>
    <row r="245" spans="1:20" ht="112" hidden="1" x14ac:dyDescent="0.2">
      <c r="A245" s="3" t="s">
        <v>4311</v>
      </c>
      <c r="B245" s="3" t="s">
        <v>4312</v>
      </c>
      <c r="C245" s="3" t="s">
        <v>4290</v>
      </c>
      <c r="D245" s="3">
        <v>78</v>
      </c>
      <c r="E245" s="3" t="s">
        <v>2514</v>
      </c>
      <c r="F245" s="3" t="s">
        <v>2616</v>
      </c>
      <c r="G245" s="6" t="s">
        <v>4313</v>
      </c>
      <c r="H245" s="3" t="s">
        <v>4314</v>
      </c>
      <c r="I245" s="3" t="s">
        <v>2508</v>
      </c>
      <c r="J245" s="3" t="s">
        <v>2547</v>
      </c>
      <c r="K245" s="3" t="s">
        <v>2538</v>
      </c>
      <c r="L245" s="3" t="s">
        <v>2531</v>
      </c>
      <c r="M245" s="3" t="s">
        <v>4315</v>
      </c>
      <c r="N245" s="3" t="s">
        <v>1931</v>
      </c>
      <c r="O245" s="3" t="s">
        <v>4316</v>
      </c>
      <c r="P245" s="3">
        <v>7</v>
      </c>
      <c r="Q245" s="3" t="s">
        <v>4317</v>
      </c>
      <c r="R245" s="3" t="s">
        <v>4318</v>
      </c>
      <c r="S245" s="3" t="s">
        <v>482</v>
      </c>
      <c r="T245" s="3" t="s">
        <v>482</v>
      </c>
    </row>
    <row r="246" spans="1:20" ht="154" hidden="1" x14ac:dyDescent="0.2">
      <c r="A246" s="3" t="s">
        <v>4319</v>
      </c>
      <c r="B246" s="3" t="s">
        <v>4320</v>
      </c>
      <c r="C246" s="3" t="s">
        <v>4290</v>
      </c>
      <c r="D246" s="3">
        <v>152</v>
      </c>
      <c r="E246" s="3" t="s">
        <v>2514</v>
      </c>
      <c r="F246" s="3" t="s">
        <v>4321</v>
      </c>
      <c r="G246" s="6" t="s">
        <v>4322</v>
      </c>
      <c r="H246" s="3" t="s">
        <v>4323</v>
      </c>
      <c r="I246" s="3" t="s">
        <v>2508</v>
      </c>
      <c r="J246" s="3" t="s">
        <v>4324</v>
      </c>
      <c r="K246" s="3" t="s">
        <v>3348</v>
      </c>
      <c r="L246" s="3" t="s">
        <v>2531</v>
      </c>
      <c r="M246" s="3" t="s">
        <v>2540</v>
      </c>
      <c r="N246" s="3" t="s">
        <v>1931</v>
      </c>
      <c r="O246" s="3" t="s">
        <v>482</v>
      </c>
      <c r="P246" s="3">
        <v>0</v>
      </c>
      <c r="Q246" s="3" t="s">
        <v>2560</v>
      </c>
      <c r="R246" s="3" t="s">
        <v>405</v>
      </c>
      <c r="S246" s="3" t="s">
        <v>482</v>
      </c>
      <c r="T246" s="3" t="s">
        <v>4325</v>
      </c>
    </row>
    <row r="247" spans="1:20" ht="32" hidden="1" x14ac:dyDescent="0.2">
      <c r="A247" s="3" t="s">
        <v>4326</v>
      </c>
      <c r="B247" s="3" t="s">
        <v>4327</v>
      </c>
      <c r="C247" s="3" t="s">
        <v>4290</v>
      </c>
      <c r="D247" s="3">
        <v>162</v>
      </c>
      <c r="E247" s="3" t="s">
        <v>2514</v>
      </c>
      <c r="F247" s="3" t="s">
        <v>4328</v>
      </c>
      <c r="G247" s="6" t="s">
        <v>4329</v>
      </c>
      <c r="H247" s="3" t="s">
        <v>4330</v>
      </c>
      <c r="I247" s="3" t="s">
        <v>2508</v>
      </c>
      <c r="J247" s="3" t="s">
        <v>4331</v>
      </c>
      <c r="K247" s="3" t="s">
        <v>2758</v>
      </c>
      <c r="L247" s="3" t="s">
        <v>2531</v>
      </c>
      <c r="M247" s="3" t="s">
        <v>2540</v>
      </c>
      <c r="N247" s="3" t="s">
        <v>1931</v>
      </c>
      <c r="O247" s="3" t="s">
        <v>482</v>
      </c>
      <c r="P247" s="3">
        <v>0</v>
      </c>
      <c r="Q247" s="3" t="s">
        <v>2560</v>
      </c>
      <c r="R247" s="3" t="s">
        <v>405</v>
      </c>
      <c r="S247" s="3" t="s">
        <v>482</v>
      </c>
      <c r="T247" s="3" t="s">
        <v>4332</v>
      </c>
    </row>
    <row r="248" spans="1:20" ht="112" hidden="1" x14ac:dyDescent="0.2">
      <c r="A248" s="3" t="s">
        <v>4333</v>
      </c>
      <c r="B248" s="3" t="s">
        <v>4334</v>
      </c>
      <c r="C248" s="3" t="s">
        <v>4290</v>
      </c>
      <c r="D248" s="3">
        <v>165</v>
      </c>
      <c r="E248" s="3" t="s">
        <v>2514</v>
      </c>
      <c r="F248" s="3" t="s">
        <v>4335</v>
      </c>
      <c r="G248" s="6" t="s">
        <v>4336</v>
      </c>
      <c r="H248" s="3" t="s">
        <v>4337</v>
      </c>
      <c r="I248" s="3" t="s">
        <v>2508</v>
      </c>
      <c r="J248" s="3" t="s">
        <v>2547</v>
      </c>
      <c r="K248" s="3" t="s">
        <v>2538</v>
      </c>
      <c r="L248" s="3" t="s">
        <v>2531</v>
      </c>
      <c r="M248" s="3" t="s">
        <v>4338</v>
      </c>
      <c r="N248" s="3" t="s">
        <v>1931</v>
      </c>
      <c r="O248" s="3" t="s">
        <v>4002</v>
      </c>
      <c r="P248" s="3">
        <v>4</v>
      </c>
      <c r="Q248" s="3" t="s">
        <v>4003</v>
      </c>
      <c r="R248" s="3" t="s">
        <v>4339</v>
      </c>
      <c r="S248" s="3" t="s">
        <v>482</v>
      </c>
      <c r="T248" s="3" t="s">
        <v>4340</v>
      </c>
    </row>
    <row r="249" spans="1:20" ht="409.6" hidden="1" x14ac:dyDescent="0.2">
      <c r="A249" s="3" t="s">
        <v>4341</v>
      </c>
      <c r="B249" s="3" t="s">
        <v>4342</v>
      </c>
      <c r="C249" s="3" t="s">
        <v>4343</v>
      </c>
      <c r="D249" s="3">
        <v>22</v>
      </c>
      <c r="E249" s="3" t="s">
        <v>2514</v>
      </c>
      <c r="F249" s="3" t="s">
        <v>2616</v>
      </c>
      <c r="G249" s="6" t="s">
        <v>4344</v>
      </c>
      <c r="H249" s="3" t="s">
        <v>4345</v>
      </c>
      <c r="I249" s="3" t="s">
        <v>2508</v>
      </c>
      <c r="J249" s="3" t="s">
        <v>4346</v>
      </c>
      <c r="K249" s="3" t="s">
        <v>4347</v>
      </c>
      <c r="L249" s="3" t="s">
        <v>2531</v>
      </c>
      <c r="M249" s="3" t="s">
        <v>4348</v>
      </c>
      <c r="N249" s="3" t="s">
        <v>1931</v>
      </c>
      <c r="O249" s="3" t="s">
        <v>4349</v>
      </c>
      <c r="P249" s="3">
        <v>28</v>
      </c>
      <c r="Q249" s="3" t="s">
        <v>4350</v>
      </c>
      <c r="R249" s="3" t="s">
        <v>4351</v>
      </c>
      <c r="S249" s="3" t="s">
        <v>482</v>
      </c>
      <c r="T249" s="3" t="s">
        <v>482</v>
      </c>
    </row>
    <row r="250" spans="1:20" ht="64" hidden="1" x14ac:dyDescent="0.2">
      <c r="A250" s="3" t="s">
        <v>4352</v>
      </c>
      <c r="B250" s="3" t="s">
        <v>4353</v>
      </c>
      <c r="C250" s="3" t="s">
        <v>4343</v>
      </c>
      <c r="D250" s="3">
        <v>84</v>
      </c>
      <c r="E250" s="3" t="s">
        <v>2514</v>
      </c>
      <c r="F250" s="3" t="s">
        <v>4354</v>
      </c>
      <c r="G250" s="6" t="s">
        <v>4355</v>
      </c>
      <c r="H250" s="3" t="s">
        <v>4356</v>
      </c>
      <c r="I250" s="3" t="s">
        <v>2529</v>
      </c>
      <c r="J250" s="3" t="s">
        <v>4357</v>
      </c>
      <c r="K250" s="3" t="s">
        <v>2519</v>
      </c>
      <c r="L250" s="3" t="s">
        <v>2531</v>
      </c>
      <c r="M250" s="3" t="s">
        <v>2540</v>
      </c>
      <c r="N250" s="3" t="s">
        <v>1931</v>
      </c>
      <c r="O250" s="3" t="s">
        <v>4358</v>
      </c>
      <c r="P250" s="3">
        <v>4</v>
      </c>
      <c r="Q250" s="3" t="s">
        <v>4359</v>
      </c>
      <c r="R250" s="3" t="s">
        <v>4360</v>
      </c>
      <c r="S250" s="3" t="s">
        <v>482</v>
      </c>
      <c r="T250" s="3" t="s">
        <v>482</v>
      </c>
    </row>
    <row r="251" spans="1:20" ht="154" hidden="1" x14ac:dyDescent="0.2">
      <c r="A251" s="3" t="s">
        <v>4361</v>
      </c>
      <c r="B251" s="3" t="s">
        <v>4362</v>
      </c>
      <c r="C251" s="3" t="s">
        <v>4343</v>
      </c>
      <c r="D251" s="3">
        <v>105</v>
      </c>
      <c r="E251" s="3" t="s">
        <v>2514</v>
      </c>
      <c r="F251" s="3" t="s">
        <v>2616</v>
      </c>
      <c r="G251" s="6" t="s">
        <v>4363</v>
      </c>
      <c r="H251" s="3" t="s">
        <v>4364</v>
      </c>
      <c r="I251" s="3" t="s">
        <v>2508</v>
      </c>
      <c r="J251" s="3" t="s">
        <v>4365</v>
      </c>
      <c r="K251" s="3" t="s">
        <v>4366</v>
      </c>
      <c r="L251" s="3" t="s">
        <v>4367</v>
      </c>
      <c r="M251" s="3" t="s">
        <v>4368</v>
      </c>
      <c r="N251" s="3" t="s">
        <v>1931</v>
      </c>
      <c r="O251" s="3" t="s">
        <v>2512</v>
      </c>
      <c r="P251" s="3">
        <v>1</v>
      </c>
      <c r="Q251" s="3" t="s">
        <v>2512</v>
      </c>
      <c r="R251" s="3" t="s">
        <v>4369</v>
      </c>
      <c r="S251" s="3" t="s">
        <v>482</v>
      </c>
      <c r="T251" s="3" t="s">
        <v>482</v>
      </c>
    </row>
    <row r="252" spans="1:20" ht="84" hidden="1" x14ac:dyDescent="0.2">
      <c r="A252" s="3" t="s">
        <v>4370</v>
      </c>
      <c r="B252" s="3" t="s">
        <v>4371</v>
      </c>
      <c r="C252" s="3" t="s">
        <v>4343</v>
      </c>
      <c r="D252" s="3">
        <v>142</v>
      </c>
      <c r="E252" s="3" t="s">
        <v>2514</v>
      </c>
      <c r="F252" s="3" t="s">
        <v>2616</v>
      </c>
      <c r="G252" s="6" t="s">
        <v>4372</v>
      </c>
      <c r="H252" s="3" t="s">
        <v>4373</v>
      </c>
      <c r="I252" s="3" t="s">
        <v>2508</v>
      </c>
      <c r="J252" s="3" t="s">
        <v>4374</v>
      </c>
      <c r="K252" s="3" t="s">
        <v>4375</v>
      </c>
      <c r="L252" s="3" t="s">
        <v>4376</v>
      </c>
      <c r="M252" s="3" t="s">
        <v>2540</v>
      </c>
      <c r="N252" s="3" t="s">
        <v>1931</v>
      </c>
      <c r="O252" s="3" t="s">
        <v>2512</v>
      </c>
      <c r="P252" s="3">
        <v>1</v>
      </c>
      <c r="Q252" s="3" t="s">
        <v>2512</v>
      </c>
      <c r="R252" s="3" t="s">
        <v>4377</v>
      </c>
      <c r="S252" s="3" t="s">
        <v>482</v>
      </c>
      <c r="T252" s="3" t="s">
        <v>482</v>
      </c>
    </row>
    <row r="253" spans="1:20" ht="96" hidden="1" x14ac:dyDescent="0.2">
      <c r="A253" s="3" t="s">
        <v>4378</v>
      </c>
      <c r="B253" s="3" t="s">
        <v>4379</v>
      </c>
      <c r="C253" s="3" t="s">
        <v>4380</v>
      </c>
      <c r="D253" s="3">
        <v>43</v>
      </c>
      <c r="E253" s="3" t="s">
        <v>2514</v>
      </c>
      <c r="F253" s="3" t="s">
        <v>4381</v>
      </c>
      <c r="G253" s="6" t="s">
        <v>4382</v>
      </c>
      <c r="H253" s="3" t="s">
        <v>4383</v>
      </c>
      <c r="I253" s="3" t="s">
        <v>2529</v>
      </c>
      <c r="J253" s="3" t="s">
        <v>4384</v>
      </c>
      <c r="K253" s="3" t="s">
        <v>2758</v>
      </c>
      <c r="L253" s="3" t="s">
        <v>2531</v>
      </c>
      <c r="M253" s="3" t="s">
        <v>3050</v>
      </c>
      <c r="N253" s="3" t="s">
        <v>1931</v>
      </c>
      <c r="O253" s="3" t="s">
        <v>4385</v>
      </c>
      <c r="P253" s="3">
        <v>5</v>
      </c>
      <c r="Q253" s="3" t="s">
        <v>4386</v>
      </c>
      <c r="R253" s="3" t="s">
        <v>4387</v>
      </c>
      <c r="S253" s="3" t="s">
        <v>482</v>
      </c>
      <c r="T253" s="3" t="s">
        <v>482</v>
      </c>
    </row>
    <row r="254" spans="1:20" ht="266" hidden="1" x14ac:dyDescent="0.2">
      <c r="A254" s="3" t="s">
        <v>4388</v>
      </c>
      <c r="B254" s="3" t="s">
        <v>4389</v>
      </c>
      <c r="C254" s="3" t="s">
        <v>4380</v>
      </c>
      <c r="D254" s="3">
        <v>53</v>
      </c>
      <c r="E254" s="3" t="s">
        <v>2514</v>
      </c>
      <c r="F254" s="3" t="s">
        <v>4390</v>
      </c>
      <c r="G254" s="6" t="s">
        <v>4391</v>
      </c>
      <c r="H254" s="3" t="s">
        <v>4392</v>
      </c>
      <c r="I254" s="3" t="s">
        <v>2508</v>
      </c>
      <c r="J254" s="3" t="s">
        <v>4393</v>
      </c>
      <c r="K254" s="3" t="s">
        <v>4394</v>
      </c>
      <c r="L254" s="3" t="s">
        <v>2531</v>
      </c>
      <c r="M254" s="3" t="s">
        <v>4395</v>
      </c>
      <c r="N254" s="3" t="s">
        <v>1931</v>
      </c>
      <c r="O254" s="3" t="s">
        <v>4396</v>
      </c>
      <c r="P254" s="3">
        <v>10</v>
      </c>
      <c r="Q254" s="3" t="s">
        <v>4397</v>
      </c>
      <c r="R254" s="3" t="s">
        <v>4398</v>
      </c>
      <c r="S254" s="3" t="s">
        <v>482</v>
      </c>
      <c r="T254" s="3" t="s">
        <v>482</v>
      </c>
    </row>
    <row r="255" spans="1:20" ht="288" hidden="1" x14ac:dyDescent="0.2">
      <c r="A255" s="3" t="s">
        <v>4399</v>
      </c>
      <c r="B255" s="3" t="s">
        <v>4400</v>
      </c>
      <c r="C255" s="3" t="s">
        <v>4380</v>
      </c>
      <c r="D255" s="3">
        <v>103</v>
      </c>
      <c r="E255" s="3" t="s">
        <v>2514</v>
      </c>
      <c r="F255" s="3" t="s">
        <v>4401</v>
      </c>
      <c r="G255" s="6" t="s">
        <v>4402</v>
      </c>
      <c r="H255" s="3" t="s">
        <v>4403</v>
      </c>
      <c r="I255" s="3" t="s">
        <v>2529</v>
      </c>
      <c r="J255" s="3" t="s">
        <v>4404</v>
      </c>
      <c r="K255" s="3" t="s">
        <v>4405</v>
      </c>
      <c r="L255" s="3" t="s">
        <v>2531</v>
      </c>
      <c r="M255" s="3" t="s">
        <v>4406</v>
      </c>
      <c r="N255" s="3" t="s">
        <v>1931</v>
      </c>
      <c r="O255" s="3" t="s">
        <v>4407</v>
      </c>
      <c r="P255" s="3">
        <v>11</v>
      </c>
      <c r="Q255" s="3" t="s">
        <v>4408</v>
      </c>
      <c r="R255" s="3" t="s">
        <v>4409</v>
      </c>
      <c r="S255" s="3" t="s">
        <v>482</v>
      </c>
      <c r="T255" s="3" t="s">
        <v>482</v>
      </c>
    </row>
    <row r="256" spans="1:20" ht="98" hidden="1" x14ac:dyDescent="0.2">
      <c r="A256" s="3" t="s">
        <v>4410</v>
      </c>
      <c r="B256" s="3" t="s">
        <v>4411</v>
      </c>
      <c r="C256" s="3" t="s">
        <v>4412</v>
      </c>
      <c r="D256" s="3">
        <v>36</v>
      </c>
      <c r="E256" s="3" t="s">
        <v>2514</v>
      </c>
      <c r="F256" s="3" t="s">
        <v>4413</v>
      </c>
      <c r="G256" s="6" t="s">
        <v>4414</v>
      </c>
      <c r="H256" s="3" t="s">
        <v>4415</v>
      </c>
      <c r="I256" s="3" t="s">
        <v>2529</v>
      </c>
      <c r="J256" s="3" t="s">
        <v>4416</v>
      </c>
      <c r="K256" s="3" t="s">
        <v>4417</v>
      </c>
      <c r="L256" s="3" t="s">
        <v>4418</v>
      </c>
      <c r="M256" s="3" t="s">
        <v>4419</v>
      </c>
      <c r="N256" s="3" t="s">
        <v>1931</v>
      </c>
      <c r="O256" s="3" t="s">
        <v>482</v>
      </c>
      <c r="P256" s="3">
        <v>0</v>
      </c>
      <c r="Q256" s="3" t="s">
        <v>2560</v>
      </c>
      <c r="R256" s="3" t="s">
        <v>405</v>
      </c>
      <c r="S256" s="3" t="s">
        <v>482</v>
      </c>
      <c r="T256" s="3" t="s">
        <v>482</v>
      </c>
    </row>
    <row r="257" spans="1:20" ht="126" hidden="1" x14ac:dyDescent="0.2">
      <c r="A257" s="3" t="s">
        <v>4420</v>
      </c>
      <c r="B257" s="3" t="s">
        <v>4421</v>
      </c>
      <c r="C257" s="3" t="s">
        <v>4412</v>
      </c>
      <c r="D257" s="3">
        <v>54</v>
      </c>
      <c r="E257" s="3" t="s">
        <v>2514</v>
      </c>
      <c r="F257" s="3" t="s">
        <v>4422</v>
      </c>
      <c r="G257" s="6" t="s">
        <v>4423</v>
      </c>
      <c r="H257" s="3" t="s">
        <v>4424</v>
      </c>
      <c r="I257" s="3" t="s">
        <v>2508</v>
      </c>
      <c r="J257" s="3" t="s">
        <v>4425</v>
      </c>
      <c r="K257" s="3" t="s">
        <v>2538</v>
      </c>
      <c r="L257" s="3" t="s">
        <v>2531</v>
      </c>
      <c r="M257" s="3" t="s">
        <v>2774</v>
      </c>
      <c r="N257" s="3" t="s">
        <v>1931</v>
      </c>
      <c r="O257" s="3" t="s">
        <v>482</v>
      </c>
      <c r="P257" s="3">
        <v>0</v>
      </c>
      <c r="Q257" s="3" t="s">
        <v>2560</v>
      </c>
      <c r="R257" s="3" t="s">
        <v>405</v>
      </c>
      <c r="S257" s="3" t="s">
        <v>482</v>
      </c>
      <c r="T257" s="3" t="s">
        <v>482</v>
      </c>
    </row>
    <row r="258" spans="1:20" ht="70" hidden="1" x14ac:dyDescent="0.2">
      <c r="A258" s="3" t="s">
        <v>4426</v>
      </c>
      <c r="B258" s="3" t="s">
        <v>4427</v>
      </c>
      <c r="C258" s="3" t="s">
        <v>4428</v>
      </c>
      <c r="D258" s="3">
        <v>40</v>
      </c>
      <c r="E258" s="3" t="s">
        <v>2514</v>
      </c>
      <c r="F258" s="3" t="s">
        <v>4429</v>
      </c>
      <c r="G258" s="6" t="s">
        <v>4430</v>
      </c>
      <c r="H258" s="3" t="s">
        <v>4431</v>
      </c>
      <c r="I258" s="3" t="s">
        <v>2508</v>
      </c>
      <c r="J258" s="3" t="s">
        <v>4432</v>
      </c>
      <c r="K258" s="3" t="s">
        <v>2758</v>
      </c>
      <c r="L258" s="3" t="s">
        <v>2531</v>
      </c>
      <c r="M258" s="3" t="s">
        <v>2540</v>
      </c>
      <c r="N258" s="3" t="s">
        <v>1931</v>
      </c>
      <c r="O258" s="3" t="s">
        <v>482</v>
      </c>
      <c r="P258" s="3">
        <v>0</v>
      </c>
      <c r="Q258" s="3" t="s">
        <v>2560</v>
      </c>
      <c r="R258" s="3" t="s">
        <v>405</v>
      </c>
      <c r="S258" s="3" t="s">
        <v>482</v>
      </c>
      <c r="T258" s="3" t="s">
        <v>482</v>
      </c>
    </row>
    <row r="259" spans="1:20" ht="126" hidden="1" x14ac:dyDescent="0.2">
      <c r="A259" s="3" t="s">
        <v>4433</v>
      </c>
      <c r="B259" s="3" t="s">
        <v>4434</v>
      </c>
      <c r="C259" s="3" t="s">
        <v>4428</v>
      </c>
      <c r="D259" s="3">
        <v>59</v>
      </c>
      <c r="E259" s="3" t="s">
        <v>2504</v>
      </c>
      <c r="F259" s="3" t="s">
        <v>4435</v>
      </c>
      <c r="G259" s="6" t="s">
        <v>4436</v>
      </c>
      <c r="H259" s="3" t="s">
        <v>4437</v>
      </c>
      <c r="I259" s="3" t="s">
        <v>2508</v>
      </c>
      <c r="J259" s="3" t="s">
        <v>4432</v>
      </c>
      <c r="K259" s="3" t="s">
        <v>2538</v>
      </c>
      <c r="L259" s="3" t="s">
        <v>482</v>
      </c>
      <c r="M259" s="3" t="s">
        <v>4438</v>
      </c>
      <c r="N259" s="3" t="s">
        <v>1931</v>
      </c>
      <c r="O259" s="3" t="s">
        <v>482</v>
      </c>
      <c r="P259" s="3">
        <v>0</v>
      </c>
      <c r="Q259" s="3" t="s">
        <v>2560</v>
      </c>
      <c r="R259" s="3" t="s">
        <v>405</v>
      </c>
      <c r="S259" s="3" t="s">
        <v>482</v>
      </c>
      <c r="T259" s="3" t="s">
        <v>482</v>
      </c>
    </row>
    <row r="260" spans="1:20" ht="98" hidden="1" x14ac:dyDescent="0.2">
      <c r="A260" s="3" t="s">
        <v>4439</v>
      </c>
      <c r="B260" s="3" t="s">
        <v>4440</v>
      </c>
      <c r="C260" s="3" t="s">
        <v>4428</v>
      </c>
      <c r="D260" s="3">
        <v>89</v>
      </c>
      <c r="E260" s="3" t="s">
        <v>2504</v>
      </c>
      <c r="F260" s="3" t="s">
        <v>4441</v>
      </c>
      <c r="G260" s="6" t="s">
        <v>4442</v>
      </c>
      <c r="H260" s="3" t="s">
        <v>4443</v>
      </c>
      <c r="I260" s="3" t="s">
        <v>2508</v>
      </c>
      <c r="J260" s="3" t="s">
        <v>4444</v>
      </c>
      <c r="K260" s="3" t="s">
        <v>2538</v>
      </c>
      <c r="L260" s="3" t="s">
        <v>482</v>
      </c>
      <c r="M260" s="3" t="s">
        <v>4438</v>
      </c>
      <c r="N260" s="3" t="s">
        <v>1931</v>
      </c>
      <c r="O260" s="3" t="s">
        <v>4445</v>
      </c>
      <c r="P260" s="3">
        <v>4</v>
      </c>
      <c r="Q260" s="3" t="s">
        <v>4446</v>
      </c>
      <c r="R260" s="3" t="s">
        <v>4447</v>
      </c>
      <c r="S260" s="3" t="s">
        <v>482</v>
      </c>
      <c r="T260" s="3" t="s">
        <v>482</v>
      </c>
    </row>
    <row r="261" spans="1:20" ht="98" hidden="1" x14ac:dyDescent="0.2">
      <c r="A261" s="3" t="s">
        <v>4448</v>
      </c>
      <c r="B261" s="3" t="s">
        <v>4449</v>
      </c>
      <c r="C261" s="3" t="s">
        <v>4428</v>
      </c>
      <c r="D261" s="3">
        <v>103</v>
      </c>
      <c r="E261" s="3" t="s">
        <v>2514</v>
      </c>
      <c r="F261" s="3" t="s">
        <v>4450</v>
      </c>
      <c r="G261" s="6" t="s">
        <v>4451</v>
      </c>
      <c r="H261" s="3" t="s">
        <v>4452</v>
      </c>
      <c r="I261" s="3" t="s">
        <v>2508</v>
      </c>
      <c r="J261" s="3" t="s">
        <v>4453</v>
      </c>
      <c r="K261" s="3" t="s">
        <v>2538</v>
      </c>
      <c r="L261" s="3" t="s">
        <v>2531</v>
      </c>
      <c r="M261" s="3" t="s">
        <v>2774</v>
      </c>
      <c r="N261" s="3" t="s">
        <v>1931</v>
      </c>
      <c r="O261" s="3" t="s">
        <v>4445</v>
      </c>
      <c r="P261" s="3">
        <v>4</v>
      </c>
      <c r="Q261" s="3" t="s">
        <v>4446</v>
      </c>
      <c r="R261" s="3" t="s">
        <v>4454</v>
      </c>
      <c r="S261" s="3" t="s">
        <v>482</v>
      </c>
      <c r="T261" s="3" t="s">
        <v>482</v>
      </c>
    </row>
    <row r="262" spans="1:20" ht="210" hidden="1" x14ac:dyDescent="0.2">
      <c r="A262" s="3" t="s">
        <v>4455</v>
      </c>
      <c r="B262" s="3" t="s">
        <v>4456</v>
      </c>
      <c r="C262" s="3" t="s">
        <v>4428</v>
      </c>
      <c r="D262" s="3">
        <v>139</v>
      </c>
      <c r="E262" s="3" t="s">
        <v>2514</v>
      </c>
      <c r="F262" s="3" t="s">
        <v>4457</v>
      </c>
      <c r="G262" s="6" t="s">
        <v>4458</v>
      </c>
      <c r="H262" s="3" t="s">
        <v>4459</v>
      </c>
      <c r="I262" s="3" t="s">
        <v>2508</v>
      </c>
      <c r="J262" s="3" t="s">
        <v>4460</v>
      </c>
      <c r="K262" s="3" t="s">
        <v>4461</v>
      </c>
      <c r="L262" s="3" t="s">
        <v>2531</v>
      </c>
      <c r="M262" s="3" t="s">
        <v>4462</v>
      </c>
      <c r="N262" s="3" t="s">
        <v>1931</v>
      </c>
      <c r="O262" s="3" t="s">
        <v>4463</v>
      </c>
      <c r="P262" s="3">
        <v>7</v>
      </c>
      <c r="Q262" s="3" t="s">
        <v>4464</v>
      </c>
      <c r="R262" s="3" t="s">
        <v>4465</v>
      </c>
      <c r="S262" s="3" t="s">
        <v>482</v>
      </c>
      <c r="T262" s="3" t="s">
        <v>482</v>
      </c>
    </row>
    <row r="263" spans="1:20" ht="64" hidden="1" x14ac:dyDescent="0.2">
      <c r="A263" s="3" t="s">
        <v>4466</v>
      </c>
      <c r="B263" s="3" t="s">
        <v>4467</v>
      </c>
      <c r="C263" s="3" t="s">
        <v>4428</v>
      </c>
      <c r="D263" s="3">
        <v>180</v>
      </c>
      <c r="E263" s="3" t="s">
        <v>2504</v>
      </c>
      <c r="F263" s="3" t="s">
        <v>4468</v>
      </c>
      <c r="G263" s="6" t="s">
        <v>4469</v>
      </c>
      <c r="H263" s="3" t="s">
        <v>4470</v>
      </c>
      <c r="I263" s="3" t="s">
        <v>2529</v>
      </c>
      <c r="J263" s="3" t="s">
        <v>4471</v>
      </c>
      <c r="K263" s="3" t="s">
        <v>2519</v>
      </c>
      <c r="L263" s="3" t="s">
        <v>482</v>
      </c>
      <c r="M263" s="3" t="s">
        <v>2540</v>
      </c>
      <c r="N263" s="3" t="s">
        <v>1931</v>
      </c>
      <c r="O263" s="3" t="s">
        <v>482</v>
      </c>
      <c r="P263" s="3">
        <v>0</v>
      </c>
      <c r="Q263" s="3" t="s">
        <v>2560</v>
      </c>
      <c r="R263" s="3" t="s">
        <v>405</v>
      </c>
      <c r="S263" s="3" t="s">
        <v>482</v>
      </c>
      <c r="T263" s="3" t="s">
        <v>482</v>
      </c>
    </row>
    <row r="264" spans="1:20" ht="140" hidden="1" x14ac:dyDescent="0.2">
      <c r="A264" s="3" t="s">
        <v>4472</v>
      </c>
      <c r="B264" s="3" t="s">
        <v>4473</v>
      </c>
      <c r="C264" s="3" t="s">
        <v>4428</v>
      </c>
      <c r="D264" s="3">
        <v>184</v>
      </c>
      <c r="E264" s="3" t="s">
        <v>2514</v>
      </c>
      <c r="F264" s="3" t="s">
        <v>2616</v>
      </c>
      <c r="G264" s="6" t="s">
        <v>4474</v>
      </c>
      <c r="H264" s="3" t="s">
        <v>4475</v>
      </c>
      <c r="I264" s="3" t="s">
        <v>2508</v>
      </c>
      <c r="J264" s="3" t="s">
        <v>4476</v>
      </c>
      <c r="K264" s="3" t="s">
        <v>4477</v>
      </c>
      <c r="L264" s="3" t="s">
        <v>2531</v>
      </c>
      <c r="M264" s="3" t="s">
        <v>4478</v>
      </c>
      <c r="N264" s="3" t="s">
        <v>1931</v>
      </c>
      <c r="O264" s="3" t="s">
        <v>4479</v>
      </c>
      <c r="P264" s="3">
        <v>3</v>
      </c>
      <c r="Q264" s="3" t="s">
        <v>4479</v>
      </c>
      <c r="R264" s="3" t="s">
        <v>4480</v>
      </c>
      <c r="S264" s="3" t="s">
        <v>482</v>
      </c>
      <c r="T264" s="3" t="s">
        <v>482</v>
      </c>
    </row>
    <row r="265" spans="1:20" ht="84" hidden="1" x14ac:dyDescent="0.2">
      <c r="A265" s="3" t="s">
        <v>4481</v>
      </c>
      <c r="B265" s="3" t="s">
        <v>4482</v>
      </c>
      <c r="C265" s="3" t="s">
        <v>4483</v>
      </c>
      <c r="D265" s="3">
        <v>53</v>
      </c>
      <c r="E265" s="3" t="s">
        <v>2514</v>
      </c>
      <c r="F265" s="3" t="s">
        <v>4484</v>
      </c>
      <c r="G265" s="6" t="s">
        <v>4485</v>
      </c>
      <c r="H265" s="3" t="s">
        <v>4486</v>
      </c>
      <c r="I265" s="3" t="s">
        <v>2508</v>
      </c>
      <c r="J265" s="3" t="s">
        <v>4487</v>
      </c>
      <c r="K265" s="3" t="s">
        <v>4488</v>
      </c>
      <c r="L265" s="3" t="s">
        <v>4489</v>
      </c>
      <c r="M265" s="3" t="s">
        <v>2540</v>
      </c>
      <c r="N265" s="3" t="s">
        <v>1931</v>
      </c>
      <c r="O265" s="3" t="s">
        <v>482</v>
      </c>
      <c r="P265" s="3">
        <v>0</v>
      </c>
      <c r="Q265" s="3" t="s">
        <v>2560</v>
      </c>
      <c r="R265" s="3" t="s">
        <v>405</v>
      </c>
      <c r="S265" s="3" t="s">
        <v>482</v>
      </c>
      <c r="T265" s="3" t="s">
        <v>2440</v>
      </c>
    </row>
    <row r="266" spans="1:20" ht="192" hidden="1" x14ac:dyDescent="0.2">
      <c r="A266" s="3" t="s">
        <v>4490</v>
      </c>
      <c r="B266" s="3" t="s">
        <v>4491</v>
      </c>
      <c r="C266" s="3" t="s">
        <v>4492</v>
      </c>
      <c r="D266" s="3">
        <v>33</v>
      </c>
      <c r="E266" s="3" t="s">
        <v>2514</v>
      </c>
      <c r="F266" s="3" t="s">
        <v>2616</v>
      </c>
      <c r="G266" s="6" t="s">
        <v>4493</v>
      </c>
      <c r="H266" s="3" t="s">
        <v>4494</v>
      </c>
      <c r="I266" s="3" t="s">
        <v>2508</v>
      </c>
      <c r="J266" s="3" t="s">
        <v>4495</v>
      </c>
      <c r="K266" s="3" t="s">
        <v>4496</v>
      </c>
      <c r="L266" s="3" t="s">
        <v>4497</v>
      </c>
      <c r="M266" s="3" t="s">
        <v>4498</v>
      </c>
      <c r="N266" s="3" t="s">
        <v>1931</v>
      </c>
      <c r="O266" s="3" t="s">
        <v>2512</v>
      </c>
      <c r="P266" s="3">
        <v>1</v>
      </c>
      <c r="Q266" s="3" t="s">
        <v>2512</v>
      </c>
      <c r="R266" s="3" t="s">
        <v>4499</v>
      </c>
      <c r="S266" s="3" t="s">
        <v>482</v>
      </c>
      <c r="T266" s="3" t="s">
        <v>482</v>
      </c>
    </row>
    <row r="267" spans="1:20" ht="266" hidden="1" x14ac:dyDescent="0.2">
      <c r="A267" s="3" t="s">
        <v>1035</v>
      </c>
      <c r="B267" s="3" t="s">
        <v>1034</v>
      </c>
      <c r="C267" s="3" t="s">
        <v>4492</v>
      </c>
      <c r="D267" s="3">
        <v>49</v>
      </c>
      <c r="E267" s="3" t="s">
        <v>2514</v>
      </c>
      <c r="F267" s="3" t="s">
        <v>4500</v>
      </c>
      <c r="G267" s="6" t="s">
        <v>4501</v>
      </c>
      <c r="H267" s="3" t="s">
        <v>4502</v>
      </c>
      <c r="I267" s="3" t="s">
        <v>2508</v>
      </c>
      <c r="J267" s="3" t="s">
        <v>2518</v>
      </c>
      <c r="K267" s="3" t="s">
        <v>2519</v>
      </c>
      <c r="L267" s="3" t="s">
        <v>2531</v>
      </c>
      <c r="M267" s="3" t="s">
        <v>4503</v>
      </c>
      <c r="N267" s="3" t="s">
        <v>1931</v>
      </c>
      <c r="O267" s="3" t="s">
        <v>4504</v>
      </c>
      <c r="P267" s="3">
        <v>3</v>
      </c>
      <c r="Q267" s="3" t="s">
        <v>4504</v>
      </c>
      <c r="R267" s="3" t="s">
        <v>1040</v>
      </c>
      <c r="S267" s="3" t="s">
        <v>1031</v>
      </c>
      <c r="T267" s="3" t="s">
        <v>1772</v>
      </c>
    </row>
    <row r="268" spans="1:20" ht="365" hidden="1" x14ac:dyDescent="0.2">
      <c r="A268" s="3" t="s">
        <v>4505</v>
      </c>
      <c r="B268" s="3" t="s">
        <v>4506</v>
      </c>
      <c r="C268" s="3" t="s">
        <v>4492</v>
      </c>
      <c r="D268" s="3">
        <v>156</v>
      </c>
      <c r="E268" s="3" t="s">
        <v>2514</v>
      </c>
      <c r="F268" s="3" t="s">
        <v>4507</v>
      </c>
      <c r="G268" s="6" t="s">
        <v>4508</v>
      </c>
      <c r="H268" s="3" t="s">
        <v>4509</v>
      </c>
      <c r="I268" s="3" t="s">
        <v>2508</v>
      </c>
      <c r="J268" s="3" t="s">
        <v>4510</v>
      </c>
      <c r="K268" s="3" t="s">
        <v>2538</v>
      </c>
      <c r="L268" s="3" t="s">
        <v>4511</v>
      </c>
      <c r="M268" s="3" t="s">
        <v>4512</v>
      </c>
      <c r="N268" s="3" t="s">
        <v>1931</v>
      </c>
      <c r="O268" s="3" t="s">
        <v>4513</v>
      </c>
      <c r="P268" s="3">
        <v>3</v>
      </c>
      <c r="Q268" s="3" t="s">
        <v>4514</v>
      </c>
      <c r="R268" s="3" t="s">
        <v>4515</v>
      </c>
      <c r="S268" s="3" t="s">
        <v>482</v>
      </c>
      <c r="T268" s="3" t="s">
        <v>2283</v>
      </c>
    </row>
    <row r="269" spans="1:20" ht="84" hidden="1" x14ac:dyDescent="0.2">
      <c r="A269" s="3" t="s">
        <v>4516</v>
      </c>
      <c r="B269" s="3" t="s">
        <v>4517</v>
      </c>
      <c r="C269" s="3" t="s">
        <v>4492</v>
      </c>
      <c r="D269" s="3">
        <v>279</v>
      </c>
      <c r="E269" s="3" t="s">
        <v>2504</v>
      </c>
      <c r="F269" s="3" t="s">
        <v>4518</v>
      </c>
      <c r="G269" s="6" t="s">
        <v>4519</v>
      </c>
      <c r="H269" s="3" t="s">
        <v>4520</v>
      </c>
      <c r="I269" s="3" t="s">
        <v>2508</v>
      </c>
      <c r="J269" s="3" t="s">
        <v>4510</v>
      </c>
      <c r="K269" s="3" t="s">
        <v>2538</v>
      </c>
      <c r="L269" s="3" t="s">
        <v>482</v>
      </c>
      <c r="M269" s="3" t="s">
        <v>2540</v>
      </c>
      <c r="N269" s="3" t="s">
        <v>1931</v>
      </c>
      <c r="O269" s="3" t="s">
        <v>482</v>
      </c>
      <c r="P269" s="3">
        <v>0</v>
      </c>
      <c r="Q269" s="3" t="s">
        <v>2560</v>
      </c>
      <c r="R269" s="3" t="s">
        <v>405</v>
      </c>
      <c r="S269" s="3" t="s">
        <v>482</v>
      </c>
      <c r="T269" s="3" t="s">
        <v>482</v>
      </c>
    </row>
    <row r="270" spans="1:20" ht="80" hidden="1" x14ac:dyDescent="0.2">
      <c r="A270" s="3" t="s">
        <v>4521</v>
      </c>
      <c r="B270" s="3" t="s">
        <v>4522</v>
      </c>
      <c r="C270" s="3" t="s">
        <v>4492</v>
      </c>
      <c r="D270" s="3">
        <v>287</v>
      </c>
      <c r="E270" s="3" t="s">
        <v>2514</v>
      </c>
      <c r="F270" s="3" t="s">
        <v>4523</v>
      </c>
      <c r="G270" s="6" t="s">
        <v>4524</v>
      </c>
      <c r="H270" s="3" t="s">
        <v>4525</v>
      </c>
      <c r="I270" s="3" t="s">
        <v>2508</v>
      </c>
      <c r="J270" s="3" t="s">
        <v>4526</v>
      </c>
      <c r="K270" s="3" t="s">
        <v>4527</v>
      </c>
      <c r="L270" s="3" t="s">
        <v>2531</v>
      </c>
      <c r="M270" s="3" t="s">
        <v>2813</v>
      </c>
      <c r="N270" s="3" t="s">
        <v>1931</v>
      </c>
      <c r="O270" s="3" t="s">
        <v>482</v>
      </c>
      <c r="P270" s="3">
        <v>0</v>
      </c>
      <c r="Q270" s="3" t="s">
        <v>2560</v>
      </c>
      <c r="R270" s="3" t="s">
        <v>405</v>
      </c>
      <c r="S270" s="3" t="s">
        <v>482</v>
      </c>
      <c r="T270" s="3" t="s">
        <v>482</v>
      </c>
    </row>
    <row r="271" spans="1:20" ht="64" hidden="1" x14ac:dyDescent="0.2">
      <c r="A271" s="3" t="s">
        <v>4528</v>
      </c>
      <c r="B271" s="3" t="s">
        <v>4529</v>
      </c>
      <c r="C271" s="3" t="s">
        <v>4492</v>
      </c>
      <c r="D271" s="3">
        <v>297</v>
      </c>
      <c r="E271" s="3" t="s">
        <v>2504</v>
      </c>
      <c r="F271" s="3" t="s">
        <v>2616</v>
      </c>
      <c r="G271" s="6" t="s">
        <v>4530</v>
      </c>
      <c r="H271" s="3" t="s">
        <v>4531</v>
      </c>
      <c r="I271" s="3" t="s">
        <v>2529</v>
      </c>
      <c r="J271" s="3" t="s">
        <v>4532</v>
      </c>
      <c r="K271" s="3" t="s">
        <v>4533</v>
      </c>
      <c r="L271" s="3" t="s">
        <v>482</v>
      </c>
      <c r="M271" s="3" t="s">
        <v>4534</v>
      </c>
      <c r="N271" s="3" t="s">
        <v>1931</v>
      </c>
      <c r="O271" s="3" t="s">
        <v>4445</v>
      </c>
      <c r="P271" s="3">
        <v>4</v>
      </c>
      <c r="Q271" s="3" t="s">
        <v>4446</v>
      </c>
      <c r="R271" s="3" t="s">
        <v>4535</v>
      </c>
      <c r="S271" s="3" t="s">
        <v>482</v>
      </c>
      <c r="T271" s="3" t="s">
        <v>482</v>
      </c>
    </row>
    <row r="272" spans="1:20" ht="48" hidden="1" x14ac:dyDescent="0.2">
      <c r="A272" s="3" t="s">
        <v>4536</v>
      </c>
      <c r="B272" s="3" t="s">
        <v>4537</v>
      </c>
      <c r="C272" s="3" t="s">
        <v>4492</v>
      </c>
      <c r="D272" s="3">
        <v>314</v>
      </c>
      <c r="E272" s="3" t="s">
        <v>2504</v>
      </c>
      <c r="F272" s="3" t="s">
        <v>4538</v>
      </c>
      <c r="G272" s="6" t="s">
        <v>4539</v>
      </c>
      <c r="H272" s="3" t="s">
        <v>4540</v>
      </c>
      <c r="I272" s="3" t="s">
        <v>2529</v>
      </c>
      <c r="J272" s="3" t="s">
        <v>4541</v>
      </c>
      <c r="K272" s="3" t="s">
        <v>2519</v>
      </c>
      <c r="L272" s="3" t="s">
        <v>482</v>
      </c>
      <c r="M272" s="3" t="s">
        <v>4542</v>
      </c>
      <c r="N272" s="3" t="s">
        <v>1931</v>
      </c>
      <c r="O272" s="3" t="s">
        <v>482</v>
      </c>
      <c r="P272" s="3">
        <v>0</v>
      </c>
      <c r="Q272" s="3" t="s">
        <v>2560</v>
      </c>
      <c r="R272" s="3" t="s">
        <v>405</v>
      </c>
      <c r="S272" s="3" t="s">
        <v>482</v>
      </c>
      <c r="T272" s="3" t="s">
        <v>482</v>
      </c>
    </row>
    <row r="273" spans="1:20" ht="112" hidden="1" x14ac:dyDescent="0.2">
      <c r="A273" s="3" t="s">
        <v>637</v>
      </c>
      <c r="B273" s="3" t="s">
        <v>636</v>
      </c>
      <c r="C273" s="3" t="s">
        <v>4492</v>
      </c>
      <c r="D273" s="3">
        <v>324</v>
      </c>
      <c r="E273" s="3" t="s">
        <v>2514</v>
      </c>
      <c r="F273" s="3" t="s">
        <v>2140</v>
      </c>
      <c r="G273" s="6" t="s">
        <v>4543</v>
      </c>
      <c r="H273" s="3" t="s">
        <v>4544</v>
      </c>
      <c r="I273" s="3" t="s">
        <v>2794</v>
      </c>
      <c r="J273" s="3" t="s">
        <v>4510</v>
      </c>
      <c r="K273" s="3" t="s">
        <v>4545</v>
      </c>
      <c r="L273" s="3" t="s">
        <v>2531</v>
      </c>
      <c r="M273" s="3" t="s">
        <v>4546</v>
      </c>
      <c r="N273" s="3" t="s">
        <v>1931</v>
      </c>
      <c r="O273" s="3" t="s">
        <v>3310</v>
      </c>
      <c r="P273" s="3">
        <v>4</v>
      </c>
      <c r="Q273" s="3" t="s">
        <v>3311</v>
      </c>
      <c r="R273" s="3" t="s">
        <v>645</v>
      </c>
      <c r="S273" s="3" t="s">
        <v>2141</v>
      </c>
      <c r="T273" s="3" t="s">
        <v>2138</v>
      </c>
    </row>
    <row r="274" spans="1:20" ht="96" hidden="1" x14ac:dyDescent="0.2">
      <c r="A274" s="3" t="s">
        <v>4547</v>
      </c>
      <c r="B274" s="3" t="s">
        <v>4548</v>
      </c>
      <c r="C274" s="3" t="s">
        <v>4492</v>
      </c>
      <c r="D274" s="3">
        <v>359</v>
      </c>
      <c r="E274" s="3" t="s">
        <v>2514</v>
      </c>
      <c r="F274" s="3" t="s">
        <v>4549</v>
      </c>
      <c r="G274" s="6" t="s">
        <v>4550</v>
      </c>
      <c r="H274" s="3" t="s">
        <v>4551</v>
      </c>
      <c r="I274" s="3" t="s">
        <v>2529</v>
      </c>
      <c r="J274" s="3" t="s">
        <v>4552</v>
      </c>
      <c r="K274" s="3" t="s">
        <v>2758</v>
      </c>
      <c r="L274" s="3" t="s">
        <v>4553</v>
      </c>
      <c r="M274" s="3" t="s">
        <v>2540</v>
      </c>
      <c r="N274" s="3" t="s">
        <v>1931</v>
      </c>
      <c r="O274" s="3" t="s">
        <v>4385</v>
      </c>
      <c r="P274" s="3">
        <v>5</v>
      </c>
      <c r="Q274" s="3" t="s">
        <v>4386</v>
      </c>
      <c r="R274" s="3" t="s">
        <v>4554</v>
      </c>
      <c r="S274" s="3" t="s">
        <v>482</v>
      </c>
      <c r="T274" s="3" t="s">
        <v>482</v>
      </c>
    </row>
    <row r="275" spans="1:20" ht="84" hidden="1" x14ac:dyDescent="0.2">
      <c r="A275" s="3" t="s">
        <v>4555</v>
      </c>
      <c r="B275" s="3" t="s">
        <v>4556</v>
      </c>
      <c r="C275" s="3" t="s">
        <v>4557</v>
      </c>
      <c r="D275" s="3">
        <v>23</v>
      </c>
      <c r="E275" s="3" t="s">
        <v>2504</v>
      </c>
      <c r="F275" s="3" t="s">
        <v>4558</v>
      </c>
      <c r="G275" s="6" t="s">
        <v>4559</v>
      </c>
      <c r="H275" s="3" t="s">
        <v>4560</v>
      </c>
      <c r="I275" s="3" t="s">
        <v>2794</v>
      </c>
      <c r="J275" s="3" t="s">
        <v>4561</v>
      </c>
      <c r="K275" s="3" t="s">
        <v>2519</v>
      </c>
      <c r="L275" s="3" t="s">
        <v>482</v>
      </c>
      <c r="M275" s="3" t="s">
        <v>2521</v>
      </c>
      <c r="N275" s="3" t="s">
        <v>1931</v>
      </c>
      <c r="O275" s="3" t="s">
        <v>482</v>
      </c>
      <c r="P275" s="3">
        <v>0</v>
      </c>
      <c r="Q275" s="3" t="s">
        <v>2560</v>
      </c>
      <c r="R275" s="3" t="s">
        <v>405</v>
      </c>
      <c r="S275" s="3" t="s">
        <v>482</v>
      </c>
      <c r="T275" s="3" t="s">
        <v>2448</v>
      </c>
    </row>
    <row r="276" spans="1:20" ht="112" hidden="1" x14ac:dyDescent="0.2">
      <c r="A276" s="3" t="s">
        <v>4562</v>
      </c>
      <c r="B276" s="3" t="s">
        <v>4563</v>
      </c>
      <c r="C276" s="3" t="s">
        <v>4557</v>
      </c>
      <c r="D276" s="3">
        <v>34</v>
      </c>
      <c r="E276" s="3" t="s">
        <v>2504</v>
      </c>
      <c r="F276" s="3" t="s">
        <v>4564</v>
      </c>
      <c r="G276" s="6" t="s">
        <v>4565</v>
      </c>
      <c r="H276" s="3" t="s">
        <v>4566</v>
      </c>
      <c r="I276" s="3" t="s">
        <v>2794</v>
      </c>
      <c r="J276" s="3" t="s">
        <v>4567</v>
      </c>
      <c r="K276" s="3" t="s">
        <v>2519</v>
      </c>
      <c r="L276" s="3" t="s">
        <v>482</v>
      </c>
      <c r="M276" s="3" t="s">
        <v>2750</v>
      </c>
      <c r="N276" s="3" t="s">
        <v>1931</v>
      </c>
      <c r="O276" s="3" t="s">
        <v>4568</v>
      </c>
      <c r="P276" s="3">
        <v>1</v>
      </c>
      <c r="Q276" s="3" t="s">
        <v>4568</v>
      </c>
      <c r="R276" s="3" t="s">
        <v>4569</v>
      </c>
      <c r="S276" s="3" t="s">
        <v>482</v>
      </c>
      <c r="T276" s="3" t="s">
        <v>1655</v>
      </c>
    </row>
    <row r="277" spans="1:20" ht="32" hidden="1" x14ac:dyDescent="0.2">
      <c r="A277" s="3" t="s">
        <v>4570</v>
      </c>
      <c r="B277" s="3" t="s">
        <v>4571</v>
      </c>
      <c r="C277" s="3" t="s">
        <v>4557</v>
      </c>
      <c r="D277" s="3">
        <v>49</v>
      </c>
      <c r="E277" s="3" t="s">
        <v>2635</v>
      </c>
      <c r="F277" s="3" t="s">
        <v>4572</v>
      </c>
      <c r="G277" s="6" t="s">
        <v>4573</v>
      </c>
      <c r="H277" s="3" t="s">
        <v>4574</v>
      </c>
      <c r="I277" s="3" t="s">
        <v>2529</v>
      </c>
      <c r="J277" s="3" t="s">
        <v>4575</v>
      </c>
      <c r="K277" s="3" t="s">
        <v>2519</v>
      </c>
      <c r="L277" s="3" t="s">
        <v>482</v>
      </c>
      <c r="M277" s="3" t="s">
        <v>2540</v>
      </c>
      <c r="N277" s="3" t="s">
        <v>1816</v>
      </c>
      <c r="O277" s="3" t="s">
        <v>4576</v>
      </c>
      <c r="P277" s="3">
        <v>2</v>
      </c>
      <c r="Q277" s="3" t="s">
        <v>4577</v>
      </c>
      <c r="R277" s="3" t="s">
        <v>4578</v>
      </c>
      <c r="S277" s="3" t="s">
        <v>482</v>
      </c>
      <c r="T277" s="3" t="s">
        <v>482</v>
      </c>
    </row>
    <row r="278" spans="1:20" ht="48" hidden="1" x14ac:dyDescent="0.2">
      <c r="A278" s="3" t="s">
        <v>1084</v>
      </c>
      <c r="B278" s="3" t="s">
        <v>1083</v>
      </c>
      <c r="C278" s="3" t="s">
        <v>4557</v>
      </c>
      <c r="D278" s="3">
        <v>54</v>
      </c>
      <c r="E278" s="3" t="s">
        <v>2514</v>
      </c>
      <c r="F278" s="3" t="s">
        <v>4579</v>
      </c>
      <c r="G278" s="6" t="s">
        <v>4580</v>
      </c>
      <c r="H278" s="3" t="s">
        <v>4581</v>
      </c>
      <c r="I278" s="3" t="s">
        <v>2794</v>
      </c>
      <c r="J278" s="3" t="s">
        <v>4582</v>
      </c>
      <c r="K278" s="3" t="s">
        <v>2519</v>
      </c>
      <c r="L278" s="3" t="s">
        <v>2531</v>
      </c>
      <c r="M278" s="3" t="s">
        <v>4583</v>
      </c>
      <c r="N278" s="3" t="s">
        <v>1931</v>
      </c>
      <c r="O278" s="3" t="s">
        <v>4576</v>
      </c>
      <c r="P278" s="3">
        <v>2</v>
      </c>
      <c r="Q278" s="3" t="s">
        <v>4577</v>
      </c>
      <c r="R278" s="3" t="s">
        <v>1090</v>
      </c>
      <c r="S278" s="3" t="s">
        <v>1079</v>
      </c>
      <c r="T278" s="3" t="s">
        <v>2420</v>
      </c>
    </row>
    <row r="279" spans="1:20" ht="48" hidden="1" x14ac:dyDescent="0.2">
      <c r="A279" s="3" t="s">
        <v>4584</v>
      </c>
      <c r="B279" s="3" t="s">
        <v>4585</v>
      </c>
      <c r="C279" s="3" t="s">
        <v>4557</v>
      </c>
      <c r="D279" s="3">
        <v>58</v>
      </c>
      <c r="E279" s="3" t="s">
        <v>2514</v>
      </c>
      <c r="F279" s="3" t="s">
        <v>4586</v>
      </c>
      <c r="G279" s="6" t="s">
        <v>4587</v>
      </c>
      <c r="H279" s="3" t="s">
        <v>4588</v>
      </c>
      <c r="I279" s="3" t="s">
        <v>2529</v>
      </c>
      <c r="J279" s="3" t="s">
        <v>4589</v>
      </c>
      <c r="K279" s="3" t="s">
        <v>2519</v>
      </c>
      <c r="L279" s="3" t="s">
        <v>4590</v>
      </c>
      <c r="M279" s="3" t="s">
        <v>2540</v>
      </c>
      <c r="N279" s="3" t="s">
        <v>1931</v>
      </c>
      <c r="O279" s="3" t="s">
        <v>4591</v>
      </c>
      <c r="P279" s="3">
        <v>3</v>
      </c>
      <c r="Q279" s="3" t="s">
        <v>4592</v>
      </c>
      <c r="R279" s="3" t="s">
        <v>4593</v>
      </c>
      <c r="S279" s="3" t="s">
        <v>482</v>
      </c>
      <c r="T279" s="3" t="s">
        <v>482</v>
      </c>
    </row>
    <row r="280" spans="1:20" ht="64" hidden="1" x14ac:dyDescent="0.2">
      <c r="A280" s="3" t="s">
        <v>4594</v>
      </c>
      <c r="B280" s="3" t="s">
        <v>4595</v>
      </c>
      <c r="C280" s="3" t="s">
        <v>4557</v>
      </c>
      <c r="D280" s="3">
        <v>63</v>
      </c>
      <c r="E280" s="3" t="s">
        <v>2514</v>
      </c>
      <c r="F280" s="3" t="s">
        <v>4596</v>
      </c>
      <c r="G280" s="6" t="s">
        <v>4597</v>
      </c>
      <c r="H280" s="3" t="s">
        <v>4598</v>
      </c>
      <c r="I280" s="3" t="s">
        <v>2529</v>
      </c>
      <c r="J280" s="3" t="s">
        <v>4599</v>
      </c>
      <c r="K280" s="3" t="s">
        <v>2519</v>
      </c>
      <c r="L280" s="3" t="s">
        <v>2531</v>
      </c>
      <c r="M280" s="3" t="s">
        <v>4124</v>
      </c>
      <c r="N280" s="3" t="s">
        <v>1931</v>
      </c>
      <c r="O280" s="3" t="s">
        <v>4591</v>
      </c>
      <c r="P280" s="3">
        <v>3</v>
      </c>
      <c r="Q280" s="3" t="s">
        <v>4592</v>
      </c>
      <c r="R280" s="3" t="s">
        <v>4600</v>
      </c>
      <c r="S280" s="3" t="s">
        <v>482</v>
      </c>
      <c r="T280" s="3" t="s">
        <v>482</v>
      </c>
    </row>
    <row r="281" spans="1:20" ht="84" hidden="1" x14ac:dyDescent="0.2">
      <c r="A281" s="3" t="s">
        <v>4601</v>
      </c>
      <c r="B281" s="3" t="s">
        <v>4602</v>
      </c>
      <c r="C281" s="3" t="s">
        <v>4557</v>
      </c>
      <c r="D281" s="3">
        <v>69</v>
      </c>
      <c r="E281" s="3" t="s">
        <v>2514</v>
      </c>
      <c r="F281" s="3" t="s">
        <v>4603</v>
      </c>
      <c r="G281" s="6" t="s">
        <v>4604</v>
      </c>
      <c r="H281" s="3" t="s">
        <v>4605</v>
      </c>
      <c r="I281" s="3" t="s">
        <v>2508</v>
      </c>
      <c r="J281" s="3" t="s">
        <v>4561</v>
      </c>
      <c r="K281" s="3" t="s">
        <v>3348</v>
      </c>
      <c r="L281" s="3" t="s">
        <v>4606</v>
      </c>
      <c r="M281" s="3" t="s">
        <v>4124</v>
      </c>
      <c r="N281" s="3" t="s">
        <v>1931</v>
      </c>
      <c r="O281" s="3" t="s">
        <v>4568</v>
      </c>
      <c r="P281" s="3">
        <v>1</v>
      </c>
      <c r="Q281" s="3" t="s">
        <v>4568</v>
      </c>
      <c r="R281" s="3" t="s">
        <v>4607</v>
      </c>
      <c r="S281" s="3" t="s">
        <v>482</v>
      </c>
      <c r="T281" s="3" t="s">
        <v>482</v>
      </c>
    </row>
    <row r="282" spans="1:20" ht="154" hidden="1" x14ac:dyDescent="0.2">
      <c r="A282" s="3" t="s">
        <v>4608</v>
      </c>
      <c r="B282" s="3" t="s">
        <v>4609</v>
      </c>
      <c r="C282" s="3" t="s">
        <v>4557</v>
      </c>
      <c r="D282" s="3">
        <v>77</v>
      </c>
      <c r="E282" s="3" t="s">
        <v>2514</v>
      </c>
      <c r="F282" s="3" t="s">
        <v>4610</v>
      </c>
      <c r="G282" s="6" t="s">
        <v>4611</v>
      </c>
      <c r="H282" s="3" t="s">
        <v>4612</v>
      </c>
      <c r="I282" s="3" t="s">
        <v>2508</v>
      </c>
      <c r="J282" s="3" t="s">
        <v>4613</v>
      </c>
      <c r="K282" s="3" t="s">
        <v>2538</v>
      </c>
      <c r="L282" s="3" t="s">
        <v>4614</v>
      </c>
      <c r="M282" s="3" t="s">
        <v>2540</v>
      </c>
      <c r="N282" s="3" t="s">
        <v>1931</v>
      </c>
      <c r="O282" s="3" t="s">
        <v>482</v>
      </c>
      <c r="P282" s="3">
        <v>0</v>
      </c>
      <c r="Q282" s="3" t="s">
        <v>2560</v>
      </c>
      <c r="R282" s="3" t="s">
        <v>405</v>
      </c>
      <c r="S282" s="3" t="s">
        <v>482</v>
      </c>
      <c r="T282" s="3" t="s">
        <v>482</v>
      </c>
    </row>
    <row r="283" spans="1:20" ht="64" hidden="1" x14ac:dyDescent="0.2">
      <c r="A283" s="3" t="s">
        <v>4615</v>
      </c>
      <c r="B283" s="3" t="s">
        <v>4616</v>
      </c>
      <c r="C283" s="3" t="s">
        <v>4617</v>
      </c>
      <c r="D283" s="3">
        <v>19</v>
      </c>
      <c r="E283" s="3" t="s">
        <v>2514</v>
      </c>
      <c r="F283" s="3" t="s">
        <v>4618</v>
      </c>
      <c r="G283" s="6" t="s">
        <v>4619</v>
      </c>
      <c r="H283" s="3" t="s">
        <v>4620</v>
      </c>
      <c r="I283" s="3" t="s">
        <v>2529</v>
      </c>
      <c r="J283" s="3" t="s">
        <v>4621</v>
      </c>
      <c r="K283" s="3" t="s">
        <v>2538</v>
      </c>
      <c r="L283" s="3" t="s">
        <v>2531</v>
      </c>
      <c r="M283" s="3" t="s">
        <v>4622</v>
      </c>
      <c r="N283" s="3" t="s">
        <v>1931</v>
      </c>
      <c r="O283" s="3" t="s">
        <v>4445</v>
      </c>
      <c r="P283" s="3">
        <v>4</v>
      </c>
      <c r="Q283" s="3" t="s">
        <v>4446</v>
      </c>
      <c r="R283" s="3" t="s">
        <v>4623</v>
      </c>
      <c r="S283" s="3" t="s">
        <v>482</v>
      </c>
      <c r="T283" s="3" t="s">
        <v>2428</v>
      </c>
    </row>
    <row r="284" spans="1:20" ht="80" hidden="1" x14ac:dyDescent="0.2">
      <c r="A284" s="3" t="s">
        <v>4624</v>
      </c>
      <c r="B284" s="3" t="s">
        <v>4625</v>
      </c>
      <c r="C284" s="3" t="s">
        <v>4617</v>
      </c>
      <c r="D284" s="3">
        <v>55</v>
      </c>
      <c r="E284" s="3" t="s">
        <v>2514</v>
      </c>
      <c r="F284" s="3" t="s">
        <v>4626</v>
      </c>
      <c r="G284" s="6" t="s">
        <v>4627</v>
      </c>
      <c r="H284" s="3" t="s">
        <v>4628</v>
      </c>
      <c r="I284" s="3" t="s">
        <v>2529</v>
      </c>
      <c r="J284" s="3" t="s">
        <v>4629</v>
      </c>
      <c r="K284" s="3" t="s">
        <v>2519</v>
      </c>
      <c r="L284" s="3" t="s">
        <v>4630</v>
      </c>
      <c r="M284" s="3" t="s">
        <v>2774</v>
      </c>
      <c r="N284" s="3" t="s">
        <v>1931</v>
      </c>
      <c r="O284" s="3" t="s">
        <v>482</v>
      </c>
      <c r="P284" s="3">
        <v>0</v>
      </c>
      <c r="Q284" s="3" t="s">
        <v>2560</v>
      </c>
      <c r="R284" s="3" t="s">
        <v>405</v>
      </c>
      <c r="S284" s="3" t="s">
        <v>482</v>
      </c>
      <c r="T284" s="3" t="s">
        <v>2277</v>
      </c>
    </row>
    <row r="285" spans="1:20" ht="409.6" hidden="1" x14ac:dyDescent="0.2">
      <c r="A285" s="3" t="s">
        <v>1023</v>
      </c>
      <c r="B285" s="3" t="s">
        <v>1022</v>
      </c>
      <c r="C285" s="3" t="s">
        <v>4617</v>
      </c>
      <c r="D285" s="3">
        <v>62</v>
      </c>
      <c r="E285" s="3" t="s">
        <v>2514</v>
      </c>
      <c r="F285" s="3" t="s">
        <v>2287</v>
      </c>
      <c r="G285" s="6" t="s">
        <v>4631</v>
      </c>
      <c r="H285" s="3" t="s">
        <v>4632</v>
      </c>
      <c r="I285" s="3" t="s">
        <v>2508</v>
      </c>
      <c r="J285" s="3" t="s">
        <v>4633</v>
      </c>
      <c r="K285" s="3" t="s">
        <v>4634</v>
      </c>
      <c r="L285" s="3" t="s">
        <v>2531</v>
      </c>
      <c r="M285" s="3" t="s">
        <v>4635</v>
      </c>
      <c r="N285" s="3" t="s">
        <v>1931</v>
      </c>
      <c r="O285" s="3" t="s">
        <v>4636</v>
      </c>
      <c r="P285" s="3">
        <v>53</v>
      </c>
      <c r="Q285" s="3" t="s">
        <v>4637</v>
      </c>
      <c r="R285" s="3" t="s">
        <v>1028</v>
      </c>
      <c r="S285" s="3" t="s">
        <v>2288</v>
      </c>
      <c r="T285" s="3" t="s">
        <v>1644</v>
      </c>
    </row>
    <row r="286" spans="1:20" ht="409.6" hidden="1" x14ac:dyDescent="0.2">
      <c r="A286" s="3" t="s">
        <v>363</v>
      </c>
      <c r="B286" s="3" t="s">
        <v>362</v>
      </c>
      <c r="C286" s="3" t="s">
        <v>4617</v>
      </c>
      <c r="D286" s="3">
        <v>149</v>
      </c>
      <c r="E286" s="3" t="s">
        <v>2514</v>
      </c>
      <c r="F286" s="3" t="s">
        <v>4638</v>
      </c>
      <c r="G286" s="6" t="s">
        <v>4639</v>
      </c>
      <c r="H286" s="3" t="s">
        <v>4640</v>
      </c>
      <c r="I286" s="3" t="s">
        <v>2508</v>
      </c>
      <c r="J286" s="3" t="s">
        <v>4633</v>
      </c>
      <c r="K286" s="3" t="s">
        <v>4641</v>
      </c>
      <c r="L286" s="3" t="s">
        <v>4642</v>
      </c>
      <c r="M286" s="3" t="s">
        <v>2540</v>
      </c>
      <c r="N286" s="3" t="s">
        <v>1931</v>
      </c>
      <c r="O286" s="3" t="s">
        <v>4643</v>
      </c>
      <c r="P286" s="3">
        <v>55</v>
      </c>
      <c r="Q286" s="3" t="s">
        <v>4644</v>
      </c>
      <c r="R286" s="3" t="s">
        <v>370</v>
      </c>
      <c r="S286" s="3" t="s">
        <v>2293</v>
      </c>
      <c r="T286" s="3" t="s">
        <v>2290</v>
      </c>
    </row>
    <row r="287" spans="1:20" ht="168" hidden="1" x14ac:dyDescent="0.2">
      <c r="A287" s="3" t="s">
        <v>4645</v>
      </c>
      <c r="B287" s="3" t="s">
        <v>4646</v>
      </c>
      <c r="C287" s="3" t="s">
        <v>4647</v>
      </c>
      <c r="D287" s="3">
        <v>175</v>
      </c>
      <c r="E287" s="3" t="s">
        <v>2635</v>
      </c>
      <c r="F287" s="3" t="s">
        <v>4648</v>
      </c>
      <c r="G287" s="6" t="s">
        <v>4649</v>
      </c>
      <c r="H287" s="3" t="s">
        <v>4650</v>
      </c>
      <c r="I287" s="3" t="s">
        <v>2508</v>
      </c>
      <c r="J287" s="3" t="s">
        <v>4651</v>
      </c>
      <c r="K287" s="3" t="s">
        <v>2972</v>
      </c>
      <c r="L287" s="3" t="s">
        <v>482</v>
      </c>
      <c r="M287" s="3" t="s">
        <v>2540</v>
      </c>
      <c r="N287" s="3" t="s">
        <v>1816</v>
      </c>
      <c r="O287" s="3" t="s">
        <v>482</v>
      </c>
      <c r="P287" s="3">
        <v>0</v>
      </c>
      <c r="Q287" s="3" t="s">
        <v>2560</v>
      </c>
      <c r="R287" s="3" t="s">
        <v>405</v>
      </c>
      <c r="S287" s="3" t="s">
        <v>482</v>
      </c>
      <c r="T287" s="3" t="s">
        <v>482</v>
      </c>
    </row>
    <row r="288" spans="1:20" ht="42" hidden="1" x14ac:dyDescent="0.2">
      <c r="A288" s="3" t="s">
        <v>4652</v>
      </c>
      <c r="B288" s="3" t="s">
        <v>4653</v>
      </c>
      <c r="C288" s="3" t="s">
        <v>4654</v>
      </c>
      <c r="D288" s="3">
        <v>41</v>
      </c>
      <c r="E288" s="3" t="s">
        <v>2504</v>
      </c>
      <c r="F288" s="3" t="s">
        <v>4655</v>
      </c>
      <c r="G288" s="6" t="s">
        <v>4656</v>
      </c>
      <c r="H288" s="3" t="s">
        <v>4657</v>
      </c>
      <c r="I288" s="3" t="s">
        <v>2508</v>
      </c>
      <c r="J288" s="3" t="s">
        <v>4658</v>
      </c>
      <c r="K288" s="3" t="s">
        <v>3348</v>
      </c>
      <c r="L288" s="3" t="s">
        <v>482</v>
      </c>
      <c r="M288" s="3" t="s">
        <v>2540</v>
      </c>
      <c r="N288" s="3" t="s">
        <v>1931</v>
      </c>
      <c r="O288" s="3" t="s">
        <v>482</v>
      </c>
      <c r="P288" s="3">
        <v>0</v>
      </c>
      <c r="Q288" s="3" t="s">
        <v>2560</v>
      </c>
      <c r="R288" s="3" t="s">
        <v>405</v>
      </c>
      <c r="S288" s="3" t="s">
        <v>482</v>
      </c>
      <c r="T288" s="3" t="s">
        <v>482</v>
      </c>
    </row>
    <row r="289" spans="1:20" ht="42" hidden="1" x14ac:dyDescent="0.2">
      <c r="A289" s="3" t="s">
        <v>4659</v>
      </c>
      <c r="B289" s="3" t="s">
        <v>4660</v>
      </c>
      <c r="C289" s="3" t="s">
        <v>4654</v>
      </c>
      <c r="D289" s="3">
        <v>48</v>
      </c>
      <c r="E289" s="3" t="s">
        <v>2504</v>
      </c>
      <c r="F289" s="3" t="s">
        <v>4661</v>
      </c>
      <c r="G289" s="6" t="s">
        <v>4662</v>
      </c>
      <c r="H289" s="3" t="s">
        <v>4663</v>
      </c>
      <c r="I289" s="3" t="s">
        <v>2508</v>
      </c>
      <c r="J289" s="3" t="s">
        <v>4658</v>
      </c>
      <c r="K289" s="3" t="s">
        <v>3348</v>
      </c>
      <c r="L289" s="3" t="s">
        <v>482</v>
      </c>
      <c r="M289" s="3" t="s">
        <v>2540</v>
      </c>
      <c r="N289" s="3" t="s">
        <v>1931</v>
      </c>
      <c r="O289" s="3" t="s">
        <v>4664</v>
      </c>
      <c r="P289" s="3">
        <v>1</v>
      </c>
      <c r="Q289" s="3" t="s">
        <v>4664</v>
      </c>
      <c r="R289" s="3" t="s">
        <v>4665</v>
      </c>
      <c r="S289" s="3" t="s">
        <v>482</v>
      </c>
      <c r="T289" s="3" t="s">
        <v>482</v>
      </c>
    </row>
    <row r="290" spans="1:20" ht="196" hidden="1" x14ac:dyDescent="0.2">
      <c r="A290" s="3" t="s">
        <v>4666</v>
      </c>
      <c r="B290" s="3" t="s">
        <v>4667</v>
      </c>
      <c r="C290" s="3" t="s">
        <v>4654</v>
      </c>
      <c r="D290" s="3">
        <v>60</v>
      </c>
      <c r="E290" s="3" t="s">
        <v>2514</v>
      </c>
      <c r="F290" s="3" t="s">
        <v>4668</v>
      </c>
      <c r="G290" s="6" t="s">
        <v>4669</v>
      </c>
      <c r="H290" s="3" t="s">
        <v>4670</v>
      </c>
      <c r="I290" s="3" t="s">
        <v>2508</v>
      </c>
      <c r="J290" s="3" t="s">
        <v>4671</v>
      </c>
      <c r="K290" s="3" t="s">
        <v>4672</v>
      </c>
      <c r="L290" s="3" t="s">
        <v>2531</v>
      </c>
      <c r="M290" s="3" t="s">
        <v>2540</v>
      </c>
      <c r="N290" s="3" t="s">
        <v>1931</v>
      </c>
      <c r="O290" s="3" t="s">
        <v>4673</v>
      </c>
      <c r="P290" s="3">
        <v>3</v>
      </c>
      <c r="Q290" s="3" t="s">
        <v>4673</v>
      </c>
      <c r="R290" s="3" t="s">
        <v>4674</v>
      </c>
      <c r="S290" s="3" t="s">
        <v>482</v>
      </c>
      <c r="T290" s="3" t="s">
        <v>482</v>
      </c>
    </row>
    <row r="291" spans="1:20" ht="70" hidden="1" x14ac:dyDescent="0.2">
      <c r="A291" s="3" t="s">
        <v>4675</v>
      </c>
      <c r="B291" s="3" t="s">
        <v>4676</v>
      </c>
      <c r="C291" s="3" t="s">
        <v>4654</v>
      </c>
      <c r="D291" s="3">
        <v>90</v>
      </c>
      <c r="E291" s="3" t="s">
        <v>2514</v>
      </c>
      <c r="F291" s="3" t="s">
        <v>4677</v>
      </c>
      <c r="G291" s="6" t="s">
        <v>4678</v>
      </c>
      <c r="H291" s="3" t="s">
        <v>4679</v>
      </c>
      <c r="I291" s="3" t="s">
        <v>2508</v>
      </c>
      <c r="J291" s="3" t="s">
        <v>4680</v>
      </c>
      <c r="K291" s="3" t="s">
        <v>3348</v>
      </c>
      <c r="L291" s="3" t="s">
        <v>2531</v>
      </c>
      <c r="M291" s="3" t="s">
        <v>2540</v>
      </c>
      <c r="N291" s="3" t="s">
        <v>1931</v>
      </c>
      <c r="O291" s="3" t="s">
        <v>4681</v>
      </c>
      <c r="P291" s="3">
        <v>3</v>
      </c>
      <c r="Q291" s="3" t="s">
        <v>4673</v>
      </c>
      <c r="R291" s="3" t="s">
        <v>4682</v>
      </c>
      <c r="S291" s="3" t="s">
        <v>482</v>
      </c>
      <c r="T291" s="3" t="s">
        <v>482</v>
      </c>
    </row>
    <row r="292" spans="1:20" ht="32" hidden="1" x14ac:dyDescent="0.2">
      <c r="A292" s="3" t="s">
        <v>4683</v>
      </c>
      <c r="B292" s="3" t="s">
        <v>4684</v>
      </c>
      <c r="C292" s="3" t="s">
        <v>4654</v>
      </c>
      <c r="D292" s="3">
        <v>99</v>
      </c>
      <c r="E292" s="3" t="s">
        <v>2635</v>
      </c>
      <c r="F292" s="3" t="s">
        <v>4685</v>
      </c>
      <c r="G292" s="6" t="s">
        <v>4686</v>
      </c>
      <c r="H292" s="3" t="s">
        <v>4687</v>
      </c>
      <c r="I292" s="3" t="s">
        <v>2529</v>
      </c>
      <c r="J292" s="3" t="s">
        <v>4680</v>
      </c>
      <c r="K292" s="3" t="s">
        <v>2972</v>
      </c>
      <c r="L292" s="3" t="s">
        <v>482</v>
      </c>
      <c r="M292" s="3" t="s">
        <v>2540</v>
      </c>
      <c r="N292" s="3" t="s">
        <v>1816</v>
      </c>
      <c r="O292" s="3" t="s">
        <v>4688</v>
      </c>
      <c r="P292" s="3">
        <v>1</v>
      </c>
      <c r="Q292" s="3" t="s">
        <v>4688</v>
      </c>
      <c r="R292" s="3" t="s">
        <v>4689</v>
      </c>
      <c r="S292" s="3" t="s">
        <v>482</v>
      </c>
      <c r="T292" s="3" t="s">
        <v>482</v>
      </c>
    </row>
    <row r="293" spans="1:20" ht="154" hidden="1" x14ac:dyDescent="0.2">
      <c r="A293" s="3" t="s">
        <v>4690</v>
      </c>
      <c r="B293" s="3" t="s">
        <v>4691</v>
      </c>
      <c r="C293" s="3" t="s">
        <v>4692</v>
      </c>
      <c r="D293" s="3">
        <v>178</v>
      </c>
      <c r="E293" s="3" t="s">
        <v>2635</v>
      </c>
      <c r="F293" s="3" t="s">
        <v>4693</v>
      </c>
      <c r="G293" s="6" t="s">
        <v>4694</v>
      </c>
      <c r="H293" s="3" t="s">
        <v>4695</v>
      </c>
      <c r="I293" s="3" t="s">
        <v>2508</v>
      </c>
      <c r="J293" s="3" t="s">
        <v>4696</v>
      </c>
      <c r="K293" s="3" t="s">
        <v>4697</v>
      </c>
      <c r="L293" s="3" t="s">
        <v>482</v>
      </c>
      <c r="M293" s="3" t="s">
        <v>2540</v>
      </c>
      <c r="N293" s="3" t="s">
        <v>1816</v>
      </c>
      <c r="O293" s="3" t="s">
        <v>482</v>
      </c>
      <c r="P293" s="3">
        <v>0</v>
      </c>
      <c r="Q293" s="3" t="s">
        <v>2560</v>
      </c>
      <c r="R293" s="3" t="s">
        <v>405</v>
      </c>
      <c r="S293" s="3" t="s">
        <v>482</v>
      </c>
      <c r="T293" s="3" t="s">
        <v>482</v>
      </c>
    </row>
    <row r="294" spans="1:20" ht="48" hidden="1" x14ac:dyDescent="0.2">
      <c r="A294" s="3" t="s">
        <v>4698</v>
      </c>
      <c r="B294" s="3" t="s">
        <v>4699</v>
      </c>
      <c r="C294" s="3" t="s">
        <v>4692</v>
      </c>
      <c r="D294" s="3">
        <v>190</v>
      </c>
      <c r="E294" s="3" t="s">
        <v>2635</v>
      </c>
      <c r="F294" s="3" t="s">
        <v>4700</v>
      </c>
      <c r="G294" s="6" t="s">
        <v>4701</v>
      </c>
      <c r="H294" s="3" t="s">
        <v>4702</v>
      </c>
      <c r="I294" s="3" t="s">
        <v>2508</v>
      </c>
      <c r="J294" s="3" t="s">
        <v>4703</v>
      </c>
      <c r="K294" s="3" t="s">
        <v>2972</v>
      </c>
      <c r="L294" s="3" t="s">
        <v>482</v>
      </c>
      <c r="M294" s="3" t="s">
        <v>2540</v>
      </c>
      <c r="N294" s="3" t="s">
        <v>1816</v>
      </c>
      <c r="O294" s="3" t="s">
        <v>482</v>
      </c>
      <c r="P294" s="3">
        <v>0</v>
      </c>
      <c r="Q294" s="3" t="s">
        <v>2560</v>
      </c>
      <c r="R294" s="3" t="s">
        <v>405</v>
      </c>
      <c r="S294" s="3" t="s">
        <v>482</v>
      </c>
      <c r="T294" s="3" t="s">
        <v>482</v>
      </c>
    </row>
    <row r="295" spans="1:20" ht="32" hidden="1" x14ac:dyDescent="0.2">
      <c r="A295" s="3" t="s">
        <v>4704</v>
      </c>
      <c r="B295" s="3" t="s">
        <v>4705</v>
      </c>
      <c r="C295" s="3" t="s">
        <v>4692</v>
      </c>
      <c r="D295" s="3">
        <v>195</v>
      </c>
      <c r="E295" s="3" t="s">
        <v>2635</v>
      </c>
      <c r="F295" s="3" t="s">
        <v>4706</v>
      </c>
      <c r="G295" s="6" t="s">
        <v>4707</v>
      </c>
      <c r="H295" s="3" t="s">
        <v>4708</v>
      </c>
      <c r="I295" s="3" t="s">
        <v>2508</v>
      </c>
      <c r="J295" s="3" t="s">
        <v>4709</v>
      </c>
      <c r="K295" s="3" t="s">
        <v>4710</v>
      </c>
      <c r="L295" s="3" t="s">
        <v>482</v>
      </c>
      <c r="M295" s="3" t="s">
        <v>2540</v>
      </c>
      <c r="N295" s="3" t="s">
        <v>1816</v>
      </c>
      <c r="O295" s="3" t="s">
        <v>482</v>
      </c>
      <c r="P295" s="3">
        <v>0</v>
      </c>
      <c r="Q295" s="3" t="s">
        <v>2560</v>
      </c>
      <c r="R295" s="3" t="s">
        <v>405</v>
      </c>
      <c r="S295" s="3" t="s">
        <v>482</v>
      </c>
      <c r="T295" s="3" t="s">
        <v>482</v>
      </c>
    </row>
    <row r="296" spans="1:20" ht="345" hidden="1" x14ac:dyDescent="0.2">
      <c r="A296" s="3" t="s">
        <v>4711</v>
      </c>
      <c r="B296" s="3" t="s">
        <v>4712</v>
      </c>
      <c r="C296" s="3" t="s">
        <v>4713</v>
      </c>
      <c r="D296" s="3">
        <v>52</v>
      </c>
      <c r="E296" s="3" t="s">
        <v>2504</v>
      </c>
      <c r="F296" s="3" t="s">
        <v>4714</v>
      </c>
      <c r="G296" s="6" t="s">
        <v>4715</v>
      </c>
      <c r="H296" s="3" t="s">
        <v>4716</v>
      </c>
      <c r="I296" s="3" t="s">
        <v>2508</v>
      </c>
      <c r="J296" s="3" t="s">
        <v>4717</v>
      </c>
      <c r="K296" s="3" t="s">
        <v>4718</v>
      </c>
      <c r="L296" s="3" t="s">
        <v>482</v>
      </c>
      <c r="M296" s="3" t="s">
        <v>2540</v>
      </c>
      <c r="N296" s="3" t="s">
        <v>1931</v>
      </c>
      <c r="O296" s="3" t="s">
        <v>482</v>
      </c>
      <c r="P296" s="3">
        <v>0</v>
      </c>
      <c r="Q296" s="3" t="s">
        <v>2560</v>
      </c>
      <c r="R296" s="3" t="s">
        <v>405</v>
      </c>
      <c r="S296" s="3" t="s">
        <v>482</v>
      </c>
      <c r="T296" s="3" t="s">
        <v>482</v>
      </c>
    </row>
    <row r="297" spans="1:20" ht="409.6" hidden="1" x14ac:dyDescent="0.2">
      <c r="A297" s="3" t="s">
        <v>4719</v>
      </c>
      <c r="B297" s="3" t="s">
        <v>4720</v>
      </c>
      <c r="C297" s="3" t="s">
        <v>4713</v>
      </c>
      <c r="D297" s="3">
        <v>106</v>
      </c>
      <c r="E297" s="3" t="s">
        <v>2504</v>
      </c>
      <c r="F297" s="3" t="s">
        <v>2616</v>
      </c>
      <c r="G297" s="6" t="s">
        <v>4721</v>
      </c>
      <c r="H297" s="3" t="s">
        <v>4722</v>
      </c>
      <c r="I297" s="3" t="s">
        <v>2508</v>
      </c>
      <c r="J297" s="3" t="s">
        <v>4723</v>
      </c>
      <c r="K297" s="3" t="s">
        <v>4724</v>
      </c>
      <c r="L297" s="3" t="s">
        <v>482</v>
      </c>
      <c r="M297" s="3" t="s">
        <v>2540</v>
      </c>
      <c r="N297" s="3" t="s">
        <v>1931</v>
      </c>
      <c r="O297" s="3" t="s">
        <v>3509</v>
      </c>
      <c r="P297" s="3">
        <v>1</v>
      </c>
      <c r="Q297" s="3" t="s">
        <v>3509</v>
      </c>
      <c r="R297" s="3" t="s">
        <v>4725</v>
      </c>
      <c r="S297" s="3" t="s">
        <v>482</v>
      </c>
      <c r="T297" s="3" t="s">
        <v>482</v>
      </c>
    </row>
    <row r="298" spans="1:20" ht="98" hidden="1" x14ac:dyDescent="0.2">
      <c r="A298" s="3" t="s">
        <v>4726</v>
      </c>
      <c r="B298" s="3" t="s">
        <v>4727</v>
      </c>
      <c r="C298" s="3" t="s">
        <v>4728</v>
      </c>
      <c r="D298" s="3">
        <v>106</v>
      </c>
      <c r="E298" s="3" t="s">
        <v>2635</v>
      </c>
      <c r="F298" s="3" t="s">
        <v>4729</v>
      </c>
      <c r="G298" s="6" t="s">
        <v>4730</v>
      </c>
      <c r="H298" s="3" t="s">
        <v>4731</v>
      </c>
      <c r="I298" s="3" t="s">
        <v>2508</v>
      </c>
      <c r="J298" s="3" t="s">
        <v>4732</v>
      </c>
      <c r="K298" s="3" t="s">
        <v>4733</v>
      </c>
      <c r="L298" s="3" t="s">
        <v>482</v>
      </c>
      <c r="M298" s="3" t="s">
        <v>2813</v>
      </c>
      <c r="N298" s="3" t="s">
        <v>1816</v>
      </c>
      <c r="O298" s="3" t="s">
        <v>4734</v>
      </c>
      <c r="P298" s="3">
        <v>4</v>
      </c>
      <c r="Q298" s="3" t="s">
        <v>4734</v>
      </c>
      <c r="R298" s="3" t="s">
        <v>4735</v>
      </c>
      <c r="S298" s="3" t="s">
        <v>482</v>
      </c>
      <c r="T298" s="3" t="s">
        <v>482</v>
      </c>
    </row>
    <row r="299" spans="1:20" ht="56" hidden="1" x14ac:dyDescent="0.2">
      <c r="A299" s="3" t="s">
        <v>4736</v>
      </c>
      <c r="B299" s="3" t="s">
        <v>4737</v>
      </c>
      <c r="C299" s="3" t="s">
        <v>4728</v>
      </c>
      <c r="D299" s="3">
        <v>178</v>
      </c>
      <c r="E299" s="3" t="s">
        <v>2514</v>
      </c>
      <c r="F299" s="3" t="s">
        <v>2616</v>
      </c>
      <c r="G299" s="6" t="s">
        <v>4738</v>
      </c>
      <c r="H299" s="3" t="s">
        <v>4739</v>
      </c>
      <c r="I299" s="3" t="s">
        <v>2508</v>
      </c>
      <c r="J299" s="3" t="s">
        <v>4740</v>
      </c>
      <c r="K299" s="3" t="s">
        <v>4741</v>
      </c>
      <c r="L299" s="3" t="s">
        <v>2531</v>
      </c>
      <c r="M299" s="3" t="s">
        <v>2540</v>
      </c>
      <c r="N299" s="3" t="s">
        <v>1931</v>
      </c>
      <c r="O299" s="3" t="s">
        <v>482</v>
      </c>
      <c r="P299" s="3">
        <v>0</v>
      </c>
      <c r="Q299" s="3" t="s">
        <v>2560</v>
      </c>
      <c r="R299" s="3" t="s">
        <v>405</v>
      </c>
      <c r="S299" s="3" t="s">
        <v>482</v>
      </c>
      <c r="T299" s="3" t="s">
        <v>482</v>
      </c>
    </row>
    <row r="300" spans="1:20" ht="48" hidden="1" x14ac:dyDescent="0.2">
      <c r="A300" s="3" t="s">
        <v>4742</v>
      </c>
      <c r="B300" s="3" t="s">
        <v>4743</v>
      </c>
      <c r="C300" s="3" t="s">
        <v>4728</v>
      </c>
      <c r="D300" s="3">
        <v>210</v>
      </c>
      <c r="E300" s="3" t="s">
        <v>2635</v>
      </c>
      <c r="F300" s="3" t="s">
        <v>2616</v>
      </c>
      <c r="G300" s="6" t="s">
        <v>3398</v>
      </c>
      <c r="H300" s="3" t="s">
        <v>3398</v>
      </c>
      <c r="I300" s="3" t="s">
        <v>3399</v>
      </c>
      <c r="J300" s="3" t="s">
        <v>4744</v>
      </c>
      <c r="K300" s="3" t="s">
        <v>3348</v>
      </c>
      <c r="L300" s="3" t="s">
        <v>482</v>
      </c>
      <c r="M300" s="3" t="s">
        <v>2540</v>
      </c>
      <c r="N300" s="3" t="s">
        <v>1816</v>
      </c>
      <c r="O300" s="3" t="s">
        <v>482</v>
      </c>
      <c r="P300" s="3">
        <v>0</v>
      </c>
      <c r="Q300" s="3" t="s">
        <v>2560</v>
      </c>
      <c r="R300" s="3" t="s">
        <v>405</v>
      </c>
      <c r="S300" s="3" t="s">
        <v>482</v>
      </c>
      <c r="T300" s="3" t="s">
        <v>482</v>
      </c>
    </row>
    <row r="301" spans="1:20" ht="48" hidden="1" x14ac:dyDescent="0.2">
      <c r="A301" s="3" t="s">
        <v>4745</v>
      </c>
      <c r="B301" s="3" t="s">
        <v>4746</v>
      </c>
      <c r="C301" s="3" t="s">
        <v>4728</v>
      </c>
      <c r="D301" s="3">
        <v>223</v>
      </c>
      <c r="E301" s="3" t="s">
        <v>2635</v>
      </c>
      <c r="F301" s="3" t="s">
        <v>2616</v>
      </c>
      <c r="G301" s="6" t="s">
        <v>4747</v>
      </c>
      <c r="H301" s="3" t="s">
        <v>4748</v>
      </c>
      <c r="I301" s="3" t="s">
        <v>2508</v>
      </c>
      <c r="J301" s="3" t="s">
        <v>2547</v>
      </c>
      <c r="K301" s="3" t="s">
        <v>2538</v>
      </c>
      <c r="L301" s="3" t="s">
        <v>482</v>
      </c>
      <c r="M301" s="3" t="s">
        <v>2813</v>
      </c>
      <c r="N301" s="3" t="s">
        <v>1816</v>
      </c>
      <c r="O301" s="3" t="s">
        <v>482</v>
      </c>
      <c r="P301" s="3">
        <v>0</v>
      </c>
      <c r="Q301" s="3" t="s">
        <v>2560</v>
      </c>
      <c r="R301" s="3" t="s">
        <v>405</v>
      </c>
      <c r="S301" s="3" t="s">
        <v>482</v>
      </c>
      <c r="T301" s="3" t="s">
        <v>482</v>
      </c>
    </row>
    <row r="302" spans="1:20" ht="48" hidden="1" x14ac:dyDescent="0.2">
      <c r="A302" s="3" t="s">
        <v>4749</v>
      </c>
      <c r="B302" s="3" t="s">
        <v>4750</v>
      </c>
      <c r="C302" s="3" t="s">
        <v>4728</v>
      </c>
      <c r="D302" s="3">
        <v>232</v>
      </c>
      <c r="E302" s="3" t="s">
        <v>2635</v>
      </c>
      <c r="F302" s="3" t="s">
        <v>4751</v>
      </c>
      <c r="G302" s="6" t="s">
        <v>4752</v>
      </c>
      <c r="H302" s="3" t="s">
        <v>4753</v>
      </c>
      <c r="I302" s="3" t="s">
        <v>2508</v>
      </c>
      <c r="J302" s="3" t="s">
        <v>4754</v>
      </c>
      <c r="K302" s="3" t="s">
        <v>4755</v>
      </c>
      <c r="L302" s="3" t="s">
        <v>482</v>
      </c>
      <c r="M302" s="3" t="s">
        <v>2540</v>
      </c>
      <c r="N302" s="3" t="s">
        <v>1816</v>
      </c>
      <c r="O302" s="3" t="s">
        <v>4756</v>
      </c>
      <c r="P302" s="3">
        <v>1</v>
      </c>
      <c r="Q302" s="3" t="s">
        <v>4756</v>
      </c>
      <c r="R302" s="3" t="s">
        <v>4757</v>
      </c>
      <c r="S302" s="3" t="s">
        <v>482</v>
      </c>
      <c r="T302" s="3" t="s">
        <v>482</v>
      </c>
    </row>
    <row r="303" spans="1:20" ht="70" hidden="1" x14ac:dyDescent="0.2">
      <c r="A303" s="3" t="s">
        <v>4758</v>
      </c>
      <c r="B303" s="3" t="s">
        <v>4759</v>
      </c>
      <c r="C303" s="3" t="s">
        <v>4728</v>
      </c>
      <c r="D303" s="3">
        <v>237</v>
      </c>
      <c r="E303" s="3" t="s">
        <v>2635</v>
      </c>
      <c r="F303" s="3" t="s">
        <v>4760</v>
      </c>
      <c r="G303" s="6" t="s">
        <v>4761</v>
      </c>
      <c r="H303" s="3" t="s">
        <v>4762</v>
      </c>
      <c r="I303" s="3" t="s">
        <v>2508</v>
      </c>
      <c r="J303" s="3" t="s">
        <v>4763</v>
      </c>
      <c r="K303" s="3" t="s">
        <v>4764</v>
      </c>
      <c r="L303" s="3" t="s">
        <v>482</v>
      </c>
      <c r="M303" s="3" t="s">
        <v>4406</v>
      </c>
      <c r="N303" s="3" t="s">
        <v>1816</v>
      </c>
      <c r="O303" s="3" t="s">
        <v>482</v>
      </c>
      <c r="P303" s="3">
        <v>0</v>
      </c>
      <c r="Q303" s="3" t="s">
        <v>2560</v>
      </c>
      <c r="R303" s="3" t="s">
        <v>405</v>
      </c>
      <c r="S303" s="3" t="s">
        <v>482</v>
      </c>
      <c r="T303" s="3" t="s">
        <v>482</v>
      </c>
    </row>
    <row r="304" spans="1:20" ht="154" hidden="1" x14ac:dyDescent="0.2">
      <c r="A304" s="3" t="s">
        <v>4765</v>
      </c>
      <c r="B304" s="3" t="s">
        <v>4766</v>
      </c>
      <c r="C304" s="3" t="s">
        <v>4767</v>
      </c>
      <c r="D304" s="3">
        <v>36</v>
      </c>
      <c r="E304" s="3" t="s">
        <v>2635</v>
      </c>
      <c r="F304" s="3" t="s">
        <v>4768</v>
      </c>
      <c r="G304" s="6" t="s">
        <v>4769</v>
      </c>
      <c r="H304" s="3" t="s">
        <v>4770</v>
      </c>
      <c r="I304" s="3" t="s">
        <v>2508</v>
      </c>
      <c r="J304" s="3" t="s">
        <v>2547</v>
      </c>
      <c r="K304" s="3" t="s">
        <v>2538</v>
      </c>
      <c r="L304" s="3" t="s">
        <v>482</v>
      </c>
      <c r="M304" s="3" t="s">
        <v>2540</v>
      </c>
      <c r="N304" s="3" t="s">
        <v>1816</v>
      </c>
      <c r="O304" s="3" t="s">
        <v>482</v>
      </c>
      <c r="P304" s="3">
        <v>0</v>
      </c>
      <c r="Q304" s="3" t="s">
        <v>2560</v>
      </c>
      <c r="R304" s="3" t="s">
        <v>405</v>
      </c>
      <c r="S304" s="3" t="s">
        <v>482</v>
      </c>
      <c r="T304" s="3" t="s">
        <v>482</v>
      </c>
    </row>
    <row r="305" spans="1:20" ht="42" hidden="1" x14ac:dyDescent="0.2">
      <c r="A305" s="3" t="s">
        <v>4771</v>
      </c>
      <c r="B305" s="3" t="s">
        <v>4772</v>
      </c>
      <c r="C305" s="3" t="s">
        <v>4767</v>
      </c>
      <c r="D305" s="3">
        <v>58</v>
      </c>
      <c r="E305" s="3" t="s">
        <v>2635</v>
      </c>
      <c r="F305" s="3" t="s">
        <v>4773</v>
      </c>
      <c r="G305" s="6" t="s">
        <v>4774</v>
      </c>
      <c r="H305" s="3" t="s">
        <v>4775</v>
      </c>
      <c r="I305" s="3" t="s">
        <v>2508</v>
      </c>
      <c r="J305" s="3" t="s">
        <v>4776</v>
      </c>
      <c r="K305" s="3" t="s">
        <v>4755</v>
      </c>
      <c r="L305" s="3" t="s">
        <v>482</v>
      </c>
      <c r="M305" s="3" t="s">
        <v>2540</v>
      </c>
      <c r="N305" s="3" t="s">
        <v>1816</v>
      </c>
      <c r="O305" s="3" t="s">
        <v>482</v>
      </c>
      <c r="P305" s="3">
        <v>0</v>
      </c>
      <c r="Q305" s="3" t="s">
        <v>2560</v>
      </c>
      <c r="R305" s="3" t="s">
        <v>405</v>
      </c>
      <c r="S305" s="3" t="s">
        <v>482</v>
      </c>
      <c r="T305" s="3" t="s">
        <v>482</v>
      </c>
    </row>
    <row r="306" spans="1:20" ht="48" hidden="1" x14ac:dyDescent="0.2">
      <c r="A306" s="3" t="s">
        <v>4777</v>
      </c>
      <c r="B306" s="3" t="s">
        <v>4778</v>
      </c>
      <c r="C306" s="3" t="s">
        <v>4767</v>
      </c>
      <c r="D306" s="3">
        <v>64</v>
      </c>
      <c r="E306" s="3" t="s">
        <v>2635</v>
      </c>
      <c r="F306" s="3" t="s">
        <v>4779</v>
      </c>
      <c r="G306" s="6" t="s">
        <v>4780</v>
      </c>
      <c r="H306" s="3" t="s">
        <v>4781</v>
      </c>
      <c r="I306" s="3" t="s">
        <v>2508</v>
      </c>
      <c r="J306" s="3" t="s">
        <v>4782</v>
      </c>
      <c r="K306" s="3" t="s">
        <v>4755</v>
      </c>
      <c r="L306" s="3" t="s">
        <v>482</v>
      </c>
      <c r="M306" s="3" t="s">
        <v>2540</v>
      </c>
      <c r="N306" s="3" t="s">
        <v>1816</v>
      </c>
      <c r="O306" s="3" t="s">
        <v>482</v>
      </c>
      <c r="P306" s="3">
        <v>0</v>
      </c>
      <c r="Q306" s="3" t="s">
        <v>2560</v>
      </c>
      <c r="R306" s="3" t="s">
        <v>405</v>
      </c>
      <c r="S306" s="3" t="s">
        <v>482</v>
      </c>
      <c r="T306" s="3" t="s">
        <v>482</v>
      </c>
    </row>
    <row r="307" spans="1:20" ht="224" hidden="1" x14ac:dyDescent="0.2">
      <c r="A307" s="3" t="s">
        <v>4783</v>
      </c>
      <c r="B307" s="3" t="s">
        <v>4784</v>
      </c>
      <c r="C307" s="3" t="s">
        <v>4767</v>
      </c>
      <c r="D307" s="3">
        <v>73</v>
      </c>
      <c r="E307" s="3" t="s">
        <v>2514</v>
      </c>
      <c r="F307" s="3" t="s">
        <v>4785</v>
      </c>
      <c r="G307" s="6" t="s">
        <v>4786</v>
      </c>
      <c r="H307" s="3" t="s">
        <v>4787</v>
      </c>
      <c r="I307" s="3" t="s">
        <v>2508</v>
      </c>
      <c r="J307" s="3" t="s">
        <v>4788</v>
      </c>
      <c r="K307" s="3" t="s">
        <v>2758</v>
      </c>
      <c r="L307" s="3" t="s">
        <v>3540</v>
      </c>
      <c r="M307" s="3" t="s">
        <v>2540</v>
      </c>
      <c r="N307" s="3" t="s">
        <v>1931</v>
      </c>
      <c r="O307" s="3" t="s">
        <v>482</v>
      </c>
      <c r="P307" s="3">
        <v>0</v>
      </c>
      <c r="Q307" s="3" t="s">
        <v>2560</v>
      </c>
      <c r="R307" s="3" t="s">
        <v>405</v>
      </c>
      <c r="S307" s="3" t="s">
        <v>482</v>
      </c>
      <c r="T307" s="3" t="s">
        <v>482</v>
      </c>
    </row>
    <row r="308" spans="1:20" ht="56" hidden="1" x14ac:dyDescent="0.2">
      <c r="A308" s="3" t="s">
        <v>4789</v>
      </c>
      <c r="B308" s="3" t="s">
        <v>4790</v>
      </c>
      <c r="C308" s="3" t="s">
        <v>4791</v>
      </c>
      <c r="D308" s="3">
        <v>38</v>
      </c>
      <c r="E308" s="3" t="s">
        <v>2635</v>
      </c>
      <c r="F308" s="3" t="s">
        <v>4792</v>
      </c>
      <c r="G308" s="6" t="s">
        <v>4793</v>
      </c>
      <c r="H308" s="3" t="s">
        <v>4794</v>
      </c>
      <c r="I308" s="3" t="s">
        <v>2508</v>
      </c>
      <c r="J308" s="3" t="s">
        <v>2547</v>
      </c>
      <c r="K308" s="3" t="s">
        <v>2538</v>
      </c>
      <c r="L308" s="3" t="s">
        <v>482</v>
      </c>
      <c r="M308" s="3" t="s">
        <v>2540</v>
      </c>
      <c r="N308" s="3" t="s">
        <v>1816</v>
      </c>
      <c r="O308" s="3" t="s">
        <v>482</v>
      </c>
      <c r="P308" s="3">
        <v>0</v>
      </c>
      <c r="Q308" s="3" t="s">
        <v>2560</v>
      </c>
      <c r="R308" s="3" t="s">
        <v>405</v>
      </c>
      <c r="S308" s="3" t="s">
        <v>482</v>
      </c>
      <c r="T308" s="3" t="s">
        <v>482</v>
      </c>
    </row>
    <row r="309" spans="1:20" ht="56" hidden="1" x14ac:dyDescent="0.2">
      <c r="A309" s="3" t="s">
        <v>4795</v>
      </c>
      <c r="B309" s="3" t="s">
        <v>4796</v>
      </c>
      <c r="C309" s="3" t="s">
        <v>4791</v>
      </c>
      <c r="D309" s="3">
        <v>50</v>
      </c>
      <c r="E309" s="3" t="s">
        <v>2635</v>
      </c>
      <c r="F309" s="3" t="s">
        <v>4797</v>
      </c>
      <c r="G309" s="6" t="s">
        <v>4798</v>
      </c>
      <c r="H309" s="3" t="s">
        <v>4799</v>
      </c>
      <c r="I309" s="3" t="s">
        <v>2508</v>
      </c>
      <c r="J309" s="3" t="s">
        <v>2547</v>
      </c>
      <c r="K309" s="3" t="s">
        <v>2538</v>
      </c>
      <c r="L309" s="3" t="s">
        <v>482</v>
      </c>
      <c r="M309" s="3" t="s">
        <v>2540</v>
      </c>
      <c r="N309" s="3" t="s">
        <v>1816</v>
      </c>
      <c r="O309" s="3" t="s">
        <v>482</v>
      </c>
      <c r="P309" s="3">
        <v>0</v>
      </c>
      <c r="Q309" s="3" t="s">
        <v>2560</v>
      </c>
      <c r="R309" s="3" t="s">
        <v>405</v>
      </c>
      <c r="S309" s="3" t="s">
        <v>482</v>
      </c>
      <c r="T309" s="3" t="s">
        <v>482</v>
      </c>
    </row>
    <row r="310" spans="1:20" ht="160" hidden="1" x14ac:dyDescent="0.2">
      <c r="A310" s="3" t="s">
        <v>4800</v>
      </c>
      <c r="B310" s="3" t="s">
        <v>4801</v>
      </c>
      <c r="C310" s="3" t="s">
        <v>4802</v>
      </c>
      <c r="D310" s="3">
        <v>23</v>
      </c>
      <c r="E310" s="3" t="s">
        <v>2514</v>
      </c>
      <c r="F310" s="3" t="s">
        <v>4803</v>
      </c>
      <c r="G310" s="6" t="s">
        <v>4804</v>
      </c>
      <c r="H310" s="3" t="s">
        <v>4805</v>
      </c>
      <c r="I310" s="3" t="s">
        <v>2794</v>
      </c>
      <c r="J310" s="3" t="s">
        <v>4561</v>
      </c>
      <c r="K310" s="3" t="s">
        <v>2519</v>
      </c>
      <c r="L310" s="3" t="s">
        <v>4806</v>
      </c>
      <c r="M310" s="3" t="s">
        <v>2540</v>
      </c>
      <c r="N310" s="3" t="s">
        <v>1931</v>
      </c>
      <c r="O310" s="3" t="s">
        <v>482</v>
      </c>
      <c r="P310" s="3">
        <v>0</v>
      </c>
      <c r="Q310" s="3" t="s">
        <v>2560</v>
      </c>
      <c r="R310" s="3" t="s">
        <v>405</v>
      </c>
      <c r="S310" s="3" t="s">
        <v>482</v>
      </c>
      <c r="T310" s="3" t="s">
        <v>482</v>
      </c>
    </row>
    <row r="311" spans="1:20" ht="48" hidden="1" x14ac:dyDescent="0.2">
      <c r="A311" s="3" t="s">
        <v>4807</v>
      </c>
      <c r="B311" s="3" t="s">
        <v>4808</v>
      </c>
      <c r="C311" s="3" t="s">
        <v>4802</v>
      </c>
      <c r="D311" s="3">
        <v>31</v>
      </c>
      <c r="E311" s="3" t="s">
        <v>2504</v>
      </c>
      <c r="F311" s="3" t="s">
        <v>4809</v>
      </c>
      <c r="G311" s="6" t="s">
        <v>4810</v>
      </c>
      <c r="H311" s="3" t="s">
        <v>4811</v>
      </c>
      <c r="I311" s="3" t="s">
        <v>2529</v>
      </c>
      <c r="J311" s="3" t="s">
        <v>4812</v>
      </c>
      <c r="K311" s="3" t="s">
        <v>2519</v>
      </c>
      <c r="L311" s="3" t="s">
        <v>482</v>
      </c>
      <c r="M311" s="3" t="s">
        <v>2540</v>
      </c>
      <c r="N311" s="3" t="s">
        <v>1931</v>
      </c>
      <c r="O311" s="3" t="s">
        <v>4813</v>
      </c>
      <c r="P311" s="3">
        <v>1</v>
      </c>
      <c r="Q311" s="3" t="s">
        <v>4813</v>
      </c>
      <c r="R311" s="3" t="s">
        <v>4814</v>
      </c>
      <c r="S311" s="3" t="s">
        <v>482</v>
      </c>
      <c r="T311" s="3" t="s">
        <v>482</v>
      </c>
    </row>
    <row r="312" spans="1:20" ht="48" hidden="1" x14ac:dyDescent="0.2">
      <c r="A312" s="3" t="s">
        <v>4815</v>
      </c>
      <c r="B312" s="3" t="s">
        <v>4816</v>
      </c>
      <c r="C312" s="3" t="s">
        <v>4817</v>
      </c>
      <c r="D312" s="3">
        <v>66</v>
      </c>
      <c r="E312" s="3" t="s">
        <v>2641</v>
      </c>
      <c r="F312" s="3" t="s">
        <v>2616</v>
      </c>
      <c r="G312" s="6" t="s">
        <v>3398</v>
      </c>
      <c r="H312" s="3" t="s">
        <v>3398</v>
      </c>
      <c r="I312" s="3" t="s">
        <v>3399</v>
      </c>
      <c r="J312" s="3" t="s">
        <v>4818</v>
      </c>
      <c r="K312" s="3" t="s">
        <v>3348</v>
      </c>
      <c r="L312" s="3" t="s">
        <v>482</v>
      </c>
      <c r="M312" s="3" t="s">
        <v>2540</v>
      </c>
      <c r="N312" s="3" t="s">
        <v>1816</v>
      </c>
      <c r="O312" s="3" t="s">
        <v>482</v>
      </c>
      <c r="P312" s="3">
        <v>0</v>
      </c>
      <c r="Q312" s="3" t="s">
        <v>2560</v>
      </c>
      <c r="R312" s="3" t="s">
        <v>405</v>
      </c>
      <c r="S312" s="3" t="s">
        <v>482</v>
      </c>
      <c r="T312" s="3" t="s">
        <v>482</v>
      </c>
    </row>
    <row r="313" spans="1:20" ht="48" hidden="1" x14ac:dyDescent="0.2">
      <c r="A313" s="3" t="s">
        <v>4819</v>
      </c>
      <c r="B313" s="3" t="s">
        <v>4820</v>
      </c>
      <c r="C313" s="3" t="s">
        <v>4817</v>
      </c>
      <c r="D313" s="3">
        <v>68</v>
      </c>
      <c r="E313" s="3" t="s">
        <v>2641</v>
      </c>
      <c r="F313" s="3" t="s">
        <v>2616</v>
      </c>
      <c r="G313" s="6" t="s">
        <v>3398</v>
      </c>
      <c r="H313" s="3" t="s">
        <v>3398</v>
      </c>
      <c r="I313" s="3" t="s">
        <v>3399</v>
      </c>
      <c r="J313" s="3" t="s">
        <v>4821</v>
      </c>
      <c r="K313" s="3" t="s">
        <v>3348</v>
      </c>
      <c r="L313" s="3" t="s">
        <v>482</v>
      </c>
      <c r="M313" s="3" t="s">
        <v>2540</v>
      </c>
      <c r="N313" s="3" t="s">
        <v>1816</v>
      </c>
      <c r="O313" s="3" t="s">
        <v>482</v>
      </c>
      <c r="P313" s="3">
        <v>0</v>
      </c>
      <c r="Q313" s="3" t="s">
        <v>2560</v>
      </c>
      <c r="R313" s="3" t="s">
        <v>405</v>
      </c>
      <c r="S313" s="3" t="s">
        <v>482</v>
      </c>
      <c r="T313" s="3" t="s">
        <v>482</v>
      </c>
    </row>
    <row r="314" spans="1:20" ht="224" hidden="1" x14ac:dyDescent="0.2">
      <c r="A314" s="3" t="s">
        <v>4822</v>
      </c>
      <c r="B314" s="3" t="s">
        <v>4823</v>
      </c>
      <c r="C314" s="3" t="s">
        <v>4817</v>
      </c>
      <c r="D314" s="3">
        <v>92</v>
      </c>
      <c r="E314" s="3" t="s">
        <v>2635</v>
      </c>
      <c r="F314" s="3" t="s">
        <v>4824</v>
      </c>
      <c r="G314" s="6" t="s">
        <v>4825</v>
      </c>
      <c r="H314" s="3" t="s">
        <v>4826</v>
      </c>
      <c r="I314" s="3" t="s">
        <v>2508</v>
      </c>
      <c r="J314" s="3" t="s">
        <v>4827</v>
      </c>
      <c r="K314" s="3" t="s">
        <v>4828</v>
      </c>
      <c r="L314" s="3" t="s">
        <v>482</v>
      </c>
      <c r="M314" s="3" t="s">
        <v>4829</v>
      </c>
      <c r="N314" s="3" t="s">
        <v>1816</v>
      </c>
      <c r="O314" s="3" t="s">
        <v>482</v>
      </c>
      <c r="P314" s="3">
        <v>0</v>
      </c>
      <c r="Q314" s="3" t="s">
        <v>2560</v>
      </c>
      <c r="R314" s="3" t="s">
        <v>405</v>
      </c>
      <c r="S314" s="3" t="s">
        <v>482</v>
      </c>
      <c r="T314" s="3" t="s">
        <v>482</v>
      </c>
    </row>
    <row r="315" spans="1:20" ht="70" hidden="1" x14ac:dyDescent="0.2">
      <c r="A315" s="3" t="s">
        <v>4830</v>
      </c>
      <c r="B315" s="3" t="s">
        <v>4831</v>
      </c>
      <c r="C315" s="3" t="s">
        <v>4817</v>
      </c>
      <c r="D315" s="3">
        <v>145</v>
      </c>
      <c r="E315" s="3" t="s">
        <v>2635</v>
      </c>
      <c r="F315" s="3" t="s">
        <v>4832</v>
      </c>
      <c r="G315" s="6" t="s">
        <v>4833</v>
      </c>
      <c r="H315" s="3" t="s">
        <v>4834</v>
      </c>
      <c r="I315" s="3" t="s">
        <v>2508</v>
      </c>
      <c r="J315" s="3" t="s">
        <v>4835</v>
      </c>
      <c r="K315" s="3" t="s">
        <v>4836</v>
      </c>
      <c r="L315" s="3" t="s">
        <v>482</v>
      </c>
      <c r="M315" s="3" t="s">
        <v>2813</v>
      </c>
      <c r="N315" s="3" t="s">
        <v>1816</v>
      </c>
      <c r="O315" s="3" t="s">
        <v>482</v>
      </c>
      <c r="P315" s="3">
        <v>0</v>
      </c>
      <c r="Q315" s="3" t="s">
        <v>2560</v>
      </c>
      <c r="R315" s="3" t="s">
        <v>405</v>
      </c>
      <c r="S315" s="3" t="s">
        <v>482</v>
      </c>
      <c r="T315" s="3" t="s">
        <v>482</v>
      </c>
    </row>
    <row r="316" spans="1:20" ht="64" hidden="1" x14ac:dyDescent="0.2">
      <c r="A316" s="3" t="s">
        <v>4837</v>
      </c>
      <c r="B316" s="3" t="s">
        <v>4838</v>
      </c>
      <c r="C316" s="3" t="s">
        <v>4817</v>
      </c>
      <c r="D316" s="3">
        <v>156</v>
      </c>
      <c r="E316" s="3" t="s">
        <v>2635</v>
      </c>
      <c r="F316" s="3" t="s">
        <v>4839</v>
      </c>
      <c r="G316" s="6" t="s">
        <v>4840</v>
      </c>
      <c r="H316" s="3" t="s">
        <v>4841</v>
      </c>
      <c r="I316" s="3" t="s">
        <v>2508</v>
      </c>
      <c r="J316" s="3" t="s">
        <v>4842</v>
      </c>
      <c r="K316" s="3" t="s">
        <v>4836</v>
      </c>
      <c r="L316" s="3" t="s">
        <v>482</v>
      </c>
      <c r="M316" s="3" t="s">
        <v>2813</v>
      </c>
      <c r="N316" s="3" t="s">
        <v>1816</v>
      </c>
      <c r="O316" s="3" t="s">
        <v>482</v>
      </c>
      <c r="P316" s="3">
        <v>0</v>
      </c>
      <c r="Q316" s="3" t="s">
        <v>2560</v>
      </c>
      <c r="R316" s="3" t="s">
        <v>405</v>
      </c>
      <c r="S316" s="3" t="s">
        <v>482</v>
      </c>
      <c r="T316" s="3" t="s">
        <v>482</v>
      </c>
    </row>
    <row r="317" spans="1:20" ht="154" hidden="1" x14ac:dyDescent="0.2">
      <c r="A317" s="3" t="s">
        <v>4843</v>
      </c>
      <c r="B317" s="3" t="s">
        <v>4844</v>
      </c>
      <c r="C317" s="3" t="s">
        <v>4817</v>
      </c>
      <c r="D317" s="3">
        <v>165</v>
      </c>
      <c r="E317" s="3" t="s">
        <v>2514</v>
      </c>
      <c r="F317" s="3" t="s">
        <v>4845</v>
      </c>
      <c r="G317" s="6" t="s">
        <v>4846</v>
      </c>
      <c r="H317" s="3" t="s">
        <v>4847</v>
      </c>
      <c r="I317" s="3" t="s">
        <v>2508</v>
      </c>
      <c r="J317" s="3" t="s">
        <v>4848</v>
      </c>
      <c r="K317" s="3" t="s">
        <v>2758</v>
      </c>
      <c r="L317" s="3" t="s">
        <v>2531</v>
      </c>
      <c r="M317" s="3" t="s">
        <v>4849</v>
      </c>
      <c r="N317" s="3" t="s">
        <v>1931</v>
      </c>
      <c r="O317" s="3" t="s">
        <v>4850</v>
      </c>
      <c r="P317" s="3">
        <v>2</v>
      </c>
      <c r="Q317" s="3" t="s">
        <v>4850</v>
      </c>
      <c r="R317" s="3" t="s">
        <v>4851</v>
      </c>
      <c r="S317" s="3" t="s">
        <v>482</v>
      </c>
      <c r="T317" s="3" t="s">
        <v>482</v>
      </c>
    </row>
    <row r="318" spans="1:20" ht="84" hidden="1" x14ac:dyDescent="0.2">
      <c r="A318" s="3" t="s">
        <v>4852</v>
      </c>
      <c r="B318" s="3" t="s">
        <v>4853</v>
      </c>
      <c r="C318" s="3" t="s">
        <v>4817</v>
      </c>
      <c r="D318" s="3">
        <v>177</v>
      </c>
      <c r="E318" s="3" t="s">
        <v>2635</v>
      </c>
      <c r="F318" s="3" t="s">
        <v>4854</v>
      </c>
      <c r="G318" s="6" t="s">
        <v>4855</v>
      </c>
      <c r="H318" s="3" t="s">
        <v>4856</v>
      </c>
      <c r="I318" s="3" t="s">
        <v>2508</v>
      </c>
      <c r="J318" s="3" t="s">
        <v>4857</v>
      </c>
      <c r="K318" s="3" t="s">
        <v>2758</v>
      </c>
      <c r="L318" s="3" t="s">
        <v>482</v>
      </c>
      <c r="M318" s="3" t="s">
        <v>2540</v>
      </c>
      <c r="N318" s="3" t="s">
        <v>1816</v>
      </c>
      <c r="O318" s="3" t="s">
        <v>4688</v>
      </c>
      <c r="P318" s="3">
        <v>1</v>
      </c>
      <c r="Q318" s="3" t="s">
        <v>4688</v>
      </c>
      <c r="R318" s="3" t="s">
        <v>4858</v>
      </c>
      <c r="S318" s="3" t="s">
        <v>482</v>
      </c>
      <c r="T318" s="3" t="s">
        <v>482</v>
      </c>
    </row>
    <row r="319" spans="1:20" ht="32" hidden="1" x14ac:dyDescent="0.2">
      <c r="A319" s="3" t="s">
        <v>4859</v>
      </c>
      <c r="B319" s="3" t="s">
        <v>4860</v>
      </c>
      <c r="C319" s="3" t="s">
        <v>4817</v>
      </c>
      <c r="D319" s="3">
        <v>184</v>
      </c>
      <c r="E319" s="3" t="s">
        <v>2504</v>
      </c>
      <c r="F319" s="3" t="s">
        <v>4861</v>
      </c>
      <c r="G319" s="6" t="s">
        <v>4862</v>
      </c>
      <c r="H319" s="3" t="s">
        <v>4863</v>
      </c>
      <c r="I319" s="3" t="s">
        <v>2529</v>
      </c>
      <c r="J319" s="3" t="s">
        <v>4864</v>
      </c>
      <c r="K319" s="3" t="s">
        <v>4865</v>
      </c>
      <c r="L319" s="3" t="s">
        <v>482</v>
      </c>
      <c r="M319" s="3" t="s">
        <v>2540</v>
      </c>
      <c r="N319" s="3" t="s">
        <v>1931</v>
      </c>
      <c r="O319" s="3" t="s">
        <v>482</v>
      </c>
      <c r="P319" s="3">
        <v>0</v>
      </c>
      <c r="Q319" s="3" t="s">
        <v>2560</v>
      </c>
      <c r="R319" s="3" t="s">
        <v>405</v>
      </c>
      <c r="S319" s="3" t="s">
        <v>482</v>
      </c>
      <c r="T319" s="3" t="s">
        <v>482</v>
      </c>
    </row>
    <row r="320" spans="1:20" ht="64" hidden="1" x14ac:dyDescent="0.2">
      <c r="A320" s="3" t="s">
        <v>4866</v>
      </c>
      <c r="B320" s="3" t="s">
        <v>4867</v>
      </c>
      <c r="C320" s="3" t="s">
        <v>4817</v>
      </c>
      <c r="D320" s="3">
        <v>192</v>
      </c>
      <c r="E320" s="3" t="s">
        <v>2504</v>
      </c>
      <c r="F320" s="3" t="s">
        <v>4868</v>
      </c>
      <c r="G320" s="6" t="s">
        <v>4869</v>
      </c>
      <c r="H320" s="3" t="s">
        <v>4870</v>
      </c>
      <c r="I320" s="3" t="s">
        <v>2508</v>
      </c>
      <c r="J320" s="3" t="s">
        <v>4871</v>
      </c>
      <c r="K320" s="3" t="s">
        <v>3612</v>
      </c>
      <c r="L320" s="3" t="s">
        <v>482</v>
      </c>
      <c r="M320" s="3" t="s">
        <v>2540</v>
      </c>
      <c r="N320" s="3" t="s">
        <v>1931</v>
      </c>
      <c r="O320" s="3" t="s">
        <v>482</v>
      </c>
      <c r="P320" s="3">
        <v>0</v>
      </c>
      <c r="Q320" s="3" t="s">
        <v>2560</v>
      </c>
      <c r="R320" s="3" t="s">
        <v>405</v>
      </c>
      <c r="S320" s="3" t="s">
        <v>482</v>
      </c>
      <c r="T320" s="3" t="s">
        <v>482</v>
      </c>
    </row>
    <row r="321" spans="1:20" ht="32" hidden="1" x14ac:dyDescent="0.2">
      <c r="A321" s="3" t="s">
        <v>4872</v>
      </c>
      <c r="B321" s="3" t="s">
        <v>4873</v>
      </c>
      <c r="C321" s="3" t="s">
        <v>4817</v>
      </c>
      <c r="D321" s="3">
        <v>198</v>
      </c>
      <c r="E321" s="3" t="s">
        <v>2635</v>
      </c>
      <c r="F321" s="3" t="s">
        <v>4874</v>
      </c>
      <c r="G321" s="6" t="s">
        <v>4875</v>
      </c>
      <c r="H321" s="3" t="s">
        <v>4876</v>
      </c>
      <c r="I321" s="3" t="s">
        <v>2529</v>
      </c>
      <c r="J321" s="3" t="s">
        <v>4877</v>
      </c>
      <c r="K321" s="3" t="s">
        <v>2972</v>
      </c>
      <c r="L321" s="3" t="s">
        <v>482</v>
      </c>
      <c r="M321" s="3" t="s">
        <v>2540</v>
      </c>
      <c r="N321" s="3" t="s">
        <v>1816</v>
      </c>
      <c r="O321" s="3" t="s">
        <v>4878</v>
      </c>
      <c r="P321" s="3">
        <v>1</v>
      </c>
      <c r="Q321" s="3" t="s">
        <v>4878</v>
      </c>
      <c r="R321" s="3" t="s">
        <v>4879</v>
      </c>
      <c r="S321" s="3" t="s">
        <v>482</v>
      </c>
      <c r="T321" s="3" t="s">
        <v>482</v>
      </c>
    </row>
    <row r="322" spans="1:20" ht="98" hidden="1" x14ac:dyDescent="0.2">
      <c r="A322" s="3" t="s">
        <v>4880</v>
      </c>
      <c r="B322" s="3" t="s">
        <v>4881</v>
      </c>
      <c r="C322" s="3" t="s">
        <v>4817</v>
      </c>
      <c r="D322" s="3">
        <v>206</v>
      </c>
      <c r="E322" s="3" t="s">
        <v>2635</v>
      </c>
      <c r="F322" s="3" t="s">
        <v>4882</v>
      </c>
      <c r="G322" s="6" t="s">
        <v>4883</v>
      </c>
      <c r="H322" s="3" t="s">
        <v>4884</v>
      </c>
      <c r="I322" s="3" t="s">
        <v>2508</v>
      </c>
      <c r="J322" s="3" t="s">
        <v>4885</v>
      </c>
      <c r="K322" s="3" t="s">
        <v>2538</v>
      </c>
      <c r="L322" s="3" t="s">
        <v>482</v>
      </c>
      <c r="M322" s="3" t="s">
        <v>4886</v>
      </c>
      <c r="N322" s="3" t="s">
        <v>1816</v>
      </c>
      <c r="O322" s="3" t="s">
        <v>2512</v>
      </c>
      <c r="P322" s="3">
        <v>1</v>
      </c>
      <c r="Q322" s="3" t="s">
        <v>2512</v>
      </c>
      <c r="R322" s="3" t="s">
        <v>4887</v>
      </c>
      <c r="S322" s="3" t="s">
        <v>482</v>
      </c>
      <c r="T322" s="3" t="s">
        <v>482</v>
      </c>
    </row>
    <row r="323" spans="1:20" ht="64" hidden="1" x14ac:dyDescent="0.2">
      <c r="A323" s="3" t="s">
        <v>4888</v>
      </c>
      <c r="B323" s="3" t="s">
        <v>4889</v>
      </c>
      <c r="C323" s="3" t="s">
        <v>4817</v>
      </c>
      <c r="D323" s="3">
        <v>218</v>
      </c>
      <c r="E323" s="3" t="s">
        <v>2635</v>
      </c>
      <c r="F323" s="3" t="s">
        <v>4890</v>
      </c>
      <c r="G323" s="6" t="s">
        <v>4891</v>
      </c>
      <c r="H323" s="3" t="s">
        <v>4892</v>
      </c>
      <c r="I323" s="3" t="s">
        <v>2529</v>
      </c>
      <c r="J323" s="3" t="s">
        <v>4893</v>
      </c>
      <c r="K323" s="3" t="s">
        <v>4836</v>
      </c>
      <c r="L323" s="3" t="s">
        <v>482</v>
      </c>
      <c r="M323" s="3" t="s">
        <v>4406</v>
      </c>
      <c r="N323" s="3" t="s">
        <v>1816</v>
      </c>
      <c r="O323" s="3" t="s">
        <v>482</v>
      </c>
      <c r="P323" s="3">
        <v>0</v>
      </c>
      <c r="Q323" s="3" t="s">
        <v>2560</v>
      </c>
      <c r="R323" s="3" t="s">
        <v>405</v>
      </c>
      <c r="S323" s="3" t="s">
        <v>482</v>
      </c>
      <c r="T323" s="3" t="s">
        <v>482</v>
      </c>
    </row>
    <row r="324" spans="1:20" ht="48" hidden="1" x14ac:dyDescent="0.2">
      <c r="A324" s="3" t="s">
        <v>4894</v>
      </c>
      <c r="B324" s="3" t="s">
        <v>4895</v>
      </c>
      <c r="C324" s="3" t="s">
        <v>4896</v>
      </c>
      <c r="D324" s="3">
        <v>42</v>
      </c>
      <c r="E324" s="3" t="s">
        <v>2514</v>
      </c>
      <c r="F324" s="3" t="s">
        <v>2616</v>
      </c>
      <c r="G324" s="6" t="s">
        <v>3398</v>
      </c>
      <c r="H324" s="3" t="s">
        <v>3398</v>
      </c>
      <c r="I324" s="3" t="s">
        <v>3399</v>
      </c>
      <c r="J324" s="3" t="s">
        <v>4897</v>
      </c>
      <c r="K324" s="3" t="s">
        <v>4898</v>
      </c>
      <c r="L324" s="3" t="s">
        <v>2531</v>
      </c>
      <c r="M324" s="3" t="s">
        <v>2774</v>
      </c>
      <c r="N324" s="3" t="s">
        <v>1931</v>
      </c>
      <c r="O324" s="3" t="s">
        <v>482</v>
      </c>
      <c r="P324" s="3">
        <v>0</v>
      </c>
      <c r="Q324" s="3" t="s">
        <v>2560</v>
      </c>
      <c r="R324" s="3" t="s">
        <v>405</v>
      </c>
      <c r="S324" s="3" t="s">
        <v>482</v>
      </c>
      <c r="T324" s="3" t="s">
        <v>482</v>
      </c>
    </row>
    <row r="325" spans="1:20" ht="48" hidden="1" x14ac:dyDescent="0.2">
      <c r="A325" s="3" t="s">
        <v>4899</v>
      </c>
      <c r="B325" s="3" t="s">
        <v>4900</v>
      </c>
      <c r="C325" s="3" t="s">
        <v>4901</v>
      </c>
      <c r="D325" s="3">
        <v>8</v>
      </c>
      <c r="E325" s="3" t="s">
        <v>2514</v>
      </c>
      <c r="F325" s="3" t="s">
        <v>2616</v>
      </c>
      <c r="G325" s="6" t="s">
        <v>4902</v>
      </c>
      <c r="H325" s="3" t="s">
        <v>4903</v>
      </c>
      <c r="I325" s="3" t="s">
        <v>2508</v>
      </c>
      <c r="J325" s="3" t="s">
        <v>4904</v>
      </c>
      <c r="K325" s="3" t="s">
        <v>4905</v>
      </c>
      <c r="L325" s="3" t="s">
        <v>2531</v>
      </c>
      <c r="M325" s="3" t="s">
        <v>2540</v>
      </c>
      <c r="N325" s="3" t="s">
        <v>1931</v>
      </c>
      <c r="O325" s="3" t="s">
        <v>482</v>
      </c>
      <c r="P325" s="3">
        <v>0</v>
      </c>
      <c r="Q325" s="3" t="s">
        <v>2560</v>
      </c>
      <c r="R325" s="3" t="s">
        <v>405</v>
      </c>
      <c r="S325" s="3" t="s">
        <v>482</v>
      </c>
      <c r="T325" s="3" t="s">
        <v>482</v>
      </c>
    </row>
    <row r="326" spans="1:20" ht="48" hidden="1" x14ac:dyDescent="0.2">
      <c r="A326" s="3" t="s">
        <v>4906</v>
      </c>
      <c r="B326" s="3" t="s">
        <v>4907</v>
      </c>
      <c r="C326" s="3" t="s">
        <v>4901</v>
      </c>
      <c r="D326" s="3">
        <v>13</v>
      </c>
      <c r="E326" s="3" t="s">
        <v>2641</v>
      </c>
      <c r="F326" s="3" t="s">
        <v>2616</v>
      </c>
      <c r="G326" s="6" t="s">
        <v>2642</v>
      </c>
      <c r="H326" s="3" t="s">
        <v>2642</v>
      </c>
      <c r="I326" s="3" t="s">
        <v>2637</v>
      </c>
      <c r="J326" s="3" t="s">
        <v>4908</v>
      </c>
      <c r="K326" s="3" t="s">
        <v>4909</v>
      </c>
      <c r="L326" s="3" t="s">
        <v>482</v>
      </c>
      <c r="M326" s="3" t="s">
        <v>2540</v>
      </c>
      <c r="N326" s="3" t="s">
        <v>1931</v>
      </c>
      <c r="O326" s="3" t="s">
        <v>482</v>
      </c>
      <c r="P326" s="3">
        <v>0</v>
      </c>
      <c r="Q326" s="3" t="s">
        <v>2560</v>
      </c>
      <c r="R326" s="3" t="s">
        <v>405</v>
      </c>
      <c r="S326" s="3" t="s">
        <v>482</v>
      </c>
      <c r="T326" s="3" t="s">
        <v>482</v>
      </c>
    </row>
    <row r="327" spans="1:20" ht="56" hidden="1" x14ac:dyDescent="0.2">
      <c r="A327" s="3" t="s">
        <v>4910</v>
      </c>
      <c r="B327" s="3" t="s">
        <v>4911</v>
      </c>
      <c r="C327" s="3" t="s">
        <v>4912</v>
      </c>
      <c r="D327" s="3">
        <v>9</v>
      </c>
      <c r="E327" s="3" t="s">
        <v>4913</v>
      </c>
      <c r="F327" s="3" t="s">
        <v>4914</v>
      </c>
      <c r="G327" s="6" t="s">
        <v>4915</v>
      </c>
      <c r="H327" s="3" t="s">
        <v>4916</v>
      </c>
      <c r="I327" s="3" t="s">
        <v>2508</v>
      </c>
      <c r="J327" s="3" t="s">
        <v>4917</v>
      </c>
      <c r="K327" s="3" t="s">
        <v>4918</v>
      </c>
      <c r="L327" s="3" t="s">
        <v>482</v>
      </c>
      <c r="M327" s="3" t="s">
        <v>2540</v>
      </c>
      <c r="N327" s="3" t="s">
        <v>1816</v>
      </c>
      <c r="O327" s="3" t="s">
        <v>482</v>
      </c>
      <c r="P327" s="3">
        <v>0</v>
      </c>
      <c r="Q327" s="3" t="s">
        <v>2560</v>
      </c>
      <c r="R327" s="3" t="s">
        <v>405</v>
      </c>
      <c r="S327" s="3" t="s">
        <v>482</v>
      </c>
      <c r="T327" s="3" t="s">
        <v>482</v>
      </c>
    </row>
    <row r="328" spans="1:20" ht="48" hidden="1" x14ac:dyDescent="0.2">
      <c r="A328" s="3" t="s">
        <v>4919</v>
      </c>
      <c r="B328" s="3" t="s">
        <v>4920</v>
      </c>
      <c r="C328" s="3" t="s">
        <v>4912</v>
      </c>
      <c r="D328" s="3">
        <v>15</v>
      </c>
      <c r="E328" s="3" t="s">
        <v>2641</v>
      </c>
      <c r="F328" s="3" t="s">
        <v>4921</v>
      </c>
      <c r="G328" s="6" t="s">
        <v>2636</v>
      </c>
      <c r="H328" s="3" t="s">
        <v>2636</v>
      </c>
      <c r="I328" s="3" t="s">
        <v>2637</v>
      </c>
      <c r="J328" s="3" t="s">
        <v>4922</v>
      </c>
      <c r="K328" s="3" t="s">
        <v>2922</v>
      </c>
      <c r="L328" s="3" t="s">
        <v>482</v>
      </c>
      <c r="M328" s="3" t="s">
        <v>2540</v>
      </c>
      <c r="N328" s="3" t="s">
        <v>1931</v>
      </c>
      <c r="O328" s="3" t="s">
        <v>482</v>
      </c>
      <c r="P328" s="3">
        <v>0</v>
      </c>
      <c r="Q328" s="3" t="s">
        <v>2560</v>
      </c>
      <c r="R328" s="3" t="s">
        <v>405</v>
      </c>
      <c r="S328" s="3" t="s">
        <v>482</v>
      </c>
      <c r="T328" s="3" t="s">
        <v>482</v>
      </c>
    </row>
    <row r="329" spans="1:20" ht="32" hidden="1" x14ac:dyDescent="0.2">
      <c r="A329" s="3" t="s">
        <v>4923</v>
      </c>
      <c r="B329" s="3" t="s">
        <v>4924</v>
      </c>
      <c r="C329" s="3" t="s">
        <v>4925</v>
      </c>
      <c r="D329" s="3">
        <v>6</v>
      </c>
      <c r="E329" s="3" t="s">
        <v>2514</v>
      </c>
      <c r="F329" s="3" t="s">
        <v>4926</v>
      </c>
      <c r="G329" s="6" t="s">
        <v>4927</v>
      </c>
      <c r="H329" s="3" t="s">
        <v>4928</v>
      </c>
      <c r="I329" s="3" t="s">
        <v>2508</v>
      </c>
      <c r="J329" s="3" t="s">
        <v>4929</v>
      </c>
      <c r="K329" s="3" t="s">
        <v>4930</v>
      </c>
      <c r="L329" s="3" t="s">
        <v>2531</v>
      </c>
      <c r="M329" s="3" t="s">
        <v>3013</v>
      </c>
      <c r="N329" s="3" t="s">
        <v>1931</v>
      </c>
      <c r="O329" s="3" t="s">
        <v>482</v>
      </c>
      <c r="P329" s="3">
        <v>0</v>
      </c>
      <c r="Q329" s="3" t="s">
        <v>2560</v>
      </c>
      <c r="R329" s="3" t="s">
        <v>405</v>
      </c>
      <c r="S329" s="3" t="s">
        <v>482</v>
      </c>
      <c r="T329" s="3" t="s">
        <v>4931</v>
      </c>
    </row>
    <row r="330" spans="1:20" ht="64" hidden="1" x14ac:dyDescent="0.2">
      <c r="A330" s="3" t="s">
        <v>4932</v>
      </c>
      <c r="B330" s="3" t="s">
        <v>4933</v>
      </c>
      <c r="C330" s="3" t="s">
        <v>4934</v>
      </c>
      <c r="D330" s="3">
        <v>29</v>
      </c>
      <c r="E330" s="3" t="s">
        <v>2641</v>
      </c>
      <c r="F330" s="3" t="s">
        <v>2616</v>
      </c>
      <c r="G330" s="6" t="s">
        <v>4935</v>
      </c>
      <c r="H330" s="3" t="s">
        <v>4936</v>
      </c>
      <c r="I330" s="3" t="s">
        <v>2508</v>
      </c>
      <c r="J330" s="3" t="s">
        <v>4937</v>
      </c>
      <c r="K330" s="3" t="s">
        <v>2538</v>
      </c>
      <c r="L330" s="3" t="s">
        <v>482</v>
      </c>
      <c r="M330" s="3" t="s">
        <v>2540</v>
      </c>
      <c r="N330" s="3" t="s">
        <v>1931</v>
      </c>
      <c r="O330" s="3" t="s">
        <v>4002</v>
      </c>
      <c r="P330" s="3">
        <v>4</v>
      </c>
      <c r="Q330" s="3" t="s">
        <v>4003</v>
      </c>
      <c r="R330" s="3" t="s">
        <v>4938</v>
      </c>
      <c r="S330" s="3" t="s">
        <v>482</v>
      </c>
      <c r="T330" s="3" t="s">
        <v>482</v>
      </c>
    </row>
    <row r="331" spans="1:20" ht="48" hidden="1" x14ac:dyDescent="0.2">
      <c r="A331" s="3" t="s">
        <v>4939</v>
      </c>
      <c r="B331" s="3" t="s">
        <v>4940</v>
      </c>
      <c r="C331" s="3" t="s">
        <v>4934</v>
      </c>
      <c r="D331" s="3">
        <v>46</v>
      </c>
      <c r="E331" s="3" t="s">
        <v>2641</v>
      </c>
      <c r="F331" s="3" t="s">
        <v>2616</v>
      </c>
      <c r="G331" s="6" t="s">
        <v>2642</v>
      </c>
      <c r="H331" s="3" t="s">
        <v>2642</v>
      </c>
      <c r="I331" s="3" t="s">
        <v>2637</v>
      </c>
      <c r="J331" s="3" t="s">
        <v>4941</v>
      </c>
      <c r="K331" s="3" t="s">
        <v>2538</v>
      </c>
      <c r="L331" s="3" t="s">
        <v>482</v>
      </c>
      <c r="M331" s="3" t="s">
        <v>2540</v>
      </c>
      <c r="N331" s="3" t="s">
        <v>1931</v>
      </c>
      <c r="O331" s="3" t="s">
        <v>482</v>
      </c>
      <c r="P331" s="3">
        <v>0</v>
      </c>
      <c r="Q331" s="3" t="s">
        <v>2560</v>
      </c>
      <c r="R331" s="3" t="s">
        <v>405</v>
      </c>
      <c r="S331" s="3" t="s">
        <v>482</v>
      </c>
      <c r="T331" s="3" t="s">
        <v>482</v>
      </c>
    </row>
    <row r="332" spans="1:20" ht="48" hidden="1" x14ac:dyDescent="0.2">
      <c r="A332" s="3" t="s">
        <v>4942</v>
      </c>
      <c r="B332" s="3" t="s">
        <v>4943</v>
      </c>
      <c r="C332" s="3" t="s">
        <v>4934</v>
      </c>
      <c r="D332" s="3">
        <v>47</v>
      </c>
      <c r="E332" s="3" t="s">
        <v>2635</v>
      </c>
      <c r="F332" s="3" t="s">
        <v>2616</v>
      </c>
      <c r="G332" s="6" t="s">
        <v>3398</v>
      </c>
      <c r="H332" s="3" t="s">
        <v>3398</v>
      </c>
      <c r="I332" s="3" t="s">
        <v>3399</v>
      </c>
      <c r="J332" s="3" t="s">
        <v>2547</v>
      </c>
      <c r="K332" s="3" t="s">
        <v>2972</v>
      </c>
      <c r="L332" s="3" t="s">
        <v>482</v>
      </c>
      <c r="M332" s="3" t="s">
        <v>2540</v>
      </c>
      <c r="N332" s="3" t="s">
        <v>1816</v>
      </c>
      <c r="O332" s="3" t="s">
        <v>482</v>
      </c>
      <c r="P332" s="3">
        <v>0</v>
      </c>
      <c r="Q332" s="3" t="s">
        <v>2560</v>
      </c>
      <c r="R332" s="3" t="s">
        <v>405</v>
      </c>
      <c r="S332" s="3" t="s">
        <v>482</v>
      </c>
      <c r="T332" s="3" t="s">
        <v>482</v>
      </c>
    </row>
    <row r="333" spans="1:20" ht="32" hidden="1" x14ac:dyDescent="0.2">
      <c r="A333" s="3" t="s">
        <v>4944</v>
      </c>
      <c r="B333" s="3" t="s">
        <v>4945</v>
      </c>
      <c r="C333" s="3" t="s">
        <v>4934</v>
      </c>
      <c r="D333" s="3">
        <v>49</v>
      </c>
      <c r="E333" s="3" t="s">
        <v>2504</v>
      </c>
      <c r="F333" s="3" t="s">
        <v>4946</v>
      </c>
      <c r="G333" s="6" t="s">
        <v>4947</v>
      </c>
      <c r="H333" s="3" t="s">
        <v>4948</v>
      </c>
      <c r="I333" s="3" t="s">
        <v>2508</v>
      </c>
      <c r="J333" s="3" t="s">
        <v>2547</v>
      </c>
      <c r="K333" s="3" t="s">
        <v>4949</v>
      </c>
      <c r="L333" s="3" t="s">
        <v>482</v>
      </c>
      <c r="M333" s="3" t="s">
        <v>2540</v>
      </c>
      <c r="N333" s="3" t="s">
        <v>1931</v>
      </c>
      <c r="O333" s="3" t="s">
        <v>482</v>
      </c>
      <c r="P333" s="3">
        <v>0</v>
      </c>
      <c r="Q333" s="3" t="s">
        <v>2560</v>
      </c>
      <c r="R333" s="3" t="s">
        <v>405</v>
      </c>
      <c r="S333" s="3" t="s">
        <v>482</v>
      </c>
      <c r="T333" s="3" t="s">
        <v>4950</v>
      </c>
    </row>
    <row r="334" spans="1:20" ht="144" hidden="1" x14ac:dyDescent="0.2">
      <c r="A334" s="3" t="s">
        <v>4951</v>
      </c>
      <c r="B334" s="3" t="s">
        <v>4952</v>
      </c>
      <c r="C334" s="3" t="s">
        <v>4934</v>
      </c>
      <c r="D334" s="3">
        <v>52</v>
      </c>
      <c r="E334" s="3" t="s">
        <v>2514</v>
      </c>
      <c r="F334" s="3" t="s">
        <v>2616</v>
      </c>
      <c r="G334" s="6" t="s">
        <v>4953</v>
      </c>
      <c r="H334" s="3" t="s">
        <v>4954</v>
      </c>
      <c r="I334" s="3" t="s">
        <v>2508</v>
      </c>
      <c r="J334" s="3" t="s">
        <v>2547</v>
      </c>
      <c r="K334" s="3" t="s">
        <v>3348</v>
      </c>
      <c r="L334" s="3" t="s">
        <v>4955</v>
      </c>
      <c r="M334" s="3" t="s">
        <v>2540</v>
      </c>
      <c r="N334" s="3" t="s">
        <v>1931</v>
      </c>
      <c r="O334" s="3" t="s">
        <v>4956</v>
      </c>
      <c r="P334" s="3">
        <v>1</v>
      </c>
      <c r="Q334" s="3" t="s">
        <v>4956</v>
      </c>
      <c r="R334" s="3" t="s">
        <v>4957</v>
      </c>
      <c r="S334" s="3" t="s">
        <v>482</v>
      </c>
      <c r="T334" s="3" t="s">
        <v>482</v>
      </c>
    </row>
    <row r="335" spans="1:20" ht="176" hidden="1" x14ac:dyDescent="0.2">
      <c r="A335" s="3" t="s">
        <v>4958</v>
      </c>
      <c r="B335" s="3" t="s">
        <v>4959</v>
      </c>
      <c r="C335" s="3" t="s">
        <v>4934</v>
      </c>
      <c r="D335" s="3">
        <v>58</v>
      </c>
      <c r="E335" s="3" t="s">
        <v>2514</v>
      </c>
      <c r="F335" s="3" t="s">
        <v>4960</v>
      </c>
      <c r="G335" s="6" t="s">
        <v>4961</v>
      </c>
      <c r="H335" s="3" t="s">
        <v>4962</v>
      </c>
      <c r="I335" s="3" t="s">
        <v>2508</v>
      </c>
      <c r="J335" s="3" t="s">
        <v>4963</v>
      </c>
      <c r="K335" s="3" t="s">
        <v>3348</v>
      </c>
      <c r="L335" s="3" t="s">
        <v>4964</v>
      </c>
      <c r="M335" s="3" t="s">
        <v>2774</v>
      </c>
      <c r="N335" s="3" t="s">
        <v>1931</v>
      </c>
      <c r="O335" s="3" t="s">
        <v>4965</v>
      </c>
      <c r="P335" s="3">
        <v>2</v>
      </c>
      <c r="Q335" s="3" t="s">
        <v>4966</v>
      </c>
      <c r="R335" s="3" t="s">
        <v>4967</v>
      </c>
      <c r="S335" s="3" t="s">
        <v>482</v>
      </c>
      <c r="T335" s="3" t="s">
        <v>4968</v>
      </c>
    </row>
    <row r="336" spans="1:20" ht="112" hidden="1" x14ac:dyDescent="0.2">
      <c r="A336" s="3" t="s">
        <v>4969</v>
      </c>
      <c r="B336" s="3" t="s">
        <v>4970</v>
      </c>
      <c r="C336" s="3" t="s">
        <v>4934</v>
      </c>
      <c r="D336" s="3">
        <v>74</v>
      </c>
      <c r="E336" s="3" t="s">
        <v>2504</v>
      </c>
      <c r="F336" s="3" t="s">
        <v>4971</v>
      </c>
      <c r="G336" s="6" t="s">
        <v>4972</v>
      </c>
      <c r="H336" s="3" t="s">
        <v>4973</v>
      </c>
      <c r="I336" s="3" t="s">
        <v>2508</v>
      </c>
      <c r="J336" s="3" t="s">
        <v>4963</v>
      </c>
      <c r="K336" s="3" t="s">
        <v>3348</v>
      </c>
      <c r="L336" s="3" t="s">
        <v>482</v>
      </c>
      <c r="M336" s="3" t="s">
        <v>2540</v>
      </c>
      <c r="N336" s="3" t="s">
        <v>1931</v>
      </c>
      <c r="O336" s="3" t="s">
        <v>4965</v>
      </c>
      <c r="P336" s="3">
        <v>2</v>
      </c>
      <c r="Q336" s="3" t="s">
        <v>4966</v>
      </c>
      <c r="R336" s="3" t="s">
        <v>4974</v>
      </c>
      <c r="S336" s="3" t="s">
        <v>482</v>
      </c>
      <c r="T336" s="3" t="s">
        <v>4975</v>
      </c>
    </row>
    <row r="337" spans="1:20" ht="128" hidden="1" x14ac:dyDescent="0.2">
      <c r="A337" s="3" t="s">
        <v>4976</v>
      </c>
      <c r="B337" s="3" t="s">
        <v>4977</v>
      </c>
      <c r="C337" s="3" t="s">
        <v>4934</v>
      </c>
      <c r="D337" s="3">
        <v>88</v>
      </c>
      <c r="E337" s="3" t="s">
        <v>2514</v>
      </c>
      <c r="F337" s="3" t="s">
        <v>4978</v>
      </c>
      <c r="G337" s="6" t="s">
        <v>4979</v>
      </c>
      <c r="H337" s="3" t="s">
        <v>4980</v>
      </c>
      <c r="I337" s="3" t="s">
        <v>2508</v>
      </c>
      <c r="J337" s="3" t="s">
        <v>4981</v>
      </c>
      <c r="K337" s="3" t="s">
        <v>3348</v>
      </c>
      <c r="L337" s="3" t="s">
        <v>4982</v>
      </c>
      <c r="M337" s="3" t="s">
        <v>4983</v>
      </c>
      <c r="N337" s="3" t="s">
        <v>1931</v>
      </c>
      <c r="O337" s="3" t="s">
        <v>4965</v>
      </c>
      <c r="P337" s="3">
        <v>2</v>
      </c>
      <c r="Q337" s="3" t="s">
        <v>4966</v>
      </c>
      <c r="R337" s="3" t="s">
        <v>4984</v>
      </c>
      <c r="S337" s="3" t="s">
        <v>482</v>
      </c>
      <c r="T337" s="3" t="s">
        <v>482</v>
      </c>
    </row>
    <row r="338" spans="1:20" ht="70" hidden="1" x14ac:dyDescent="0.2">
      <c r="A338" s="3" t="s">
        <v>4985</v>
      </c>
      <c r="B338" s="3" t="s">
        <v>4986</v>
      </c>
      <c r="C338" s="3" t="s">
        <v>4987</v>
      </c>
      <c r="D338" s="3">
        <v>4</v>
      </c>
      <c r="E338" s="3" t="s">
        <v>2504</v>
      </c>
      <c r="F338" s="3" t="s">
        <v>2342</v>
      </c>
      <c r="G338" s="6" t="s">
        <v>4988</v>
      </c>
      <c r="H338" s="3" t="s">
        <v>4989</v>
      </c>
      <c r="I338" s="3" t="s">
        <v>2508</v>
      </c>
      <c r="J338" s="3" t="s">
        <v>4990</v>
      </c>
      <c r="K338" s="3" t="s">
        <v>2519</v>
      </c>
      <c r="L338" s="3" t="s">
        <v>482</v>
      </c>
      <c r="M338" s="3" t="s">
        <v>2540</v>
      </c>
      <c r="N338" s="3" t="s">
        <v>1931</v>
      </c>
      <c r="O338" s="3" t="s">
        <v>482</v>
      </c>
      <c r="P338" s="3">
        <v>0</v>
      </c>
      <c r="Q338" s="3" t="s">
        <v>2560</v>
      </c>
      <c r="R338" s="3" t="s">
        <v>405</v>
      </c>
      <c r="S338" s="3" t="s">
        <v>482</v>
      </c>
      <c r="T338" s="3" t="s">
        <v>2340</v>
      </c>
    </row>
    <row r="339" spans="1:20" ht="160" hidden="1" x14ac:dyDescent="0.2">
      <c r="A339" s="3" t="s">
        <v>4991</v>
      </c>
      <c r="B339" s="3" t="s">
        <v>4992</v>
      </c>
      <c r="C339" s="3" t="s">
        <v>4987</v>
      </c>
      <c r="D339" s="3">
        <v>9</v>
      </c>
      <c r="E339" s="3" t="s">
        <v>2641</v>
      </c>
      <c r="F339" s="3" t="s">
        <v>4993</v>
      </c>
      <c r="G339" s="6" t="s">
        <v>4994</v>
      </c>
      <c r="H339" s="3" t="s">
        <v>4994</v>
      </c>
      <c r="I339" s="3" t="s">
        <v>2529</v>
      </c>
      <c r="J339" s="3" t="s">
        <v>4963</v>
      </c>
      <c r="K339" s="3" t="s">
        <v>3348</v>
      </c>
      <c r="L339" s="3" t="s">
        <v>4995</v>
      </c>
      <c r="M339" s="3" t="s">
        <v>2540</v>
      </c>
      <c r="N339" s="3" t="s">
        <v>1931</v>
      </c>
      <c r="O339" s="3" t="s">
        <v>4996</v>
      </c>
      <c r="P339" s="3">
        <v>3</v>
      </c>
      <c r="Q339" s="3" t="s">
        <v>4997</v>
      </c>
      <c r="R339" s="3" t="s">
        <v>4998</v>
      </c>
      <c r="S339" s="3" t="s">
        <v>482</v>
      </c>
      <c r="T339" s="3" t="s">
        <v>482</v>
      </c>
    </row>
    <row r="340" spans="1:20" ht="80" hidden="1" x14ac:dyDescent="0.2">
      <c r="A340" s="3" t="s">
        <v>4999</v>
      </c>
      <c r="B340" s="3" t="s">
        <v>5000</v>
      </c>
      <c r="C340" s="3" t="s">
        <v>4987</v>
      </c>
      <c r="D340" s="3">
        <v>11</v>
      </c>
      <c r="E340" s="3" t="s">
        <v>2641</v>
      </c>
      <c r="F340" s="3" t="s">
        <v>5001</v>
      </c>
      <c r="G340" s="6" t="s">
        <v>5002</v>
      </c>
      <c r="H340" s="3" t="s">
        <v>5002</v>
      </c>
      <c r="I340" s="3" t="s">
        <v>2529</v>
      </c>
      <c r="J340" s="3" t="s">
        <v>4963</v>
      </c>
      <c r="K340" s="3" t="s">
        <v>3348</v>
      </c>
      <c r="L340" s="3" t="s">
        <v>5003</v>
      </c>
      <c r="M340" s="3" t="s">
        <v>2540</v>
      </c>
      <c r="N340" s="3" t="s">
        <v>1931</v>
      </c>
      <c r="O340" s="3" t="s">
        <v>5004</v>
      </c>
      <c r="P340" s="3">
        <v>3</v>
      </c>
      <c r="Q340" s="3" t="s">
        <v>5005</v>
      </c>
      <c r="R340" s="3" t="s">
        <v>5006</v>
      </c>
      <c r="S340" s="3" t="s">
        <v>482</v>
      </c>
      <c r="T340" s="3" t="s">
        <v>482</v>
      </c>
    </row>
    <row r="341" spans="1:20" ht="48" hidden="1" x14ac:dyDescent="0.2">
      <c r="A341" s="3" t="s">
        <v>5007</v>
      </c>
      <c r="B341" s="3" t="s">
        <v>5008</v>
      </c>
      <c r="C341" s="3" t="s">
        <v>4987</v>
      </c>
      <c r="D341" s="3">
        <v>12</v>
      </c>
      <c r="E341" s="3" t="s">
        <v>2641</v>
      </c>
      <c r="F341" s="3" t="s">
        <v>2616</v>
      </c>
      <c r="G341" s="6" t="s">
        <v>5009</v>
      </c>
      <c r="H341" s="3" t="s">
        <v>5010</v>
      </c>
      <c r="I341" s="3" t="s">
        <v>2794</v>
      </c>
      <c r="J341" s="3" t="s">
        <v>4963</v>
      </c>
      <c r="K341" s="3" t="s">
        <v>2519</v>
      </c>
      <c r="L341" s="3" t="s">
        <v>482</v>
      </c>
      <c r="M341" s="3" t="s">
        <v>3736</v>
      </c>
      <c r="N341" s="3" t="s">
        <v>1931</v>
      </c>
      <c r="O341" s="3" t="s">
        <v>482</v>
      </c>
      <c r="P341" s="3">
        <v>0</v>
      </c>
      <c r="Q341" s="3" t="s">
        <v>2560</v>
      </c>
      <c r="R341" s="3" t="s">
        <v>405</v>
      </c>
      <c r="S341" s="3" t="s">
        <v>482</v>
      </c>
      <c r="T341" s="3" t="s">
        <v>482</v>
      </c>
    </row>
    <row r="342" spans="1:20" ht="98" hidden="1" x14ac:dyDescent="0.2">
      <c r="A342" s="3" t="s">
        <v>5011</v>
      </c>
      <c r="B342" s="3" t="s">
        <v>5012</v>
      </c>
      <c r="C342" s="3" t="s">
        <v>5013</v>
      </c>
      <c r="D342" s="3">
        <v>15</v>
      </c>
      <c r="E342" s="3" t="s">
        <v>2514</v>
      </c>
      <c r="F342" s="3" t="s">
        <v>2616</v>
      </c>
      <c r="G342" s="6" t="s">
        <v>5014</v>
      </c>
      <c r="H342" s="3" t="s">
        <v>5015</v>
      </c>
      <c r="I342" s="3" t="s">
        <v>2529</v>
      </c>
      <c r="J342" s="3" t="s">
        <v>5016</v>
      </c>
      <c r="K342" s="3" t="s">
        <v>2538</v>
      </c>
      <c r="L342" s="3" t="s">
        <v>2531</v>
      </c>
      <c r="M342" s="3" t="s">
        <v>4406</v>
      </c>
      <c r="N342" s="3" t="s">
        <v>1931</v>
      </c>
      <c r="O342" s="3" t="s">
        <v>482</v>
      </c>
      <c r="P342" s="3">
        <v>0</v>
      </c>
      <c r="Q342" s="3" t="s">
        <v>2560</v>
      </c>
      <c r="R342" s="3" t="s">
        <v>405</v>
      </c>
      <c r="S342" s="3" t="s">
        <v>482</v>
      </c>
      <c r="T342" s="3" t="s">
        <v>482</v>
      </c>
    </row>
    <row r="343" spans="1:20" ht="210" hidden="1" x14ac:dyDescent="0.2">
      <c r="A343" s="3" t="s">
        <v>5017</v>
      </c>
      <c r="B343" s="3" t="s">
        <v>5018</v>
      </c>
      <c r="C343" s="3" t="s">
        <v>5019</v>
      </c>
      <c r="D343" s="3">
        <v>57</v>
      </c>
      <c r="E343" s="3" t="s">
        <v>2514</v>
      </c>
      <c r="F343" s="3" t="s">
        <v>5020</v>
      </c>
      <c r="G343" s="6" t="s">
        <v>5021</v>
      </c>
      <c r="H343" s="3" t="s">
        <v>5022</v>
      </c>
      <c r="I343" s="3" t="s">
        <v>2508</v>
      </c>
      <c r="J343" s="3" t="s">
        <v>2547</v>
      </c>
      <c r="K343" s="3" t="s">
        <v>2538</v>
      </c>
      <c r="L343" s="3" t="s">
        <v>2531</v>
      </c>
      <c r="M343" s="3" t="s">
        <v>5023</v>
      </c>
      <c r="N343" s="3" t="s">
        <v>1931</v>
      </c>
      <c r="O343" s="3" t="s">
        <v>5024</v>
      </c>
      <c r="P343" s="3">
        <v>1</v>
      </c>
      <c r="Q343" s="3" t="s">
        <v>5024</v>
      </c>
      <c r="R343" s="3" t="s">
        <v>5025</v>
      </c>
      <c r="S343" s="3" t="s">
        <v>482</v>
      </c>
      <c r="T343" s="3" t="s">
        <v>5026</v>
      </c>
    </row>
    <row r="344" spans="1:20" ht="56" hidden="1" x14ac:dyDescent="0.2">
      <c r="A344" s="3" t="s">
        <v>5027</v>
      </c>
      <c r="B344" s="3" t="s">
        <v>5028</v>
      </c>
      <c r="C344" s="3" t="s">
        <v>5019</v>
      </c>
      <c r="D344" s="3">
        <v>153</v>
      </c>
      <c r="E344" s="3" t="s">
        <v>5029</v>
      </c>
      <c r="F344" s="3" t="s">
        <v>5030</v>
      </c>
      <c r="G344" s="6" t="s">
        <v>5031</v>
      </c>
      <c r="H344" s="3" t="s">
        <v>5032</v>
      </c>
      <c r="I344" s="3" t="s">
        <v>2508</v>
      </c>
      <c r="J344" s="3" t="s">
        <v>5033</v>
      </c>
      <c r="K344" s="3" t="s">
        <v>3612</v>
      </c>
      <c r="L344" s="3" t="s">
        <v>2531</v>
      </c>
      <c r="M344" s="3" t="s">
        <v>2540</v>
      </c>
      <c r="N344" s="3" t="s">
        <v>1931</v>
      </c>
      <c r="O344" s="3" t="s">
        <v>482</v>
      </c>
      <c r="P344" s="3">
        <v>0</v>
      </c>
      <c r="Q344" s="3" t="s">
        <v>2560</v>
      </c>
      <c r="R344" s="3" t="s">
        <v>405</v>
      </c>
      <c r="S344" s="3" t="s">
        <v>482</v>
      </c>
      <c r="T344" s="3" t="s">
        <v>482</v>
      </c>
    </row>
    <row r="345" spans="1:20" ht="409.6" hidden="1" x14ac:dyDescent="0.2">
      <c r="A345" s="3" t="s">
        <v>5034</v>
      </c>
      <c r="B345" s="3" t="s">
        <v>5035</v>
      </c>
      <c r="C345" s="3" t="s">
        <v>5036</v>
      </c>
      <c r="D345" s="3">
        <v>66</v>
      </c>
      <c r="E345" s="3" t="s">
        <v>2514</v>
      </c>
      <c r="F345" s="3" t="s">
        <v>5037</v>
      </c>
      <c r="G345" s="6" t="s">
        <v>5038</v>
      </c>
      <c r="H345" s="3" t="s">
        <v>5039</v>
      </c>
      <c r="I345" s="3" t="s">
        <v>2508</v>
      </c>
      <c r="J345" s="3" t="s">
        <v>5040</v>
      </c>
      <c r="K345" s="3" t="s">
        <v>5041</v>
      </c>
      <c r="L345" s="3" t="s">
        <v>2531</v>
      </c>
      <c r="M345" s="3" t="s">
        <v>5042</v>
      </c>
      <c r="N345" s="3" t="s">
        <v>1931</v>
      </c>
      <c r="O345" s="3" t="s">
        <v>5043</v>
      </c>
      <c r="P345" s="3">
        <v>44</v>
      </c>
      <c r="Q345" s="3" t="s">
        <v>5044</v>
      </c>
      <c r="R345" s="3" t="s">
        <v>5045</v>
      </c>
      <c r="S345" s="3" t="s">
        <v>482</v>
      </c>
      <c r="T345" s="3" t="s">
        <v>482</v>
      </c>
    </row>
    <row r="346" spans="1:20" ht="48" hidden="1" x14ac:dyDescent="0.2">
      <c r="A346" s="3" t="s">
        <v>494</v>
      </c>
      <c r="B346" s="3" t="s">
        <v>493</v>
      </c>
      <c r="C346" s="3" t="s">
        <v>5046</v>
      </c>
      <c r="D346" s="3">
        <v>43</v>
      </c>
      <c r="E346" s="3" t="s">
        <v>2514</v>
      </c>
      <c r="F346" s="3" t="s">
        <v>5047</v>
      </c>
      <c r="G346" s="6" t="s">
        <v>5048</v>
      </c>
      <c r="H346" s="3" t="s">
        <v>5049</v>
      </c>
      <c r="I346" s="3" t="s">
        <v>2508</v>
      </c>
      <c r="J346" s="3" t="s">
        <v>2547</v>
      </c>
      <c r="K346" s="3" t="s">
        <v>2538</v>
      </c>
      <c r="L346" s="3" t="s">
        <v>2531</v>
      </c>
      <c r="M346" s="3" t="s">
        <v>2540</v>
      </c>
      <c r="N346" s="3" t="s">
        <v>1931</v>
      </c>
      <c r="O346" s="3" t="s">
        <v>5050</v>
      </c>
      <c r="P346" s="3">
        <v>3</v>
      </c>
      <c r="Q346" s="3" t="s">
        <v>5051</v>
      </c>
      <c r="R346" s="3" t="s">
        <v>500</v>
      </c>
      <c r="S346" s="3" t="s">
        <v>2114</v>
      </c>
      <c r="T346" s="3" t="s">
        <v>2111</v>
      </c>
    </row>
    <row r="347" spans="1:20" ht="84" hidden="1" x14ac:dyDescent="0.2">
      <c r="A347" s="3" t="s">
        <v>5052</v>
      </c>
      <c r="B347" s="3" t="s">
        <v>5053</v>
      </c>
      <c r="C347" s="3" t="s">
        <v>5046</v>
      </c>
      <c r="D347" s="3">
        <v>55</v>
      </c>
      <c r="E347" s="3" t="s">
        <v>2635</v>
      </c>
      <c r="F347" s="3" t="s">
        <v>5054</v>
      </c>
      <c r="G347" s="6" t="s">
        <v>5055</v>
      </c>
      <c r="H347" s="3" t="s">
        <v>5056</v>
      </c>
      <c r="I347" s="3" t="s">
        <v>2508</v>
      </c>
      <c r="J347" s="3" t="s">
        <v>5057</v>
      </c>
      <c r="K347" s="3" t="s">
        <v>5058</v>
      </c>
      <c r="L347" s="3" t="s">
        <v>482</v>
      </c>
      <c r="M347" s="3" t="s">
        <v>2813</v>
      </c>
      <c r="N347" s="3" t="s">
        <v>1816</v>
      </c>
      <c r="O347" s="3" t="s">
        <v>482</v>
      </c>
      <c r="P347" s="3">
        <v>0</v>
      </c>
      <c r="Q347" s="3" t="s">
        <v>2560</v>
      </c>
      <c r="R347" s="3" t="s">
        <v>405</v>
      </c>
      <c r="S347" s="3" t="s">
        <v>482</v>
      </c>
      <c r="T347" s="3" t="s">
        <v>482</v>
      </c>
    </row>
    <row r="348" spans="1:20" ht="42" hidden="1" x14ac:dyDescent="0.2">
      <c r="A348" s="3" t="s">
        <v>5059</v>
      </c>
      <c r="B348" s="3" t="s">
        <v>5060</v>
      </c>
      <c r="C348" s="3" t="s">
        <v>5046</v>
      </c>
      <c r="D348" s="3">
        <v>66</v>
      </c>
      <c r="E348" s="3" t="s">
        <v>2514</v>
      </c>
      <c r="F348" s="3" t="s">
        <v>5061</v>
      </c>
      <c r="G348" s="6" t="s">
        <v>3398</v>
      </c>
      <c r="H348" s="3" t="s">
        <v>3398</v>
      </c>
      <c r="I348" s="3" t="s">
        <v>3399</v>
      </c>
      <c r="J348" s="3" t="s">
        <v>5062</v>
      </c>
      <c r="K348" s="3" t="s">
        <v>5063</v>
      </c>
      <c r="L348" s="3" t="s">
        <v>2531</v>
      </c>
      <c r="M348" s="3" t="s">
        <v>2540</v>
      </c>
      <c r="N348" s="3" t="s">
        <v>1931</v>
      </c>
      <c r="O348" s="3" t="s">
        <v>2512</v>
      </c>
      <c r="P348" s="3">
        <v>1</v>
      </c>
      <c r="Q348" s="3" t="s">
        <v>2512</v>
      </c>
      <c r="R348" s="3" t="s">
        <v>5064</v>
      </c>
      <c r="S348" s="3" t="s">
        <v>482</v>
      </c>
      <c r="T348" s="3" t="s">
        <v>482</v>
      </c>
    </row>
    <row r="349" spans="1:20" ht="168" hidden="1" x14ac:dyDescent="0.2">
      <c r="A349" s="3" t="s">
        <v>5065</v>
      </c>
      <c r="B349" s="3" t="s">
        <v>5066</v>
      </c>
      <c r="C349" s="3" t="s">
        <v>5046</v>
      </c>
      <c r="D349" s="3">
        <v>77</v>
      </c>
      <c r="E349" s="3" t="s">
        <v>2504</v>
      </c>
      <c r="F349" s="3" t="s">
        <v>5067</v>
      </c>
      <c r="G349" s="6" t="s">
        <v>5068</v>
      </c>
      <c r="H349" s="3" t="s">
        <v>5069</v>
      </c>
      <c r="I349" s="3" t="s">
        <v>2508</v>
      </c>
      <c r="J349" s="3" t="s">
        <v>5070</v>
      </c>
      <c r="K349" s="3" t="s">
        <v>5071</v>
      </c>
      <c r="L349" s="3" t="s">
        <v>482</v>
      </c>
      <c r="M349" s="3" t="s">
        <v>2540</v>
      </c>
      <c r="N349" s="3" t="s">
        <v>1931</v>
      </c>
      <c r="O349" s="3" t="s">
        <v>2512</v>
      </c>
      <c r="P349" s="3">
        <v>1</v>
      </c>
      <c r="Q349" s="3" t="s">
        <v>2512</v>
      </c>
      <c r="R349" s="3" t="s">
        <v>5072</v>
      </c>
      <c r="S349" s="3" t="s">
        <v>482</v>
      </c>
      <c r="T349" s="3" t="s">
        <v>5073</v>
      </c>
    </row>
    <row r="350" spans="1:20" ht="42" hidden="1" x14ac:dyDescent="0.2">
      <c r="A350" s="3" t="s">
        <v>5074</v>
      </c>
      <c r="B350" s="3" t="s">
        <v>5075</v>
      </c>
      <c r="C350" s="3" t="s">
        <v>5046</v>
      </c>
      <c r="D350" s="3">
        <v>107</v>
      </c>
      <c r="E350" s="3" t="s">
        <v>2514</v>
      </c>
      <c r="F350" s="3" t="s">
        <v>5076</v>
      </c>
      <c r="G350" s="6" t="s">
        <v>3398</v>
      </c>
      <c r="H350" s="3" t="s">
        <v>3398</v>
      </c>
      <c r="I350" s="3" t="s">
        <v>3399</v>
      </c>
      <c r="J350" s="3" t="s">
        <v>5077</v>
      </c>
      <c r="K350" s="3" t="s">
        <v>5078</v>
      </c>
      <c r="L350" s="3" t="s">
        <v>2531</v>
      </c>
      <c r="M350" s="3" t="s">
        <v>2813</v>
      </c>
      <c r="N350" s="3" t="s">
        <v>1931</v>
      </c>
      <c r="O350" s="3" t="s">
        <v>5079</v>
      </c>
      <c r="P350" s="3">
        <v>2</v>
      </c>
      <c r="Q350" s="3" t="s">
        <v>5080</v>
      </c>
      <c r="R350" s="3" t="s">
        <v>5081</v>
      </c>
      <c r="S350" s="3" t="s">
        <v>482</v>
      </c>
      <c r="T350" s="3" t="s">
        <v>2317</v>
      </c>
    </row>
    <row r="351" spans="1:20" ht="126" hidden="1" x14ac:dyDescent="0.2">
      <c r="A351" s="3" t="s">
        <v>510</v>
      </c>
      <c r="B351" s="3" t="s">
        <v>509</v>
      </c>
      <c r="C351" s="3" t="s">
        <v>5046</v>
      </c>
      <c r="D351" s="3">
        <v>118</v>
      </c>
      <c r="E351" s="3" t="s">
        <v>2514</v>
      </c>
      <c r="F351" s="3" t="s">
        <v>5082</v>
      </c>
      <c r="G351" s="6" t="s">
        <v>5083</v>
      </c>
      <c r="H351" s="3" t="s">
        <v>5084</v>
      </c>
      <c r="I351" s="3" t="s">
        <v>2529</v>
      </c>
      <c r="J351" s="3" t="s">
        <v>2547</v>
      </c>
      <c r="K351" s="3" t="s">
        <v>2538</v>
      </c>
      <c r="L351" s="3" t="s">
        <v>2531</v>
      </c>
      <c r="M351" s="3" t="s">
        <v>2567</v>
      </c>
      <c r="N351" s="3" t="s">
        <v>1931</v>
      </c>
      <c r="O351" s="3" t="s">
        <v>482</v>
      </c>
      <c r="P351" s="3">
        <v>0</v>
      </c>
      <c r="Q351" s="3" t="s">
        <v>2560</v>
      </c>
      <c r="R351" s="3" t="s">
        <v>405</v>
      </c>
      <c r="S351" s="3" t="s">
        <v>506</v>
      </c>
      <c r="T351" s="3" t="s">
        <v>2116</v>
      </c>
    </row>
    <row r="352" spans="1:20" ht="182" hidden="1" x14ac:dyDescent="0.2">
      <c r="A352" s="3" t="s">
        <v>906</v>
      </c>
      <c r="B352" s="3" t="s">
        <v>905</v>
      </c>
      <c r="C352" s="3" t="s">
        <v>5046</v>
      </c>
      <c r="D352" s="3">
        <v>144</v>
      </c>
      <c r="E352" s="3" t="s">
        <v>2514</v>
      </c>
      <c r="F352" s="3" t="s">
        <v>2208</v>
      </c>
      <c r="G352" s="6" t="s">
        <v>5085</v>
      </c>
      <c r="H352" s="3" t="s">
        <v>5086</v>
      </c>
      <c r="I352" s="3" t="s">
        <v>2508</v>
      </c>
      <c r="J352" s="3" t="s">
        <v>2547</v>
      </c>
      <c r="K352" s="3" t="s">
        <v>2538</v>
      </c>
      <c r="L352" s="3" t="s">
        <v>5087</v>
      </c>
      <c r="M352" s="3" t="s">
        <v>5088</v>
      </c>
      <c r="N352" s="3" t="s">
        <v>1931</v>
      </c>
      <c r="O352" s="3" t="s">
        <v>2512</v>
      </c>
      <c r="P352" s="3">
        <v>1</v>
      </c>
      <c r="Q352" s="3" t="s">
        <v>2512</v>
      </c>
      <c r="R352" s="3" t="s">
        <v>911</v>
      </c>
      <c r="S352" s="3" t="s">
        <v>2209</v>
      </c>
      <c r="T352" s="3" t="s">
        <v>2206</v>
      </c>
    </row>
    <row r="353" spans="1:20" ht="126" hidden="1" x14ac:dyDescent="0.2">
      <c r="A353" s="3" t="s">
        <v>5089</v>
      </c>
      <c r="B353" s="3" t="s">
        <v>5090</v>
      </c>
      <c r="C353" s="3" t="s">
        <v>5091</v>
      </c>
      <c r="D353" s="3">
        <v>62</v>
      </c>
      <c r="E353" s="3" t="s">
        <v>2514</v>
      </c>
      <c r="F353" s="3" t="s">
        <v>5092</v>
      </c>
      <c r="G353" s="6" t="s">
        <v>5093</v>
      </c>
      <c r="H353" s="3" t="s">
        <v>5094</v>
      </c>
      <c r="I353" s="3" t="s">
        <v>2508</v>
      </c>
      <c r="J353" s="3" t="s">
        <v>5095</v>
      </c>
      <c r="K353" s="3" t="s">
        <v>3348</v>
      </c>
      <c r="L353" s="3" t="s">
        <v>2531</v>
      </c>
      <c r="M353" s="3" t="s">
        <v>5096</v>
      </c>
      <c r="N353" s="3" t="s">
        <v>1931</v>
      </c>
      <c r="O353" s="3" t="s">
        <v>482</v>
      </c>
      <c r="P353" s="3">
        <v>0</v>
      </c>
      <c r="Q353" s="3" t="s">
        <v>2560</v>
      </c>
      <c r="R353" s="3" t="s">
        <v>405</v>
      </c>
      <c r="S353" s="3" t="s">
        <v>482</v>
      </c>
      <c r="T353" s="3" t="s">
        <v>5097</v>
      </c>
    </row>
    <row r="354" spans="1:20" ht="224" hidden="1" x14ac:dyDescent="0.2">
      <c r="A354" s="3" t="s">
        <v>5098</v>
      </c>
      <c r="B354" s="3" t="s">
        <v>5099</v>
      </c>
      <c r="C354" s="3" t="s">
        <v>5091</v>
      </c>
      <c r="D354" s="3">
        <v>75</v>
      </c>
      <c r="E354" s="3" t="s">
        <v>2504</v>
      </c>
      <c r="F354" s="3" t="s">
        <v>5100</v>
      </c>
      <c r="G354" s="6" t="s">
        <v>5101</v>
      </c>
      <c r="H354" s="3" t="s">
        <v>5102</v>
      </c>
      <c r="I354" s="3" t="s">
        <v>2508</v>
      </c>
      <c r="J354" s="3" t="s">
        <v>4651</v>
      </c>
      <c r="K354" s="3" t="s">
        <v>5103</v>
      </c>
      <c r="L354" s="3" t="s">
        <v>482</v>
      </c>
      <c r="M354" s="3" t="s">
        <v>5104</v>
      </c>
      <c r="N354" s="3" t="s">
        <v>1931</v>
      </c>
      <c r="O354" s="3" t="s">
        <v>482</v>
      </c>
      <c r="P354" s="3">
        <v>0</v>
      </c>
      <c r="Q354" s="3" t="s">
        <v>2560</v>
      </c>
      <c r="R354" s="3" t="s">
        <v>405</v>
      </c>
      <c r="S354" s="3" t="s">
        <v>482</v>
      </c>
      <c r="T354" s="3" t="s">
        <v>5105</v>
      </c>
    </row>
    <row r="355" spans="1:20" ht="98" hidden="1" x14ac:dyDescent="0.2">
      <c r="A355" s="3" t="s">
        <v>5106</v>
      </c>
      <c r="B355" s="3" t="s">
        <v>5107</v>
      </c>
      <c r="C355" s="3" t="s">
        <v>5091</v>
      </c>
      <c r="D355" s="3">
        <v>137</v>
      </c>
      <c r="E355" s="3" t="s">
        <v>2504</v>
      </c>
      <c r="F355" s="3" t="s">
        <v>5108</v>
      </c>
      <c r="G355" s="6" t="s">
        <v>5109</v>
      </c>
      <c r="H355" s="3" t="s">
        <v>5110</v>
      </c>
      <c r="I355" s="3" t="s">
        <v>2508</v>
      </c>
      <c r="J355" s="3" t="s">
        <v>5111</v>
      </c>
      <c r="K355" s="3" t="s">
        <v>3529</v>
      </c>
      <c r="L355" s="3" t="s">
        <v>482</v>
      </c>
      <c r="M355" s="3" t="s">
        <v>5112</v>
      </c>
      <c r="N355" s="3" t="s">
        <v>1931</v>
      </c>
      <c r="O355" s="3" t="s">
        <v>5113</v>
      </c>
      <c r="P355" s="3">
        <v>2</v>
      </c>
      <c r="Q355" s="3" t="s">
        <v>5114</v>
      </c>
      <c r="R355" s="3" t="s">
        <v>5115</v>
      </c>
      <c r="S355" s="3" t="s">
        <v>482</v>
      </c>
      <c r="T355" s="3" t="s">
        <v>5116</v>
      </c>
    </row>
    <row r="356" spans="1:20" ht="345" hidden="1" x14ac:dyDescent="0.2">
      <c r="A356" s="3" t="s">
        <v>5117</v>
      </c>
      <c r="B356" s="3" t="s">
        <v>5118</v>
      </c>
      <c r="C356" s="3" t="s">
        <v>5091</v>
      </c>
      <c r="D356" s="3">
        <v>153</v>
      </c>
      <c r="E356" s="3" t="s">
        <v>2514</v>
      </c>
      <c r="F356" s="3" t="s">
        <v>5119</v>
      </c>
      <c r="G356" s="6" t="s">
        <v>5120</v>
      </c>
      <c r="H356" s="3" t="s">
        <v>5121</v>
      </c>
      <c r="I356" s="3" t="s">
        <v>2508</v>
      </c>
      <c r="J356" s="3" t="s">
        <v>4651</v>
      </c>
      <c r="K356" s="3" t="s">
        <v>5122</v>
      </c>
      <c r="L356" s="3" t="s">
        <v>2531</v>
      </c>
      <c r="M356" s="3" t="s">
        <v>5123</v>
      </c>
      <c r="N356" s="3" t="s">
        <v>1931</v>
      </c>
      <c r="O356" s="3" t="s">
        <v>5124</v>
      </c>
      <c r="P356" s="3">
        <v>4</v>
      </c>
      <c r="Q356" s="3" t="s">
        <v>5125</v>
      </c>
      <c r="R356" s="3" t="s">
        <v>5126</v>
      </c>
      <c r="S356" s="3" t="s">
        <v>482</v>
      </c>
      <c r="T356" s="3" t="s">
        <v>5127</v>
      </c>
    </row>
    <row r="357" spans="1:20" ht="48" hidden="1" x14ac:dyDescent="0.2">
      <c r="A357" s="3" t="s">
        <v>5128</v>
      </c>
      <c r="B357" s="3" t="s">
        <v>5129</v>
      </c>
      <c r="C357" s="3" t="s">
        <v>5091</v>
      </c>
      <c r="D357" s="3">
        <v>224</v>
      </c>
      <c r="E357" s="3" t="s">
        <v>2514</v>
      </c>
      <c r="F357" s="3" t="s">
        <v>5130</v>
      </c>
      <c r="G357" s="6" t="s">
        <v>5131</v>
      </c>
      <c r="H357" s="3" t="s">
        <v>5132</v>
      </c>
      <c r="I357" s="3" t="s">
        <v>2529</v>
      </c>
      <c r="J357" s="3" t="s">
        <v>5133</v>
      </c>
      <c r="K357" s="3" t="s">
        <v>5134</v>
      </c>
      <c r="L357" s="3" t="s">
        <v>5135</v>
      </c>
      <c r="M357" s="3" t="s">
        <v>3554</v>
      </c>
      <c r="N357" s="3" t="s">
        <v>1931</v>
      </c>
      <c r="O357" s="3" t="s">
        <v>482</v>
      </c>
      <c r="P357" s="3">
        <v>0</v>
      </c>
      <c r="Q357" s="3" t="s">
        <v>2560</v>
      </c>
      <c r="R357" s="3" t="s">
        <v>405</v>
      </c>
      <c r="S357" s="3" t="s">
        <v>482</v>
      </c>
      <c r="T357" s="3" t="s">
        <v>5136</v>
      </c>
    </row>
    <row r="358" spans="1:20" ht="192" hidden="1" x14ac:dyDescent="0.2">
      <c r="A358" s="3" t="s">
        <v>5137</v>
      </c>
      <c r="B358" s="3" t="s">
        <v>5138</v>
      </c>
      <c r="C358" s="3" t="s">
        <v>5139</v>
      </c>
      <c r="D358" s="3">
        <v>5</v>
      </c>
      <c r="E358" s="3" t="s">
        <v>2514</v>
      </c>
      <c r="F358" s="3" t="s">
        <v>5140</v>
      </c>
      <c r="G358" s="6" t="s">
        <v>5141</v>
      </c>
      <c r="H358" s="3" t="s">
        <v>5142</v>
      </c>
      <c r="I358" s="3" t="s">
        <v>2508</v>
      </c>
      <c r="J358" s="3" t="s">
        <v>2547</v>
      </c>
      <c r="K358" s="3" t="s">
        <v>2538</v>
      </c>
      <c r="L358" s="3" t="s">
        <v>5143</v>
      </c>
      <c r="M358" s="3" t="s">
        <v>3013</v>
      </c>
      <c r="N358" s="3" t="s">
        <v>1931</v>
      </c>
      <c r="O358" s="3" t="s">
        <v>482</v>
      </c>
      <c r="P358" s="3">
        <v>0</v>
      </c>
      <c r="Q358" s="3" t="s">
        <v>2560</v>
      </c>
      <c r="R358" s="3" t="s">
        <v>405</v>
      </c>
      <c r="S358" s="3" t="s">
        <v>482</v>
      </c>
      <c r="T358" s="3" t="s">
        <v>482</v>
      </c>
    </row>
    <row r="359" spans="1:20" ht="42" hidden="1" x14ac:dyDescent="0.2">
      <c r="A359" s="3" t="s">
        <v>5144</v>
      </c>
      <c r="B359" s="3" t="s">
        <v>5145</v>
      </c>
      <c r="C359" s="3" t="s">
        <v>5139</v>
      </c>
      <c r="D359" s="3">
        <v>18</v>
      </c>
      <c r="E359" s="3" t="s">
        <v>2504</v>
      </c>
      <c r="F359" s="3" t="s">
        <v>5146</v>
      </c>
      <c r="G359" s="6" t="s">
        <v>5147</v>
      </c>
      <c r="H359" s="3" t="s">
        <v>5148</v>
      </c>
      <c r="I359" s="3" t="s">
        <v>2529</v>
      </c>
      <c r="J359" s="3" t="s">
        <v>5149</v>
      </c>
      <c r="K359" s="3" t="s">
        <v>2758</v>
      </c>
      <c r="L359" s="3" t="s">
        <v>482</v>
      </c>
      <c r="M359" s="3" t="s">
        <v>2540</v>
      </c>
      <c r="N359" s="3" t="s">
        <v>1931</v>
      </c>
      <c r="O359" s="3" t="s">
        <v>482</v>
      </c>
      <c r="P359" s="3">
        <v>0</v>
      </c>
      <c r="Q359" s="3" t="s">
        <v>2560</v>
      </c>
      <c r="R359" s="3" t="s">
        <v>405</v>
      </c>
      <c r="S359" s="3" t="s">
        <v>482</v>
      </c>
      <c r="T359" s="3" t="s">
        <v>482</v>
      </c>
    </row>
    <row r="360" spans="1:20" ht="84" hidden="1" x14ac:dyDescent="0.2">
      <c r="A360" s="3" t="s">
        <v>5150</v>
      </c>
      <c r="B360" s="3" t="s">
        <v>5151</v>
      </c>
      <c r="C360" s="3" t="s">
        <v>5139</v>
      </c>
      <c r="D360" s="3">
        <v>24</v>
      </c>
      <c r="E360" s="3" t="s">
        <v>2504</v>
      </c>
      <c r="F360" s="3" t="s">
        <v>5152</v>
      </c>
      <c r="G360" s="6" t="s">
        <v>5153</v>
      </c>
      <c r="H360" s="3" t="s">
        <v>5154</v>
      </c>
      <c r="I360" s="3" t="s">
        <v>2508</v>
      </c>
      <c r="J360" s="3" t="s">
        <v>5155</v>
      </c>
      <c r="K360" s="3" t="s">
        <v>2758</v>
      </c>
      <c r="L360" s="3" t="s">
        <v>482</v>
      </c>
      <c r="M360" s="3" t="s">
        <v>2540</v>
      </c>
      <c r="N360" s="3" t="s">
        <v>1931</v>
      </c>
      <c r="O360" s="3" t="s">
        <v>482</v>
      </c>
      <c r="P360" s="3">
        <v>0</v>
      </c>
      <c r="Q360" s="3" t="s">
        <v>2560</v>
      </c>
      <c r="R360" s="3" t="s">
        <v>405</v>
      </c>
      <c r="S360" s="3" t="s">
        <v>482</v>
      </c>
      <c r="T360" s="3" t="s">
        <v>482</v>
      </c>
    </row>
    <row r="361" spans="1:20" ht="48" hidden="1" x14ac:dyDescent="0.2">
      <c r="A361" s="3" t="s">
        <v>5156</v>
      </c>
      <c r="B361" s="3" t="s">
        <v>5157</v>
      </c>
      <c r="C361" s="3" t="s">
        <v>5139</v>
      </c>
      <c r="D361" s="3">
        <v>31</v>
      </c>
      <c r="E361" s="3" t="s">
        <v>2504</v>
      </c>
      <c r="F361" s="3" t="s">
        <v>5158</v>
      </c>
      <c r="G361" s="6" t="s">
        <v>5159</v>
      </c>
      <c r="H361" s="3" t="s">
        <v>5160</v>
      </c>
      <c r="I361" s="3" t="s">
        <v>2529</v>
      </c>
      <c r="J361" s="3" t="s">
        <v>5161</v>
      </c>
      <c r="K361" s="3" t="s">
        <v>5162</v>
      </c>
      <c r="L361" s="3" t="s">
        <v>482</v>
      </c>
      <c r="M361" s="3" t="s">
        <v>3013</v>
      </c>
      <c r="N361" s="3" t="s">
        <v>1931</v>
      </c>
      <c r="O361" s="3" t="s">
        <v>5163</v>
      </c>
      <c r="P361" s="3">
        <v>3</v>
      </c>
      <c r="Q361" s="3" t="s">
        <v>5163</v>
      </c>
      <c r="R361" s="3" t="s">
        <v>5164</v>
      </c>
      <c r="S361" s="3" t="s">
        <v>482</v>
      </c>
      <c r="T361" s="3" t="s">
        <v>482</v>
      </c>
    </row>
    <row r="362" spans="1:20" ht="48" hidden="1" x14ac:dyDescent="0.2">
      <c r="A362" s="3" t="s">
        <v>5165</v>
      </c>
      <c r="B362" s="3" t="s">
        <v>5166</v>
      </c>
      <c r="C362" s="3" t="s">
        <v>5167</v>
      </c>
      <c r="D362" s="3">
        <v>17</v>
      </c>
      <c r="E362" s="3" t="s">
        <v>2635</v>
      </c>
      <c r="F362" s="3" t="s">
        <v>2616</v>
      </c>
      <c r="G362" s="6" t="s">
        <v>5168</v>
      </c>
      <c r="H362" s="3" t="s">
        <v>5169</v>
      </c>
      <c r="I362" s="3" t="s">
        <v>2529</v>
      </c>
      <c r="J362" s="3" t="s">
        <v>2638</v>
      </c>
      <c r="K362" s="3" t="s">
        <v>5170</v>
      </c>
      <c r="L362" s="3" t="s">
        <v>482</v>
      </c>
      <c r="M362" s="3" t="s">
        <v>2540</v>
      </c>
      <c r="N362" s="3" t="s">
        <v>1816</v>
      </c>
      <c r="O362" s="3" t="s">
        <v>482</v>
      </c>
      <c r="P362" s="3">
        <v>0</v>
      </c>
      <c r="Q362" s="3" t="s">
        <v>2560</v>
      </c>
      <c r="R362" s="3" t="s">
        <v>405</v>
      </c>
      <c r="S362" s="3" t="s">
        <v>482</v>
      </c>
      <c r="T362" s="3" t="s">
        <v>482</v>
      </c>
    </row>
    <row r="363" spans="1:20" ht="48" hidden="1" x14ac:dyDescent="0.2">
      <c r="A363" s="3" t="s">
        <v>5171</v>
      </c>
      <c r="B363" s="3" t="s">
        <v>5172</v>
      </c>
      <c r="C363" s="3" t="s">
        <v>5167</v>
      </c>
      <c r="D363" s="3">
        <v>21</v>
      </c>
      <c r="E363" s="3" t="s">
        <v>2641</v>
      </c>
      <c r="F363" s="3" t="s">
        <v>2616</v>
      </c>
      <c r="G363" s="6" t="s">
        <v>2642</v>
      </c>
      <c r="H363" s="3" t="s">
        <v>2642</v>
      </c>
      <c r="I363" s="3" t="s">
        <v>2637</v>
      </c>
      <c r="J363" s="3" t="s">
        <v>5173</v>
      </c>
      <c r="K363" s="3" t="s">
        <v>2922</v>
      </c>
      <c r="L363" s="3" t="s">
        <v>482</v>
      </c>
      <c r="M363" s="3" t="s">
        <v>2540</v>
      </c>
      <c r="N363" s="3" t="s">
        <v>1931</v>
      </c>
      <c r="O363" s="3" t="s">
        <v>2840</v>
      </c>
      <c r="P363" s="3">
        <v>2</v>
      </c>
      <c r="Q363" s="3" t="s">
        <v>2840</v>
      </c>
      <c r="R363" s="3" t="s">
        <v>5174</v>
      </c>
      <c r="S363" s="3" t="s">
        <v>482</v>
      </c>
      <c r="T363" s="3" t="s">
        <v>482</v>
      </c>
    </row>
    <row r="364" spans="1:20" ht="112" hidden="1" x14ac:dyDescent="0.2">
      <c r="A364" s="3" t="s">
        <v>5175</v>
      </c>
      <c r="B364" s="3" t="s">
        <v>5176</v>
      </c>
      <c r="C364" s="3" t="s">
        <v>5167</v>
      </c>
      <c r="D364" s="3">
        <v>27</v>
      </c>
      <c r="E364" s="3" t="s">
        <v>2635</v>
      </c>
      <c r="F364" s="3" t="s">
        <v>5177</v>
      </c>
      <c r="G364" s="6" t="s">
        <v>5178</v>
      </c>
      <c r="H364" s="3" t="s">
        <v>5179</v>
      </c>
      <c r="I364" s="3" t="s">
        <v>2529</v>
      </c>
      <c r="J364" s="3" t="s">
        <v>2638</v>
      </c>
      <c r="K364" s="3" t="s">
        <v>5180</v>
      </c>
      <c r="L364" s="3" t="s">
        <v>482</v>
      </c>
      <c r="M364" s="3" t="s">
        <v>2540</v>
      </c>
      <c r="N364" s="3" t="s">
        <v>1816</v>
      </c>
      <c r="O364" s="3" t="s">
        <v>5181</v>
      </c>
      <c r="P364" s="3">
        <v>5</v>
      </c>
      <c r="Q364" s="3" t="s">
        <v>5182</v>
      </c>
      <c r="R364" s="3" t="s">
        <v>5183</v>
      </c>
      <c r="S364" s="3" t="s">
        <v>482</v>
      </c>
      <c r="T364" s="3" t="s">
        <v>482</v>
      </c>
    </row>
    <row r="365" spans="1:20" ht="98" hidden="1" x14ac:dyDescent="0.2">
      <c r="A365" s="3" t="s">
        <v>5184</v>
      </c>
      <c r="B365" s="3" t="s">
        <v>5185</v>
      </c>
      <c r="C365" s="3" t="s">
        <v>5186</v>
      </c>
      <c r="D365" s="3">
        <v>17</v>
      </c>
      <c r="E365" s="3" t="s">
        <v>2514</v>
      </c>
      <c r="F365" s="3" t="s">
        <v>5187</v>
      </c>
      <c r="G365" s="6" t="s">
        <v>5188</v>
      </c>
      <c r="H365" s="3" t="s">
        <v>5189</v>
      </c>
      <c r="I365" s="3" t="s">
        <v>2508</v>
      </c>
      <c r="J365" s="3" t="s">
        <v>5190</v>
      </c>
      <c r="K365" s="3" t="s">
        <v>5191</v>
      </c>
      <c r="L365" s="3" t="s">
        <v>5192</v>
      </c>
      <c r="M365" s="3" t="s">
        <v>2540</v>
      </c>
      <c r="N365" s="3" t="s">
        <v>1931</v>
      </c>
      <c r="O365" s="3" t="s">
        <v>5193</v>
      </c>
      <c r="P365" s="3">
        <v>3</v>
      </c>
      <c r="Q365" s="3" t="s">
        <v>5194</v>
      </c>
      <c r="R365" s="3" t="s">
        <v>5195</v>
      </c>
      <c r="S365" s="3" t="s">
        <v>482</v>
      </c>
      <c r="T365" s="3" t="s">
        <v>5196</v>
      </c>
    </row>
    <row r="366" spans="1:20" ht="42" hidden="1" x14ac:dyDescent="0.2">
      <c r="A366" s="3" t="s">
        <v>5197</v>
      </c>
      <c r="B366" s="3" t="s">
        <v>5198</v>
      </c>
      <c r="C366" s="3" t="s">
        <v>5186</v>
      </c>
      <c r="D366" s="3">
        <v>30</v>
      </c>
      <c r="E366" s="3" t="s">
        <v>2514</v>
      </c>
      <c r="F366" s="3" t="s">
        <v>5199</v>
      </c>
      <c r="G366" s="6" t="s">
        <v>3398</v>
      </c>
      <c r="H366" s="3" t="s">
        <v>3398</v>
      </c>
      <c r="I366" s="3" t="s">
        <v>3399</v>
      </c>
      <c r="J366" s="3" t="s">
        <v>5200</v>
      </c>
      <c r="K366" s="3" t="s">
        <v>5201</v>
      </c>
      <c r="L366" s="3" t="s">
        <v>5202</v>
      </c>
      <c r="M366" s="3" t="s">
        <v>2540</v>
      </c>
      <c r="N366" s="3" t="s">
        <v>1931</v>
      </c>
      <c r="O366" s="3" t="s">
        <v>482</v>
      </c>
      <c r="P366" s="3">
        <v>0</v>
      </c>
      <c r="Q366" s="3" t="s">
        <v>2560</v>
      </c>
      <c r="R366" s="3" t="s">
        <v>405</v>
      </c>
      <c r="S366" s="3" t="s">
        <v>482</v>
      </c>
      <c r="T366" s="3" t="s">
        <v>482</v>
      </c>
    </row>
    <row r="367" spans="1:20" ht="32" hidden="1" x14ac:dyDescent="0.2">
      <c r="A367" s="3" t="s">
        <v>5203</v>
      </c>
      <c r="B367" s="3" t="s">
        <v>5204</v>
      </c>
      <c r="C367" s="3" t="s">
        <v>5205</v>
      </c>
      <c r="D367" s="3">
        <v>12</v>
      </c>
      <c r="E367" s="3" t="s">
        <v>2514</v>
      </c>
      <c r="F367" s="3" t="s">
        <v>5206</v>
      </c>
      <c r="G367" s="6" t="s">
        <v>3094</v>
      </c>
      <c r="H367" s="3" t="s">
        <v>3095</v>
      </c>
      <c r="I367" s="3" t="s">
        <v>2529</v>
      </c>
      <c r="J367" s="3" t="s">
        <v>2829</v>
      </c>
      <c r="K367" s="3" t="s">
        <v>5207</v>
      </c>
      <c r="L367" s="3" t="s">
        <v>2531</v>
      </c>
      <c r="M367" s="3" t="s">
        <v>2540</v>
      </c>
      <c r="N367" s="3" t="s">
        <v>1931</v>
      </c>
      <c r="O367" s="3" t="s">
        <v>482</v>
      </c>
      <c r="P367" s="3">
        <v>0</v>
      </c>
      <c r="Q367" s="3" t="s">
        <v>2560</v>
      </c>
      <c r="R367" s="3" t="s">
        <v>405</v>
      </c>
      <c r="S367" s="3" t="s">
        <v>482</v>
      </c>
      <c r="T367" s="3" t="s">
        <v>482</v>
      </c>
    </row>
    <row r="368" spans="1:20" ht="409.6" hidden="1" x14ac:dyDescent="0.2">
      <c r="A368" s="3" t="s">
        <v>5208</v>
      </c>
      <c r="B368" s="3" t="s">
        <v>5209</v>
      </c>
      <c r="C368" s="3" t="s">
        <v>5210</v>
      </c>
      <c r="D368" s="3">
        <v>13</v>
      </c>
      <c r="E368" s="3" t="s">
        <v>2514</v>
      </c>
      <c r="F368" s="3" t="s">
        <v>5211</v>
      </c>
      <c r="G368" s="6" t="s">
        <v>5212</v>
      </c>
      <c r="H368" s="3" t="s">
        <v>5213</v>
      </c>
      <c r="I368" s="3" t="s">
        <v>2529</v>
      </c>
      <c r="J368" s="3" t="s">
        <v>2518</v>
      </c>
      <c r="K368" s="3" t="s">
        <v>2519</v>
      </c>
      <c r="L368" s="3" t="s">
        <v>5214</v>
      </c>
      <c r="M368" s="3" t="s">
        <v>2521</v>
      </c>
      <c r="N368" s="3" t="s">
        <v>1931</v>
      </c>
      <c r="O368" s="3" t="s">
        <v>5215</v>
      </c>
      <c r="P368" s="3">
        <v>35</v>
      </c>
      <c r="Q368" s="3" t="s">
        <v>5216</v>
      </c>
      <c r="R368" s="3" t="s">
        <v>5217</v>
      </c>
      <c r="S368" s="3" t="s">
        <v>482</v>
      </c>
      <c r="T368" s="3" t="s">
        <v>482</v>
      </c>
    </row>
    <row r="369" spans="1:20" ht="409.6" hidden="1" x14ac:dyDescent="0.2">
      <c r="A369" s="3" t="s">
        <v>5218</v>
      </c>
      <c r="B369" s="3" t="s">
        <v>5219</v>
      </c>
      <c r="C369" s="3" t="s">
        <v>5210</v>
      </c>
      <c r="D369" s="3">
        <v>21</v>
      </c>
      <c r="E369" s="3" t="s">
        <v>2514</v>
      </c>
      <c r="F369" s="3" t="s">
        <v>5220</v>
      </c>
      <c r="G369" s="6" t="s">
        <v>5221</v>
      </c>
      <c r="H369" s="3" t="s">
        <v>5222</v>
      </c>
      <c r="I369" s="3" t="s">
        <v>2529</v>
      </c>
      <c r="J369" s="3" t="s">
        <v>5223</v>
      </c>
      <c r="K369" s="3" t="s">
        <v>2538</v>
      </c>
      <c r="L369" s="3" t="s">
        <v>4232</v>
      </c>
      <c r="M369" s="3" t="s">
        <v>2540</v>
      </c>
      <c r="N369" s="3" t="s">
        <v>1931</v>
      </c>
      <c r="O369" s="3" t="s">
        <v>5224</v>
      </c>
      <c r="P369" s="3">
        <v>44</v>
      </c>
      <c r="Q369" s="3" t="s">
        <v>5225</v>
      </c>
      <c r="R369" s="3" t="s">
        <v>5226</v>
      </c>
      <c r="S369" s="3" t="s">
        <v>482</v>
      </c>
      <c r="T369" s="3" t="s">
        <v>482</v>
      </c>
    </row>
    <row r="370" spans="1:20" ht="409.6" hidden="1" x14ac:dyDescent="0.2">
      <c r="A370" s="3" t="s">
        <v>5227</v>
      </c>
      <c r="B370" s="3" t="s">
        <v>5228</v>
      </c>
      <c r="C370" s="3" t="s">
        <v>5210</v>
      </c>
      <c r="D370" s="3">
        <v>29</v>
      </c>
      <c r="E370" s="3" t="s">
        <v>2514</v>
      </c>
      <c r="F370" s="3" t="s">
        <v>5229</v>
      </c>
      <c r="G370" s="6" t="s">
        <v>5230</v>
      </c>
      <c r="H370" s="3" t="s">
        <v>5231</v>
      </c>
      <c r="I370" s="3" t="s">
        <v>2529</v>
      </c>
      <c r="J370" s="3" t="s">
        <v>5223</v>
      </c>
      <c r="K370" s="3" t="s">
        <v>2519</v>
      </c>
      <c r="L370" s="3" t="s">
        <v>5232</v>
      </c>
      <c r="M370" s="3" t="s">
        <v>2521</v>
      </c>
      <c r="N370" s="3" t="s">
        <v>1931</v>
      </c>
      <c r="O370" s="3" t="s">
        <v>5233</v>
      </c>
      <c r="P370" s="3">
        <v>45</v>
      </c>
      <c r="Q370" s="3" t="s">
        <v>5234</v>
      </c>
      <c r="R370" s="3" t="s">
        <v>5235</v>
      </c>
      <c r="S370" s="3" t="s">
        <v>482</v>
      </c>
      <c r="T370" s="3" t="s">
        <v>482</v>
      </c>
    </row>
    <row r="371" spans="1:20" ht="409.6" hidden="1" x14ac:dyDescent="0.2">
      <c r="A371" s="3" t="s">
        <v>5236</v>
      </c>
      <c r="B371" s="3" t="s">
        <v>5237</v>
      </c>
      <c r="C371" s="3" t="s">
        <v>5238</v>
      </c>
      <c r="D371" s="3">
        <v>35</v>
      </c>
      <c r="E371" s="3" t="s">
        <v>2504</v>
      </c>
      <c r="F371" s="3" t="s">
        <v>5239</v>
      </c>
      <c r="G371" s="6" t="s">
        <v>5240</v>
      </c>
      <c r="H371" s="3" t="s">
        <v>5241</v>
      </c>
      <c r="I371" s="3" t="s">
        <v>2508</v>
      </c>
      <c r="J371" s="3" t="s">
        <v>3751</v>
      </c>
      <c r="K371" s="3" t="s">
        <v>2519</v>
      </c>
      <c r="L371" s="3" t="s">
        <v>482</v>
      </c>
      <c r="M371" s="3" t="s">
        <v>3050</v>
      </c>
      <c r="N371" s="3" t="s">
        <v>1931</v>
      </c>
      <c r="O371" s="3" t="s">
        <v>5242</v>
      </c>
      <c r="P371" s="3">
        <v>41</v>
      </c>
      <c r="Q371" s="3" t="s">
        <v>5243</v>
      </c>
      <c r="R371" s="3" t="s">
        <v>5244</v>
      </c>
      <c r="S371" s="3" t="s">
        <v>482</v>
      </c>
      <c r="T371" s="3" t="s">
        <v>482</v>
      </c>
    </row>
    <row r="372" spans="1:20" ht="409.6" hidden="1" x14ac:dyDescent="0.2">
      <c r="A372" s="3" t="s">
        <v>5245</v>
      </c>
      <c r="B372" s="3" t="s">
        <v>5246</v>
      </c>
      <c r="C372" s="3" t="s">
        <v>5238</v>
      </c>
      <c r="D372" s="3">
        <v>52</v>
      </c>
      <c r="E372" s="3" t="s">
        <v>2514</v>
      </c>
      <c r="F372" s="3" t="s">
        <v>5247</v>
      </c>
      <c r="G372" s="6" t="s">
        <v>5248</v>
      </c>
      <c r="H372" s="3" t="s">
        <v>5249</v>
      </c>
      <c r="I372" s="3" t="s">
        <v>2529</v>
      </c>
      <c r="J372" s="3" t="s">
        <v>2547</v>
      </c>
      <c r="K372" s="3" t="s">
        <v>2538</v>
      </c>
      <c r="L372" s="3" t="s">
        <v>2531</v>
      </c>
      <c r="M372" s="3" t="s">
        <v>5250</v>
      </c>
      <c r="N372" s="3" t="s">
        <v>1931</v>
      </c>
      <c r="O372" s="3" t="s">
        <v>5251</v>
      </c>
      <c r="P372" s="3">
        <v>89</v>
      </c>
      <c r="Q372" s="3" t="s">
        <v>5252</v>
      </c>
      <c r="R372" s="3" t="s">
        <v>5253</v>
      </c>
      <c r="S372" s="3" t="s">
        <v>482</v>
      </c>
      <c r="T372" s="3" t="s">
        <v>482</v>
      </c>
    </row>
    <row r="373" spans="1:20" ht="409.6" hidden="1" x14ac:dyDescent="0.2">
      <c r="A373" s="3" t="s">
        <v>5254</v>
      </c>
      <c r="B373" s="3" t="s">
        <v>5255</v>
      </c>
      <c r="C373" s="3" t="s">
        <v>5238</v>
      </c>
      <c r="D373" s="3">
        <v>111</v>
      </c>
      <c r="E373" s="3" t="s">
        <v>2635</v>
      </c>
      <c r="F373" s="3" t="s">
        <v>5256</v>
      </c>
      <c r="G373" s="6" t="s">
        <v>5257</v>
      </c>
      <c r="H373" s="3" t="s">
        <v>5258</v>
      </c>
      <c r="I373" s="3" t="s">
        <v>2508</v>
      </c>
      <c r="J373" s="3" t="s">
        <v>5259</v>
      </c>
      <c r="K373" s="3" t="s">
        <v>5260</v>
      </c>
      <c r="L373" s="3" t="s">
        <v>482</v>
      </c>
      <c r="M373" s="3" t="s">
        <v>2540</v>
      </c>
      <c r="N373" s="3" t="s">
        <v>1816</v>
      </c>
      <c r="O373" s="3" t="s">
        <v>5261</v>
      </c>
      <c r="P373" s="3">
        <v>93</v>
      </c>
      <c r="Q373" s="3" t="s">
        <v>5262</v>
      </c>
      <c r="R373" s="3" t="s">
        <v>5263</v>
      </c>
      <c r="S373" s="3" t="s">
        <v>482</v>
      </c>
      <c r="T373" s="3" t="s">
        <v>482</v>
      </c>
    </row>
    <row r="374" spans="1:20" ht="160" hidden="1" x14ac:dyDescent="0.2">
      <c r="A374" s="3" t="s">
        <v>5264</v>
      </c>
      <c r="B374" s="3" t="s">
        <v>5265</v>
      </c>
      <c r="C374" s="3" t="s">
        <v>5238</v>
      </c>
      <c r="D374" s="3">
        <v>124</v>
      </c>
      <c r="E374" s="3" t="s">
        <v>2514</v>
      </c>
      <c r="F374" s="3" t="s">
        <v>5266</v>
      </c>
      <c r="G374" s="6" t="s">
        <v>5267</v>
      </c>
      <c r="H374" s="3" t="s">
        <v>5268</v>
      </c>
      <c r="I374" s="3" t="s">
        <v>2529</v>
      </c>
      <c r="J374" s="3" t="s">
        <v>2547</v>
      </c>
      <c r="K374" s="3" t="s">
        <v>2538</v>
      </c>
      <c r="L374" s="3" t="s">
        <v>2531</v>
      </c>
      <c r="M374" s="3" t="s">
        <v>2540</v>
      </c>
      <c r="N374" s="3" t="s">
        <v>1931</v>
      </c>
      <c r="O374" s="3" t="s">
        <v>5269</v>
      </c>
      <c r="P374" s="3">
        <v>5</v>
      </c>
      <c r="Q374" s="3" t="s">
        <v>5270</v>
      </c>
      <c r="R374" s="3" t="s">
        <v>5271</v>
      </c>
      <c r="S374" s="3" t="s">
        <v>482</v>
      </c>
      <c r="T374" s="3" t="s">
        <v>5272</v>
      </c>
    </row>
    <row r="375" spans="1:20" ht="42" hidden="1" x14ac:dyDescent="0.2">
      <c r="A375" s="3" t="s">
        <v>5273</v>
      </c>
      <c r="B375" s="3" t="s">
        <v>5274</v>
      </c>
      <c r="C375" s="3" t="s">
        <v>5275</v>
      </c>
      <c r="D375" s="3">
        <v>17</v>
      </c>
      <c r="E375" s="3" t="s">
        <v>2514</v>
      </c>
      <c r="F375" s="3" t="s">
        <v>5276</v>
      </c>
      <c r="G375" s="6" t="s">
        <v>5277</v>
      </c>
      <c r="H375" s="3" t="s">
        <v>5278</v>
      </c>
      <c r="I375" s="3" t="s">
        <v>2529</v>
      </c>
      <c r="J375" s="3" t="s">
        <v>2547</v>
      </c>
      <c r="K375" s="3" t="s">
        <v>5279</v>
      </c>
      <c r="L375" s="3" t="s">
        <v>2531</v>
      </c>
      <c r="M375" s="3" t="s">
        <v>2540</v>
      </c>
      <c r="N375" s="3" t="s">
        <v>1931</v>
      </c>
      <c r="O375" s="3" t="s">
        <v>482</v>
      </c>
      <c r="P375" s="3">
        <v>0</v>
      </c>
      <c r="Q375" s="3" t="s">
        <v>2560</v>
      </c>
      <c r="R375" s="3" t="s">
        <v>405</v>
      </c>
      <c r="S375" s="3" t="s">
        <v>482</v>
      </c>
      <c r="T375" s="3" t="s">
        <v>482</v>
      </c>
    </row>
    <row r="376" spans="1:20" ht="70" hidden="1" x14ac:dyDescent="0.2">
      <c r="A376" s="3" t="s">
        <v>5280</v>
      </c>
      <c r="B376" s="3" t="s">
        <v>5281</v>
      </c>
      <c r="C376" s="3" t="s">
        <v>5275</v>
      </c>
      <c r="D376" s="3">
        <v>29</v>
      </c>
      <c r="E376" s="3" t="s">
        <v>2514</v>
      </c>
      <c r="F376" s="3" t="s">
        <v>5282</v>
      </c>
      <c r="G376" s="6" t="s">
        <v>5283</v>
      </c>
      <c r="H376" s="3" t="s">
        <v>5284</v>
      </c>
      <c r="I376" s="3" t="s">
        <v>2529</v>
      </c>
      <c r="J376" s="3" t="s">
        <v>5285</v>
      </c>
      <c r="K376" s="3" t="s">
        <v>5279</v>
      </c>
      <c r="L376" s="3" t="s">
        <v>2531</v>
      </c>
      <c r="M376" s="3" t="s">
        <v>2540</v>
      </c>
      <c r="N376" s="3" t="s">
        <v>1931</v>
      </c>
      <c r="O376" s="3" t="s">
        <v>482</v>
      </c>
      <c r="P376" s="3">
        <v>0</v>
      </c>
      <c r="Q376" s="3" t="s">
        <v>2560</v>
      </c>
      <c r="R376" s="3" t="s">
        <v>405</v>
      </c>
      <c r="S376" s="3" t="s">
        <v>482</v>
      </c>
      <c r="T376" s="3" t="s">
        <v>482</v>
      </c>
    </row>
    <row r="377" spans="1:20" ht="84" hidden="1" x14ac:dyDescent="0.2">
      <c r="A377" s="3" t="s">
        <v>5286</v>
      </c>
      <c r="B377" s="3" t="s">
        <v>5287</v>
      </c>
      <c r="C377" s="3" t="s">
        <v>5288</v>
      </c>
      <c r="D377" s="3">
        <v>23</v>
      </c>
      <c r="E377" s="3" t="s">
        <v>2641</v>
      </c>
      <c r="F377" s="3" t="s">
        <v>5289</v>
      </c>
      <c r="G377" s="6" t="s">
        <v>5290</v>
      </c>
      <c r="H377" s="3" t="s">
        <v>5291</v>
      </c>
      <c r="I377" s="3" t="s">
        <v>2508</v>
      </c>
      <c r="J377" s="3" t="s">
        <v>2547</v>
      </c>
      <c r="K377" s="3" t="s">
        <v>4909</v>
      </c>
      <c r="L377" s="3" t="s">
        <v>482</v>
      </c>
      <c r="M377" s="3" t="s">
        <v>2540</v>
      </c>
      <c r="N377" s="3" t="s">
        <v>1931</v>
      </c>
      <c r="O377" s="3" t="s">
        <v>5292</v>
      </c>
      <c r="P377" s="3">
        <v>1</v>
      </c>
      <c r="Q377" s="3" t="s">
        <v>5292</v>
      </c>
      <c r="R377" s="3" t="s">
        <v>5293</v>
      </c>
      <c r="S377" s="3" t="s">
        <v>482</v>
      </c>
      <c r="T377" s="3" t="s">
        <v>482</v>
      </c>
    </row>
    <row r="378" spans="1:20" ht="32" hidden="1" x14ac:dyDescent="0.2">
      <c r="A378" s="3" t="s">
        <v>5294</v>
      </c>
      <c r="B378" s="3" t="s">
        <v>5295</v>
      </c>
      <c r="C378" s="3" t="s">
        <v>5288</v>
      </c>
      <c r="D378" s="3">
        <v>53</v>
      </c>
      <c r="E378" s="3" t="s">
        <v>2641</v>
      </c>
      <c r="F378" s="3" t="s">
        <v>5296</v>
      </c>
      <c r="G378" s="6" t="s">
        <v>2642</v>
      </c>
      <c r="H378" s="3" t="s">
        <v>2642</v>
      </c>
      <c r="I378" s="3" t="s">
        <v>2637</v>
      </c>
      <c r="J378" s="3" t="s">
        <v>5297</v>
      </c>
      <c r="K378" s="3" t="s">
        <v>4909</v>
      </c>
      <c r="L378" s="3" t="s">
        <v>482</v>
      </c>
      <c r="M378" s="3" t="s">
        <v>2540</v>
      </c>
      <c r="N378" s="3" t="s">
        <v>1931</v>
      </c>
      <c r="O378" s="3" t="s">
        <v>482</v>
      </c>
      <c r="P378" s="3">
        <v>0</v>
      </c>
      <c r="Q378" s="3" t="s">
        <v>2560</v>
      </c>
      <c r="R378" s="3" t="s">
        <v>405</v>
      </c>
      <c r="S378" s="3" t="s">
        <v>482</v>
      </c>
      <c r="T378" s="3" t="s">
        <v>482</v>
      </c>
    </row>
    <row r="379" spans="1:20" ht="32" hidden="1" x14ac:dyDescent="0.2">
      <c r="A379" s="3" t="s">
        <v>5298</v>
      </c>
      <c r="B379" s="3" t="s">
        <v>5299</v>
      </c>
      <c r="C379" s="3" t="s">
        <v>5288</v>
      </c>
      <c r="D379" s="3">
        <v>66</v>
      </c>
      <c r="E379" s="3" t="s">
        <v>2641</v>
      </c>
      <c r="F379" s="3" t="s">
        <v>5300</v>
      </c>
      <c r="G379" s="6" t="s">
        <v>2642</v>
      </c>
      <c r="H379" s="3" t="s">
        <v>2642</v>
      </c>
      <c r="I379" s="3" t="s">
        <v>2637</v>
      </c>
      <c r="J379" s="3" t="s">
        <v>5301</v>
      </c>
      <c r="K379" s="3" t="s">
        <v>4909</v>
      </c>
      <c r="L379" s="3" t="s">
        <v>482</v>
      </c>
      <c r="M379" s="3" t="s">
        <v>2540</v>
      </c>
      <c r="N379" s="3" t="s">
        <v>1931</v>
      </c>
      <c r="O379" s="3" t="s">
        <v>482</v>
      </c>
      <c r="P379" s="3">
        <v>0</v>
      </c>
      <c r="Q379" s="3" t="s">
        <v>2560</v>
      </c>
      <c r="R379" s="3" t="s">
        <v>405</v>
      </c>
      <c r="S379" s="3" t="s">
        <v>482</v>
      </c>
      <c r="T379" s="3" t="s">
        <v>482</v>
      </c>
    </row>
    <row r="380" spans="1:20" ht="32" hidden="1" x14ac:dyDescent="0.2">
      <c r="A380" s="3" t="s">
        <v>5302</v>
      </c>
      <c r="B380" s="3" t="s">
        <v>5303</v>
      </c>
      <c r="C380" s="3" t="s">
        <v>5288</v>
      </c>
      <c r="D380" s="3">
        <v>77</v>
      </c>
      <c r="E380" s="3" t="s">
        <v>2635</v>
      </c>
      <c r="F380" s="3" t="s">
        <v>5304</v>
      </c>
      <c r="G380" s="6" t="s">
        <v>5305</v>
      </c>
      <c r="H380" s="3" t="s">
        <v>5306</v>
      </c>
      <c r="I380" s="3" t="s">
        <v>2529</v>
      </c>
      <c r="J380" s="3" t="s">
        <v>2547</v>
      </c>
      <c r="K380" s="3" t="s">
        <v>2972</v>
      </c>
      <c r="L380" s="3" t="s">
        <v>482</v>
      </c>
      <c r="M380" s="3" t="s">
        <v>2540</v>
      </c>
      <c r="N380" s="3" t="s">
        <v>1816</v>
      </c>
      <c r="O380" s="3" t="s">
        <v>482</v>
      </c>
      <c r="P380" s="3">
        <v>0</v>
      </c>
      <c r="Q380" s="3" t="s">
        <v>2560</v>
      </c>
      <c r="R380" s="3" t="s">
        <v>405</v>
      </c>
      <c r="S380" s="3" t="s">
        <v>482</v>
      </c>
      <c r="T380" s="3" t="s">
        <v>482</v>
      </c>
    </row>
    <row r="381" spans="1:20" ht="48" hidden="1" x14ac:dyDescent="0.2">
      <c r="A381" s="3" t="s">
        <v>5307</v>
      </c>
      <c r="B381" s="3" t="s">
        <v>5308</v>
      </c>
      <c r="C381" s="3" t="s">
        <v>5288</v>
      </c>
      <c r="D381" s="3">
        <v>83</v>
      </c>
      <c r="E381" s="3" t="s">
        <v>2514</v>
      </c>
      <c r="F381" s="3" t="s">
        <v>5309</v>
      </c>
      <c r="G381" s="6" t="s">
        <v>5305</v>
      </c>
      <c r="H381" s="3" t="s">
        <v>5306</v>
      </c>
      <c r="I381" s="3" t="s">
        <v>2529</v>
      </c>
      <c r="J381" s="3" t="s">
        <v>2547</v>
      </c>
      <c r="K381" s="3" t="s">
        <v>2972</v>
      </c>
      <c r="L381" s="3" t="s">
        <v>5310</v>
      </c>
      <c r="M381" s="3" t="s">
        <v>2540</v>
      </c>
      <c r="N381" s="3" t="s">
        <v>1931</v>
      </c>
      <c r="O381" s="3" t="s">
        <v>5292</v>
      </c>
      <c r="P381" s="3">
        <v>1</v>
      </c>
      <c r="Q381" s="3" t="s">
        <v>5292</v>
      </c>
      <c r="R381" s="3" t="s">
        <v>5311</v>
      </c>
      <c r="S381" s="3" t="s">
        <v>482</v>
      </c>
      <c r="T381" s="3" t="s">
        <v>482</v>
      </c>
    </row>
    <row r="382" spans="1:20" ht="48" hidden="1" x14ac:dyDescent="0.2">
      <c r="A382" s="3" t="s">
        <v>5312</v>
      </c>
      <c r="B382" s="3" t="s">
        <v>5313</v>
      </c>
      <c r="C382" s="3" t="s">
        <v>5314</v>
      </c>
      <c r="D382" s="3">
        <v>41</v>
      </c>
      <c r="E382" s="3" t="s">
        <v>2641</v>
      </c>
      <c r="F382" s="3" t="s">
        <v>5315</v>
      </c>
      <c r="G382" s="6" t="s">
        <v>3398</v>
      </c>
      <c r="H382" s="3" t="s">
        <v>3398</v>
      </c>
      <c r="I382" s="3" t="s">
        <v>3399</v>
      </c>
      <c r="J382" s="3" t="s">
        <v>5316</v>
      </c>
      <c r="K382" s="3" t="s">
        <v>2922</v>
      </c>
      <c r="L382" s="3" t="s">
        <v>482</v>
      </c>
      <c r="M382" s="3" t="s">
        <v>2540</v>
      </c>
      <c r="N382" s="3" t="s">
        <v>1931</v>
      </c>
      <c r="O382" s="3" t="s">
        <v>482</v>
      </c>
      <c r="P382" s="3">
        <v>0</v>
      </c>
      <c r="Q382" s="3" t="s">
        <v>2560</v>
      </c>
      <c r="R382" s="3" t="s">
        <v>405</v>
      </c>
      <c r="S382" s="3" t="s">
        <v>482</v>
      </c>
      <c r="T382" s="3" t="s">
        <v>482</v>
      </c>
    </row>
    <row r="383" spans="1:20" ht="32" hidden="1" x14ac:dyDescent="0.2">
      <c r="A383" s="3" t="s">
        <v>5317</v>
      </c>
      <c r="B383" s="3" t="s">
        <v>5318</v>
      </c>
      <c r="C383" s="3" t="s">
        <v>5314</v>
      </c>
      <c r="D383" s="3">
        <v>46</v>
      </c>
      <c r="E383" s="3" t="s">
        <v>2504</v>
      </c>
      <c r="F383" s="3" t="s">
        <v>5319</v>
      </c>
      <c r="G383" s="6" t="s">
        <v>5320</v>
      </c>
      <c r="H383" s="3" t="s">
        <v>5321</v>
      </c>
      <c r="I383" s="3" t="s">
        <v>2529</v>
      </c>
      <c r="J383" s="3" t="s">
        <v>2547</v>
      </c>
      <c r="K383" s="3" t="s">
        <v>5322</v>
      </c>
      <c r="L383" s="3" t="s">
        <v>482</v>
      </c>
      <c r="M383" s="3" t="s">
        <v>2540</v>
      </c>
      <c r="N383" s="3" t="s">
        <v>1931</v>
      </c>
      <c r="O383" s="3" t="s">
        <v>482</v>
      </c>
      <c r="P383" s="3">
        <v>0</v>
      </c>
      <c r="Q383" s="3" t="s">
        <v>2560</v>
      </c>
      <c r="R383" s="3" t="s">
        <v>405</v>
      </c>
      <c r="S383" s="3" t="s">
        <v>482</v>
      </c>
      <c r="T383" s="3" t="s">
        <v>482</v>
      </c>
    </row>
    <row r="384" spans="1:20" ht="42" hidden="1" x14ac:dyDescent="0.2">
      <c r="A384" s="3" t="s">
        <v>5323</v>
      </c>
      <c r="B384" s="3" t="s">
        <v>5324</v>
      </c>
      <c r="C384" s="3" t="s">
        <v>5314</v>
      </c>
      <c r="D384" s="3">
        <v>52</v>
      </c>
      <c r="E384" s="3" t="s">
        <v>2641</v>
      </c>
      <c r="F384" s="3" t="s">
        <v>5325</v>
      </c>
      <c r="G384" s="6" t="s">
        <v>3398</v>
      </c>
      <c r="H384" s="3" t="s">
        <v>3398</v>
      </c>
      <c r="I384" s="3" t="s">
        <v>3399</v>
      </c>
      <c r="J384" s="3" t="s">
        <v>2547</v>
      </c>
      <c r="K384" s="3" t="s">
        <v>2922</v>
      </c>
      <c r="L384" s="3" t="s">
        <v>482</v>
      </c>
      <c r="M384" s="3" t="s">
        <v>2540</v>
      </c>
      <c r="N384" s="3" t="s">
        <v>1931</v>
      </c>
      <c r="O384" s="3" t="s">
        <v>482</v>
      </c>
      <c r="P384" s="3">
        <v>0</v>
      </c>
      <c r="Q384" s="3" t="s">
        <v>2560</v>
      </c>
      <c r="R384" s="3" t="s">
        <v>405</v>
      </c>
      <c r="S384" s="3" t="s">
        <v>482</v>
      </c>
      <c r="T384" s="3" t="s">
        <v>482</v>
      </c>
    </row>
    <row r="385" spans="1:20" ht="48" hidden="1" x14ac:dyDescent="0.2">
      <c r="A385" s="3" t="s">
        <v>5326</v>
      </c>
      <c r="B385" s="3" t="s">
        <v>5327</v>
      </c>
      <c r="C385" s="3" t="s">
        <v>5314</v>
      </c>
      <c r="D385" s="3">
        <v>59</v>
      </c>
      <c r="E385" s="3" t="s">
        <v>2504</v>
      </c>
      <c r="F385" s="3" t="s">
        <v>5328</v>
      </c>
      <c r="G385" s="6" t="s">
        <v>5329</v>
      </c>
      <c r="H385" s="3" t="s">
        <v>5330</v>
      </c>
      <c r="I385" s="3" t="s">
        <v>2508</v>
      </c>
      <c r="J385" s="3" t="s">
        <v>2547</v>
      </c>
      <c r="K385" s="3" t="s">
        <v>3348</v>
      </c>
      <c r="L385" s="3" t="s">
        <v>482</v>
      </c>
      <c r="M385" s="3" t="s">
        <v>2540</v>
      </c>
      <c r="N385" s="3" t="s">
        <v>1931</v>
      </c>
      <c r="O385" s="3" t="s">
        <v>482</v>
      </c>
      <c r="P385" s="3">
        <v>0</v>
      </c>
      <c r="Q385" s="3" t="s">
        <v>2560</v>
      </c>
      <c r="R385" s="3" t="s">
        <v>405</v>
      </c>
      <c r="S385" s="3" t="s">
        <v>482</v>
      </c>
      <c r="T385" s="3" t="s">
        <v>482</v>
      </c>
    </row>
    <row r="386" spans="1:20" ht="84" hidden="1" x14ac:dyDescent="0.2">
      <c r="A386" s="3" t="s">
        <v>5331</v>
      </c>
      <c r="B386" s="3" t="s">
        <v>5332</v>
      </c>
      <c r="C386" s="3" t="s">
        <v>5314</v>
      </c>
      <c r="D386" s="3">
        <v>63</v>
      </c>
      <c r="E386" s="3" t="s">
        <v>2504</v>
      </c>
      <c r="F386" s="3" t="s">
        <v>5333</v>
      </c>
      <c r="G386" s="6" t="s">
        <v>5334</v>
      </c>
      <c r="H386" s="3" t="s">
        <v>5335</v>
      </c>
      <c r="I386" s="3" t="s">
        <v>2508</v>
      </c>
      <c r="J386" s="3" t="s">
        <v>2547</v>
      </c>
      <c r="K386" s="3" t="s">
        <v>3348</v>
      </c>
      <c r="L386" s="3" t="s">
        <v>482</v>
      </c>
      <c r="M386" s="3" t="s">
        <v>5112</v>
      </c>
      <c r="N386" s="3" t="s">
        <v>1931</v>
      </c>
      <c r="O386" s="3" t="s">
        <v>5336</v>
      </c>
      <c r="P386" s="3">
        <v>1</v>
      </c>
      <c r="Q386" s="3" t="s">
        <v>5336</v>
      </c>
      <c r="R386" s="3" t="s">
        <v>5337</v>
      </c>
      <c r="S386" s="3" t="s">
        <v>482</v>
      </c>
      <c r="T386" s="3" t="s">
        <v>482</v>
      </c>
    </row>
    <row r="387" spans="1:20" ht="64" hidden="1" x14ac:dyDescent="0.2">
      <c r="A387" s="3" t="s">
        <v>5338</v>
      </c>
      <c r="B387" s="3" t="s">
        <v>5339</v>
      </c>
      <c r="C387" s="3" t="s">
        <v>5314</v>
      </c>
      <c r="D387" s="3">
        <v>82</v>
      </c>
      <c r="E387" s="3" t="s">
        <v>2504</v>
      </c>
      <c r="F387" s="3" t="s">
        <v>5340</v>
      </c>
      <c r="G387" s="6" t="s">
        <v>5341</v>
      </c>
      <c r="H387" s="3" t="s">
        <v>5342</v>
      </c>
      <c r="I387" s="3" t="s">
        <v>2529</v>
      </c>
      <c r="J387" s="3" t="s">
        <v>5343</v>
      </c>
      <c r="K387" s="3" t="s">
        <v>5344</v>
      </c>
      <c r="L387" s="3" t="s">
        <v>482</v>
      </c>
      <c r="M387" s="3" t="s">
        <v>2540</v>
      </c>
      <c r="N387" s="3" t="s">
        <v>1931</v>
      </c>
      <c r="O387" s="3" t="s">
        <v>482</v>
      </c>
      <c r="P387" s="3">
        <v>0</v>
      </c>
      <c r="Q387" s="3" t="s">
        <v>2560</v>
      </c>
      <c r="R387" s="3" t="s">
        <v>405</v>
      </c>
      <c r="S387" s="3" t="s">
        <v>482</v>
      </c>
      <c r="T387" s="3" t="s">
        <v>482</v>
      </c>
    </row>
    <row r="388" spans="1:20" ht="48" hidden="1" x14ac:dyDescent="0.2">
      <c r="A388" s="3" t="s">
        <v>5345</v>
      </c>
      <c r="B388" s="3" t="s">
        <v>5346</v>
      </c>
      <c r="C388" s="3" t="s">
        <v>5314</v>
      </c>
      <c r="D388" s="3">
        <v>86</v>
      </c>
      <c r="E388" s="3" t="s">
        <v>2504</v>
      </c>
      <c r="F388" s="3" t="s">
        <v>5347</v>
      </c>
      <c r="G388" s="6" t="s">
        <v>5348</v>
      </c>
      <c r="H388" s="3" t="s">
        <v>5349</v>
      </c>
      <c r="I388" s="3" t="s">
        <v>2529</v>
      </c>
      <c r="J388" s="3" t="s">
        <v>5350</v>
      </c>
      <c r="K388" s="3" t="s">
        <v>3612</v>
      </c>
      <c r="L388" s="3" t="s">
        <v>482</v>
      </c>
      <c r="M388" s="3" t="s">
        <v>2540</v>
      </c>
      <c r="N388" s="3" t="s">
        <v>1931</v>
      </c>
      <c r="O388" s="3" t="s">
        <v>5351</v>
      </c>
      <c r="P388" s="3">
        <v>2</v>
      </c>
      <c r="Q388" s="3" t="s">
        <v>5352</v>
      </c>
      <c r="R388" s="3" t="s">
        <v>5353</v>
      </c>
      <c r="S388" s="3" t="s">
        <v>482</v>
      </c>
      <c r="T388" s="3" t="s">
        <v>482</v>
      </c>
    </row>
    <row r="389" spans="1:20" ht="48" hidden="1" x14ac:dyDescent="0.2">
      <c r="A389" s="3" t="s">
        <v>5354</v>
      </c>
      <c r="B389" s="3" t="s">
        <v>5355</v>
      </c>
      <c r="C389" s="3" t="s">
        <v>5314</v>
      </c>
      <c r="D389" s="3">
        <v>90</v>
      </c>
      <c r="E389" s="3" t="s">
        <v>2504</v>
      </c>
      <c r="F389" s="3" t="s">
        <v>5356</v>
      </c>
      <c r="G389" s="6" t="s">
        <v>5357</v>
      </c>
      <c r="H389" s="3" t="s">
        <v>5358</v>
      </c>
      <c r="I389" s="3" t="s">
        <v>2529</v>
      </c>
      <c r="J389" s="3" t="s">
        <v>5359</v>
      </c>
      <c r="K389" s="3" t="s">
        <v>3612</v>
      </c>
      <c r="L389" s="3" t="s">
        <v>482</v>
      </c>
      <c r="M389" s="3" t="s">
        <v>2540</v>
      </c>
      <c r="N389" s="3" t="s">
        <v>1931</v>
      </c>
      <c r="O389" s="3" t="s">
        <v>5351</v>
      </c>
      <c r="P389" s="3">
        <v>2</v>
      </c>
      <c r="Q389" s="3" t="s">
        <v>5352</v>
      </c>
      <c r="R389" s="3" t="s">
        <v>5360</v>
      </c>
      <c r="S389" s="3" t="s">
        <v>482</v>
      </c>
      <c r="T389" s="3" t="s">
        <v>482</v>
      </c>
    </row>
    <row r="390" spans="1:20" ht="64" hidden="1" x14ac:dyDescent="0.2">
      <c r="A390" s="3" t="s">
        <v>5361</v>
      </c>
      <c r="B390" s="3" t="s">
        <v>5362</v>
      </c>
      <c r="C390" s="3" t="s">
        <v>5314</v>
      </c>
      <c r="D390" s="3">
        <v>94</v>
      </c>
      <c r="E390" s="3" t="s">
        <v>2504</v>
      </c>
      <c r="F390" s="3" t="s">
        <v>5363</v>
      </c>
      <c r="G390" s="6" t="s">
        <v>5364</v>
      </c>
      <c r="H390" s="3" t="s">
        <v>5365</v>
      </c>
      <c r="I390" s="3" t="s">
        <v>2508</v>
      </c>
      <c r="J390" s="3" t="s">
        <v>5366</v>
      </c>
      <c r="K390" s="3" t="s">
        <v>5344</v>
      </c>
      <c r="L390" s="3" t="s">
        <v>482</v>
      </c>
      <c r="M390" s="3" t="s">
        <v>2540</v>
      </c>
      <c r="N390" s="3" t="s">
        <v>1931</v>
      </c>
      <c r="O390" s="3" t="s">
        <v>482</v>
      </c>
      <c r="P390" s="3">
        <v>0</v>
      </c>
      <c r="Q390" s="3" t="s">
        <v>2560</v>
      </c>
      <c r="R390" s="3" t="s">
        <v>405</v>
      </c>
      <c r="S390" s="3" t="s">
        <v>482</v>
      </c>
      <c r="T390" s="3" t="s">
        <v>482</v>
      </c>
    </row>
    <row r="391" spans="1:20" ht="64" hidden="1" x14ac:dyDescent="0.2">
      <c r="A391" s="3" t="s">
        <v>5367</v>
      </c>
      <c r="B391" s="3" t="s">
        <v>5368</v>
      </c>
      <c r="C391" s="3" t="s">
        <v>5314</v>
      </c>
      <c r="D391" s="3">
        <v>98</v>
      </c>
      <c r="E391" s="3" t="s">
        <v>2504</v>
      </c>
      <c r="F391" s="3" t="s">
        <v>5369</v>
      </c>
      <c r="G391" s="6" t="s">
        <v>5370</v>
      </c>
      <c r="H391" s="3" t="s">
        <v>5371</v>
      </c>
      <c r="I391" s="3" t="s">
        <v>2529</v>
      </c>
      <c r="J391" s="3" t="s">
        <v>5372</v>
      </c>
      <c r="K391" s="3" t="s">
        <v>5344</v>
      </c>
      <c r="L391" s="3" t="s">
        <v>482</v>
      </c>
      <c r="M391" s="3" t="s">
        <v>2540</v>
      </c>
      <c r="N391" s="3" t="s">
        <v>1931</v>
      </c>
      <c r="O391" s="3" t="s">
        <v>482</v>
      </c>
      <c r="P391" s="3">
        <v>0</v>
      </c>
      <c r="Q391" s="3" t="s">
        <v>2560</v>
      </c>
      <c r="R391" s="3" t="s">
        <v>405</v>
      </c>
      <c r="S391" s="3" t="s">
        <v>482</v>
      </c>
      <c r="T391" s="3" t="s">
        <v>482</v>
      </c>
    </row>
    <row r="392" spans="1:20" ht="32" hidden="1" x14ac:dyDescent="0.2">
      <c r="A392" s="3" t="s">
        <v>5373</v>
      </c>
      <c r="B392" s="3" t="s">
        <v>5374</v>
      </c>
      <c r="C392" s="3" t="s">
        <v>5314</v>
      </c>
      <c r="D392" s="3">
        <v>103</v>
      </c>
      <c r="E392" s="3" t="s">
        <v>2504</v>
      </c>
      <c r="F392" s="3" t="s">
        <v>5375</v>
      </c>
      <c r="G392" s="6" t="s">
        <v>5376</v>
      </c>
      <c r="H392" s="3" t="s">
        <v>5377</v>
      </c>
      <c r="I392" s="3" t="s">
        <v>2508</v>
      </c>
      <c r="J392" s="3" t="s">
        <v>5378</v>
      </c>
      <c r="K392" s="3" t="s">
        <v>2972</v>
      </c>
      <c r="L392" s="3" t="s">
        <v>482</v>
      </c>
      <c r="M392" s="3" t="s">
        <v>2540</v>
      </c>
      <c r="N392" s="3" t="s">
        <v>1931</v>
      </c>
      <c r="O392" s="3" t="s">
        <v>482</v>
      </c>
      <c r="P392" s="3">
        <v>0</v>
      </c>
      <c r="Q392" s="3" t="s">
        <v>2560</v>
      </c>
      <c r="R392" s="3" t="s">
        <v>405</v>
      </c>
      <c r="S392" s="3" t="s">
        <v>482</v>
      </c>
      <c r="T392" s="3" t="s">
        <v>482</v>
      </c>
    </row>
    <row r="393" spans="1:20" ht="48" hidden="1" x14ac:dyDescent="0.2">
      <c r="A393" s="3" t="s">
        <v>5379</v>
      </c>
      <c r="B393" s="3" t="s">
        <v>5380</v>
      </c>
      <c r="C393" s="3" t="s">
        <v>5314</v>
      </c>
      <c r="D393" s="3">
        <v>106</v>
      </c>
      <c r="E393" s="3" t="s">
        <v>2504</v>
      </c>
      <c r="F393" s="3" t="s">
        <v>2616</v>
      </c>
      <c r="G393" s="6" t="s">
        <v>5381</v>
      </c>
      <c r="H393" s="3" t="s">
        <v>5382</v>
      </c>
      <c r="I393" s="3" t="s">
        <v>2508</v>
      </c>
      <c r="J393" s="3" t="s">
        <v>5383</v>
      </c>
      <c r="K393" s="3" t="s">
        <v>3348</v>
      </c>
      <c r="L393" s="3" t="s">
        <v>482</v>
      </c>
      <c r="M393" s="3" t="s">
        <v>2540</v>
      </c>
      <c r="N393" s="3" t="s">
        <v>1931</v>
      </c>
      <c r="O393" s="3" t="s">
        <v>482</v>
      </c>
      <c r="P393" s="3">
        <v>0</v>
      </c>
      <c r="Q393" s="3" t="s">
        <v>2560</v>
      </c>
      <c r="R393" s="3" t="s">
        <v>405</v>
      </c>
      <c r="S393" s="3" t="s">
        <v>482</v>
      </c>
      <c r="T393" s="3" t="s">
        <v>482</v>
      </c>
    </row>
    <row r="394" spans="1:20" ht="84" hidden="1" x14ac:dyDescent="0.2">
      <c r="A394" s="3" t="s">
        <v>5384</v>
      </c>
      <c r="B394" s="3" t="s">
        <v>5385</v>
      </c>
      <c r="C394" s="3" t="s">
        <v>5314</v>
      </c>
      <c r="D394" s="3">
        <v>110</v>
      </c>
      <c r="E394" s="3" t="s">
        <v>2504</v>
      </c>
      <c r="F394" s="3" t="s">
        <v>5386</v>
      </c>
      <c r="G394" s="6" t="s">
        <v>5387</v>
      </c>
      <c r="H394" s="3" t="s">
        <v>5388</v>
      </c>
      <c r="I394" s="3" t="s">
        <v>2508</v>
      </c>
      <c r="J394" s="3" t="s">
        <v>5389</v>
      </c>
      <c r="K394" s="3" t="s">
        <v>5390</v>
      </c>
      <c r="L394" s="3" t="s">
        <v>482</v>
      </c>
      <c r="M394" s="3" t="s">
        <v>2540</v>
      </c>
      <c r="N394" s="3" t="s">
        <v>1931</v>
      </c>
      <c r="O394" s="3" t="s">
        <v>5391</v>
      </c>
      <c r="P394" s="3">
        <v>1</v>
      </c>
      <c r="Q394" s="3" t="s">
        <v>5391</v>
      </c>
      <c r="R394" s="3" t="s">
        <v>5392</v>
      </c>
      <c r="S394" s="3" t="s">
        <v>482</v>
      </c>
      <c r="T394" s="3" t="s">
        <v>482</v>
      </c>
    </row>
    <row r="395" spans="1:20" ht="56" hidden="1" x14ac:dyDescent="0.2">
      <c r="A395" s="3" t="s">
        <v>5393</v>
      </c>
      <c r="B395" s="3" t="s">
        <v>5394</v>
      </c>
      <c r="C395" s="3" t="s">
        <v>5314</v>
      </c>
      <c r="D395" s="3">
        <v>123</v>
      </c>
      <c r="E395" s="3" t="s">
        <v>2504</v>
      </c>
      <c r="F395" s="3" t="s">
        <v>5395</v>
      </c>
      <c r="G395" s="6" t="s">
        <v>5396</v>
      </c>
      <c r="H395" s="3" t="s">
        <v>5397</v>
      </c>
      <c r="I395" s="3" t="s">
        <v>2529</v>
      </c>
      <c r="J395" s="3" t="s">
        <v>5398</v>
      </c>
      <c r="K395" s="3" t="s">
        <v>5322</v>
      </c>
      <c r="L395" s="3" t="s">
        <v>482</v>
      </c>
      <c r="M395" s="3" t="s">
        <v>2540</v>
      </c>
      <c r="N395" s="3" t="s">
        <v>1931</v>
      </c>
      <c r="O395" s="3" t="s">
        <v>5399</v>
      </c>
      <c r="P395" s="3">
        <v>2</v>
      </c>
      <c r="Q395" s="3" t="s">
        <v>5399</v>
      </c>
      <c r="R395" s="3" t="s">
        <v>5400</v>
      </c>
      <c r="S395" s="3" t="s">
        <v>482</v>
      </c>
      <c r="T395" s="3" t="s">
        <v>482</v>
      </c>
    </row>
    <row r="396" spans="1:20" ht="84" hidden="1" x14ac:dyDescent="0.2">
      <c r="A396" s="3" t="s">
        <v>5401</v>
      </c>
      <c r="B396" s="3" t="s">
        <v>5402</v>
      </c>
      <c r="C396" s="3" t="s">
        <v>5314</v>
      </c>
      <c r="D396" s="3">
        <v>129</v>
      </c>
      <c r="E396" s="3" t="s">
        <v>2504</v>
      </c>
      <c r="F396" s="3" t="s">
        <v>5403</v>
      </c>
      <c r="G396" s="6" t="s">
        <v>5404</v>
      </c>
      <c r="H396" s="3" t="s">
        <v>5405</v>
      </c>
      <c r="I396" s="3" t="s">
        <v>2529</v>
      </c>
      <c r="J396" s="3" t="s">
        <v>5406</v>
      </c>
      <c r="K396" s="3" t="s">
        <v>5407</v>
      </c>
      <c r="L396" s="3" t="s">
        <v>482</v>
      </c>
      <c r="M396" s="3" t="s">
        <v>2540</v>
      </c>
      <c r="N396" s="3" t="s">
        <v>1931</v>
      </c>
      <c r="O396" s="3" t="s">
        <v>5408</v>
      </c>
      <c r="P396" s="3">
        <v>3</v>
      </c>
      <c r="Q396" s="3" t="s">
        <v>5408</v>
      </c>
      <c r="R396" s="3" t="s">
        <v>5409</v>
      </c>
      <c r="S396" s="3" t="s">
        <v>482</v>
      </c>
      <c r="T396" s="3" t="s">
        <v>482</v>
      </c>
    </row>
    <row r="397" spans="1:20" ht="182" hidden="1" x14ac:dyDescent="0.2">
      <c r="A397" s="3" t="s">
        <v>5410</v>
      </c>
      <c r="B397" s="3" t="s">
        <v>5411</v>
      </c>
      <c r="C397" s="3" t="s">
        <v>5412</v>
      </c>
      <c r="D397" s="3">
        <v>47</v>
      </c>
      <c r="E397" s="3" t="s">
        <v>4913</v>
      </c>
      <c r="F397" s="3" t="s">
        <v>5413</v>
      </c>
      <c r="G397" s="6" t="s">
        <v>5414</v>
      </c>
      <c r="H397" s="3" t="s">
        <v>5415</v>
      </c>
      <c r="I397" s="3" t="s">
        <v>2508</v>
      </c>
      <c r="J397" s="3" t="s">
        <v>2547</v>
      </c>
      <c r="K397" s="3" t="s">
        <v>5416</v>
      </c>
      <c r="L397" s="3" t="s">
        <v>482</v>
      </c>
      <c r="M397" s="3" t="s">
        <v>5417</v>
      </c>
      <c r="N397" s="3" t="s">
        <v>1816</v>
      </c>
      <c r="O397" s="3" t="s">
        <v>482</v>
      </c>
      <c r="P397" s="3">
        <v>0</v>
      </c>
      <c r="Q397" s="3" t="s">
        <v>2560</v>
      </c>
      <c r="R397" s="3" t="s">
        <v>405</v>
      </c>
      <c r="S397" s="3" t="s">
        <v>482</v>
      </c>
      <c r="T397" s="3" t="s">
        <v>5418</v>
      </c>
    </row>
    <row r="398" spans="1:20" ht="32" hidden="1" x14ac:dyDescent="0.2">
      <c r="A398" s="3" t="s">
        <v>5419</v>
      </c>
      <c r="B398" s="3" t="s">
        <v>5420</v>
      </c>
      <c r="C398" s="3" t="s">
        <v>5412</v>
      </c>
      <c r="D398" s="3">
        <v>109</v>
      </c>
      <c r="E398" s="3" t="s">
        <v>4913</v>
      </c>
      <c r="F398" s="3" t="s">
        <v>5421</v>
      </c>
      <c r="G398" s="6" t="s">
        <v>5422</v>
      </c>
      <c r="H398" s="3" t="s">
        <v>5423</v>
      </c>
      <c r="I398" s="3" t="s">
        <v>2508</v>
      </c>
      <c r="J398" s="3" t="s">
        <v>2547</v>
      </c>
      <c r="K398" s="3" t="s">
        <v>2538</v>
      </c>
      <c r="L398" s="3" t="s">
        <v>482</v>
      </c>
      <c r="M398" s="3" t="s">
        <v>2540</v>
      </c>
      <c r="N398" s="3" t="s">
        <v>1816</v>
      </c>
      <c r="O398" s="3" t="s">
        <v>482</v>
      </c>
      <c r="P398" s="3">
        <v>0</v>
      </c>
      <c r="Q398" s="3" t="s">
        <v>2560</v>
      </c>
      <c r="R398" s="3" t="s">
        <v>405</v>
      </c>
      <c r="S398" s="3" t="s">
        <v>482</v>
      </c>
      <c r="T398" s="3" t="s">
        <v>5424</v>
      </c>
    </row>
    <row r="399" spans="1:20" ht="64" hidden="1" x14ac:dyDescent="0.2">
      <c r="A399" s="3" t="s">
        <v>5425</v>
      </c>
      <c r="B399" s="3" t="s">
        <v>5426</v>
      </c>
      <c r="C399" s="3" t="s">
        <v>5412</v>
      </c>
      <c r="D399" s="3">
        <v>158</v>
      </c>
      <c r="E399" s="3" t="s">
        <v>4913</v>
      </c>
      <c r="F399" s="3" t="s">
        <v>5427</v>
      </c>
      <c r="G399" s="6" t="s">
        <v>5428</v>
      </c>
      <c r="H399" s="3" t="s">
        <v>5429</v>
      </c>
      <c r="I399" s="3" t="s">
        <v>2529</v>
      </c>
      <c r="J399" s="3" t="s">
        <v>5430</v>
      </c>
      <c r="K399" s="3" t="s">
        <v>5431</v>
      </c>
      <c r="L399" s="3" t="s">
        <v>482</v>
      </c>
      <c r="M399" s="3" t="s">
        <v>2540</v>
      </c>
      <c r="N399" s="3" t="s">
        <v>1931</v>
      </c>
      <c r="O399" s="3" t="s">
        <v>482</v>
      </c>
      <c r="P399" s="3">
        <v>0</v>
      </c>
      <c r="Q399" s="3" t="s">
        <v>2560</v>
      </c>
      <c r="R399" s="3" t="s">
        <v>405</v>
      </c>
      <c r="S399" s="3" t="s">
        <v>482</v>
      </c>
      <c r="T399" s="3" t="s">
        <v>5432</v>
      </c>
    </row>
    <row r="400" spans="1:20" ht="48" hidden="1" x14ac:dyDescent="0.2">
      <c r="A400" s="3" t="s">
        <v>5433</v>
      </c>
      <c r="B400" s="3" t="s">
        <v>5434</v>
      </c>
      <c r="C400" s="3" t="s">
        <v>5435</v>
      </c>
      <c r="D400" s="3">
        <v>7</v>
      </c>
      <c r="E400" s="3" t="s">
        <v>4913</v>
      </c>
      <c r="F400" s="3" t="s">
        <v>2616</v>
      </c>
      <c r="G400" s="6" t="s">
        <v>5436</v>
      </c>
      <c r="H400" s="3" t="s">
        <v>5437</v>
      </c>
      <c r="I400" s="3" t="s">
        <v>2529</v>
      </c>
      <c r="J400" s="3" t="s">
        <v>5438</v>
      </c>
      <c r="K400" s="3" t="s">
        <v>5439</v>
      </c>
      <c r="L400" s="3" t="s">
        <v>482</v>
      </c>
      <c r="M400" s="3" t="s">
        <v>2540</v>
      </c>
      <c r="N400" s="3" t="s">
        <v>1931</v>
      </c>
      <c r="O400" s="3" t="s">
        <v>482</v>
      </c>
      <c r="P400" s="3">
        <v>0</v>
      </c>
      <c r="Q400" s="3" t="s">
        <v>2560</v>
      </c>
      <c r="R400" s="3" t="s">
        <v>405</v>
      </c>
      <c r="S400" s="3" t="s">
        <v>482</v>
      </c>
      <c r="T400" s="3" t="s">
        <v>482</v>
      </c>
    </row>
    <row r="401" spans="1:20" ht="126" hidden="1" x14ac:dyDescent="0.2">
      <c r="A401" s="3" t="s">
        <v>5440</v>
      </c>
      <c r="B401" s="3" t="s">
        <v>5441</v>
      </c>
      <c r="C401" s="3" t="s">
        <v>5442</v>
      </c>
      <c r="D401" s="3">
        <v>64</v>
      </c>
      <c r="E401" s="3" t="s">
        <v>2514</v>
      </c>
      <c r="F401" s="3" t="s">
        <v>5443</v>
      </c>
      <c r="G401" s="6" t="s">
        <v>5444</v>
      </c>
      <c r="H401" s="3" t="s">
        <v>5445</v>
      </c>
      <c r="I401" s="3" t="s">
        <v>2529</v>
      </c>
      <c r="J401" s="3" t="s">
        <v>5446</v>
      </c>
      <c r="K401" s="3" t="s">
        <v>2538</v>
      </c>
      <c r="L401" s="3" t="s">
        <v>2531</v>
      </c>
      <c r="M401" s="3" t="s">
        <v>2540</v>
      </c>
      <c r="N401" s="3" t="s">
        <v>1931</v>
      </c>
      <c r="O401" s="3" t="s">
        <v>5447</v>
      </c>
      <c r="P401" s="3">
        <v>5</v>
      </c>
      <c r="Q401" s="3" t="s">
        <v>5448</v>
      </c>
      <c r="R401" s="3" t="s">
        <v>5449</v>
      </c>
      <c r="S401" s="3" t="s">
        <v>482</v>
      </c>
      <c r="T401" s="3" t="s">
        <v>482</v>
      </c>
    </row>
    <row r="402" spans="1:20" ht="42" hidden="1" x14ac:dyDescent="0.2">
      <c r="A402" s="3" t="s">
        <v>5450</v>
      </c>
      <c r="B402" s="3" t="s">
        <v>5451</v>
      </c>
      <c r="C402" s="3" t="s">
        <v>5442</v>
      </c>
      <c r="D402" s="3">
        <v>91</v>
      </c>
      <c r="E402" s="3" t="s">
        <v>2641</v>
      </c>
      <c r="F402" s="3" t="s">
        <v>5452</v>
      </c>
      <c r="G402" s="6" t="s">
        <v>3398</v>
      </c>
      <c r="H402" s="3" t="s">
        <v>3398</v>
      </c>
      <c r="I402" s="3" t="s">
        <v>3399</v>
      </c>
      <c r="J402" s="3" t="s">
        <v>2547</v>
      </c>
      <c r="K402" s="3" t="s">
        <v>2538</v>
      </c>
      <c r="L402" s="3" t="s">
        <v>482</v>
      </c>
      <c r="M402" s="3" t="s">
        <v>2540</v>
      </c>
      <c r="N402" s="3" t="s">
        <v>1931</v>
      </c>
      <c r="O402" s="3" t="s">
        <v>482</v>
      </c>
      <c r="P402" s="3">
        <v>0</v>
      </c>
      <c r="Q402" s="3" t="s">
        <v>2560</v>
      </c>
      <c r="R402" s="3" t="s">
        <v>405</v>
      </c>
      <c r="S402" s="3" t="s">
        <v>482</v>
      </c>
      <c r="T402" s="3" t="s">
        <v>482</v>
      </c>
    </row>
    <row r="403" spans="1:20" ht="128" hidden="1" x14ac:dyDescent="0.2">
      <c r="A403" s="3" t="s">
        <v>5453</v>
      </c>
      <c r="B403" s="3" t="s">
        <v>5454</v>
      </c>
      <c r="C403" s="3" t="s">
        <v>5442</v>
      </c>
      <c r="D403" s="3">
        <v>95</v>
      </c>
      <c r="E403" s="3" t="s">
        <v>2514</v>
      </c>
      <c r="F403" s="3" t="s">
        <v>5455</v>
      </c>
      <c r="G403" s="6" t="s">
        <v>5456</v>
      </c>
      <c r="H403" s="3" t="s">
        <v>5457</v>
      </c>
      <c r="I403" s="3" t="s">
        <v>2529</v>
      </c>
      <c r="J403" s="3" t="s">
        <v>2547</v>
      </c>
      <c r="K403" s="3" t="s">
        <v>5279</v>
      </c>
      <c r="L403" s="3" t="s">
        <v>5458</v>
      </c>
      <c r="M403" s="3" t="s">
        <v>2540</v>
      </c>
      <c r="N403" s="3" t="s">
        <v>1931</v>
      </c>
      <c r="O403" s="3" t="s">
        <v>482</v>
      </c>
      <c r="P403" s="3">
        <v>0</v>
      </c>
      <c r="Q403" s="3" t="s">
        <v>2560</v>
      </c>
      <c r="R403" s="3" t="s">
        <v>405</v>
      </c>
      <c r="S403" s="3" t="s">
        <v>482</v>
      </c>
      <c r="T403" s="3" t="s">
        <v>482</v>
      </c>
    </row>
    <row r="404" spans="1:20" ht="48" hidden="1" x14ac:dyDescent="0.2">
      <c r="A404" s="3" t="s">
        <v>5459</v>
      </c>
      <c r="B404" s="3" t="s">
        <v>5460</v>
      </c>
      <c r="C404" s="3" t="s">
        <v>5442</v>
      </c>
      <c r="D404" s="3">
        <v>100</v>
      </c>
      <c r="E404" s="3" t="s">
        <v>2514</v>
      </c>
      <c r="F404" s="3" t="s">
        <v>2616</v>
      </c>
      <c r="G404" s="6" t="s">
        <v>5461</v>
      </c>
      <c r="H404" s="3" t="s">
        <v>5462</v>
      </c>
      <c r="I404" s="3" t="s">
        <v>2529</v>
      </c>
      <c r="J404" s="3" t="s">
        <v>2547</v>
      </c>
      <c r="K404" s="3" t="s">
        <v>2972</v>
      </c>
      <c r="L404" s="3" t="s">
        <v>2531</v>
      </c>
      <c r="M404" s="3" t="s">
        <v>2540</v>
      </c>
      <c r="N404" s="3" t="s">
        <v>1931</v>
      </c>
      <c r="O404" s="3" t="s">
        <v>482</v>
      </c>
      <c r="P404" s="3">
        <v>0</v>
      </c>
      <c r="Q404" s="3" t="s">
        <v>2560</v>
      </c>
      <c r="R404" s="3" t="s">
        <v>405</v>
      </c>
      <c r="S404" s="3" t="s">
        <v>482</v>
      </c>
      <c r="T404" s="3" t="s">
        <v>482</v>
      </c>
    </row>
    <row r="405" spans="1:20" ht="48" hidden="1" x14ac:dyDescent="0.2">
      <c r="A405" s="3" t="s">
        <v>5463</v>
      </c>
      <c r="B405" s="3" t="s">
        <v>5464</v>
      </c>
      <c r="C405" s="3" t="s">
        <v>5442</v>
      </c>
      <c r="D405" s="3">
        <v>107</v>
      </c>
      <c r="E405" s="3" t="s">
        <v>2504</v>
      </c>
      <c r="F405" s="3" t="s">
        <v>5465</v>
      </c>
      <c r="G405" s="6" t="s">
        <v>3398</v>
      </c>
      <c r="H405" s="3" t="s">
        <v>3398</v>
      </c>
      <c r="I405" s="3" t="s">
        <v>3399</v>
      </c>
      <c r="J405" s="3" t="s">
        <v>2547</v>
      </c>
      <c r="K405" s="3" t="s">
        <v>5322</v>
      </c>
      <c r="L405" s="3" t="s">
        <v>482</v>
      </c>
      <c r="M405" s="3" t="s">
        <v>2540</v>
      </c>
      <c r="N405" s="3" t="s">
        <v>1931</v>
      </c>
      <c r="O405" s="3" t="s">
        <v>482</v>
      </c>
      <c r="P405" s="3">
        <v>0</v>
      </c>
      <c r="Q405" s="3" t="s">
        <v>2560</v>
      </c>
      <c r="R405" s="3" t="s">
        <v>405</v>
      </c>
      <c r="S405" s="3" t="s">
        <v>482</v>
      </c>
      <c r="T405" s="3" t="s">
        <v>482</v>
      </c>
    </row>
    <row r="406" spans="1:20" ht="48" hidden="1" x14ac:dyDescent="0.2">
      <c r="A406" s="3" t="s">
        <v>5466</v>
      </c>
      <c r="B406" s="3" t="s">
        <v>5467</v>
      </c>
      <c r="C406" s="3" t="s">
        <v>5442</v>
      </c>
      <c r="D406" s="3">
        <v>111</v>
      </c>
      <c r="E406" s="3" t="s">
        <v>2514</v>
      </c>
      <c r="F406" s="3" t="s">
        <v>2616</v>
      </c>
      <c r="G406" s="6" t="s">
        <v>5468</v>
      </c>
      <c r="H406" s="3" t="s">
        <v>5469</v>
      </c>
      <c r="I406" s="3" t="s">
        <v>2508</v>
      </c>
      <c r="J406" s="3" t="s">
        <v>2547</v>
      </c>
      <c r="K406" s="3" t="s">
        <v>3612</v>
      </c>
      <c r="L406" s="3" t="s">
        <v>5470</v>
      </c>
      <c r="M406" s="3" t="s">
        <v>2540</v>
      </c>
      <c r="N406" s="3" t="s">
        <v>1931</v>
      </c>
      <c r="O406" s="3" t="s">
        <v>482</v>
      </c>
      <c r="P406" s="3">
        <v>0</v>
      </c>
      <c r="Q406" s="3" t="s">
        <v>2560</v>
      </c>
      <c r="R406" s="3" t="s">
        <v>405</v>
      </c>
      <c r="S406" s="3" t="s">
        <v>482</v>
      </c>
      <c r="T406" s="3" t="s">
        <v>482</v>
      </c>
    </row>
    <row r="407" spans="1:20" ht="182" hidden="1" x14ac:dyDescent="0.2">
      <c r="A407" s="3" t="s">
        <v>5471</v>
      </c>
      <c r="B407" s="3" t="s">
        <v>5472</v>
      </c>
      <c r="C407" s="3" t="s">
        <v>5442</v>
      </c>
      <c r="D407" s="3">
        <v>118</v>
      </c>
      <c r="E407" s="3" t="s">
        <v>4913</v>
      </c>
      <c r="F407" s="3" t="s">
        <v>5473</v>
      </c>
      <c r="G407" s="6" t="s">
        <v>5474</v>
      </c>
      <c r="H407" s="3" t="s">
        <v>5475</v>
      </c>
      <c r="I407" s="3" t="s">
        <v>2508</v>
      </c>
      <c r="J407" s="3" t="s">
        <v>5476</v>
      </c>
      <c r="K407" s="3" t="s">
        <v>5431</v>
      </c>
      <c r="L407" s="3" t="s">
        <v>482</v>
      </c>
      <c r="M407" s="3" t="s">
        <v>2540</v>
      </c>
      <c r="N407" s="3" t="s">
        <v>1931</v>
      </c>
      <c r="O407" s="3" t="s">
        <v>5477</v>
      </c>
      <c r="P407" s="3">
        <v>8</v>
      </c>
      <c r="Q407" s="3" t="s">
        <v>5478</v>
      </c>
      <c r="R407" s="3" t="s">
        <v>5479</v>
      </c>
      <c r="S407" s="3" t="s">
        <v>482</v>
      </c>
      <c r="T407" s="3" t="s">
        <v>482</v>
      </c>
    </row>
    <row r="408" spans="1:20" ht="84" hidden="1" x14ac:dyDescent="0.2">
      <c r="A408" s="3" t="s">
        <v>5480</v>
      </c>
      <c r="B408" s="3" t="s">
        <v>5481</v>
      </c>
      <c r="C408" s="3" t="s">
        <v>5442</v>
      </c>
      <c r="D408" s="3">
        <v>147</v>
      </c>
      <c r="E408" s="3" t="s">
        <v>4913</v>
      </c>
      <c r="F408" s="3" t="s">
        <v>5482</v>
      </c>
      <c r="G408" s="6" t="s">
        <v>5483</v>
      </c>
      <c r="H408" s="3" t="s">
        <v>5484</v>
      </c>
      <c r="I408" s="3" t="s">
        <v>2508</v>
      </c>
      <c r="J408" s="3" t="s">
        <v>5485</v>
      </c>
      <c r="K408" s="3" t="s">
        <v>2922</v>
      </c>
      <c r="L408" s="3" t="s">
        <v>482</v>
      </c>
      <c r="M408" s="3" t="s">
        <v>2540</v>
      </c>
      <c r="N408" s="3" t="s">
        <v>1931</v>
      </c>
      <c r="O408" s="3" t="s">
        <v>5486</v>
      </c>
      <c r="P408" s="3">
        <v>5</v>
      </c>
      <c r="Q408" s="3" t="s">
        <v>5487</v>
      </c>
      <c r="R408" s="3" t="s">
        <v>5488</v>
      </c>
      <c r="S408" s="3" t="s">
        <v>482</v>
      </c>
      <c r="T408" s="3" t="s">
        <v>482</v>
      </c>
    </row>
    <row r="409" spans="1:20" ht="112" hidden="1" x14ac:dyDescent="0.2">
      <c r="A409" s="3" t="s">
        <v>5489</v>
      </c>
      <c r="B409" s="3" t="s">
        <v>5490</v>
      </c>
      <c r="C409" s="3" t="s">
        <v>5442</v>
      </c>
      <c r="D409" s="3">
        <v>161</v>
      </c>
      <c r="E409" s="3" t="s">
        <v>4913</v>
      </c>
      <c r="F409" s="3" t="s">
        <v>5491</v>
      </c>
      <c r="G409" s="6" t="s">
        <v>5492</v>
      </c>
      <c r="H409" s="3" t="s">
        <v>5493</v>
      </c>
      <c r="I409" s="3" t="s">
        <v>2508</v>
      </c>
      <c r="J409" s="3" t="s">
        <v>2547</v>
      </c>
      <c r="K409" s="3" t="s">
        <v>5439</v>
      </c>
      <c r="L409" s="3" t="s">
        <v>482</v>
      </c>
      <c r="M409" s="3" t="s">
        <v>2540</v>
      </c>
      <c r="N409" s="3" t="s">
        <v>1931</v>
      </c>
      <c r="O409" s="3" t="s">
        <v>5494</v>
      </c>
      <c r="P409" s="3">
        <v>4</v>
      </c>
      <c r="Q409" s="3" t="s">
        <v>5495</v>
      </c>
      <c r="R409" s="3" t="s">
        <v>5496</v>
      </c>
      <c r="S409" s="3" t="s">
        <v>482</v>
      </c>
      <c r="T409" s="3" t="s">
        <v>482</v>
      </c>
    </row>
    <row r="410" spans="1:20" ht="48" hidden="1" x14ac:dyDescent="0.2">
      <c r="A410" s="3" t="s">
        <v>5497</v>
      </c>
      <c r="B410" s="3" t="s">
        <v>5498</v>
      </c>
      <c r="C410" s="3" t="s">
        <v>5442</v>
      </c>
      <c r="D410" s="3">
        <v>173</v>
      </c>
      <c r="E410" s="3" t="s">
        <v>2641</v>
      </c>
      <c r="F410" s="3" t="s">
        <v>2616</v>
      </c>
      <c r="G410" s="6" t="s">
        <v>3398</v>
      </c>
      <c r="H410" s="3" t="s">
        <v>3398</v>
      </c>
      <c r="I410" s="3" t="s">
        <v>3399</v>
      </c>
      <c r="J410" s="3" t="s">
        <v>2547</v>
      </c>
      <c r="K410" s="3" t="s">
        <v>2538</v>
      </c>
      <c r="L410" s="3" t="s">
        <v>482</v>
      </c>
      <c r="M410" s="3" t="s">
        <v>2540</v>
      </c>
      <c r="N410" s="3" t="s">
        <v>1931</v>
      </c>
      <c r="O410" s="3" t="s">
        <v>5499</v>
      </c>
      <c r="P410" s="3">
        <v>1</v>
      </c>
      <c r="Q410" s="3" t="s">
        <v>5499</v>
      </c>
      <c r="R410" s="3" t="s">
        <v>5500</v>
      </c>
      <c r="S410" s="3" t="s">
        <v>482</v>
      </c>
      <c r="T410" s="3" t="s">
        <v>482</v>
      </c>
    </row>
    <row r="411" spans="1:20" ht="48" hidden="1" x14ac:dyDescent="0.2">
      <c r="A411" s="3" t="s">
        <v>5501</v>
      </c>
      <c r="B411" s="3" t="s">
        <v>5502</v>
      </c>
      <c r="C411" s="3" t="s">
        <v>5442</v>
      </c>
      <c r="D411" s="3">
        <v>178</v>
      </c>
      <c r="E411" s="3" t="s">
        <v>2641</v>
      </c>
      <c r="F411" s="3" t="s">
        <v>2616</v>
      </c>
      <c r="G411" s="6" t="s">
        <v>3398</v>
      </c>
      <c r="H411" s="3" t="s">
        <v>3398</v>
      </c>
      <c r="I411" s="3" t="s">
        <v>3399</v>
      </c>
      <c r="J411" s="3" t="s">
        <v>5503</v>
      </c>
      <c r="K411" s="3" t="s">
        <v>2538</v>
      </c>
      <c r="L411" s="3" t="s">
        <v>482</v>
      </c>
      <c r="M411" s="3" t="s">
        <v>2540</v>
      </c>
      <c r="N411" s="3" t="s">
        <v>1931</v>
      </c>
      <c r="O411" s="3" t="s">
        <v>482</v>
      </c>
      <c r="P411" s="3">
        <v>0</v>
      </c>
      <c r="Q411" s="3" t="s">
        <v>2560</v>
      </c>
      <c r="R411" s="3" t="s">
        <v>405</v>
      </c>
      <c r="S411" s="3" t="s">
        <v>482</v>
      </c>
      <c r="T411" s="3" t="s">
        <v>482</v>
      </c>
    </row>
    <row r="412" spans="1:20" ht="48" hidden="1" x14ac:dyDescent="0.2">
      <c r="A412" s="3" t="s">
        <v>5504</v>
      </c>
      <c r="B412" s="3" t="s">
        <v>5505</v>
      </c>
      <c r="C412" s="3" t="s">
        <v>5442</v>
      </c>
      <c r="D412" s="3">
        <v>182</v>
      </c>
      <c r="E412" s="3" t="s">
        <v>2514</v>
      </c>
      <c r="F412" s="3" t="s">
        <v>2616</v>
      </c>
      <c r="G412" s="6" t="s">
        <v>5506</v>
      </c>
      <c r="H412" s="3" t="s">
        <v>5507</v>
      </c>
      <c r="I412" s="3" t="s">
        <v>2529</v>
      </c>
      <c r="J412" s="3" t="s">
        <v>5508</v>
      </c>
      <c r="K412" s="3" t="s">
        <v>2538</v>
      </c>
      <c r="L412" s="3" t="s">
        <v>2531</v>
      </c>
      <c r="M412" s="3" t="s">
        <v>2540</v>
      </c>
      <c r="N412" s="3" t="s">
        <v>1931</v>
      </c>
      <c r="O412" s="3" t="s">
        <v>482</v>
      </c>
      <c r="P412" s="3">
        <v>0</v>
      </c>
      <c r="Q412" s="3" t="s">
        <v>2560</v>
      </c>
      <c r="R412" s="3" t="s">
        <v>405</v>
      </c>
      <c r="S412" s="3" t="s">
        <v>482</v>
      </c>
      <c r="T412" s="3" t="s">
        <v>482</v>
      </c>
    </row>
    <row r="413" spans="1:20" ht="128" hidden="1" x14ac:dyDescent="0.2">
      <c r="A413" s="3" t="s">
        <v>5509</v>
      </c>
      <c r="B413" s="3" t="s">
        <v>5510</v>
      </c>
      <c r="C413" s="3" t="s">
        <v>5442</v>
      </c>
      <c r="D413" s="3">
        <v>190</v>
      </c>
      <c r="E413" s="3" t="s">
        <v>2641</v>
      </c>
      <c r="F413" s="3" t="s">
        <v>5511</v>
      </c>
      <c r="G413" s="6" t="s">
        <v>5512</v>
      </c>
      <c r="H413" s="3" t="s">
        <v>5513</v>
      </c>
      <c r="I413" s="3" t="s">
        <v>2508</v>
      </c>
      <c r="J413" s="3" t="s">
        <v>5514</v>
      </c>
      <c r="K413" s="3" t="s">
        <v>2922</v>
      </c>
      <c r="L413" s="3" t="s">
        <v>482</v>
      </c>
      <c r="M413" s="3" t="s">
        <v>2540</v>
      </c>
      <c r="N413" s="3" t="s">
        <v>1931</v>
      </c>
      <c r="O413" s="3" t="s">
        <v>5515</v>
      </c>
      <c r="P413" s="3">
        <v>7</v>
      </c>
      <c r="Q413" s="3" t="s">
        <v>5516</v>
      </c>
      <c r="R413" s="3" t="s">
        <v>5517</v>
      </c>
      <c r="S413" s="3" t="s">
        <v>482</v>
      </c>
      <c r="T413" s="3" t="s">
        <v>482</v>
      </c>
    </row>
    <row r="414" spans="1:20" ht="64" hidden="1" x14ac:dyDescent="0.2">
      <c r="A414" s="3" t="s">
        <v>5518</v>
      </c>
      <c r="B414" s="3" t="s">
        <v>5519</v>
      </c>
      <c r="C414" s="3" t="s">
        <v>5442</v>
      </c>
      <c r="D414" s="3">
        <v>216</v>
      </c>
      <c r="E414" s="3" t="s">
        <v>2641</v>
      </c>
      <c r="F414" s="3" t="s">
        <v>5520</v>
      </c>
      <c r="G414" s="6" t="s">
        <v>5521</v>
      </c>
      <c r="H414" s="3" t="s">
        <v>5522</v>
      </c>
      <c r="I414" s="3" t="s">
        <v>2508</v>
      </c>
      <c r="J414" s="3" t="s">
        <v>5523</v>
      </c>
      <c r="K414" s="3" t="s">
        <v>2538</v>
      </c>
      <c r="L414" s="3" t="s">
        <v>482</v>
      </c>
      <c r="M414" s="3" t="s">
        <v>2540</v>
      </c>
      <c r="N414" s="3" t="s">
        <v>1931</v>
      </c>
      <c r="O414" s="3" t="s">
        <v>5524</v>
      </c>
      <c r="P414" s="3">
        <v>3</v>
      </c>
      <c r="Q414" s="3" t="s">
        <v>5525</v>
      </c>
      <c r="R414" s="3" t="s">
        <v>5526</v>
      </c>
      <c r="S414" s="3" t="s">
        <v>482</v>
      </c>
      <c r="T414" s="3" t="s">
        <v>482</v>
      </c>
    </row>
    <row r="415" spans="1:20" ht="98" hidden="1" x14ac:dyDescent="0.2">
      <c r="A415" s="3" t="s">
        <v>5527</v>
      </c>
      <c r="B415" s="3" t="s">
        <v>5528</v>
      </c>
      <c r="C415" s="3" t="s">
        <v>5442</v>
      </c>
      <c r="D415" s="3">
        <v>224</v>
      </c>
      <c r="E415" s="3" t="s">
        <v>4913</v>
      </c>
      <c r="F415" s="3" t="s">
        <v>2616</v>
      </c>
      <c r="G415" s="6" t="s">
        <v>5529</v>
      </c>
      <c r="H415" s="3" t="s">
        <v>5530</v>
      </c>
      <c r="I415" s="3" t="s">
        <v>2508</v>
      </c>
      <c r="J415" s="3" t="s">
        <v>5531</v>
      </c>
      <c r="K415" s="3" t="s">
        <v>5532</v>
      </c>
      <c r="L415" s="3" t="s">
        <v>5533</v>
      </c>
      <c r="M415" s="3" t="s">
        <v>2540</v>
      </c>
      <c r="N415" s="3" t="s">
        <v>1931</v>
      </c>
      <c r="O415" s="3" t="s">
        <v>5534</v>
      </c>
      <c r="P415" s="3">
        <v>4</v>
      </c>
      <c r="Q415" s="3" t="s">
        <v>5535</v>
      </c>
      <c r="R415" s="3" t="s">
        <v>5536</v>
      </c>
      <c r="S415" s="3" t="s">
        <v>482</v>
      </c>
      <c r="T415" s="3" t="s">
        <v>482</v>
      </c>
    </row>
    <row r="416" spans="1:20" ht="32" hidden="1" x14ac:dyDescent="0.2">
      <c r="A416" s="3" t="s">
        <v>5537</v>
      </c>
      <c r="B416" s="3" t="s">
        <v>5538</v>
      </c>
      <c r="C416" s="3" t="s">
        <v>5442</v>
      </c>
      <c r="D416" s="3">
        <v>245</v>
      </c>
      <c r="E416" s="3" t="s">
        <v>5029</v>
      </c>
      <c r="F416" s="3" t="s">
        <v>5539</v>
      </c>
      <c r="G416" s="6" t="s">
        <v>5540</v>
      </c>
      <c r="H416" s="3" t="s">
        <v>5541</v>
      </c>
      <c r="I416" s="3" t="s">
        <v>2529</v>
      </c>
      <c r="J416" s="3" t="s">
        <v>5542</v>
      </c>
      <c r="K416" s="3" t="s">
        <v>5439</v>
      </c>
      <c r="L416" s="3" t="s">
        <v>5543</v>
      </c>
      <c r="M416" s="3" t="s">
        <v>2540</v>
      </c>
      <c r="N416" s="3" t="s">
        <v>1931</v>
      </c>
      <c r="O416" s="3" t="s">
        <v>482</v>
      </c>
      <c r="P416" s="3">
        <v>0</v>
      </c>
      <c r="Q416" s="3" t="s">
        <v>2560</v>
      </c>
      <c r="R416" s="3" t="s">
        <v>405</v>
      </c>
      <c r="S416" s="3" t="s">
        <v>482</v>
      </c>
      <c r="T416" s="3" t="s">
        <v>482</v>
      </c>
    </row>
    <row r="417" spans="1:20" ht="126" hidden="1" x14ac:dyDescent="0.2">
      <c r="A417" s="3" t="s">
        <v>5544</v>
      </c>
      <c r="B417" s="3" t="s">
        <v>5545</v>
      </c>
      <c r="C417" s="3" t="s">
        <v>5442</v>
      </c>
      <c r="D417" s="3">
        <v>255</v>
      </c>
      <c r="E417" s="3" t="s">
        <v>4913</v>
      </c>
      <c r="F417" s="3" t="s">
        <v>2616</v>
      </c>
      <c r="G417" s="6" t="s">
        <v>5546</v>
      </c>
      <c r="H417" s="3" t="s">
        <v>5547</v>
      </c>
      <c r="I417" s="3" t="s">
        <v>2508</v>
      </c>
      <c r="J417" s="3" t="s">
        <v>5548</v>
      </c>
      <c r="K417" s="3" t="s">
        <v>5431</v>
      </c>
      <c r="L417" s="3" t="s">
        <v>482</v>
      </c>
      <c r="M417" s="3" t="s">
        <v>2540</v>
      </c>
      <c r="N417" s="3" t="s">
        <v>1931</v>
      </c>
      <c r="O417" s="3" t="s">
        <v>482</v>
      </c>
      <c r="P417" s="3">
        <v>0</v>
      </c>
      <c r="Q417" s="3" t="s">
        <v>2560</v>
      </c>
      <c r="R417" s="3" t="s">
        <v>405</v>
      </c>
      <c r="S417" s="3" t="s">
        <v>482</v>
      </c>
      <c r="T417" s="3" t="s">
        <v>482</v>
      </c>
    </row>
    <row r="418" spans="1:20" ht="32" hidden="1" x14ac:dyDescent="0.2">
      <c r="A418" s="3" t="s">
        <v>5549</v>
      </c>
      <c r="B418" s="3" t="s">
        <v>5550</v>
      </c>
      <c r="C418" s="3" t="s">
        <v>5442</v>
      </c>
      <c r="D418" s="3">
        <v>263</v>
      </c>
      <c r="E418" s="3" t="s">
        <v>2641</v>
      </c>
      <c r="F418" s="3" t="s">
        <v>5551</v>
      </c>
      <c r="G418" s="6" t="s">
        <v>2636</v>
      </c>
      <c r="H418" s="3" t="s">
        <v>2636</v>
      </c>
      <c r="I418" s="3" t="s">
        <v>2637</v>
      </c>
      <c r="J418" s="3" t="s">
        <v>5552</v>
      </c>
      <c r="K418" s="3" t="s">
        <v>2922</v>
      </c>
      <c r="L418" s="3" t="s">
        <v>482</v>
      </c>
      <c r="M418" s="3" t="s">
        <v>2540</v>
      </c>
      <c r="N418" s="3" t="s">
        <v>1931</v>
      </c>
      <c r="O418" s="3" t="s">
        <v>482</v>
      </c>
      <c r="P418" s="3">
        <v>0</v>
      </c>
      <c r="Q418" s="3" t="s">
        <v>2560</v>
      </c>
      <c r="R418" s="3" t="s">
        <v>405</v>
      </c>
      <c r="S418" s="3" t="s">
        <v>482</v>
      </c>
      <c r="T418" s="3" t="s">
        <v>482</v>
      </c>
    </row>
    <row r="419" spans="1:20" ht="48" hidden="1" x14ac:dyDescent="0.2">
      <c r="A419" s="3" t="s">
        <v>5553</v>
      </c>
      <c r="B419" s="3" t="s">
        <v>5554</v>
      </c>
      <c r="C419" s="3" t="s">
        <v>5442</v>
      </c>
      <c r="D419" s="3">
        <v>273</v>
      </c>
      <c r="E419" s="3" t="s">
        <v>2641</v>
      </c>
      <c r="F419" s="3" t="s">
        <v>5555</v>
      </c>
      <c r="G419" s="6" t="s">
        <v>2636</v>
      </c>
      <c r="H419" s="3" t="s">
        <v>2636</v>
      </c>
      <c r="I419" s="3" t="s">
        <v>2637</v>
      </c>
      <c r="J419" s="3" t="s">
        <v>5556</v>
      </c>
      <c r="K419" s="3" t="s">
        <v>2922</v>
      </c>
      <c r="L419" s="3" t="s">
        <v>482</v>
      </c>
      <c r="M419" s="3" t="s">
        <v>2540</v>
      </c>
      <c r="N419" s="3" t="s">
        <v>1931</v>
      </c>
      <c r="O419" s="3" t="s">
        <v>482</v>
      </c>
      <c r="P419" s="3">
        <v>0</v>
      </c>
      <c r="Q419" s="3" t="s">
        <v>2560</v>
      </c>
      <c r="R419" s="3" t="s">
        <v>405</v>
      </c>
      <c r="S419" s="3" t="s">
        <v>482</v>
      </c>
      <c r="T419" s="3" t="s">
        <v>482</v>
      </c>
    </row>
    <row r="420" spans="1:20" ht="140" hidden="1" x14ac:dyDescent="0.2">
      <c r="A420" s="3" t="s">
        <v>5557</v>
      </c>
      <c r="B420" s="3" t="s">
        <v>5558</v>
      </c>
      <c r="C420" s="3" t="s">
        <v>5442</v>
      </c>
      <c r="D420" s="3">
        <v>281</v>
      </c>
      <c r="E420" s="3" t="s">
        <v>4913</v>
      </c>
      <c r="F420" s="3" t="s">
        <v>5559</v>
      </c>
      <c r="G420" s="6" t="s">
        <v>5560</v>
      </c>
      <c r="H420" s="3" t="s">
        <v>5561</v>
      </c>
      <c r="I420" s="3" t="s">
        <v>2508</v>
      </c>
      <c r="J420" s="3" t="s">
        <v>5531</v>
      </c>
      <c r="K420" s="3" t="s">
        <v>5431</v>
      </c>
      <c r="L420" s="3" t="s">
        <v>482</v>
      </c>
      <c r="M420" s="3" t="s">
        <v>2540</v>
      </c>
      <c r="N420" s="3" t="s">
        <v>1931</v>
      </c>
      <c r="O420" s="3" t="s">
        <v>5534</v>
      </c>
      <c r="P420" s="3">
        <v>4</v>
      </c>
      <c r="Q420" s="3" t="s">
        <v>5535</v>
      </c>
      <c r="R420" s="3" t="s">
        <v>5562</v>
      </c>
      <c r="S420" s="3" t="s">
        <v>482</v>
      </c>
      <c r="T420" s="3" t="s">
        <v>482</v>
      </c>
    </row>
    <row r="421" spans="1:20" ht="48" hidden="1" x14ac:dyDescent="0.2">
      <c r="A421" s="3" t="s">
        <v>5563</v>
      </c>
      <c r="B421" s="3" t="s">
        <v>5564</v>
      </c>
      <c r="C421" s="3" t="s">
        <v>5442</v>
      </c>
      <c r="D421" s="3">
        <v>289</v>
      </c>
      <c r="E421" s="3" t="s">
        <v>2641</v>
      </c>
      <c r="F421" s="3" t="s">
        <v>2616</v>
      </c>
      <c r="G421" s="6" t="s">
        <v>2636</v>
      </c>
      <c r="H421" s="3" t="s">
        <v>2636</v>
      </c>
      <c r="I421" s="3" t="s">
        <v>2637</v>
      </c>
      <c r="J421" s="3" t="s">
        <v>2547</v>
      </c>
      <c r="K421" s="3" t="s">
        <v>2538</v>
      </c>
      <c r="L421" s="3" t="s">
        <v>482</v>
      </c>
      <c r="M421" s="3" t="s">
        <v>2540</v>
      </c>
      <c r="N421" s="3" t="s">
        <v>1931</v>
      </c>
      <c r="O421" s="3" t="s">
        <v>482</v>
      </c>
      <c r="P421" s="3">
        <v>0</v>
      </c>
      <c r="Q421" s="3" t="s">
        <v>2560</v>
      </c>
      <c r="R421" s="3" t="s">
        <v>405</v>
      </c>
      <c r="S421" s="3" t="s">
        <v>482</v>
      </c>
      <c r="T421" s="3" t="s">
        <v>482</v>
      </c>
    </row>
    <row r="422" spans="1:20" ht="32" hidden="1" x14ac:dyDescent="0.2">
      <c r="A422" s="3" t="s">
        <v>5565</v>
      </c>
      <c r="B422" s="3" t="s">
        <v>5566</v>
      </c>
      <c r="C422" s="3" t="s">
        <v>5567</v>
      </c>
      <c r="D422" s="3">
        <v>53</v>
      </c>
      <c r="E422" s="3" t="s">
        <v>2514</v>
      </c>
      <c r="F422" s="3" t="s">
        <v>5568</v>
      </c>
      <c r="G422" s="6" t="s">
        <v>5569</v>
      </c>
      <c r="H422" s="3" t="s">
        <v>5570</v>
      </c>
      <c r="I422" s="3" t="s">
        <v>2508</v>
      </c>
      <c r="J422" s="3" t="s">
        <v>5571</v>
      </c>
      <c r="K422" s="3" t="s">
        <v>2972</v>
      </c>
      <c r="L422" s="3" t="s">
        <v>2531</v>
      </c>
      <c r="M422" s="3" t="s">
        <v>2540</v>
      </c>
      <c r="N422" s="3" t="s">
        <v>1931</v>
      </c>
      <c r="O422" s="3" t="s">
        <v>482</v>
      </c>
      <c r="P422" s="3">
        <v>0</v>
      </c>
      <c r="Q422" s="3" t="s">
        <v>2560</v>
      </c>
      <c r="R422" s="3" t="s">
        <v>405</v>
      </c>
      <c r="S422" s="3" t="s">
        <v>482</v>
      </c>
      <c r="T422" s="3" t="s">
        <v>5572</v>
      </c>
    </row>
    <row r="423" spans="1:20" ht="80" hidden="1" x14ac:dyDescent="0.2">
      <c r="A423" s="3" t="s">
        <v>450</v>
      </c>
      <c r="B423" s="3" t="s">
        <v>449</v>
      </c>
      <c r="C423" s="3" t="s">
        <v>5567</v>
      </c>
      <c r="D423" s="3">
        <v>60</v>
      </c>
      <c r="E423" s="3" t="s">
        <v>2514</v>
      </c>
      <c r="F423" s="3" t="s">
        <v>5573</v>
      </c>
      <c r="G423" s="6" t="s">
        <v>5574</v>
      </c>
      <c r="H423" s="3" t="s">
        <v>5575</v>
      </c>
      <c r="I423" s="3" t="s">
        <v>2794</v>
      </c>
      <c r="J423" s="3" t="s">
        <v>5576</v>
      </c>
      <c r="K423" s="3" t="s">
        <v>5577</v>
      </c>
      <c r="L423" s="3" t="s">
        <v>2531</v>
      </c>
      <c r="M423" s="3" t="s">
        <v>2540</v>
      </c>
      <c r="N423" s="3" t="s">
        <v>1931</v>
      </c>
      <c r="O423" s="3" t="s">
        <v>482</v>
      </c>
      <c r="P423" s="3">
        <v>0</v>
      </c>
      <c r="Q423" s="3" t="s">
        <v>2560</v>
      </c>
      <c r="R423" s="3" t="s">
        <v>405</v>
      </c>
      <c r="S423" s="3" t="s">
        <v>445</v>
      </c>
      <c r="T423" s="3" t="s">
        <v>1575</v>
      </c>
    </row>
    <row r="424" spans="1:20" ht="98" hidden="1" x14ac:dyDescent="0.2">
      <c r="A424" s="3" t="s">
        <v>5578</v>
      </c>
      <c r="B424" s="3" t="s">
        <v>5579</v>
      </c>
      <c r="C424" s="3" t="s">
        <v>5567</v>
      </c>
      <c r="D424" s="3">
        <v>71</v>
      </c>
      <c r="E424" s="3" t="s">
        <v>2635</v>
      </c>
      <c r="F424" s="3" t="s">
        <v>5580</v>
      </c>
      <c r="G424" s="6" t="s">
        <v>5581</v>
      </c>
      <c r="H424" s="3" t="s">
        <v>5582</v>
      </c>
      <c r="I424" s="3" t="s">
        <v>2508</v>
      </c>
      <c r="J424" s="3" t="s">
        <v>2547</v>
      </c>
      <c r="K424" s="3" t="s">
        <v>2538</v>
      </c>
      <c r="L424" s="3" t="s">
        <v>482</v>
      </c>
      <c r="M424" s="3" t="s">
        <v>2813</v>
      </c>
      <c r="N424" s="3" t="s">
        <v>1816</v>
      </c>
      <c r="O424" s="3" t="s">
        <v>482</v>
      </c>
      <c r="P424" s="3">
        <v>0</v>
      </c>
      <c r="Q424" s="3" t="s">
        <v>2560</v>
      </c>
      <c r="R424" s="3" t="s">
        <v>405</v>
      </c>
      <c r="S424" s="3" t="s">
        <v>482</v>
      </c>
      <c r="T424" s="3" t="s">
        <v>2313</v>
      </c>
    </row>
    <row r="425" spans="1:20" ht="48" hidden="1" x14ac:dyDescent="0.2">
      <c r="A425" s="3" t="s">
        <v>5583</v>
      </c>
      <c r="B425" s="3" t="s">
        <v>5584</v>
      </c>
      <c r="C425" s="3" t="s">
        <v>5585</v>
      </c>
      <c r="D425" s="3">
        <v>17</v>
      </c>
      <c r="E425" s="3" t="s">
        <v>2514</v>
      </c>
      <c r="F425" s="3" t="s">
        <v>2616</v>
      </c>
      <c r="G425" s="6" t="s">
        <v>5586</v>
      </c>
      <c r="H425" s="3" t="s">
        <v>5587</v>
      </c>
      <c r="I425" s="3" t="s">
        <v>2529</v>
      </c>
      <c r="J425" s="3" t="s">
        <v>2547</v>
      </c>
      <c r="K425" s="3" t="s">
        <v>5279</v>
      </c>
      <c r="L425" s="3" t="s">
        <v>2531</v>
      </c>
      <c r="M425" s="3" t="s">
        <v>2540</v>
      </c>
      <c r="N425" s="3" t="s">
        <v>1931</v>
      </c>
      <c r="O425" s="3" t="s">
        <v>482</v>
      </c>
      <c r="P425" s="3">
        <v>0</v>
      </c>
      <c r="Q425" s="3" t="s">
        <v>2560</v>
      </c>
      <c r="R425" s="3" t="s">
        <v>405</v>
      </c>
      <c r="S425" s="3" t="s">
        <v>482</v>
      </c>
      <c r="T425" s="3" t="s">
        <v>482</v>
      </c>
    </row>
    <row r="426" spans="1:20" ht="42" hidden="1" x14ac:dyDescent="0.2">
      <c r="A426" s="3" t="s">
        <v>5588</v>
      </c>
      <c r="B426" s="3" t="s">
        <v>5589</v>
      </c>
      <c r="C426" s="3" t="s">
        <v>5585</v>
      </c>
      <c r="D426" s="3">
        <v>28</v>
      </c>
      <c r="E426" s="3" t="s">
        <v>2641</v>
      </c>
      <c r="F426" s="3" t="s">
        <v>5590</v>
      </c>
      <c r="G426" s="6" t="s">
        <v>3398</v>
      </c>
      <c r="H426" s="3" t="s">
        <v>3398</v>
      </c>
      <c r="I426" s="3" t="s">
        <v>3399</v>
      </c>
      <c r="J426" s="3" t="s">
        <v>2547</v>
      </c>
      <c r="K426" s="3" t="s">
        <v>2538</v>
      </c>
      <c r="L426" s="3" t="s">
        <v>482</v>
      </c>
      <c r="M426" s="3" t="s">
        <v>2540</v>
      </c>
      <c r="N426" s="3" t="s">
        <v>1816</v>
      </c>
      <c r="O426" s="3" t="s">
        <v>482</v>
      </c>
      <c r="P426" s="3">
        <v>0</v>
      </c>
      <c r="Q426" s="3" t="s">
        <v>2560</v>
      </c>
      <c r="R426" s="3" t="s">
        <v>405</v>
      </c>
      <c r="S426" s="3" t="s">
        <v>482</v>
      </c>
      <c r="T426" s="3" t="s">
        <v>482</v>
      </c>
    </row>
    <row r="427" spans="1:20" ht="42" hidden="1" x14ac:dyDescent="0.2">
      <c r="A427" s="3" t="s">
        <v>5591</v>
      </c>
      <c r="B427" s="3" t="s">
        <v>5592</v>
      </c>
      <c r="C427" s="3" t="s">
        <v>5585</v>
      </c>
      <c r="D427" s="3">
        <v>47</v>
      </c>
      <c r="E427" s="3" t="s">
        <v>2641</v>
      </c>
      <c r="F427" s="3" t="s">
        <v>5593</v>
      </c>
      <c r="G427" s="6" t="s">
        <v>3398</v>
      </c>
      <c r="H427" s="3" t="s">
        <v>3398</v>
      </c>
      <c r="I427" s="3" t="s">
        <v>3399</v>
      </c>
      <c r="J427" s="3" t="s">
        <v>2547</v>
      </c>
      <c r="K427" s="3" t="s">
        <v>2538</v>
      </c>
      <c r="L427" s="3" t="s">
        <v>482</v>
      </c>
      <c r="M427" s="3" t="s">
        <v>2540</v>
      </c>
      <c r="N427" s="3" t="s">
        <v>1816</v>
      </c>
      <c r="O427" s="3" t="s">
        <v>482</v>
      </c>
      <c r="P427" s="3">
        <v>0</v>
      </c>
      <c r="Q427" s="3" t="s">
        <v>2560</v>
      </c>
      <c r="R427" s="3" t="s">
        <v>405</v>
      </c>
      <c r="S427" s="3" t="s">
        <v>482</v>
      </c>
      <c r="T427" s="3" t="s">
        <v>482</v>
      </c>
    </row>
    <row r="428" spans="1:20" ht="64" hidden="1" x14ac:dyDescent="0.2">
      <c r="A428" s="3" t="s">
        <v>5594</v>
      </c>
      <c r="B428" s="3" t="s">
        <v>5595</v>
      </c>
      <c r="C428" s="3" t="s">
        <v>5585</v>
      </c>
      <c r="D428" s="3">
        <v>53</v>
      </c>
      <c r="E428" s="3" t="s">
        <v>2514</v>
      </c>
      <c r="F428" s="3" t="s">
        <v>5596</v>
      </c>
      <c r="G428" s="6" t="s">
        <v>5597</v>
      </c>
      <c r="H428" s="3" t="s">
        <v>5598</v>
      </c>
      <c r="I428" s="3" t="s">
        <v>2508</v>
      </c>
      <c r="J428" s="3" t="s">
        <v>5599</v>
      </c>
      <c r="K428" s="3" t="s">
        <v>2538</v>
      </c>
      <c r="L428" s="3" t="s">
        <v>2531</v>
      </c>
      <c r="M428" s="3" t="s">
        <v>3013</v>
      </c>
      <c r="N428" s="3" t="s">
        <v>1931</v>
      </c>
      <c r="O428" s="3" t="s">
        <v>482</v>
      </c>
      <c r="P428" s="3">
        <v>0</v>
      </c>
      <c r="Q428" s="3" t="s">
        <v>2560</v>
      </c>
      <c r="R428" s="3" t="s">
        <v>405</v>
      </c>
      <c r="S428" s="3" t="s">
        <v>482</v>
      </c>
      <c r="T428" s="3" t="s">
        <v>482</v>
      </c>
    </row>
    <row r="429" spans="1:20" ht="42" hidden="1" x14ac:dyDescent="0.2">
      <c r="A429" s="3" t="s">
        <v>5600</v>
      </c>
      <c r="B429" s="3" t="s">
        <v>5601</v>
      </c>
      <c r="C429" s="3" t="s">
        <v>5585</v>
      </c>
      <c r="D429" s="3">
        <v>71</v>
      </c>
      <c r="E429" s="3" t="s">
        <v>2641</v>
      </c>
      <c r="F429" s="3" t="s">
        <v>5602</v>
      </c>
      <c r="G429" s="6" t="s">
        <v>3398</v>
      </c>
      <c r="H429" s="3" t="s">
        <v>3398</v>
      </c>
      <c r="I429" s="3" t="s">
        <v>3399</v>
      </c>
      <c r="J429" s="3" t="s">
        <v>5603</v>
      </c>
      <c r="K429" s="3" t="s">
        <v>2538</v>
      </c>
      <c r="L429" s="3" t="s">
        <v>482</v>
      </c>
      <c r="M429" s="3" t="s">
        <v>2774</v>
      </c>
      <c r="N429" s="3" t="s">
        <v>1816</v>
      </c>
      <c r="O429" s="3" t="s">
        <v>482</v>
      </c>
      <c r="P429" s="3">
        <v>0</v>
      </c>
      <c r="Q429" s="3" t="s">
        <v>2560</v>
      </c>
      <c r="R429" s="3" t="s">
        <v>405</v>
      </c>
      <c r="S429" s="3" t="s">
        <v>482</v>
      </c>
      <c r="T429" s="3" t="s">
        <v>482</v>
      </c>
    </row>
    <row r="430" spans="1:20" ht="42" hidden="1" x14ac:dyDescent="0.2">
      <c r="A430" s="3" t="s">
        <v>5604</v>
      </c>
      <c r="B430" s="3" t="s">
        <v>5605</v>
      </c>
      <c r="C430" s="3" t="s">
        <v>5585</v>
      </c>
      <c r="D430" s="3">
        <v>83</v>
      </c>
      <c r="E430" s="3" t="s">
        <v>2641</v>
      </c>
      <c r="F430" s="3" t="s">
        <v>5606</v>
      </c>
      <c r="G430" s="6" t="s">
        <v>3398</v>
      </c>
      <c r="H430" s="3" t="s">
        <v>3398</v>
      </c>
      <c r="I430" s="3" t="s">
        <v>3399</v>
      </c>
      <c r="J430" s="3" t="s">
        <v>2547</v>
      </c>
      <c r="K430" s="3" t="s">
        <v>2538</v>
      </c>
      <c r="L430" s="3" t="s">
        <v>482</v>
      </c>
      <c r="M430" s="3" t="s">
        <v>2540</v>
      </c>
      <c r="N430" s="3" t="s">
        <v>1816</v>
      </c>
      <c r="O430" s="3" t="s">
        <v>482</v>
      </c>
      <c r="P430" s="3">
        <v>0</v>
      </c>
      <c r="Q430" s="3" t="s">
        <v>2560</v>
      </c>
      <c r="R430" s="3" t="s">
        <v>405</v>
      </c>
      <c r="S430" s="3" t="s">
        <v>482</v>
      </c>
      <c r="T430" s="3" t="s">
        <v>482</v>
      </c>
    </row>
    <row r="431" spans="1:20" ht="42" hidden="1" x14ac:dyDescent="0.2">
      <c r="A431" s="3" t="s">
        <v>5607</v>
      </c>
      <c r="B431" s="3" t="s">
        <v>5608</v>
      </c>
      <c r="C431" s="3" t="s">
        <v>5585</v>
      </c>
      <c r="D431" s="3">
        <v>103</v>
      </c>
      <c r="E431" s="3" t="s">
        <v>2635</v>
      </c>
      <c r="F431" s="3" t="s">
        <v>5609</v>
      </c>
      <c r="G431" s="6" t="s">
        <v>5610</v>
      </c>
      <c r="H431" s="3" t="s">
        <v>5611</v>
      </c>
      <c r="I431" s="3" t="s">
        <v>2529</v>
      </c>
      <c r="J431" s="3" t="s">
        <v>2547</v>
      </c>
      <c r="K431" s="3" t="s">
        <v>2538</v>
      </c>
      <c r="L431" s="3" t="s">
        <v>482</v>
      </c>
      <c r="M431" s="3" t="s">
        <v>2540</v>
      </c>
      <c r="N431" s="3" t="s">
        <v>1816</v>
      </c>
      <c r="O431" s="3" t="s">
        <v>482</v>
      </c>
      <c r="P431" s="3">
        <v>0</v>
      </c>
      <c r="Q431" s="3" t="s">
        <v>2560</v>
      </c>
      <c r="R431" s="3" t="s">
        <v>405</v>
      </c>
      <c r="S431" s="3" t="s">
        <v>482</v>
      </c>
      <c r="T431" s="3" t="s">
        <v>482</v>
      </c>
    </row>
    <row r="432" spans="1:20" ht="70" hidden="1" x14ac:dyDescent="0.2">
      <c r="A432" s="3" t="s">
        <v>5612</v>
      </c>
      <c r="B432" s="3" t="s">
        <v>5613</v>
      </c>
      <c r="C432" s="3" t="s">
        <v>5585</v>
      </c>
      <c r="D432" s="3">
        <v>114</v>
      </c>
      <c r="E432" s="3" t="s">
        <v>2514</v>
      </c>
      <c r="F432" s="3" t="s">
        <v>5614</v>
      </c>
      <c r="G432" s="6" t="s">
        <v>5615</v>
      </c>
      <c r="H432" s="3" t="s">
        <v>5616</v>
      </c>
      <c r="I432" s="3" t="s">
        <v>2508</v>
      </c>
      <c r="J432" s="3" t="s">
        <v>5617</v>
      </c>
      <c r="K432" s="3" t="s">
        <v>2538</v>
      </c>
      <c r="L432" s="3" t="s">
        <v>2531</v>
      </c>
      <c r="M432" s="3" t="s">
        <v>3013</v>
      </c>
      <c r="N432" s="3" t="s">
        <v>1931</v>
      </c>
      <c r="O432" s="3" t="s">
        <v>482</v>
      </c>
      <c r="P432" s="3">
        <v>0</v>
      </c>
      <c r="Q432" s="3" t="s">
        <v>2560</v>
      </c>
      <c r="R432" s="3" t="s">
        <v>405</v>
      </c>
      <c r="S432" s="3" t="s">
        <v>482</v>
      </c>
      <c r="T432" s="3" t="s">
        <v>482</v>
      </c>
    </row>
    <row r="433" spans="1:20" ht="70" hidden="1" x14ac:dyDescent="0.2">
      <c r="A433" s="3" t="s">
        <v>5618</v>
      </c>
      <c r="B433" s="3" t="s">
        <v>5619</v>
      </c>
      <c r="C433" s="3" t="s">
        <v>5620</v>
      </c>
      <c r="D433" s="3">
        <v>22</v>
      </c>
      <c r="E433" s="3" t="s">
        <v>4913</v>
      </c>
      <c r="F433" s="3" t="s">
        <v>5621</v>
      </c>
      <c r="G433" s="6" t="s">
        <v>5622</v>
      </c>
      <c r="H433" s="3" t="s">
        <v>5623</v>
      </c>
      <c r="I433" s="3" t="s">
        <v>2508</v>
      </c>
      <c r="J433" s="3" t="s">
        <v>5624</v>
      </c>
      <c r="K433" s="3" t="s">
        <v>5625</v>
      </c>
      <c r="L433" s="3" t="s">
        <v>482</v>
      </c>
      <c r="M433" s="3" t="s">
        <v>2540</v>
      </c>
      <c r="N433" s="3" t="s">
        <v>1816</v>
      </c>
      <c r="O433" s="3" t="s">
        <v>5626</v>
      </c>
      <c r="P433" s="3">
        <v>2</v>
      </c>
      <c r="Q433" s="3" t="s">
        <v>5627</v>
      </c>
      <c r="R433" s="3" t="s">
        <v>5628</v>
      </c>
      <c r="S433" s="3" t="s">
        <v>482</v>
      </c>
      <c r="T433" s="3" t="s">
        <v>482</v>
      </c>
    </row>
    <row r="434" spans="1:20" ht="42" hidden="1" x14ac:dyDescent="0.2">
      <c r="A434" s="3" t="s">
        <v>5629</v>
      </c>
      <c r="B434" s="3" t="s">
        <v>5630</v>
      </c>
      <c r="C434" s="3" t="s">
        <v>5620</v>
      </c>
      <c r="D434" s="3">
        <v>72</v>
      </c>
      <c r="E434" s="3" t="s">
        <v>2635</v>
      </c>
      <c r="F434" s="3" t="s">
        <v>5631</v>
      </c>
      <c r="G434" s="6" t="s">
        <v>3398</v>
      </c>
      <c r="H434" s="3" t="s">
        <v>3398</v>
      </c>
      <c r="I434" s="3" t="s">
        <v>3399</v>
      </c>
      <c r="J434" s="3" t="s">
        <v>5632</v>
      </c>
      <c r="K434" s="3" t="s">
        <v>3348</v>
      </c>
      <c r="L434" s="3" t="s">
        <v>482</v>
      </c>
      <c r="M434" s="3" t="s">
        <v>2540</v>
      </c>
      <c r="N434" s="3" t="s">
        <v>1816</v>
      </c>
      <c r="O434" s="3" t="s">
        <v>482</v>
      </c>
      <c r="P434" s="3">
        <v>0</v>
      </c>
      <c r="Q434" s="3" t="s">
        <v>2560</v>
      </c>
      <c r="R434" s="3" t="s">
        <v>405</v>
      </c>
      <c r="S434" s="3" t="s">
        <v>482</v>
      </c>
      <c r="T434" s="3" t="s">
        <v>482</v>
      </c>
    </row>
    <row r="435" spans="1:20" ht="319" hidden="1" x14ac:dyDescent="0.2">
      <c r="A435" s="3" t="s">
        <v>5633</v>
      </c>
      <c r="B435" s="3" t="s">
        <v>5634</v>
      </c>
      <c r="C435" s="3" t="s">
        <v>5620</v>
      </c>
      <c r="D435" s="3">
        <v>78</v>
      </c>
      <c r="E435" s="3" t="s">
        <v>2635</v>
      </c>
      <c r="F435" s="3" t="s">
        <v>2616</v>
      </c>
      <c r="G435" s="6" t="s">
        <v>5635</v>
      </c>
      <c r="H435" s="3" t="s">
        <v>5636</v>
      </c>
      <c r="I435" s="3" t="s">
        <v>2508</v>
      </c>
      <c r="J435" s="3" t="s">
        <v>4651</v>
      </c>
      <c r="K435" s="3" t="s">
        <v>5637</v>
      </c>
      <c r="L435" s="3" t="s">
        <v>482</v>
      </c>
      <c r="M435" s="3" t="s">
        <v>5638</v>
      </c>
      <c r="N435" s="3" t="s">
        <v>1816</v>
      </c>
      <c r="O435" s="3" t="s">
        <v>5639</v>
      </c>
      <c r="P435" s="3">
        <v>1</v>
      </c>
      <c r="Q435" s="3" t="s">
        <v>5639</v>
      </c>
      <c r="R435" s="3" t="s">
        <v>5640</v>
      </c>
      <c r="S435" s="3" t="s">
        <v>482</v>
      </c>
      <c r="T435" s="3" t="s">
        <v>482</v>
      </c>
    </row>
    <row r="436" spans="1:20" ht="48" hidden="1" x14ac:dyDescent="0.2">
      <c r="A436" s="3" t="s">
        <v>5641</v>
      </c>
      <c r="B436" s="3" t="s">
        <v>5642</v>
      </c>
      <c r="C436" s="3" t="s">
        <v>5643</v>
      </c>
      <c r="D436" s="3">
        <v>9</v>
      </c>
      <c r="E436" s="3" t="s">
        <v>2514</v>
      </c>
      <c r="F436" s="3" t="s">
        <v>2616</v>
      </c>
      <c r="G436" s="6" t="s">
        <v>3398</v>
      </c>
      <c r="H436" s="3" t="s">
        <v>3398</v>
      </c>
      <c r="I436" s="3" t="s">
        <v>3399</v>
      </c>
      <c r="J436" s="3" t="s">
        <v>2547</v>
      </c>
      <c r="K436" s="3" t="s">
        <v>2972</v>
      </c>
      <c r="L436" s="3" t="s">
        <v>2531</v>
      </c>
      <c r="M436" s="3" t="s">
        <v>2540</v>
      </c>
      <c r="N436" s="3" t="s">
        <v>1931</v>
      </c>
      <c r="O436" s="3" t="s">
        <v>482</v>
      </c>
      <c r="P436" s="3">
        <v>0</v>
      </c>
      <c r="Q436" s="3" t="s">
        <v>2560</v>
      </c>
      <c r="R436" s="3" t="s">
        <v>405</v>
      </c>
      <c r="S436" s="3" t="s">
        <v>482</v>
      </c>
      <c r="T436" s="3" t="s">
        <v>482</v>
      </c>
    </row>
    <row r="437" spans="1:20" ht="168" hidden="1" x14ac:dyDescent="0.2">
      <c r="A437" s="3" t="s">
        <v>5644</v>
      </c>
      <c r="B437" s="3" t="s">
        <v>5645</v>
      </c>
      <c r="C437" s="3" t="s">
        <v>5643</v>
      </c>
      <c r="D437" s="3">
        <v>14</v>
      </c>
      <c r="E437" s="3" t="s">
        <v>2514</v>
      </c>
      <c r="F437" s="3" t="s">
        <v>5646</v>
      </c>
      <c r="G437" s="6" t="s">
        <v>5647</v>
      </c>
      <c r="H437" s="3" t="s">
        <v>5648</v>
      </c>
      <c r="I437" s="3" t="s">
        <v>2508</v>
      </c>
      <c r="J437" s="3" t="s">
        <v>5649</v>
      </c>
      <c r="K437" s="3" t="s">
        <v>5322</v>
      </c>
      <c r="L437" s="3" t="s">
        <v>2531</v>
      </c>
      <c r="M437" s="3" t="s">
        <v>2540</v>
      </c>
      <c r="N437" s="3" t="s">
        <v>1931</v>
      </c>
      <c r="O437" s="3" t="s">
        <v>482</v>
      </c>
      <c r="P437" s="3">
        <v>0</v>
      </c>
      <c r="Q437" s="3" t="s">
        <v>2560</v>
      </c>
      <c r="R437" s="3" t="s">
        <v>405</v>
      </c>
      <c r="S437" s="3" t="s">
        <v>482</v>
      </c>
      <c r="T437" s="3" t="s">
        <v>482</v>
      </c>
    </row>
    <row r="438" spans="1:20" ht="84" hidden="1" x14ac:dyDescent="0.2">
      <c r="A438" s="3" t="s">
        <v>5650</v>
      </c>
      <c r="B438" s="3" t="s">
        <v>5651</v>
      </c>
      <c r="C438" s="3" t="s">
        <v>5643</v>
      </c>
      <c r="D438" s="3">
        <v>78</v>
      </c>
      <c r="E438" s="3" t="s">
        <v>5029</v>
      </c>
      <c r="F438" s="3" t="s">
        <v>2616</v>
      </c>
      <c r="G438" s="6" t="s">
        <v>5652</v>
      </c>
      <c r="H438" s="3" t="s">
        <v>5653</v>
      </c>
      <c r="I438" s="3" t="s">
        <v>2508</v>
      </c>
      <c r="J438" s="3" t="s">
        <v>5654</v>
      </c>
      <c r="K438" s="3" t="s">
        <v>5431</v>
      </c>
      <c r="L438" s="3" t="s">
        <v>2531</v>
      </c>
      <c r="M438" s="3" t="s">
        <v>2540</v>
      </c>
      <c r="N438" s="3" t="s">
        <v>1931</v>
      </c>
      <c r="O438" s="3" t="s">
        <v>5655</v>
      </c>
      <c r="P438" s="3">
        <v>2</v>
      </c>
      <c r="Q438" s="3" t="s">
        <v>5655</v>
      </c>
      <c r="R438" s="3" t="s">
        <v>5656</v>
      </c>
      <c r="S438" s="3" t="s">
        <v>482</v>
      </c>
      <c r="T438" s="3" t="s">
        <v>482</v>
      </c>
    </row>
    <row r="439" spans="1:20" ht="48" hidden="1" x14ac:dyDescent="0.2">
      <c r="A439" s="3" t="s">
        <v>5657</v>
      </c>
      <c r="B439" s="3" t="s">
        <v>5658</v>
      </c>
      <c r="C439" s="3" t="s">
        <v>5659</v>
      </c>
      <c r="D439" s="3">
        <v>51</v>
      </c>
      <c r="E439" s="3" t="s">
        <v>2641</v>
      </c>
      <c r="F439" s="3" t="s">
        <v>2616</v>
      </c>
      <c r="G439" s="6" t="s">
        <v>2642</v>
      </c>
      <c r="H439" s="3" t="s">
        <v>2642</v>
      </c>
      <c r="I439" s="3" t="s">
        <v>2637</v>
      </c>
      <c r="J439" s="3" t="s">
        <v>5660</v>
      </c>
      <c r="K439" s="3" t="s">
        <v>2538</v>
      </c>
      <c r="L439" s="3" t="s">
        <v>482</v>
      </c>
      <c r="M439" s="3" t="s">
        <v>2540</v>
      </c>
      <c r="N439" s="3" t="s">
        <v>1816</v>
      </c>
      <c r="O439" s="3" t="s">
        <v>482</v>
      </c>
      <c r="P439" s="3">
        <v>0</v>
      </c>
      <c r="Q439" s="3" t="s">
        <v>2560</v>
      </c>
      <c r="R439" s="3" t="s">
        <v>405</v>
      </c>
      <c r="S439" s="3" t="s">
        <v>482</v>
      </c>
      <c r="T439" s="3" t="s">
        <v>482</v>
      </c>
    </row>
    <row r="440" spans="1:20" ht="56" hidden="1" x14ac:dyDescent="0.2">
      <c r="A440" s="3" t="s">
        <v>5661</v>
      </c>
      <c r="B440" s="3" t="s">
        <v>5662</v>
      </c>
      <c r="C440" s="3" t="s">
        <v>5659</v>
      </c>
      <c r="D440" s="3">
        <v>55</v>
      </c>
      <c r="E440" s="3" t="s">
        <v>2514</v>
      </c>
      <c r="F440" s="3" t="s">
        <v>5663</v>
      </c>
      <c r="G440" s="6" t="s">
        <v>5664</v>
      </c>
      <c r="H440" s="3" t="s">
        <v>5665</v>
      </c>
      <c r="I440" s="3" t="s">
        <v>2508</v>
      </c>
      <c r="J440" s="3" t="s">
        <v>2547</v>
      </c>
      <c r="K440" s="3" t="s">
        <v>5666</v>
      </c>
      <c r="L440" s="3" t="s">
        <v>2531</v>
      </c>
      <c r="M440" s="3" t="s">
        <v>2540</v>
      </c>
      <c r="N440" s="3" t="s">
        <v>1931</v>
      </c>
      <c r="O440" s="3" t="s">
        <v>482</v>
      </c>
      <c r="P440" s="3">
        <v>0</v>
      </c>
      <c r="Q440" s="3" t="s">
        <v>2560</v>
      </c>
      <c r="R440" s="3" t="s">
        <v>405</v>
      </c>
      <c r="S440" s="3" t="s">
        <v>482</v>
      </c>
      <c r="T440" s="3" t="s">
        <v>482</v>
      </c>
    </row>
    <row r="441" spans="1:20" ht="196" hidden="1" x14ac:dyDescent="0.2">
      <c r="A441" s="3" t="s">
        <v>5667</v>
      </c>
      <c r="B441" s="3" t="s">
        <v>5668</v>
      </c>
      <c r="C441" s="3" t="s">
        <v>5659</v>
      </c>
      <c r="D441" s="3">
        <v>65</v>
      </c>
      <c r="E441" s="3" t="s">
        <v>2514</v>
      </c>
      <c r="F441" s="3" t="s">
        <v>5669</v>
      </c>
      <c r="G441" s="6" t="s">
        <v>5670</v>
      </c>
      <c r="H441" s="3" t="s">
        <v>5671</v>
      </c>
      <c r="I441" s="3" t="s">
        <v>2508</v>
      </c>
      <c r="J441" s="3" t="s">
        <v>5672</v>
      </c>
      <c r="K441" s="3" t="s">
        <v>5673</v>
      </c>
      <c r="L441" s="3" t="s">
        <v>2531</v>
      </c>
      <c r="M441" s="3" t="s">
        <v>3013</v>
      </c>
      <c r="N441" s="3" t="s">
        <v>1931</v>
      </c>
      <c r="O441" s="3" t="s">
        <v>482</v>
      </c>
      <c r="P441" s="3">
        <v>0</v>
      </c>
      <c r="Q441" s="3" t="s">
        <v>2560</v>
      </c>
      <c r="R441" s="3" t="s">
        <v>405</v>
      </c>
      <c r="S441" s="3" t="s">
        <v>482</v>
      </c>
      <c r="T441" s="3" t="s">
        <v>482</v>
      </c>
    </row>
    <row r="442" spans="1:20" ht="42" hidden="1" x14ac:dyDescent="0.2">
      <c r="A442" s="3" t="s">
        <v>5674</v>
      </c>
      <c r="B442" s="3" t="s">
        <v>5675</v>
      </c>
      <c r="C442" s="3" t="s">
        <v>5676</v>
      </c>
      <c r="D442" s="3">
        <v>36</v>
      </c>
      <c r="E442" s="3" t="s">
        <v>2641</v>
      </c>
      <c r="F442" s="3" t="s">
        <v>5677</v>
      </c>
      <c r="G442" s="6" t="s">
        <v>3398</v>
      </c>
      <c r="H442" s="3" t="s">
        <v>3398</v>
      </c>
      <c r="I442" s="3" t="s">
        <v>3399</v>
      </c>
      <c r="J442" s="3" t="s">
        <v>5678</v>
      </c>
      <c r="K442" s="3" t="s">
        <v>2538</v>
      </c>
      <c r="L442" s="3" t="s">
        <v>482</v>
      </c>
      <c r="M442" s="3" t="s">
        <v>2540</v>
      </c>
      <c r="N442" s="3" t="s">
        <v>1931</v>
      </c>
      <c r="O442" s="3" t="s">
        <v>482</v>
      </c>
      <c r="P442" s="3">
        <v>0</v>
      </c>
      <c r="Q442" s="3" t="s">
        <v>2560</v>
      </c>
      <c r="R442" s="3" t="s">
        <v>405</v>
      </c>
      <c r="S442" s="3" t="s">
        <v>482</v>
      </c>
      <c r="T442" s="3" t="s">
        <v>5679</v>
      </c>
    </row>
    <row r="443" spans="1:20" ht="266" hidden="1" x14ac:dyDescent="0.2">
      <c r="A443" s="3" t="s">
        <v>5680</v>
      </c>
      <c r="B443" s="3" t="s">
        <v>5681</v>
      </c>
      <c r="C443" s="3" t="s">
        <v>5676</v>
      </c>
      <c r="D443" s="3">
        <v>38</v>
      </c>
      <c r="E443" s="3" t="s">
        <v>2635</v>
      </c>
      <c r="F443" s="3" t="s">
        <v>5682</v>
      </c>
      <c r="G443" s="6" t="s">
        <v>5683</v>
      </c>
      <c r="H443" s="3" t="s">
        <v>5684</v>
      </c>
      <c r="I443" s="3" t="s">
        <v>2508</v>
      </c>
      <c r="J443" s="3" t="s">
        <v>2547</v>
      </c>
      <c r="K443" s="3" t="s">
        <v>2538</v>
      </c>
      <c r="L443" s="3" t="s">
        <v>482</v>
      </c>
      <c r="M443" s="3" t="s">
        <v>5685</v>
      </c>
      <c r="N443" s="3" t="s">
        <v>1816</v>
      </c>
      <c r="O443" s="3" t="s">
        <v>5686</v>
      </c>
      <c r="P443" s="3">
        <v>16</v>
      </c>
      <c r="Q443" s="3" t="s">
        <v>5687</v>
      </c>
      <c r="R443" s="3" t="s">
        <v>5688</v>
      </c>
      <c r="S443" s="3" t="s">
        <v>482</v>
      </c>
      <c r="T443" s="3" t="s">
        <v>5689</v>
      </c>
    </row>
    <row r="444" spans="1:20" ht="70" hidden="1" x14ac:dyDescent="0.2">
      <c r="A444" s="3" t="s">
        <v>5690</v>
      </c>
      <c r="B444" s="3" t="s">
        <v>5691</v>
      </c>
      <c r="C444" s="3" t="s">
        <v>5676</v>
      </c>
      <c r="D444" s="3">
        <v>227</v>
      </c>
      <c r="E444" s="3" t="s">
        <v>2635</v>
      </c>
      <c r="F444" s="3" t="s">
        <v>5692</v>
      </c>
      <c r="G444" s="6" t="s">
        <v>5693</v>
      </c>
      <c r="H444" s="3" t="s">
        <v>5694</v>
      </c>
      <c r="I444" s="3" t="s">
        <v>2529</v>
      </c>
      <c r="J444" s="3" t="s">
        <v>5695</v>
      </c>
      <c r="K444" s="3" t="s">
        <v>3357</v>
      </c>
      <c r="L444" s="3" t="s">
        <v>482</v>
      </c>
      <c r="M444" s="3" t="s">
        <v>2540</v>
      </c>
      <c r="N444" s="3" t="s">
        <v>1816</v>
      </c>
      <c r="O444" s="3" t="s">
        <v>482</v>
      </c>
      <c r="P444" s="3">
        <v>0</v>
      </c>
      <c r="Q444" s="3" t="s">
        <v>2560</v>
      </c>
      <c r="R444" s="3" t="s">
        <v>405</v>
      </c>
      <c r="S444" s="3" t="s">
        <v>482</v>
      </c>
      <c r="T444" s="3" t="s">
        <v>5696</v>
      </c>
    </row>
    <row r="445" spans="1:20" ht="409.6" hidden="1" x14ac:dyDescent="0.2">
      <c r="A445" s="3" t="s">
        <v>5697</v>
      </c>
      <c r="B445" s="3" t="s">
        <v>5698</v>
      </c>
      <c r="C445" s="3" t="s">
        <v>5699</v>
      </c>
      <c r="D445" s="3">
        <v>73</v>
      </c>
      <c r="E445" s="3" t="s">
        <v>2635</v>
      </c>
      <c r="F445" s="3" t="s">
        <v>5700</v>
      </c>
      <c r="G445" s="6" t="s">
        <v>5701</v>
      </c>
      <c r="H445" s="3" t="s">
        <v>5702</v>
      </c>
      <c r="I445" s="3" t="s">
        <v>2508</v>
      </c>
      <c r="J445" s="3" t="s">
        <v>5703</v>
      </c>
      <c r="K445" s="3" t="s">
        <v>5704</v>
      </c>
      <c r="L445" s="3" t="s">
        <v>482</v>
      </c>
      <c r="M445" s="3" t="s">
        <v>2540</v>
      </c>
      <c r="N445" s="3" t="s">
        <v>1816</v>
      </c>
      <c r="O445" s="3" t="s">
        <v>482</v>
      </c>
      <c r="P445" s="3">
        <v>0</v>
      </c>
      <c r="Q445" s="3" t="s">
        <v>2560</v>
      </c>
      <c r="R445" s="3" t="s">
        <v>405</v>
      </c>
      <c r="S445" s="3" t="s">
        <v>482</v>
      </c>
      <c r="T445" s="3" t="s">
        <v>5705</v>
      </c>
    </row>
    <row r="446" spans="1:20" ht="140" hidden="1" x14ac:dyDescent="0.2">
      <c r="A446" s="3" t="s">
        <v>5706</v>
      </c>
      <c r="B446" s="3" t="s">
        <v>5707</v>
      </c>
      <c r="C446" s="3" t="s">
        <v>5699</v>
      </c>
      <c r="D446" s="3">
        <v>116</v>
      </c>
      <c r="E446" s="3" t="s">
        <v>2635</v>
      </c>
      <c r="F446" s="3" t="s">
        <v>5708</v>
      </c>
      <c r="G446" s="6" t="s">
        <v>5709</v>
      </c>
      <c r="H446" s="3" t="s">
        <v>5710</v>
      </c>
      <c r="I446" s="3" t="s">
        <v>2508</v>
      </c>
      <c r="J446" s="3" t="s">
        <v>5711</v>
      </c>
      <c r="K446" s="3" t="s">
        <v>5712</v>
      </c>
      <c r="L446" s="3" t="s">
        <v>482</v>
      </c>
      <c r="M446" s="3" t="s">
        <v>5713</v>
      </c>
      <c r="N446" s="3" t="s">
        <v>1816</v>
      </c>
      <c r="O446" s="3" t="s">
        <v>5113</v>
      </c>
      <c r="P446" s="3">
        <v>2</v>
      </c>
      <c r="Q446" s="3" t="s">
        <v>5114</v>
      </c>
      <c r="R446" s="3" t="s">
        <v>5714</v>
      </c>
      <c r="S446" s="3" t="s">
        <v>482</v>
      </c>
      <c r="T446" s="3" t="s">
        <v>5715</v>
      </c>
    </row>
    <row r="447" spans="1:20" ht="168" hidden="1" x14ac:dyDescent="0.2">
      <c r="A447" s="3" t="s">
        <v>5716</v>
      </c>
      <c r="B447" s="3" t="s">
        <v>5717</v>
      </c>
      <c r="C447" s="3" t="s">
        <v>5699</v>
      </c>
      <c r="D447" s="3">
        <v>152</v>
      </c>
      <c r="E447" s="3" t="s">
        <v>2635</v>
      </c>
      <c r="F447" s="3" t="s">
        <v>5718</v>
      </c>
      <c r="G447" s="6" t="s">
        <v>5719</v>
      </c>
      <c r="H447" s="3" t="s">
        <v>5720</v>
      </c>
      <c r="I447" s="3" t="s">
        <v>2508</v>
      </c>
      <c r="J447" s="3" t="s">
        <v>5721</v>
      </c>
      <c r="K447" s="3" t="s">
        <v>5722</v>
      </c>
      <c r="L447" s="3" t="s">
        <v>482</v>
      </c>
      <c r="M447" s="3" t="s">
        <v>5723</v>
      </c>
      <c r="N447" s="3" t="s">
        <v>1816</v>
      </c>
      <c r="O447" s="3" t="s">
        <v>482</v>
      </c>
      <c r="P447" s="3">
        <v>0</v>
      </c>
      <c r="Q447" s="3" t="s">
        <v>2560</v>
      </c>
      <c r="R447" s="3" t="s">
        <v>405</v>
      </c>
      <c r="S447" s="3" t="s">
        <v>482</v>
      </c>
      <c r="T447" s="3" t="s">
        <v>5724</v>
      </c>
    </row>
    <row r="448" spans="1:20" ht="210" hidden="1" x14ac:dyDescent="0.2">
      <c r="A448" s="3" t="s">
        <v>5725</v>
      </c>
      <c r="B448" s="3" t="s">
        <v>5726</v>
      </c>
      <c r="C448" s="3" t="s">
        <v>5699</v>
      </c>
      <c r="D448" s="3">
        <v>183</v>
      </c>
      <c r="E448" s="3" t="s">
        <v>2635</v>
      </c>
      <c r="F448" s="3" t="s">
        <v>5727</v>
      </c>
      <c r="G448" s="6" t="s">
        <v>5728</v>
      </c>
      <c r="H448" s="3" t="s">
        <v>5729</v>
      </c>
      <c r="I448" s="3" t="s">
        <v>2508</v>
      </c>
      <c r="J448" s="3" t="s">
        <v>5730</v>
      </c>
      <c r="K448" s="3" t="s">
        <v>5731</v>
      </c>
      <c r="L448" s="3" t="s">
        <v>482</v>
      </c>
      <c r="M448" s="3" t="s">
        <v>5732</v>
      </c>
      <c r="N448" s="3" t="s">
        <v>1816</v>
      </c>
      <c r="O448" s="3" t="s">
        <v>482</v>
      </c>
      <c r="P448" s="3">
        <v>0</v>
      </c>
      <c r="Q448" s="3" t="s">
        <v>2560</v>
      </c>
      <c r="R448" s="3" t="s">
        <v>405</v>
      </c>
      <c r="S448" s="3" t="s">
        <v>482</v>
      </c>
      <c r="T448" s="3" t="s">
        <v>5733</v>
      </c>
    </row>
    <row r="449" spans="1:20" ht="96" hidden="1" x14ac:dyDescent="0.2">
      <c r="A449" s="3" t="s">
        <v>5734</v>
      </c>
      <c r="B449" s="3" t="s">
        <v>5735</v>
      </c>
      <c r="C449" s="3" t="s">
        <v>5699</v>
      </c>
      <c r="D449" s="3">
        <v>245</v>
      </c>
      <c r="E449" s="3" t="s">
        <v>2635</v>
      </c>
      <c r="F449" s="3" t="s">
        <v>5736</v>
      </c>
      <c r="G449" s="6" t="s">
        <v>3398</v>
      </c>
      <c r="H449" s="3" t="s">
        <v>3398</v>
      </c>
      <c r="I449" s="3" t="s">
        <v>3399</v>
      </c>
      <c r="J449" s="3" t="s">
        <v>5737</v>
      </c>
      <c r="K449" s="3" t="s">
        <v>3348</v>
      </c>
      <c r="L449" s="3" t="s">
        <v>482</v>
      </c>
      <c r="M449" s="3" t="s">
        <v>2540</v>
      </c>
      <c r="N449" s="3" t="s">
        <v>1816</v>
      </c>
      <c r="O449" s="3" t="s">
        <v>5738</v>
      </c>
      <c r="P449" s="3">
        <v>1</v>
      </c>
      <c r="Q449" s="3" t="s">
        <v>5738</v>
      </c>
      <c r="R449" s="3" t="s">
        <v>5739</v>
      </c>
      <c r="S449" s="3" t="s">
        <v>482</v>
      </c>
      <c r="T449" s="3" t="s">
        <v>5740</v>
      </c>
    </row>
    <row r="450" spans="1:20" ht="48" hidden="1" x14ac:dyDescent="0.2">
      <c r="A450" s="3" t="s">
        <v>5741</v>
      </c>
      <c r="B450" s="3" t="s">
        <v>5742</v>
      </c>
      <c r="C450" s="3" t="s">
        <v>5699</v>
      </c>
      <c r="D450" s="3">
        <v>257</v>
      </c>
      <c r="E450" s="3" t="s">
        <v>2635</v>
      </c>
      <c r="F450" s="3" t="s">
        <v>5743</v>
      </c>
      <c r="G450" s="6" t="s">
        <v>5744</v>
      </c>
      <c r="H450" s="3" t="s">
        <v>5745</v>
      </c>
      <c r="I450" s="3" t="s">
        <v>2529</v>
      </c>
      <c r="J450" s="3" t="s">
        <v>5746</v>
      </c>
      <c r="K450" s="3" t="s">
        <v>5747</v>
      </c>
      <c r="L450" s="3" t="s">
        <v>482</v>
      </c>
      <c r="M450" s="3" t="s">
        <v>2540</v>
      </c>
      <c r="N450" s="3" t="s">
        <v>1816</v>
      </c>
      <c r="O450" s="3" t="s">
        <v>5748</v>
      </c>
      <c r="P450" s="3">
        <v>2</v>
      </c>
      <c r="Q450" s="3" t="s">
        <v>5749</v>
      </c>
      <c r="R450" s="3" t="s">
        <v>5750</v>
      </c>
      <c r="S450" s="3" t="s">
        <v>482</v>
      </c>
      <c r="T450" s="3" t="s">
        <v>5751</v>
      </c>
    </row>
    <row r="451" spans="1:20" ht="96" hidden="1" x14ac:dyDescent="0.2">
      <c r="A451" s="3" t="s">
        <v>5752</v>
      </c>
      <c r="B451" s="3" t="s">
        <v>5753</v>
      </c>
      <c r="C451" s="3" t="s">
        <v>5699</v>
      </c>
      <c r="D451" s="3">
        <v>271</v>
      </c>
      <c r="E451" s="3" t="s">
        <v>2635</v>
      </c>
      <c r="F451" s="3" t="s">
        <v>5754</v>
      </c>
      <c r="G451" s="6" t="s">
        <v>5755</v>
      </c>
      <c r="H451" s="3" t="s">
        <v>5756</v>
      </c>
      <c r="I451" s="3" t="s">
        <v>2508</v>
      </c>
      <c r="J451" s="3" t="s">
        <v>5757</v>
      </c>
      <c r="K451" s="3" t="s">
        <v>2519</v>
      </c>
      <c r="L451" s="3" t="s">
        <v>482</v>
      </c>
      <c r="M451" s="3" t="s">
        <v>5758</v>
      </c>
      <c r="N451" s="3" t="s">
        <v>1816</v>
      </c>
      <c r="O451" s="3" t="s">
        <v>482</v>
      </c>
      <c r="P451" s="3">
        <v>0</v>
      </c>
      <c r="Q451" s="3" t="s">
        <v>2560</v>
      </c>
      <c r="R451" s="3" t="s">
        <v>405</v>
      </c>
      <c r="S451" s="3" t="s">
        <v>482</v>
      </c>
      <c r="T451" s="3" t="s">
        <v>5759</v>
      </c>
    </row>
    <row r="452" spans="1:20" ht="84" hidden="1" x14ac:dyDescent="0.2">
      <c r="A452" s="3" t="s">
        <v>700</v>
      </c>
      <c r="B452" s="3" t="s">
        <v>699</v>
      </c>
      <c r="C452" s="3" t="s">
        <v>5699</v>
      </c>
      <c r="D452" s="3">
        <v>284</v>
      </c>
      <c r="E452" s="3" t="s">
        <v>2635</v>
      </c>
      <c r="F452" s="3" t="s">
        <v>5760</v>
      </c>
      <c r="G452" s="6" t="s">
        <v>5761</v>
      </c>
      <c r="H452" s="3" t="s">
        <v>5762</v>
      </c>
      <c r="I452" s="3" t="s">
        <v>2529</v>
      </c>
      <c r="J452" s="3" t="s">
        <v>5763</v>
      </c>
      <c r="K452" s="3" t="s">
        <v>3665</v>
      </c>
      <c r="L452" s="3" t="s">
        <v>482</v>
      </c>
      <c r="M452" s="3" t="s">
        <v>2813</v>
      </c>
      <c r="N452" s="3" t="s">
        <v>1816</v>
      </c>
      <c r="O452" s="3" t="s">
        <v>482</v>
      </c>
      <c r="P452" s="3">
        <v>0</v>
      </c>
      <c r="Q452" s="3" t="s">
        <v>2560</v>
      </c>
      <c r="R452" s="3" t="s">
        <v>405</v>
      </c>
      <c r="S452" s="3" t="s">
        <v>696</v>
      </c>
      <c r="T452" s="3" t="s">
        <v>2153</v>
      </c>
    </row>
    <row r="453" spans="1:20" ht="48" hidden="1" x14ac:dyDescent="0.2">
      <c r="A453" s="3" t="s">
        <v>5764</v>
      </c>
      <c r="B453" s="3" t="s">
        <v>5765</v>
      </c>
      <c r="C453" s="3" t="s">
        <v>5766</v>
      </c>
      <c r="D453" s="3">
        <v>8</v>
      </c>
      <c r="E453" s="3" t="s">
        <v>2504</v>
      </c>
      <c r="F453" s="3" t="s">
        <v>2616</v>
      </c>
      <c r="G453" s="6" t="s">
        <v>3398</v>
      </c>
      <c r="H453" s="3" t="s">
        <v>3398</v>
      </c>
      <c r="I453" s="3" t="s">
        <v>3399</v>
      </c>
      <c r="J453" s="3" t="s">
        <v>2547</v>
      </c>
      <c r="K453" s="3" t="s">
        <v>3612</v>
      </c>
      <c r="L453" s="3" t="s">
        <v>482</v>
      </c>
      <c r="M453" s="3" t="s">
        <v>2540</v>
      </c>
      <c r="N453" s="3" t="s">
        <v>1931</v>
      </c>
      <c r="O453" s="3" t="s">
        <v>482</v>
      </c>
      <c r="P453" s="3">
        <v>0</v>
      </c>
      <c r="Q453" s="3" t="s">
        <v>2560</v>
      </c>
      <c r="R453" s="3" t="s">
        <v>405</v>
      </c>
      <c r="S453" s="3" t="s">
        <v>482</v>
      </c>
      <c r="T453" s="3" t="s">
        <v>482</v>
      </c>
    </row>
    <row r="454" spans="1:20" ht="48" hidden="1" x14ac:dyDescent="0.2">
      <c r="A454" s="3" t="s">
        <v>5767</v>
      </c>
      <c r="B454" s="3" t="s">
        <v>5768</v>
      </c>
      <c r="C454" s="3" t="s">
        <v>5766</v>
      </c>
      <c r="D454" s="3">
        <v>15</v>
      </c>
      <c r="E454" s="3" t="s">
        <v>4913</v>
      </c>
      <c r="F454" s="3" t="s">
        <v>2616</v>
      </c>
      <c r="G454" s="6" t="s">
        <v>5769</v>
      </c>
      <c r="H454" s="3" t="s">
        <v>5769</v>
      </c>
      <c r="I454" s="3" t="s">
        <v>2529</v>
      </c>
      <c r="J454" s="3" t="s">
        <v>2547</v>
      </c>
      <c r="K454" s="3" t="s">
        <v>2538</v>
      </c>
      <c r="L454" s="3" t="s">
        <v>482</v>
      </c>
      <c r="M454" s="3" t="s">
        <v>2540</v>
      </c>
      <c r="N454" s="3" t="s">
        <v>1931</v>
      </c>
      <c r="O454" s="3" t="s">
        <v>5770</v>
      </c>
      <c r="P454" s="3">
        <v>2</v>
      </c>
      <c r="Q454" s="3" t="s">
        <v>5770</v>
      </c>
      <c r="R454" s="3" t="s">
        <v>5771</v>
      </c>
      <c r="S454" s="3" t="s">
        <v>482</v>
      </c>
      <c r="T454" s="3" t="s">
        <v>482</v>
      </c>
    </row>
    <row r="455" spans="1:20" ht="42" hidden="1" x14ac:dyDescent="0.2">
      <c r="A455" s="3" t="s">
        <v>5772</v>
      </c>
      <c r="B455" s="3" t="s">
        <v>5773</v>
      </c>
      <c r="C455" s="3" t="s">
        <v>5766</v>
      </c>
      <c r="D455" s="3">
        <v>51</v>
      </c>
      <c r="E455" s="3" t="s">
        <v>2504</v>
      </c>
      <c r="F455" s="3" t="s">
        <v>5774</v>
      </c>
      <c r="G455" s="6" t="s">
        <v>3398</v>
      </c>
      <c r="H455" s="3" t="s">
        <v>3398</v>
      </c>
      <c r="I455" s="3" t="s">
        <v>3399</v>
      </c>
      <c r="J455" s="3" t="s">
        <v>5775</v>
      </c>
      <c r="K455" s="3" t="s">
        <v>2519</v>
      </c>
      <c r="L455" s="3" t="s">
        <v>482</v>
      </c>
      <c r="M455" s="3" t="s">
        <v>4886</v>
      </c>
      <c r="N455" s="3" t="s">
        <v>1931</v>
      </c>
      <c r="O455" s="3" t="s">
        <v>482</v>
      </c>
      <c r="P455" s="3">
        <v>0</v>
      </c>
      <c r="Q455" s="3" t="s">
        <v>2560</v>
      </c>
      <c r="R455" s="3" t="s">
        <v>405</v>
      </c>
      <c r="S455" s="3" t="s">
        <v>482</v>
      </c>
      <c r="T455" s="3" t="s">
        <v>482</v>
      </c>
    </row>
    <row r="456" spans="1:20" ht="154" hidden="1" x14ac:dyDescent="0.2">
      <c r="A456" s="3" t="s">
        <v>5776</v>
      </c>
      <c r="B456" s="3" t="s">
        <v>5777</v>
      </c>
      <c r="C456" s="3" t="s">
        <v>5778</v>
      </c>
      <c r="D456" s="3">
        <v>15</v>
      </c>
      <c r="E456" s="3" t="s">
        <v>2504</v>
      </c>
      <c r="F456" s="3" t="s">
        <v>2616</v>
      </c>
      <c r="G456" s="6" t="s">
        <v>5779</v>
      </c>
      <c r="H456" s="3" t="s">
        <v>5780</v>
      </c>
      <c r="I456" s="3" t="s">
        <v>2508</v>
      </c>
      <c r="J456" s="3" t="s">
        <v>5781</v>
      </c>
      <c r="K456" s="3" t="s">
        <v>2972</v>
      </c>
      <c r="L456" s="3" t="s">
        <v>482</v>
      </c>
      <c r="M456" s="3" t="s">
        <v>5782</v>
      </c>
      <c r="N456" s="3" t="s">
        <v>1931</v>
      </c>
      <c r="O456" s="3" t="s">
        <v>482</v>
      </c>
      <c r="P456" s="3">
        <v>0</v>
      </c>
      <c r="Q456" s="3" t="s">
        <v>2560</v>
      </c>
      <c r="R456" s="3" t="s">
        <v>405</v>
      </c>
      <c r="S456" s="3" t="s">
        <v>482</v>
      </c>
      <c r="T456" s="3" t="s">
        <v>482</v>
      </c>
    </row>
    <row r="457" spans="1:20" ht="196" hidden="1" x14ac:dyDescent="0.2">
      <c r="A457" s="3" t="s">
        <v>5783</v>
      </c>
      <c r="B457" s="3" t="s">
        <v>5784</v>
      </c>
      <c r="C457" s="3" t="s">
        <v>5778</v>
      </c>
      <c r="D457" s="3">
        <v>43</v>
      </c>
      <c r="E457" s="3" t="s">
        <v>2514</v>
      </c>
      <c r="F457" s="3" t="s">
        <v>5785</v>
      </c>
      <c r="G457" s="6" t="s">
        <v>5786</v>
      </c>
      <c r="H457" s="3" t="s">
        <v>5787</v>
      </c>
      <c r="I457" s="3" t="s">
        <v>2508</v>
      </c>
      <c r="J457" s="3" t="s">
        <v>5788</v>
      </c>
      <c r="K457" s="3" t="s">
        <v>5789</v>
      </c>
      <c r="L457" s="3" t="s">
        <v>2531</v>
      </c>
      <c r="M457" s="3" t="s">
        <v>2630</v>
      </c>
      <c r="N457" s="3" t="s">
        <v>1931</v>
      </c>
      <c r="O457" s="3" t="s">
        <v>5790</v>
      </c>
      <c r="P457" s="3">
        <v>6</v>
      </c>
      <c r="Q457" s="3" t="s">
        <v>5791</v>
      </c>
      <c r="R457" s="3" t="s">
        <v>5792</v>
      </c>
      <c r="S457" s="3" t="s">
        <v>482</v>
      </c>
      <c r="T457" s="3" t="s">
        <v>482</v>
      </c>
    </row>
  </sheetData>
  <autoFilter ref="A1:T457" xr:uid="{00000000-0001-0000-0E00-000000000000}">
    <filterColumn colId="0">
      <filters>
        <filter val="MK-PF-F-028"/>
      </filters>
    </filterColumn>
  </autoFilter>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9"/>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12" customWidth="1"/>
    <col min="3" max="3" width="40" customWidth="1"/>
    <col min="4" max="4" width="38" customWidth="1"/>
    <col min="5" max="6" width="34" customWidth="1"/>
  </cols>
  <sheetData>
    <row r="1" spans="1:6" ht="16" x14ac:dyDescent="0.2">
      <c r="A1" s="1" t="s">
        <v>2486</v>
      </c>
      <c r="B1" s="1" t="s">
        <v>5793</v>
      </c>
      <c r="C1" s="1" t="s">
        <v>5794</v>
      </c>
      <c r="D1" s="1" t="s">
        <v>5795</v>
      </c>
      <c r="E1" s="1" t="s">
        <v>5796</v>
      </c>
      <c r="F1" s="1" t="s">
        <v>5797</v>
      </c>
    </row>
    <row r="2" spans="1:6" ht="96" x14ac:dyDescent="0.2">
      <c r="A2" s="4" t="s">
        <v>5798</v>
      </c>
      <c r="B2" s="3"/>
      <c r="C2" s="3"/>
      <c r="D2" s="3"/>
      <c r="E2" s="3"/>
      <c r="F2" s="3"/>
    </row>
    <row r="3" spans="1:6" ht="16" x14ac:dyDescent="0.2">
      <c r="A3" s="3" t="s">
        <v>2641</v>
      </c>
      <c r="B3" s="3">
        <v>40</v>
      </c>
      <c r="C3" s="3">
        <v>8</v>
      </c>
      <c r="D3" s="3">
        <v>0</v>
      </c>
      <c r="E3" s="3">
        <v>17</v>
      </c>
      <c r="F3" s="3">
        <v>6</v>
      </c>
    </row>
    <row r="4" spans="1:6" ht="16" x14ac:dyDescent="0.2">
      <c r="A4" s="3" t="s">
        <v>2514</v>
      </c>
      <c r="B4" s="3">
        <v>228</v>
      </c>
      <c r="C4" s="3">
        <v>31</v>
      </c>
      <c r="D4" s="3">
        <v>0</v>
      </c>
      <c r="E4" s="3">
        <v>49</v>
      </c>
      <c r="F4" s="3">
        <v>22</v>
      </c>
    </row>
    <row r="5" spans="1:6" ht="16" x14ac:dyDescent="0.2">
      <c r="A5" s="3" t="s">
        <v>5029</v>
      </c>
      <c r="B5" s="3">
        <v>3</v>
      </c>
      <c r="C5" s="3">
        <v>0</v>
      </c>
      <c r="D5" s="3">
        <v>0</v>
      </c>
      <c r="E5" s="3">
        <v>0</v>
      </c>
      <c r="F5" s="3">
        <v>0</v>
      </c>
    </row>
    <row r="6" spans="1:6" ht="16" x14ac:dyDescent="0.2">
      <c r="A6" s="3" t="s">
        <v>2504</v>
      </c>
      <c r="B6" s="3">
        <v>97</v>
      </c>
      <c r="C6" s="3">
        <v>7</v>
      </c>
      <c r="D6" s="3">
        <v>0</v>
      </c>
      <c r="E6" s="3">
        <v>6</v>
      </c>
      <c r="F6" s="3">
        <v>1</v>
      </c>
    </row>
    <row r="7" spans="1:6" ht="16" x14ac:dyDescent="0.2">
      <c r="A7" s="3" t="s">
        <v>2635</v>
      </c>
      <c r="B7" s="3">
        <v>74</v>
      </c>
      <c r="C7" s="3">
        <v>9</v>
      </c>
      <c r="D7" s="3">
        <v>0</v>
      </c>
      <c r="E7" s="3">
        <v>16</v>
      </c>
      <c r="F7" s="3">
        <v>7</v>
      </c>
    </row>
    <row r="8" spans="1:6" ht="16" x14ac:dyDescent="0.2">
      <c r="A8" s="3" t="s">
        <v>4913</v>
      </c>
      <c r="B8" s="3">
        <v>13</v>
      </c>
      <c r="C8" s="3">
        <v>4</v>
      </c>
      <c r="D8" s="3">
        <v>0</v>
      </c>
      <c r="E8" s="3">
        <v>2</v>
      </c>
      <c r="F8" s="3">
        <v>2</v>
      </c>
    </row>
    <row r="9" spans="1:6" ht="16" x14ac:dyDescent="0.2">
      <c r="A9" s="7" t="s">
        <v>5799</v>
      </c>
      <c r="B9" s="3">
        <v>455</v>
      </c>
      <c r="C9" s="3">
        <v>59</v>
      </c>
      <c r="D9" s="3">
        <v>0</v>
      </c>
      <c r="E9" s="3">
        <v>90</v>
      </c>
      <c r="F9" s="3">
        <v>38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0"/>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10" customWidth="1"/>
    <col min="3" max="4" width="26" customWidth="1"/>
    <col min="5" max="5" width="30" customWidth="1"/>
    <col min="6" max="6" width="24" customWidth="1"/>
  </cols>
  <sheetData>
    <row r="1" spans="1:6" ht="16" x14ac:dyDescent="0.2">
      <c r="A1" s="1" t="s">
        <v>1926</v>
      </c>
      <c r="B1" s="1" t="s">
        <v>5800</v>
      </c>
      <c r="C1" s="1" t="s">
        <v>5801</v>
      </c>
      <c r="D1" s="1" t="s">
        <v>5802</v>
      </c>
      <c r="E1" s="1" t="s">
        <v>5803</v>
      </c>
      <c r="F1" s="1" t="s">
        <v>5804</v>
      </c>
    </row>
    <row r="2" spans="1:6" ht="80" x14ac:dyDescent="0.2">
      <c r="A2" s="4" t="s">
        <v>5805</v>
      </c>
      <c r="B2" s="3"/>
      <c r="C2" s="3"/>
      <c r="D2" s="3"/>
      <c r="E2" s="3"/>
      <c r="F2" s="3"/>
    </row>
    <row r="3" spans="1:6" ht="16" x14ac:dyDescent="0.2">
      <c r="A3" s="3" t="s">
        <v>1210</v>
      </c>
      <c r="B3" s="3">
        <v>28</v>
      </c>
      <c r="C3" s="3">
        <v>0</v>
      </c>
      <c r="D3" s="3">
        <v>8</v>
      </c>
      <c r="E3" s="3">
        <v>7</v>
      </c>
      <c r="F3" s="3">
        <v>13</v>
      </c>
    </row>
    <row r="4" spans="1:6" ht="16" x14ac:dyDescent="0.2">
      <c r="A4" s="3" t="s">
        <v>446</v>
      </c>
      <c r="B4" s="3">
        <v>4</v>
      </c>
      <c r="C4" s="3">
        <v>1</v>
      </c>
      <c r="D4" s="3">
        <v>1</v>
      </c>
      <c r="E4" s="3">
        <v>0</v>
      </c>
      <c r="F4" s="3">
        <v>2</v>
      </c>
    </row>
    <row r="5" spans="1:6" ht="16" x14ac:dyDescent="0.2">
      <c r="A5" s="3" t="s">
        <v>1372</v>
      </c>
      <c r="B5" s="3">
        <v>30</v>
      </c>
      <c r="C5" s="3">
        <v>0</v>
      </c>
      <c r="D5" s="3">
        <v>4</v>
      </c>
      <c r="E5" s="3">
        <v>6</v>
      </c>
      <c r="F5" s="3">
        <v>20</v>
      </c>
    </row>
    <row r="6" spans="1:6" ht="16" x14ac:dyDescent="0.2">
      <c r="A6" s="3" t="s">
        <v>490</v>
      </c>
      <c r="B6" s="3">
        <v>45</v>
      </c>
      <c r="C6" s="3">
        <v>9</v>
      </c>
      <c r="D6" s="3">
        <v>20</v>
      </c>
      <c r="E6" s="3">
        <v>7</v>
      </c>
      <c r="F6" s="3">
        <v>9</v>
      </c>
    </row>
    <row r="7" spans="1:6" ht="16" x14ac:dyDescent="0.2">
      <c r="A7" s="3" t="s">
        <v>902</v>
      </c>
      <c r="B7" s="3">
        <v>12</v>
      </c>
      <c r="C7" s="3">
        <v>1</v>
      </c>
      <c r="D7" s="3">
        <v>7</v>
      </c>
      <c r="E7" s="3">
        <v>3</v>
      </c>
      <c r="F7" s="3">
        <v>1</v>
      </c>
    </row>
    <row r="8" spans="1:6" ht="16" x14ac:dyDescent="0.2">
      <c r="A8" s="3" t="s">
        <v>983</v>
      </c>
      <c r="B8" s="3">
        <v>37</v>
      </c>
      <c r="C8" s="3">
        <v>1</v>
      </c>
      <c r="D8" s="3">
        <v>7</v>
      </c>
      <c r="E8" s="3">
        <v>6</v>
      </c>
      <c r="F8" s="3">
        <v>23</v>
      </c>
    </row>
    <row r="9" spans="1:6" ht="16" x14ac:dyDescent="0.2">
      <c r="A9" s="3" t="s">
        <v>5806</v>
      </c>
      <c r="B9" s="3">
        <v>7</v>
      </c>
      <c r="C9" s="3">
        <v>1</v>
      </c>
      <c r="D9" s="3">
        <v>3</v>
      </c>
      <c r="E9" s="3">
        <v>2</v>
      </c>
      <c r="F9" s="3">
        <v>1</v>
      </c>
    </row>
    <row r="10" spans="1:6" ht="16" x14ac:dyDescent="0.2">
      <c r="A10" s="7" t="s">
        <v>5799</v>
      </c>
      <c r="B10" s="3">
        <v>163</v>
      </c>
      <c r="C10" s="3">
        <v>13</v>
      </c>
      <c r="D10" s="3">
        <v>50</v>
      </c>
      <c r="E10" s="3">
        <v>31</v>
      </c>
      <c r="F10" s="3">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Reference</vt:lpstr>
      <vt:lpstr>Specification</vt:lpstr>
      <vt:lpstr>multiple_screens</vt:lpstr>
      <vt:lpstr>home</vt:lpstr>
      <vt:lpstr>networth</vt:lpstr>
      <vt:lpstr>performance</vt:lpstr>
      <vt:lpstr>plan</vt:lpstr>
      <vt:lpstr>cashflow</vt:lpstr>
      <vt:lpstr>menu</vt:lpstr>
      <vt:lpstr>inputs</vt:lpstr>
      <vt:lpstr>database</vt:lpstr>
      <vt:lpstr>core_screens</vt:lpstr>
      <vt:lpstr>reconciliation</vt:lpstr>
      <vt:lpstr>engines-old-tab</vt:lpstr>
      <vt:lpstr>functions_from_code</vt:lpstr>
      <vt:lpstr>functions_summary</vt:lpstr>
      <vt:lpstr>functions_per_metric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2026-08-26T18:57:07Z</dcterms:created>
  <dcterms:modified xsi:type="dcterms:W3CDTF">2026-08-26T23:22:08Z</dcterms:modified>
</cp:coreProperties>
</file>