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ference" sheetId="1" state="visible" r:id="rId1"/>
    <sheet name="Specification" sheetId="2" state="visible" r:id="rId2"/>
    <sheet name="multiple_screens" sheetId="3" state="visible" r:id="rId3"/>
    <sheet name="home" sheetId="4" state="visible" r:id="rId4"/>
    <sheet name="networth" sheetId="5" state="visible" r:id="rId5"/>
    <sheet name="performance" sheetId="6" state="visible" r:id="rId6"/>
    <sheet name="plan" sheetId="7" state="visible" r:id="rId7"/>
    <sheet name="cashflow" sheetId="8" state="visible" r:id="rId8"/>
    <sheet name="menu" sheetId="9" state="visible" r:id="rId9"/>
    <sheet name="inputs" sheetId="10" state="visible" r:id="rId10"/>
    <sheet name="database" sheetId="11" state="visible" r:id="rId11"/>
    <sheet name="core_screens" sheetId="12" state="visible" r:id="rId12"/>
    <sheet name="reconciliation" sheetId="13" state="visible" r:id="rId13"/>
  </sheets>
  <definedNames/>
  <calcPr calcId="124519" fullCalcOnLoad="1"/>
</workbook>
</file>

<file path=xl/styles.xml><?xml version="1.0" encoding="utf-8"?>
<styleSheet xmlns="http://schemas.openxmlformats.org/spreadsheetml/2006/main">
  <numFmts count="0"/>
  <fonts count="5">
    <font>
      <name val="Calibri"/>
      <family val="2"/>
      <color theme="1"/>
      <sz val="11"/>
      <scheme val="minor"/>
    </font>
    <font>
      <b val="1"/>
      <color rgb="00FFFFFF"/>
    </font>
    <font>
      <b val="1"/>
      <color rgb="001F3864"/>
    </font>
    <font>
      <b val="1"/>
      <color rgb="009C0006"/>
    </font>
    <font>
      <b val="1"/>
    </font>
  </fonts>
  <fills count="3">
    <fill>
      <patternFill/>
    </fill>
    <fill>
      <patternFill patternType="gray125"/>
    </fill>
    <fill>
      <patternFill patternType="solid">
        <fgColor rgb="001F3864"/>
      </patternFill>
    </fill>
  </fills>
  <borders count="1">
    <border>
      <left/>
      <right/>
      <top/>
      <bottom/>
      <diagonal/>
    </border>
  </borders>
  <cellStyleXfs count="1">
    <xf numFmtId="0" fontId="0" fillId="0" borderId="0"/>
  </cellStyleXfs>
  <cellXfs count="6">
    <xf numFmtId="0" fontId="0" fillId="0" borderId="0" pivotButton="0" quotePrefix="0" xfId="0"/>
    <xf numFmtId="0" fontId="1" fillId="2" borderId="0" applyAlignment="1" pivotButton="0" quotePrefix="0" xfId="0">
      <alignment vertical="top" wrapText="1"/>
    </xf>
    <xf numFmtId="0" fontId="4" fillId="0" borderId="0" pivotButton="0" quotePrefix="0" xfId="0"/>
    <xf numFmtId="0" fontId="0" fillId="0"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styles" Target="styles.xml" Id="rId14" /><Relationship Type="http://schemas.openxmlformats.org/officeDocument/2006/relationships/theme" Target="theme/theme1.xml" Id="rId1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57"/>
  <sheetViews>
    <sheetView workbookViewId="0">
      <pane ySplit="1" topLeftCell="A2" activePane="bottomLeft" state="frozen"/>
      <selection pane="bottomLeft" activeCell="A1" sqref="A1"/>
    </sheetView>
  </sheetViews>
  <sheetFormatPr baseColWidth="8" defaultRowHeight="15"/>
  <cols>
    <col width="46" customWidth="1" min="1" max="1"/>
    <col width="118" customWidth="1" min="2" max="2"/>
  </cols>
  <sheetData>
    <row r="1">
      <c r="A1" s="1" t="inlineStr">
        <is>
          <t>Item</t>
        </is>
      </c>
      <c r="B1" s="1" t="inlineStr">
        <is>
          <t>Detail</t>
        </is>
      </c>
    </row>
    <row r="2">
      <c r="A2" s="2" t="inlineStr">
        <is>
          <t>STANDING DECISION — how numbers are held and shown</t>
        </is>
      </c>
      <c r="B2" s="3" t="inlineStr">
        <is>
          <t>Every number is held as a float internally. Decimals are SHOWN only for prices of stocks, bonds and options, for interest and dividend rates, and for expenses; everything else displays whole dollars. Rounding happens once, at the edge, never in the middle. Founder, 2026-08-22.</t>
        </is>
      </c>
    </row>
    <row r="3">
      <c r="A3" s="2" t="inlineStr">
        <is>
          <t>Date file created</t>
        </is>
      </c>
      <c r="B3" s="3" t="inlineStr">
        <is>
          <t>2026-08-25</t>
        </is>
      </c>
    </row>
    <row r="4">
      <c r="A4" s="2" t="inlineStr">
        <is>
          <t>Date file last modified</t>
        </is>
      </c>
      <c r="B4" s="3" t="inlineStr">
        <is>
          <t>2026-08-25  (stamped by the build, not typed; unchanged when the file is only read)</t>
        </is>
      </c>
    </row>
    <row r="5">
      <c r="A5" s="2" t="inlineStr">
        <is>
          <t>Objective of this file</t>
        </is>
      </c>
      <c r="B5" s="3" t="inlineStr">
        <is>
          <t>One row for every figure a person reads on screen, tied to the metric behind it, the engine that produces it, and the identifier that joins them — so a wrong number can be traced from the label on screen to its engine and formula in a minute. Serves objectives 3 and 4.</t>
        </is>
      </c>
    </row>
    <row r="6">
      <c r="A6" s="2" t="inlineStr"/>
      <c r="B6" s="3" t="inlineStr"/>
    </row>
    <row r="7">
      <c r="A7" s="2" t="inlineStr">
        <is>
          <t>TAB — Specification</t>
        </is>
      </c>
      <c r="B7" s="3" t="inlineStr">
        <is>
          <t>Everything a row must carry before its calculation can be written in code, NUMBERED S01 upwards so a piece of work can be named by its number. The last column says where each one stands in this file today.</t>
        </is>
      </c>
    </row>
    <row r="8">
      <c r="A8" s="2" t="inlineStr">
        <is>
          <t>TAB — Reference</t>
        </is>
      </c>
      <c r="B8" s="3" t="inlineStr">
        <is>
          <t>This tab. What the file is, what each tab holds, what each column means, and what it must comply with.</t>
        </is>
      </c>
    </row>
    <row r="9">
      <c r="A9" s="2" t="inlineStr">
        <is>
          <t>TAB — multiple_screens</t>
        </is>
      </c>
      <c r="B9" s="3" t="inlineStr">
        <is>
          <t>Figures shown on more than one parent screen. A figure lives here ONCE, with every screen and every label it wears listed, so the same figure can never have two definitions.</t>
        </is>
      </c>
    </row>
    <row r="10">
      <c r="A10" s="2" t="inlineStr">
        <is>
          <t>TAB — home</t>
        </is>
      </c>
      <c r="B10" s="3" t="inlineStr">
        <is>
          <t>Figures shown only on Home and the screens reached from it.</t>
        </is>
      </c>
    </row>
    <row r="11">
      <c r="A11" s="2" t="inlineStr">
        <is>
          <t>TAB — networth</t>
        </is>
      </c>
      <c r="B11" s="3" t="inlineStr">
        <is>
          <t>Figures shown only on Net worth and the screens reached from it.</t>
        </is>
      </c>
    </row>
    <row r="12">
      <c r="A12" s="2" t="inlineStr">
        <is>
          <t>TAB — performance</t>
        </is>
      </c>
      <c r="B12" s="3" t="inlineStr">
        <is>
          <t>Figures shown only on Performance and the screens reached from it.</t>
        </is>
      </c>
    </row>
    <row r="13">
      <c r="A13" s="2" t="inlineStr">
        <is>
          <t>TAB — plan</t>
        </is>
      </c>
      <c r="B13" s="3" t="inlineStr">
        <is>
          <t>Figures shown only on Plan and the screens reached from it.</t>
        </is>
      </c>
    </row>
    <row r="14">
      <c r="A14" s="2" t="inlineStr">
        <is>
          <t>TAB — cashflow</t>
        </is>
      </c>
      <c r="B14" s="3" t="inlineStr">
        <is>
          <t>Figures shown only on Cash flow and the screens reached from it.</t>
        </is>
      </c>
    </row>
    <row r="15">
      <c r="A15" s="2" t="inlineStr">
        <is>
          <t>TAB — menu</t>
        </is>
      </c>
      <c r="B15" s="3" t="inlineStr">
        <is>
          <t>Screens reachable only from the menu, and the figures on them.</t>
        </is>
      </c>
    </row>
    <row r="16">
      <c r="A16" s="2" t="inlineStr">
        <is>
          <t>TAB — reconciliation</t>
        </is>
      </c>
      <c r="B16" s="3" t="inlineStr">
        <is>
          <t>The input map checked in BOTH directions: what the inputs tab says uses each input, against what each engine actually names in its own input list. Where the two disagree the row says so. The section at the foot lists inputs an engine names that appear nowhere on the inputs tab.</t>
        </is>
      </c>
    </row>
    <row r="17">
      <c r="A17" s="2" t="inlineStr">
        <is>
          <t>TAB — core_screens</t>
        </is>
      </c>
      <c r="B17" s="3" t="inlineStr">
        <is>
          <t>Every screen in the app, its parent, my recommendation on whether it belongs to the 55-70 core, and a column for the founder to decide. Until this is decided, no row in the file can honestly claim to be in scope (S17).</t>
        </is>
      </c>
    </row>
    <row r="18">
      <c r="A18" s="2" t="inlineStr">
        <is>
          <t>TAB — database</t>
        </is>
      </c>
      <c r="B18" s="3" t="inlineStr">
        <is>
          <t>What the app saves in the cloud: where each thing is stored, what it holds, which figures depend on it, how often it is written and at what grain. Also names what is deliberately NOT saved.</t>
        </is>
      </c>
    </row>
    <row r="19">
      <c r="A19" s="2" t="inlineStr">
        <is>
          <t>TAB — inputs</t>
        </is>
      </c>
      <c r="B19" s="3" t="inlineStr">
        <is>
          <t>The raw values the engines need before any calculation happens.</t>
        </is>
      </c>
    </row>
    <row r="20">
      <c r="A20" s="2" t="inlineStr"/>
      <c r="B20" s="3" t="inlineStr"/>
    </row>
    <row r="21">
      <c r="A21" s="2" t="inlineStr">
        <is>
          <t>COLUMN — Metric ID</t>
        </is>
      </c>
      <c r="B21" s="3" t="inlineStr">
        <is>
          <t>The identifier of the figure, per moneykeel_naming_spec_unique-identifier_v01.md. Given once, never changed, never reused.</t>
        </is>
      </c>
    </row>
    <row r="22">
      <c r="A22" s="2" t="inlineStr">
        <is>
          <t>COLUMN — Parent Screen Name</t>
        </is>
      </c>
      <c r="B22" s="3" t="inlineStr">
        <is>
          <t>One of: Home, Networth, Performance, Cashflow, Plan, Menu. Menu means reachable only from the menu.</t>
        </is>
      </c>
    </row>
    <row r="23">
      <c r="A23" s="2" t="inlineStr">
        <is>
          <t>COLUMN — Secondary Screen Name</t>
        </is>
      </c>
      <c r="B23" s="3" t="inlineStr">
        <is>
          <t>The screen reached from the parent, or NA when the figure is on the parent screen itself.</t>
        </is>
      </c>
    </row>
    <row r="24">
      <c r="A24" s="2" t="inlineStr">
        <is>
          <t>COLUMN — Name on Screen</t>
        </is>
      </c>
      <c r="B24" s="3" t="inlineStr">
        <is>
          <t>The label copied exactly as it is worded on screen, including capitals. Where a figure wears different labels on different screens, all are listed.</t>
        </is>
      </c>
    </row>
    <row r="25">
      <c r="A25" s="2" t="inlineStr">
        <is>
          <t>COLUMN — Name of Underlying Metric</t>
        </is>
      </c>
      <c r="B25" s="3" t="inlineStr">
        <is>
          <t>The metric's name in the code.</t>
        </is>
      </c>
    </row>
    <row r="26">
      <c r="A26" s="2" t="inlineStr">
        <is>
          <t>COLUMN — Name of Underlying Engine</t>
        </is>
      </c>
      <c r="B26" s="3" t="inlineStr">
        <is>
          <t>The engine that produces the figure. NOT IN OLD MASTER means the engine exists in the code but has no row in the old master file.</t>
        </is>
      </c>
    </row>
    <row r="27">
      <c r="A27" s="2" t="inlineStr">
        <is>
          <t>COLUMN — Inputs it needs (S02)</t>
        </is>
      </c>
      <c r="B27" s="3" t="inlineStr">
        <is>
          <t>Every input the engine reads, named. Carried from the old master where it has a row there.</t>
        </is>
      </c>
    </row>
    <row r="28">
      <c r="A28" s="2" t="inlineStr">
        <is>
          <t>COLUMN — What comes out (S04)</t>
        </is>
      </c>
      <c r="B28" s="3" t="inlineStr">
        <is>
          <t>Dollars, a percentage, a date, a count; how it is held and how it is shown. Marked "derived by rule" where it was worked out from the label and formula rather than read from the engine — those need confirming.</t>
        </is>
      </c>
    </row>
    <row r="29">
      <c r="A29" s="2" t="inlineStr">
        <is>
          <t>COLUMN — What it says when it cannot be computed (S05)</t>
        </is>
      </c>
      <c r="B29" s="3" t="inlineStr">
        <is>
          <t>The refusal. Written where the engine has been read; NOT DETERMINED where it has not, rather than guessed.</t>
        </is>
      </c>
    </row>
    <row r="30">
      <c r="A30" s="2" t="inlineStr">
        <is>
          <t>COLUMN — Grain (S06)</t>
        </is>
      </c>
      <c r="B30" s="3" t="inlineStr">
        <is>
          <t>One figure per what: holding, account, debt, goal, category, month, or person.</t>
        </is>
      </c>
    </row>
    <row r="31">
      <c r="A31" s="2" t="inlineStr">
        <is>
          <t>COLUMN — Period (S07)</t>
        </is>
      </c>
      <c r="B31" s="3" t="inlineStr">
        <is>
          <t>As of when, and over what window.</t>
        </is>
      </c>
    </row>
    <row r="32">
      <c r="A32" s="2" t="inlineStr">
        <is>
          <t>COLUMN — Engines it depends on (S11)</t>
        </is>
      </c>
      <c r="B32" s="3" t="inlineStr">
        <is>
          <t>The engines this one calls, read from the code itself. "None found" means it reads raw values only.</t>
        </is>
      </c>
    </row>
    <row r="33">
      <c r="A33" s="2" t="inlineStr">
        <is>
          <t>COLUMN — Secondary calculations and decisions the engine makes</t>
        </is>
      </c>
      <c r="B33" s="3" t="inlineStr">
        <is>
          <t>The judgements an engine must make BEFORE its headline figure exists: what class an asset is, what to call it on screen, which units apply, whether a value is fresh. Each of these is a formula of its own and needs its own row.</t>
        </is>
      </c>
    </row>
    <row r="34">
      <c r="A34" s="2" t="inlineStr">
        <is>
          <t>COLUMN — Same figure as (S16)</t>
        </is>
      </c>
      <c r="B34" s="3" t="inlineStr">
        <is>
          <t>Where the same figure appears under more than one identifier, the row names the surviving identifier and why. Nothing is deleted: identifiers are never reused, so a folded row stays visible and says what it became.</t>
        </is>
      </c>
    </row>
    <row r="35">
      <c r="A35" s="2" t="inlineStr">
        <is>
          <t>COLUMN — Questions for you (numbered)</t>
        </is>
      </c>
      <c r="B35" s="3" t="inlineStr">
        <is>
          <t>My open questions about that engine or figure, each with a number that never changes. A number is never reused or renumbered, so an answer can always be matched to its question.</t>
        </is>
      </c>
    </row>
    <row r="36">
      <c r="A36" s="2" t="inlineStr">
        <is>
          <t>COLUMN — YOUR ANSWER — use the same number</t>
        </is>
      </c>
      <c r="B36" s="3" t="inlineStr">
        <is>
          <t>Answer here, starting each answer with the question number. Nothing else in the file needs to line up.</t>
        </is>
      </c>
    </row>
    <row r="37">
      <c r="A37" s="2" t="inlineStr">
        <is>
          <t>COLUMN — Errors or findings to address</t>
        </is>
      </c>
      <c r="B37" s="3" t="inlineStr">
        <is>
          <t>What is known to be wrong or unproved about this figure, in plain English. Blank means nothing is on record yet — not that nothing is wrong.</t>
        </is>
      </c>
    </row>
    <row r="38">
      <c r="A38" s="2" t="inlineStr">
        <is>
          <t>COLUMN — Decisions made (S03)</t>
        </is>
      </c>
      <c r="B38" s="3" t="inlineStr">
        <is>
          <t>The rulings and assumptions that govern this figure, each marked with WHOSE decision it was: [Founder] his own ruling, [The person] something the user set, [Built in] an assumption nobody chose on a screen — which is usually why a number looks wrong. The standing display and rounding rule applies to every row and is stated at the top of this tab.</t>
        </is>
      </c>
    </row>
    <row r="39">
      <c r="A39" s="2" t="inlineStr">
        <is>
          <t>COLUMN — Formula (mathematical)</t>
        </is>
      </c>
      <c r="B39" s="3" t="inlineStr">
        <is>
          <t>The rule written as arithmetic, so it can be followed symbol by symbol and checked against the code.</t>
        </is>
      </c>
    </row>
    <row r="40">
      <c r="A40" s="2" t="inlineStr">
        <is>
          <t>COLUMN — Formula (in words)</t>
        </is>
      </c>
      <c r="B40" s="3" t="inlineStr">
        <is>
          <t>The same rule in plain English, followable by hand. Where the engine has a row in the old master this is its wording, carried over; where it does not, it is written here from reading the code.</t>
        </is>
      </c>
    </row>
    <row r="41">
      <c r="A41" s="2" t="inlineStr">
        <is>
          <t>COLUMN — Engine ID</t>
        </is>
      </c>
      <c r="B41" s="3" t="inlineStr">
        <is>
          <t>The identifier of that engine. Blank where the figure is worked out on the screen itself rather than by an engine — which is itself a finding.</t>
        </is>
      </c>
    </row>
    <row r="42">
      <c r="A42" s="2" t="inlineStr">
        <is>
          <t>COLUMN — Your name for it (72-metric file)</t>
        </is>
      </c>
      <c r="B42" s="3" t="inlineStr">
        <is>
          <t>The founder's own name for the same figure, from METRICS-DELIVERABLE-ANSWERED-2026-08-20.xlsx. This column is the bridge between his vocabulary and the code's.</t>
        </is>
      </c>
    </row>
    <row r="43">
      <c r="A43" s="2" t="inlineStr">
        <is>
          <t>COLUMN — Core screen?</t>
        </is>
      </c>
      <c r="B43" s="3" t="inlineStr">
        <is>
          <t>Whether the screen is part of the 55-70 core, the agreed first scope. Currently NOT DETERMINED on every row: the core list has never been written down, so no row can honestly claim to be in or out of it.</t>
        </is>
      </c>
    </row>
    <row r="44">
      <c r="A44" s="2" t="inlineStr">
        <is>
          <t>COLUMN — Row status</t>
        </is>
      </c>
      <c r="B44" s="3" t="inlineStr">
        <is>
          <t>VERIFIED with its date means a person read the screen and confirmed the chain. NOT STARTED means the screen has not been read yet. Nothing in between is claimed.</t>
        </is>
      </c>
    </row>
    <row r="45">
      <c r="A45" s="2" t="inlineStr"/>
      <c r="B45" s="3" t="inlineStr"/>
    </row>
    <row r="46">
      <c r="A46" s="2" t="inlineStr">
        <is>
          <t>COLUMN — Input ID</t>
        </is>
      </c>
      <c r="B46" s="3" t="inlineStr">
        <is>
          <t>The identifier of a raw input, per the same standard.</t>
        </is>
      </c>
    </row>
    <row r="47">
      <c r="A47" s="2" t="inlineStr">
        <is>
          <t>COLUMN — Variable name</t>
        </is>
      </c>
      <c r="B47" s="3" t="inlineStr">
        <is>
          <t>What the raw value is called.</t>
        </is>
      </c>
    </row>
    <row r="48">
      <c r="A48" s="2" t="inlineStr">
        <is>
          <t>COLUMN — Source</t>
        </is>
      </c>
      <c r="B48" s="3" t="inlineStr">
        <is>
          <t>Where the value comes from: the person typed it, an institution download, a connected provider, or another engine computed it.</t>
        </is>
      </c>
    </row>
    <row r="49">
      <c r="A49" s="2" t="inlineStr">
        <is>
          <t>COLUMN — Which metric uses it</t>
        </is>
      </c>
      <c r="B49" s="3" t="inlineStr">
        <is>
          <t>Every metric identifier that depends on this input.</t>
        </is>
      </c>
    </row>
    <row r="50">
      <c r="A50" s="2" t="inlineStr">
        <is>
          <t>COLUMN — Which engine uses it</t>
        </is>
      </c>
      <c r="B50" s="3" t="inlineStr">
        <is>
          <t>Every engine identifier that reads this input.</t>
        </is>
      </c>
    </row>
    <row r="51">
      <c r="A51" s="2" t="inlineStr"/>
      <c r="B51" s="3" t="inlineStr"/>
    </row>
    <row r="52">
      <c r="A52" s="2" t="inlineStr">
        <is>
          <t>Complies with — naming</t>
        </is>
      </c>
      <c r="B52" s="3" t="inlineStr">
        <is>
          <t>MoneyKeel/documents/standards/moneykeel_naming_spec_file-and-folder-naming_v01.md</t>
        </is>
      </c>
    </row>
    <row r="53">
      <c r="A53" s="2" t="inlineStr">
        <is>
          <t>Complies with — identifiers</t>
        </is>
      </c>
      <c r="B53" s="3" t="inlineStr">
        <is>
          <t>MoneyKeel/documents/standards/moneykeel_naming_spec_unique-identifier_v01.md</t>
        </is>
      </c>
    </row>
    <row r="54">
      <c r="A54" s="2" t="inlineStr">
        <is>
          <t>Complies with — objectives</t>
        </is>
      </c>
      <c r="B54" s="3" t="inlineStr">
        <is>
          <t>MoneyKeel/documents/standards/moneykeel_calc_spec_objectives-and-verification_v01.md</t>
        </is>
      </c>
    </row>
    <row r="55">
      <c r="A55" s="2" t="inlineStr"/>
      <c r="B55" s="3" t="inlineStr"/>
    </row>
    <row r="56">
      <c r="A56" s="2" t="inlineStr">
        <is>
          <t>COVERAGE — screens read so far</t>
        </is>
      </c>
      <c r="B56" s="3" t="inlineStr">
        <is>
          <t>49 of 49. Every screen in the app has been read: the five parent screens, every secondary screen and every menu screen. Twelve screens carry no calculated figure and say so.</t>
        </is>
      </c>
    </row>
    <row r="57">
      <c r="A57" s="2" t="inlineStr">
        <is>
          <t>COVERAGE — what that means</t>
        </is>
      </c>
      <c r="B57" s="3" t="inlineStr">
        <is>
          <t>Every screen in the app is listed on its tab. Only Home carries figures so far; the rest are marked NOT STARTED. A rising count is not completeness while screens remain unread.</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D23"/>
  <sheetViews>
    <sheetView workbookViewId="0">
      <pane ySplit="1" topLeftCell="A2" activePane="bottomLeft" state="frozen"/>
      <selection pane="bottomLeft" activeCell="A1" sqref="A1"/>
    </sheetView>
  </sheetViews>
  <sheetFormatPr baseColWidth="8" defaultRowHeight="15"/>
  <cols>
    <col width="17" customWidth="1" min="1" max="1"/>
    <col width="26" customWidth="1" min="2" max="2"/>
    <col width="29" customWidth="1" min="3" max="3"/>
    <col width="22" customWidth="1" min="4" max="4"/>
    <col width="33" customWidth="1" min="5" max="5"/>
    <col width="33" customWidth="1" min="6" max="6"/>
    <col width="17" customWidth="1" min="7" max="7"/>
    <col width="30" customWidth="1" min="8" max="8"/>
    <col width="26" customWidth="1" min="9" max="9"/>
    <col width="23" customWidth="1" min="10" max="10"/>
    <col width="42" customWidth="1" min="11" max="11"/>
    <col width="42" customWidth="1" min="12" max="12"/>
    <col width="35" customWidth="1" min="13" max="13"/>
    <col width="42" customWidth="1" min="14" max="14"/>
    <col width="29" customWidth="1" min="15" max="15"/>
    <col width="42" customWidth="1" min="16" max="16"/>
    <col width="37" customWidth="1" min="17" max="17"/>
    <col width="22" customWidth="1" min="18" max="18"/>
    <col width="28" customWidth="1" min="19" max="19"/>
    <col width="36" customWidth="1" min="20" max="20"/>
    <col width="41" customWidth="1" min="21" max="21"/>
    <col width="41" customWidth="1" min="22" max="22"/>
    <col width="20" customWidth="1" min="23" max="23"/>
    <col width="18" customWidth="1" min="24" max="24"/>
  </cols>
  <sheetData>
    <row r="1">
      <c r="A1" s="1" t="inlineStr">
        <is>
          <t>No.</t>
        </is>
      </c>
      <c r="B1" s="1" t="inlineStr">
        <is>
          <t>What is needed</t>
        </is>
      </c>
      <c r="C1" s="1" t="inlineStr">
        <is>
          <t>Why it is needed</t>
        </is>
      </c>
      <c r="D1" s="1" t="inlineStr">
        <is>
          <t>Where it stands in this file today</t>
        </is>
      </c>
    </row>
    <row r="2">
      <c r="A2" t="inlineStr"/>
      <c r="B2" s="4" t="inlineStr">
        <is>
          <t>SECTION — WHAT THE NUMBER IS</t>
        </is>
      </c>
      <c r="C2" s="3" t="inlineStr"/>
      <c r="D2" s="3" t="inlineStr"/>
    </row>
    <row r="3">
      <c r="A3" t="inlineStr">
        <is>
          <t>S01</t>
        </is>
      </c>
      <c r="B3" s="3" t="inlineStr">
        <is>
          <t>The formula</t>
        </is>
      </c>
      <c r="C3" s="3" t="inlineStr">
        <is>
          <t>The actual rules, both as arithmetic and in plain English, followable by hand.</t>
        </is>
      </c>
      <c r="D3" s="3" t="inlineStr">
        <is>
          <t>COMPLETE — 163 of 163 carry both forms.</t>
        </is>
      </c>
    </row>
    <row r="4">
      <c r="A4" t="inlineStr">
        <is>
          <t>S02</t>
        </is>
      </c>
      <c r="B4" s="3" t="inlineStr">
        <is>
          <t>The inputs, one by one</t>
        </is>
      </c>
      <c r="C4" s="3" t="inlineStr">
        <is>
          <t>Every input named, with its INPUT IDENTIFIER beside it, its unit and where it comes from.</t>
        </is>
      </c>
      <c r="D4" s="3" t="inlineStr">
        <is>
          <t>PARTIAL — 59 rows name inputs carrying their identifiers; 72 rows name at least one input that appears nowhere on the inputs tab, and say so in the cell. The reconciliation tab checks both directions and is where the gap is counted.</t>
        </is>
      </c>
    </row>
    <row r="5">
      <c r="A5" t="inlineStr">
        <is>
          <t>S03</t>
        </is>
      </c>
      <c r="B5" s="3" t="inlineStr">
        <is>
          <t>The decisions and assumptions applied</t>
        </is>
      </c>
      <c r="C5" s="3" t="inlineStr">
        <is>
          <t>Each marked with whose decision it was: the founder's, the person's, or built in.</t>
        </is>
      </c>
      <c r="D5" s="3" t="inlineStr">
        <is>
          <t>PARTIAL — every row carries a cell; 37 name a real decision, 126 read NOT DETERMINED.</t>
        </is>
      </c>
    </row>
    <row r="6">
      <c r="A6" t="inlineStr">
        <is>
          <t>S04</t>
        </is>
      </c>
      <c r="B6" s="3" t="inlineStr">
        <is>
          <t>What comes out</t>
        </is>
      </c>
      <c r="C6" s="3" t="inlineStr">
        <is>
          <t>Dollars, a percentage, a date, a count; its unit and its rounding.</t>
        </is>
      </c>
      <c r="D6" s="3" t="inlineStr">
        <is>
          <t>COMPLETE — 163 of 163, derived by rule from the label and formula and marked as derived. Confirm rather than trust.</t>
        </is>
      </c>
    </row>
    <row r="7">
      <c r="A7" t="inlineStr">
        <is>
          <t>S05</t>
        </is>
      </c>
      <c r="B7" s="3" t="inlineStr">
        <is>
          <t>What it says when it cannot be computed</t>
        </is>
      </c>
      <c r="C7" s="3" t="inlineStr">
        <is>
          <t>The exact refusal — where wrong numbers get invented.</t>
        </is>
      </c>
      <c r="D7" s="3" t="inlineStr">
        <is>
          <t>PARTIAL — 126 of 163 written; 37 read NOT DETERMINED because that engine has not been read for its refusal yet.</t>
        </is>
      </c>
    </row>
    <row r="8">
      <c r="A8" t="inlineStr">
        <is>
          <t>S06</t>
        </is>
      </c>
      <c r="B8" s="3" t="inlineStr">
        <is>
          <t>The grain</t>
        </is>
      </c>
      <c r="C8" s="3" t="inlineStr">
        <is>
          <t>One figure per holding, account, debt, goal, category, month or person.</t>
        </is>
      </c>
      <c r="D8" s="3" t="inlineStr">
        <is>
          <t>COMPLETE — 163 of 163, derived by rule and marked as derived.</t>
        </is>
      </c>
    </row>
    <row r="9">
      <c r="A9" t="inlineStr">
        <is>
          <t>S07</t>
        </is>
      </c>
      <c r="B9" s="3" t="inlineStr">
        <is>
          <t>The period</t>
        </is>
      </c>
      <c r="C9" s="3" t="inlineStr">
        <is>
          <t>As of when, and over what window.</t>
        </is>
      </c>
      <c r="D9" s="3" t="inlineStr">
        <is>
          <t>COMPLETE — 163 of 163, derived by rule and marked as derived.</t>
        </is>
      </c>
    </row>
    <row r="10">
      <c r="A10" t="inlineStr"/>
      <c r="B10" s="4" t="inlineStr">
        <is>
          <t>SECTION — WHAT PROVES IT</t>
        </is>
      </c>
      <c r="C10" s="3" t="inlineStr"/>
      <c r="D10" s="3" t="inlineStr"/>
    </row>
    <row r="11">
      <c r="A11" t="inlineStr">
        <is>
          <t>S08</t>
        </is>
      </c>
      <c r="B11" s="3" t="inlineStr">
        <is>
          <t>Worked examples</t>
        </is>
      </c>
      <c r="C11" s="3" t="inlineStr">
        <is>
          <t>These inputs give this answer. Rung 2 re-runs them through the real engine on every build.</t>
        </is>
      </c>
      <c r="D11" s="3" t="inlineStr">
        <is>
          <t>NOT STARTED — waits on the founder's answers to the numbered questions, since an example needs the rule settled first.</t>
        </is>
      </c>
    </row>
    <row r="12">
      <c r="A12" t="inlineStr">
        <is>
          <t>S09</t>
        </is>
      </c>
      <c r="B12" s="3" t="inlineStr">
        <is>
          <t>An example for every case</t>
        </is>
      </c>
      <c r="C12" s="3" t="inlineStr">
        <is>
          <t>One per case the grid names: missing, degraded, per institution, time-bounded, related events, account type. Rung 3.</t>
        </is>
      </c>
      <c r="D12" s="3" t="inlineStr">
        <is>
          <t>NOT STARTED — the biggest single piece of work, and it belongs in the per-family detail files rather than here.</t>
        </is>
      </c>
    </row>
    <row r="13">
      <c r="A13" t="inlineStr">
        <is>
          <t>S10</t>
        </is>
      </c>
      <c r="B13" s="3" t="inlineStr">
        <is>
          <t>Verification level</t>
        </is>
      </c>
      <c r="C13" s="3" t="inlineStr">
        <is>
          <t>Which engines are marked for rung 4 and rung 5. Marked by the founder, recommended by me.</t>
        </is>
      </c>
      <c r="D13" s="3" t="inlineStr">
        <is>
          <t>NOT STARTED — the column does not exist yet.</t>
        </is>
      </c>
    </row>
    <row r="14">
      <c r="A14" t="inlineStr"/>
      <c r="B14" s="4" t="inlineStr">
        <is>
          <t>SECTION — WHAT CONNECTS IT</t>
        </is>
      </c>
      <c r="C14" s="3" t="inlineStr"/>
      <c r="D14" s="3" t="inlineStr"/>
    </row>
    <row r="15">
      <c r="A15" t="inlineStr">
        <is>
          <t>S11</t>
        </is>
      </c>
      <c r="B15" s="3" t="inlineStr">
        <is>
          <t>Which engines feed this engine</t>
        </is>
      </c>
      <c r="C15" s="3" t="inlineStr">
        <is>
          <t>The engines it depends on — without it, build order and the one-door design cannot be worked out.</t>
        </is>
      </c>
      <c r="D15" s="3" t="inlineStr">
        <is>
          <t>COMPLETE — read from the code itself, not from any document. 90 rows name their dependencies; the rest read raw values only.</t>
        </is>
      </c>
    </row>
    <row r="16">
      <c r="A16" t="inlineStr">
        <is>
          <t>S12</t>
        </is>
      </c>
      <c r="B16" s="3" t="inlineStr">
        <is>
          <t>Where it is implemented</t>
        </is>
      </c>
      <c r="C16" s="3" t="inlineStr">
        <is>
          <t>The file and function that carry it, so file and code can be checked against each other on every build.</t>
        </is>
      </c>
      <c r="D16" s="3" t="inlineStr">
        <is>
          <t>NOT STARTED.</t>
        </is>
      </c>
    </row>
    <row r="17">
      <c r="A17" t="inlineStr"/>
      <c r="B17" s="4" t="inlineStr">
        <is>
          <t>SECTION — GOVERNANCE</t>
        </is>
      </c>
      <c r="C17" s="3" t="inlineStr"/>
      <c r="D17" s="3" t="inlineStr"/>
    </row>
    <row r="18">
      <c r="A18" t="inlineStr">
        <is>
          <t>S13</t>
        </is>
      </c>
      <c r="B18" s="3" t="inlineStr">
        <is>
          <t>The founder's verdict</t>
        </is>
      </c>
      <c r="C18" s="3" t="inlineStr">
        <is>
          <t>A row counts as documented only when he has approved it.</t>
        </is>
      </c>
      <c r="D18" s="3" t="inlineStr">
        <is>
          <t>NOT STARTED — the column does not exist yet, so the coverage count means nothing until it does.</t>
        </is>
      </c>
    </row>
    <row r="19">
      <c r="A19" t="inlineStr">
        <is>
          <t>S14</t>
        </is>
      </c>
      <c r="B19" s="3" t="inlineStr">
        <is>
          <t>Lifecycle</t>
        </is>
      </c>
      <c r="C19" s="3" t="inlineStr">
        <is>
          <t>Live, cut, or superseded by another identifier.</t>
        </is>
      </c>
      <c r="D19" s="3" t="inlineStr">
        <is>
          <t>NOT STARTED.</t>
        </is>
      </c>
    </row>
    <row r="20">
      <c r="A20" t="inlineStr"/>
      <c r="B20" s="4" t="inlineStr">
        <is>
          <t>SECTION — NOT ON THE ORIGINAL LIST, STILL NEEDED</t>
        </is>
      </c>
      <c r="C20" s="3" t="inlineStr"/>
      <c r="D20" s="3" t="inlineStr"/>
    </row>
    <row r="21">
      <c r="A21" t="inlineStr">
        <is>
          <t>S15</t>
        </is>
      </c>
      <c r="B21" s="3" t="inlineStr">
        <is>
          <t>Your name for it, from the 72-metric file</t>
        </is>
      </c>
      <c r="C21" s="3" t="inlineStr">
        <is>
          <t>The bridge between the founder's vocabulary and the code's.</t>
        </is>
      </c>
      <c r="D21" s="3" t="inlineStr">
        <is>
          <t>NOT STARTED — 0 of 163 rows.</t>
        </is>
      </c>
    </row>
    <row r="22">
      <c r="A22" t="inlineStr">
        <is>
          <t>S16</t>
        </is>
      </c>
      <c r="B22" s="3" t="inlineStr">
        <is>
          <t>The duplication pass</t>
        </is>
      </c>
      <c r="C22" s="3" t="inlineStr">
        <is>
          <t>Figures that are the same thing under two identifiers.</t>
        </is>
      </c>
      <c r="D22" s="3" t="inlineStr">
        <is>
          <t>COMPLETE — every group judged one at a time. 11 figures were being shown under 24 identifiers; the 13 folded rows now name the identifier that survives and why. 18 groups were checked and are NOT duplicates — one engine legitimately producing several figures — and say so, so the question is not asked twice. Two mis-assigned engines were found and recorded as findings.</t>
        </is>
      </c>
    </row>
    <row r="23">
      <c r="A23" t="inlineStr">
        <is>
          <t>S17</t>
        </is>
      </c>
      <c r="B23" s="3" t="inlineStr">
        <is>
          <t>Which screens are the 55-70 core</t>
        </is>
      </c>
      <c r="C23" s="3" t="inlineStr">
        <is>
          <t>The agreed first scope has never been written down.</t>
        </is>
      </c>
      <c r="D23" s="3" t="inlineStr">
        <is>
          <t>READY FOR THE FOUNDER — the core_screens tab lists all 49 screens with my recommendation (39 in, 5 out, 5 borderline) and a column for his decision.</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X8"/>
  <sheetViews>
    <sheetView workbookViewId="0">
      <pane ySplit="1" topLeftCell="A2" activePane="bottomLeft" state="frozen"/>
      <selection pane="bottomLeft" activeCell="A1" sqref="A1"/>
    </sheetView>
  </sheetViews>
  <sheetFormatPr baseColWidth="8" defaultRowHeight="15"/>
  <cols>
    <col width="17" customWidth="1" min="1" max="1"/>
    <col width="26" customWidth="1" min="2" max="2"/>
    <col width="29" customWidth="1" min="3" max="3"/>
    <col width="22" customWidth="1" min="4" max="4"/>
    <col width="33" customWidth="1" min="5" max="5"/>
    <col width="33" customWidth="1" min="6" max="6"/>
    <col width="17" customWidth="1" min="7" max="7"/>
    <col width="30" customWidth="1" min="8" max="8"/>
    <col width="26" customWidth="1" min="9" max="9"/>
    <col width="23" customWidth="1" min="10" max="10"/>
    <col width="42" customWidth="1" min="11" max="11"/>
    <col width="42" customWidth="1" min="12" max="12"/>
    <col width="35" customWidth="1" min="13" max="13"/>
    <col width="42" customWidth="1" min="14" max="14"/>
    <col width="29" customWidth="1" min="15" max="15"/>
    <col width="42" customWidth="1" min="16" max="16"/>
    <col width="37" customWidth="1" min="17" max="17"/>
    <col width="22" customWidth="1" min="18" max="18"/>
    <col width="28" customWidth="1" min="19" max="19"/>
    <col width="36" customWidth="1" min="20" max="20"/>
    <col width="41" customWidth="1" min="21" max="21"/>
    <col width="41" customWidth="1" min="22" max="22"/>
    <col width="20" customWidth="1" min="23" max="23"/>
    <col width="18" customWidth="1" min="24" max="24"/>
  </cols>
  <sheetData>
    <row r="1">
      <c r="A1" s="1" t="inlineStr">
        <is>
          <t>Metric ID</t>
        </is>
      </c>
      <c r="B1" s="1" t="inlineStr">
        <is>
          <t>Parent Screen Name</t>
        </is>
      </c>
      <c r="C1" s="1" t="inlineStr">
        <is>
          <t>Secondary Screen Name</t>
        </is>
      </c>
      <c r="D1" s="1" t="inlineStr">
        <is>
          <t>Name on Screen</t>
        </is>
      </c>
      <c r="E1" s="1" t="inlineStr">
        <is>
          <t>Name of Underlying Metric</t>
        </is>
      </c>
      <c r="F1" s="1" t="inlineStr">
        <is>
          <t>Name of Underlying Engine</t>
        </is>
      </c>
      <c r="G1" s="1" t="inlineStr">
        <is>
          <t>Engine ID</t>
        </is>
      </c>
      <c r="H1" s="1" t="inlineStr">
        <is>
          <t>Formula (mathematical)</t>
        </is>
      </c>
      <c r="I1" s="1" t="inlineStr">
        <is>
          <t>Formula (in words)</t>
        </is>
      </c>
      <c r="J1" s="1" t="inlineStr">
        <is>
          <t>Inputs it needs</t>
        </is>
      </c>
      <c r="K1" s="1" t="inlineStr">
        <is>
          <t>What comes out — unit and rounding</t>
        </is>
      </c>
      <c r="L1" s="1" t="inlineStr">
        <is>
          <t>What it says when it cannot be computed</t>
        </is>
      </c>
      <c r="M1" s="1" t="inlineStr">
        <is>
          <t>Grain — one figure per what</t>
        </is>
      </c>
      <c r="N1" s="1" t="inlineStr">
        <is>
          <t>Period — as of when, over what window</t>
        </is>
      </c>
      <c r="O1" s="1" t="inlineStr">
        <is>
          <t>Engines it depends on</t>
        </is>
      </c>
      <c r="P1" s="1" t="inlineStr">
        <is>
          <t>Secondary calculations and decisions the engine makes</t>
        </is>
      </c>
      <c r="Q1" s="1" t="inlineStr">
        <is>
          <t>Errors or findings to address</t>
        </is>
      </c>
      <c r="R1" s="1" t="inlineStr">
        <is>
          <t>Decisions made</t>
        </is>
      </c>
      <c r="S1" s="1" t="inlineStr">
        <is>
          <t>Same figure as (S16)</t>
        </is>
      </c>
      <c r="T1" s="1" t="inlineStr">
        <is>
          <t>Questions for you (numbered)</t>
        </is>
      </c>
      <c r="U1" s="1" t="inlineStr">
        <is>
          <t>YOUR ANSWER — use the same number</t>
        </is>
      </c>
      <c r="V1" s="1" t="inlineStr">
        <is>
          <t>Your name for it (72-metric file)</t>
        </is>
      </c>
      <c r="W1" s="1" t="inlineStr">
        <is>
          <t>Core screen?</t>
        </is>
      </c>
      <c r="X1" s="1" t="inlineStr">
        <is>
          <t>Row status</t>
        </is>
      </c>
    </row>
    <row r="2">
      <c r="A2" t="inlineStr">
        <is>
          <t>MK-XS-M-001</t>
        </is>
      </c>
      <c r="B2" t="inlineStr">
        <is>
          <t>Home · Networth</t>
        </is>
      </c>
      <c r="C2" t="inlineStr">
        <is>
          <t>NA</t>
        </is>
      </c>
      <c r="D2" t="inlineStr">
        <is>
          <t>Net worth · YOUR NET WORTH</t>
        </is>
      </c>
      <c r="E2" t="inlineStr">
        <is>
          <t>nw.net_worth</t>
        </is>
      </c>
      <c r="F2" t="inlineStr">
        <is>
          <t>NET_WORTH</t>
        </is>
      </c>
      <c r="G2" t="inlineStr">
        <is>
          <t>MK-XS-E-001</t>
        </is>
      </c>
      <c r="H2" t="inlineStr">
        <is>
          <t>net worth = Σ(all asset balances) − Σ(all debt balances)</t>
        </is>
      </c>
      <c r="I2" t="inlineStr">
        <is>
          <t>total assets − total debts, computed here and never stored as a third number that could disagree with its own two halves.
Owing more than you own gives a REAL negative — it is never floored at zero, because someone early in a mortgage genuinely has a negative net worth and hiding it would be a lie about their position.</t>
        </is>
      </c>
      <c r="J2" t="inlineStr">
        <is>
          <t>everything owned → grossAssets  [MK-XS-I-001] · everything owed → grossDebt  [MK-XS-I-014]</t>
        </is>
      </c>
      <c r="K2" t="inlineStr">
        <is>
          <t>US dollars · held to the cent · shown as whole dollars  [derived by rule — confirm]</t>
        </is>
      </c>
      <c r="L2" t="inlineStr">
        <is>
          <t>Adds up to $0 when there is nothing to add. Zero and "nothing recorded yet" look identical on screen — worth a decision.</t>
        </is>
      </c>
      <c r="M2" t="inlineStr">
        <is>
          <t>One figure per person — or per household when two people share one record  [derived by rule — confirm]</t>
        </is>
      </c>
      <c r="N2" t="inlineStr">
        <is>
          <t>As of today, from the latest figures held  [derived by rule — confirm]</t>
        </is>
      </c>
      <c r="O2" t="inlineStr">
        <is>
          <t>None found in the code — it reads raw values only</t>
        </is>
      </c>
      <c r="P2" t="inlineStr"/>
      <c r="Q2" t="inlineStr"/>
      <c r="R2" t="inlineStr">
        <is>
          <t>[Founder] Assets minus debts, computed each time and never stored as a third number that could disagree with its own halves. A genuine negative is shown, never floored at zero.</t>
        </is>
      </c>
      <c r="S2" t="inlineStr">
        <is>
          <t>THE SURVIVING IDENTIFIER for this figure. Folded in: MK-NW-M-016. Net worth. "Net worth so far" during setup is the same figure as the headline, mid-way through entry.</t>
        </is>
      </c>
      <c r="T2" t="inlineStr"/>
      <c r="U2" t="inlineStr"/>
      <c r="V2" t="inlineStr"/>
      <c r="W2" t="inlineStr">
        <is>
          <t>NOT DETERMINED</t>
        </is>
      </c>
      <c r="X2" t="inlineStr">
        <is>
          <t>VERIFIED 2026-08-22</t>
        </is>
      </c>
    </row>
    <row r="3">
      <c r="A3" t="inlineStr">
        <is>
          <t>MK-XS-M-002</t>
        </is>
      </c>
      <c r="B3" t="inlineStr">
        <is>
          <t>Home · Plan · Cashflow</t>
        </is>
      </c>
      <c r="C3" t="inlineStr">
        <is>
          <t>NA</t>
        </is>
      </c>
      <c r="D3" t="inlineStr">
        <is>
          <t>Will my money last / Is my money lasting (odds)</t>
        </is>
      </c>
      <c r="E3" t="inlineStr">
        <is>
          <t>wil.chance</t>
        </is>
      </c>
      <c r="F3" t="inlineStr">
        <is>
          <t>WILL_IT_LAST_RESULT</t>
        </is>
      </c>
      <c r="G3" t="inlineStr">
        <is>
          <t>MK-XS-E-002</t>
        </is>
      </c>
      <c r="H3" t="inlineStr">
        <is>
          <t>run 1,000 futures; in each year: balance ← balance × (1 + random return) − (spending − guaranteed income);  odds = futures that never run out ÷ 1,000</t>
        </is>
      </c>
      <c r="I3" t="inlineStr">
        <is>
          <t>If age, spending and a pot are all known, run the simulation and report the chance. Otherwise report that it could not be answered — NOT a confident zero.
The best-to-worst range re-runs the same plan at a lower and a higher return, so it reads as a range rather than a promise. It always contains the headline figure, and it is repeatable.</t>
        </is>
      </c>
      <c r="J3" t="inlineStr">
        <is>
          <t>everything → WILL_IT_LAST_INPUTS  [NO INPUT ID — not on the inputs tab] · is a range wanted → withBand  [NO INPUT ID — not on the inputs tab]</t>
        </is>
      </c>
      <c r="K3" t="inlineStr">
        <is>
          <t>Percent · rounded to the nearest 5 · a real 100 or 0 shown literally  [derived by rule — confirm]</t>
        </is>
      </c>
      <c r="L3" t="inlineStr">
        <is>
          <t>No odds at all until the three facts are answered. A sample is shown in their place, labelled as a sample, never as the person's own number.</t>
        </is>
      </c>
      <c r="M3" t="inlineStr">
        <is>
          <t>One figure per person — or per household when two people share one record  [derived by rule — confirm]</t>
        </is>
      </c>
      <c r="N3" t="inlineStr">
        <is>
          <t>As of today, from the latest figures held  [derived by rule — confirm]</t>
        </is>
      </c>
      <c r="O3" t="inlineStr">
        <is>
          <t>NEST_EGG · ODDS_DISPLAY · RETIREMENT_SPENDING · WILL_IT_LAST · WILL_IT_LAST_INPUTS</t>
        </is>
      </c>
      <c r="P3" t="inlineStr"/>
      <c r="Q3" t="inlineStr">
        <is>
          <t>The odds shown on Home, Plan and Cash flow are rounded to the nearest 5, while the compare tables still show them exact. One figure, two precisions — founder's open question.</t>
        </is>
      </c>
      <c r="R3" t="inlineStr">
        <is>
          <t>[Founder] One thousand futures, and the odds are rounded to the nearest 5. A genuine 100 or 0 is shown literally; 98 shows as 95, never as 100 (fix B6). The best-to-worst band was removed.
[Built in] The assumed rate of return, which the person can change on the cockpit.</t>
        </is>
      </c>
      <c r="S3" t="inlineStr"/>
      <c r="T3" t="inlineStr">
        <is>
          <t>Q19 — The odds are rounded to the nearest 5 on screen but shown exact in the compare tables. Round everywhere, or show exact everywhere?</t>
        </is>
      </c>
      <c r="U3" t="inlineStr"/>
      <c r="V3" t="inlineStr"/>
      <c r="W3" t="inlineStr">
        <is>
          <t>NOT DETERMINED</t>
        </is>
      </c>
      <c r="X3" t="inlineStr">
        <is>
          <t>VERIFIED 2026-08-22</t>
        </is>
      </c>
    </row>
    <row r="4">
      <c r="A4" t="inlineStr">
        <is>
          <t>MK-XS-M-003</t>
        </is>
      </c>
      <c r="B4" t="inlineStr">
        <is>
          <t>Home · Performance · Networth</t>
        </is>
      </c>
      <c r="C4" t="inlineStr">
        <is>
          <t>NA</t>
        </is>
      </c>
      <c r="D4" t="inlineStr">
        <is>
          <t>YOUR INVESTMENTS · 📈 INVESTMENTS</t>
        </is>
      </c>
      <c r="E4" t="inlineStr">
        <is>
          <t>investTotal</t>
        </is>
      </c>
      <c r="F4" t="inlineStr">
        <is>
          <t>TOTAL_INVESTMENTS</t>
        </is>
      </c>
      <c r="G4" t="inlineStr">
        <is>
          <t>MK-XS-E-003</t>
        </is>
      </c>
      <c r="H4" t="inlineStr">
        <is>
          <t>investments = Σ(balance of each account whose class ∈ {brokerage, retirement, other investments})</t>
        </is>
      </c>
      <c r="I4" t="inlineStr">
        <is>
          <t>Add up the balances of every account whose class is Stocks / Funds, Bonds &amp; CDs, Alternatives or Unclassified. Excludes cash, the house and the car.</t>
        </is>
      </c>
      <c r="J4" t="inlineStr">
        <is>
          <t>each account's class → assetClassOf  [NO INPUT ID — not on the inputs tab] · each account's money → balance  [MK-XS-I-001]</t>
        </is>
      </c>
      <c r="K4" t="inlineStr">
        <is>
          <t>US dollars · held to the cent · shown as whole dollars  [derived by rule — confirm]</t>
        </is>
      </c>
      <c r="L4" t="inlineStr">
        <is>
          <t>Adds up to $0 when there is nothing to add. Zero and "nothing recorded yet" look identical on screen — worth a decision.</t>
        </is>
      </c>
      <c r="M4" t="inlineStr">
        <is>
          <t>One figure per person — or per household when two people share one record  [derived by rule — confirm]</t>
        </is>
      </c>
      <c r="N4" t="inlineStr">
        <is>
          <t>As of today, from the latest figures held  [derived by rule — confirm]</t>
        </is>
      </c>
      <c r="O4" t="inlineStr">
        <is>
          <t>ASSET_CLASS_OF_ACCOUNT</t>
        </is>
      </c>
      <c r="P4" t="inlineStr"/>
      <c r="Q4" t="inlineStr"/>
      <c r="R4" t="inlineStr">
        <is>
          <t>[The person] The retirement age in their plan.</t>
        </is>
      </c>
      <c r="S4" t="inlineStr"/>
      <c r="T4" t="inlineStr"/>
      <c r="U4" t="inlineStr"/>
      <c r="V4" t="inlineStr"/>
      <c r="W4" t="inlineStr">
        <is>
          <t>NOT DETERMINED</t>
        </is>
      </c>
      <c r="X4" t="inlineStr">
        <is>
          <t>VERIFIED 2026-08-22</t>
        </is>
      </c>
    </row>
    <row r="5">
      <c r="A5" t="inlineStr">
        <is>
          <t>MK-XS-M-004</t>
        </is>
      </c>
      <c r="B5" t="inlineStr">
        <is>
          <t>Home · Performance</t>
        </is>
      </c>
      <c r="C5" t="inlineStr">
        <is>
          <t>NA</t>
        </is>
      </c>
      <c r="D5" t="inlineStr">
        <is>
          <t>▲ up/▼ down $X (Y%) this month · Return · YOUR RETURN</t>
        </is>
      </c>
      <c r="E5" t="inlineStr">
        <is>
          <t>youReturn / shownReturn</t>
        </is>
      </c>
      <c r="F5" t="inlineStr">
        <is>
          <t>VALUE_WEIGHTED_RETURN</t>
        </is>
      </c>
      <c r="G5" t="inlineStr">
        <is>
          <t>MK-XS-E-004</t>
        </is>
      </c>
      <c r="H5" t="inlineStr">
        <is>
          <t>return = (ending − beginning − net money in) ÷ (beginning + net money in weighted by when it arrived)</t>
        </is>
      </c>
      <c r="I5" t="inlineStr">
        <is>
          <t>Weight each holding's return by how much money is in it, and add: Σ(return × value) ÷ Σ(value).
Money-weighted, not an equal average: $90,000 up 10% and $10,000 flat is +9%, where averaging the two would say +5% and be badly wrong.
A holding with no return is dropped from BOTH the top and the bottom of the sum, so it neither drags the answer down nor distorts the weights.
Nothing usable → nothing, never 0%.
This is a PRICE-based return. It does not know when you added money, which is what PERSONAL_RETURN answers — the two will differ, and both are right about different questions.</t>
        </is>
      </c>
      <c r="J5" t="inlineStr">
        <is>
          <t>each holding's return → rows[].periodReturn  [NO INPUT ID — not on the inputs tab] · its value → rows[].marketValue  [NO INPUT ID — not on the inputs tab]</t>
        </is>
      </c>
      <c r="K5" t="inlineStr">
        <is>
          <t>Percent · one decimal shown  [derived by rule — confirm]</t>
        </is>
      </c>
      <c r="L5" t="inlineStr">
        <is>
          <t>A division: with nothing on the bottom there is no answer, and the line must not appear as zero. NOT YET CONFIRMED against the engine.</t>
        </is>
      </c>
      <c r="M5" t="inlineStr">
        <is>
          <t>One figure per month  [derived by rule — confirm]</t>
        </is>
      </c>
      <c r="N5" t="inlineStr">
        <is>
          <t>This calendar month, to today  [derived by rule — confirm]</t>
        </is>
      </c>
      <c r="O5" t="inlineStr">
        <is>
          <t>None found in the code — it reads raw values only</t>
        </is>
      </c>
      <c r="P5" t="inlineStr"/>
      <c r="Q5" t="inlineStr"/>
      <c r="R5" t="inlineStr">
        <is>
          <t>NOT DETERMINED — no assumption recorded for this figure yet.</t>
        </is>
      </c>
      <c r="S5" t="inlineStr"/>
      <c r="T5" t="inlineStr"/>
      <c r="U5" t="inlineStr"/>
      <c r="V5" t="inlineStr"/>
      <c r="W5" t="inlineStr">
        <is>
          <t>NOT DETERMINED</t>
        </is>
      </c>
      <c r="X5" t="inlineStr">
        <is>
          <t>VERIFIED 2026-08-22</t>
        </is>
      </c>
    </row>
    <row r="6">
      <c r="A6" t="inlineStr">
        <is>
          <t>MK-XS-M-005</t>
        </is>
      </c>
      <c r="B6" t="inlineStr">
        <is>
          <t>Home · Cashflow</t>
        </is>
      </c>
      <c r="C6" t="inlineStr">
        <is>
          <t>NA</t>
        </is>
      </c>
      <c r="D6" t="inlineStr">
        <is>
          <t>Spent so far · Spent $X of $Y left to spend this month</t>
        </is>
      </c>
      <c r="E6" t="inlineStr">
        <is>
          <t>bva.spent_total</t>
        </is>
      </c>
      <c r="F6" t="inlineStr">
        <is>
          <t>NOT IN OLD MASTER — budgetVsActual, src/domain/budget</t>
        </is>
      </c>
      <c r="G6" t="inlineStr">
        <is>
          <t>MK-XS-E-005</t>
        </is>
      </c>
      <c r="H6" t="inlineStr">
        <is>
          <t>spent(bucket) = Σ(expenses dated in this month in that bucket, debt payments excluded);  remaining = planned − spent</t>
        </is>
      </c>
      <c r="I6" t="inlineStr">
        <is>
          <t>Adds up this month’s logged expenses by bucket and sets each against what was planned. Debt payments are deliberately left out, because debt is tracked on its own.</t>
        </is>
      </c>
      <c r="J6" t="inlineStr">
        <is>
          <t>NOT DETERMINED — no input list on record for this engine</t>
        </is>
      </c>
      <c r="K6" t="inlineStr">
        <is>
          <t>US dollars · held to the cent · shown as whole dollars  [derived by rule — confirm]</t>
        </is>
      </c>
      <c r="L6" t="inlineStr">
        <is>
          <t>Adds up to $0 when there is nothing to add. Zero and "nothing recorded yet" look identical on screen — worth a decision.</t>
        </is>
      </c>
      <c r="M6" t="inlineStr">
        <is>
          <t>One figure per month  [derived by rule — confirm]</t>
        </is>
      </c>
      <c r="N6" t="inlineStr">
        <is>
          <t>This calendar month, to today  [derived by rule — confirm]</t>
        </is>
      </c>
      <c r="O6" t="inlineStr">
        <is>
          <t>NOT DETERMINED</t>
        </is>
      </c>
      <c r="P6" t="inlineStr"/>
      <c r="Q6" t="inlineStr"/>
      <c r="R6" t="inlineStr">
        <is>
          <t>NOT DETERMINED — no assumption recorded for this figure yet.</t>
        </is>
      </c>
      <c r="S6" t="inlineStr"/>
      <c r="T6" t="inlineStr"/>
      <c r="U6" t="inlineStr"/>
      <c r="V6" t="inlineStr"/>
      <c r="W6" t="inlineStr">
        <is>
          <t>NOT DETERMINED</t>
        </is>
      </c>
      <c r="X6" t="inlineStr">
        <is>
          <t>VERIFIED 2026-08-22</t>
        </is>
      </c>
    </row>
    <row r="7">
      <c r="A7" t="inlineStr">
        <is>
          <t>MK-XS-M-006</t>
        </is>
      </c>
      <c r="B7" t="inlineStr">
        <is>
          <t>Home · Cashflow</t>
        </is>
      </c>
      <c r="C7" t="inlineStr">
        <is>
          <t>NA</t>
        </is>
      </c>
      <c r="D7" t="inlineStr">
        <is>
          <t>Income · In (received) · In (take-home)</t>
        </is>
      </c>
      <c r="E7" t="inlineStr">
        <is>
          <t>thisMonthNet</t>
        </is>
      </c>
      <c r="F7" t="inlineStr">
        <is>
          <t>NOT IN OLD MASTER — incomeMonthlyGrid, src/domain/income</t>
        </is>
      </c>
      <c r="G7" t="inlineStr">
        <is>
          <t>MK-XS-E-006</t>
        </is>
      </c>
      <c r="H7" t="inlineStr">
        <is>
          <t>money in month m = salary(m) + tips(m) + rental ÷ 12 + bonus(m) + equity vesting(m) − withholding(m) − pre-tax contributions(m)</t>
        </is>
      </c>
      <c r="I7" t="inlineStr">
        <is>
          <t>Builds twelve months of money in, one month at a time. Salary comes from the per-month table, equity lands in the months it vests, the bonus lands in its own month, and each month has its own withholding rate.</t>
        </is>
      </c>
      <c r="J7" t="inlineStr">
        <is>
          <t>NOT DETERMINED — no input list on record for this engine</t>
        </is>
      </c>
      <c r="K7" t="inlineStr">
        <is>
          <t>US dollars · held to the cent · shown as whole dollars  [derived by rule — confirm]</t>
        </is>
      </c>
      <c r="L7" t="inlineStr">
        <is>
          <t>A division: with nothing on the bottom there is no answer, and the line must not appear as zero. NOT YET CONFIRMED against the engine.</t>
        </is>
      </c>
      <c r="M7" t="inlineStr">
        <is>
          <t>One figure per person — or per household when two people share one record  [derived by rule — confirm]</t>
        </is>
      </c>
      <c r="N7" t="inlineStr">
        <is>
          <t>This calendar month, to today  [derived by rule — confirm]</t>
        </is>
      </c>
      <c r="O7" t="inlineStr">
        <is>
          <t>NOT DETERMINED</t>
        </is>
      </c>
      <c r="P7" t="inlineStr"/>
      <c r="Q7" t="inlineStr"/>
      <c r="R7" t="inlineStr">
        <is>
          <t>NOT DETERMINED — no assumption recorded for this figure yet.</t>
        </is>
      </c>
      <c r="S7" t="inlineStr">
        <is>
          <t>THE SURVIVING IDENTIFIER for this figure. Folded in: MK-CF-M-018. Money in this month. "In (take-home)" on Cash flow is the same figure as "Income" on Home.</t>
        </is>
      </c>
      <c r="T7" t="inlineStr"/>
      <c r="U7" t="inlineStr"/>
      <c r="V7" t="inlineStr"/>
      <c r="W7" t="inlineStr">
        <is>
          <t>NOT DETERMINED</t>
        </is>
      </c>
      <c r="X7" t="inlineStr">
        <is>
          <t>VERIFIED 2026-08-22</t>
        </is>
      </c>
    </row>
    <row r="8">
      <c r="A8" t="inlineStr">
        <is>
          <t>MK-XS-M-007</t>
        </is>
      </c>
      <c r="B8" t="inlineStr">
        <is>
          <t>Home · Cashflow</t>
        </is>
      </c>
      <c r="C8" t="inlineStr">
        <is>
          <t>NA</t>
        </is>
      </c>
      <c r="D8" t="inlineStr">
        <is>
          <t>Left / Over · left to spend this month</t>
        </is>
      </c>
      <c r="E8" t="inlineStr">
        <is>
          <t>left</t>
        </is>
      </c>
      <c r="F8" t="inlineStr">
        <is>
          <t>worked out on the screen: money in − spent so far</t>
        </is>
      </c>
      <c r="G8" t="inlineStr"/>
      <c r="H8" t="inlineStr">
        <is>
          <t>left to spend = money in this month − spent so far</t>
        </is>
      </c>
      <c r="I8" t="inlineStr">
        <is>
          <t>Worked out on the screen itself, with no engine behind it — a place a second definition can appear.</t>
        </is>
      </c>
      <c r="J8" t="inlineStr">
        <is>
          <t>NOT DETERMINED — no input list on record for this engine</t>
        </is>
      </c>
      <c r="K8" t="inlineStr">
        <is>
          <t>US dollars · held to the cent · shown as whole dollars  [derived by rule — confirm]</t>
        </is>
      </c>
      <c r="L8" t="inlineStr">
        <is>
          <t>Inherits the refusal of the figures it is built from: if either side is missing, this line is not shown.</t>
        </is>
      </c>
      <c r="M8" t="inlineStr">
        <is>
          <t>One figure per month  [derived by rule — confirm]</t>
        </is>
      </c>
      <c r="N8" t="inlineStr">
        <is>
          <t>This calendar month, to today  [derived by rule — confirm]</t>
        </is>
      </c>
      <c r="O8" t="inlineStr">
        <is>
          <t>NOT DETERMINED</t>
        </is>
      </c>
      <c r="P8" t="inlineStr"/>
      <c r="Q8" t="inlineStr"/>
      <c r="R8" t="inlineStr">
        <is>
          <t>NOT DETERMINED — no assumption recorded for this figure yet.</t>
        </is>
      </c>
      <c r="S8" t="inlineStr"/>
      <c r="T8" t="inlineStr"/>
      <c r="U8" t="inlineStr"/>
      <c r="V8" t="inlineStr"/>
      <c r="W8" t="inlineStr">
        <is>
          <t>NOT DETERMINED</t>
        </is>
      </c>
      <c r="X8" t="inlineStr">
        <is>
          <t>VERIFIED 2026-08-22</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X10"/>
  <sheetViews>
    <sheetView workbookViewId="0">
      <pane ySplit="1" topLeftCell="A2" activePane="bottomLeft" state="frozen"/>
      <selection pane="bottomLeft" activeCell="A1" sqref="A1"/>
    </sheetView>
  </sheetViews>
  <sheetFormatPr baseColWidth="8" defaultRowHeight="15"/>
  <cols>
    <col width="17" customWidth="1" min="1" max="1"/>
    <col width="26" customWidth="1" min="2" max="2"/>
    <col width="29" customWidth="1" min="3" max="3"/>
    <col width="22" customWidth="1" min="4" max="4"/>
    <col width="33" customWidth="1" min="5" max="5"/>
    <col width="33" customWidth="1" min="6" max="6"/>
    <col width="17" customWidth="1" min="7" max="7"/>
    <col width="30" customWidth="1" min="8" max="8"/>
    <col width="26" customWidth="1" min="9" max="9"/>
    <col width="23" customWidth="1" min="10" max="10"/>
    <col width="42" customWidth="1" min="11" max="11"/>
    <col width="42" customWidth="1" min="12" max="12"/>
    <col width="35" customWidth="1" min="13" max="13"/>
    <col width="42" customWidth="1" min="14" max="14"/>
    <col width="29" customWidth="1" min="15" max="15"/>
    <col width="42" customWidth="1" min="16" max="16"/>
    <col width="37" customWidth="1" min="17" max="17"/>
    <col width="22" customWidth="1" min="18" max="18"/>
    <col width="28" customWidth="1" min="19" max="19"/>
    <col width="36" customWidth="1" min="20" max="20"/>
    <col width="41" customWidth="1" min="21" max="21"/>
    <col width="41" customWidth="1" min="22" max="22"/>
    <col width="20" customWidth="1" min="23" max="23"/>
    <col width="18" customWidth="1" min="24" max="24"/>
  </cols>
  <sheetData>
    <row r="1">
      <c r="A1" s="1" t="inlineStr">
        <is>
          <t>Metric ID</t>
        </is>
      </c>
      <c r="B1" s="1" t="inlineStr">
        <is>
          <t>Parent Screen Name</t>
        </is>
      </c>
      <c r="C1" s="1" t="inlineStr">
        <is>
          <t>Secondary Screen Name</t>
        </is>
      </c>
      <c r="D1" s="1" t="inlineStr">
        <is>
          <t>Name on Screen</t>
        </is>
      </c>
      <c r="E1" s="1" t="inlineStr">
        <is>
          <t>Name of Underlying Metric</t>
        </is>
      </c>
      <c r="F1" s="1" t="inlineStr">
        <is>
          <t>Name of Underlying Engine</t>
        </is>
      </c>
      <c r="G1" s="1" t="inlineStr">
        <is>
          <t>Engine ID</t>
        </is>
      </c>
      <c r="H1" s="1" t="inlineStr">
        <is>
          <t>Formula (mathematical)</t>
        </is>
      </c>
      <c r="I1" s="1" t="inlineStr">
        <is>
          <t>Formula (in words)</t>
        </is>
      </c>
      <c r="J1" s="1" t="inlineStr">
        <is>
          <t>Inputs it needs</t>
        </is>
      </c>
      <c r="K1" s="1" t="inlineStr">
        <is>
          <t>What comes out — unit and rounding</t>
        </is>
      </c>
      <c r="L1" s="1" t="inlineStr">
        <is>
          <t>What it says when it cannot be computed</t>
        </is>
      </c>
      <c r="M1" s="1" t="inlineStr">
        <is>
          <t>Grain — one figure per what</t>
        </is>
      </c>
      <c r="N1" s="1" t="inlineStr">
        <is>
          <t>Period — as of when, over what window</t>
        </is>
      </c>
      <c r="O1" s="1" t="inlineStr">
        <is>
          <t>Engines it depends on</t>
        </is>
      </c>
      <c r="P1" s="1" t="inlineStr">
        <is>
          <t>Secondary calculations and decisions the engine makes</t>
        </is>
      </c>
      <c r="Q1" s="1" t="inlineStr">
        <is>
          <t>Errors or findings to address</t>
        </is>
      </c>
      <c r="R1" s="1" t="inlineStr">
        <is>
          <t>Decisions made</t>
        </is>
      </c>
      <c r="S1" s="1" t="inlineStr">
        <is>
          <t>Same figure as (S16)</t>
        </is>
      </c>
      <c r="T1" s="1" t="inlineStr">
        <is>
          <t>Questions for you (numbered)</t>
        </is>
      </c>
      <c r="U1" s="1" t="inlineStr">
        <is>
          <t>YOUR ANSWER — use the same number</t>
        </is>
      </c>
      <c r="V1" s="1" t="inlineStr">
        <is>
          <t>Your name for it (72-metric file)</t>
        </is>
      </c>
      <c r="W1" s="1" t="inlineStr">
        <is>
          <t>Core screen?</t>
        </is>
      </c>
      <c r="X1" s="1" t="inlineStr">
        <is>
          <t>Row status</t>
        </is>
      </c>
    </row>
    <row r="2">
      <c r="A2" t="inlineStr">
        <is>
          <t>MK-HM-M-001</t>
        </is>
      </c>
      <c r="B2" t="inlineStr">
        <is>
          <t>Home</t>
        </is>
      </c>
      <c r="C2" t="inlineStr">
        <is>
          <t>NA</t>
        </is>
      </c>
      <c r="D2" t="inlineStr">
        <is>
          <t>prices updated &lt;when&gt;</t>
        </is>
      </c>
      <c r="E2" t="inlineStr">
        <is>
          <t>freshness</t>
        </is>
      </c>
      <c r="F2" t="inlineStr">
        <is>
          <t>PRICE_FRESHNESS</t>
        </is>
      </c>
      <c r="G2" t="inlineStr">
        <is>
          <t>MK-HM-E-001</t>
        </is>
      </c>
      <c r="H2" t="inlineStr">
        <is>
          <t>age = now − the moment prices were last fetched;  stale when age &gt; the freshness limit</t>
        </is>
      </c>
      <c r="I2" t="inlineStr">
        <is>
          <t>Time since the last successful fetch, in words. Four days or more → stale. Four, because a long weekend or a holiday can put three days between two perfectly normal updates, and a false alarm teaches people to ignore the real one.
Never fetched, unreadable, or dated in the future → STALE. Silence is not good news.</t>
        </is>
      </c>
      <c r="J2" t="inlineStr">
        <is>
          <t>when it was fetched → fetchedAt  [MK-XS-I-006] · now → now  [NO INPUT ID — not on the inputs tab]</t>
        </is>
      </c>
      <c r="K2" t="inlineStr">
        <is>
          <t>US dollars per unit · held to 8 decimal places · decimals shown  [derived by rule — confirm]</t>
        </is>
      </c>
      <c r="L2" t="inlineStr">
        <is>
          <t>With no priced holdings there is no freshness to report and the line does not appear.</t>
        </is>
      </c>
      <c r="M2" t="inlineStr">
        <is>
          <t>One figure per person — or per household when two people share one record  [derived by rule — confirm]</t>
        </is>
      </c>
      <c r="N2" t="inlineStr">
        <is>
          <t>As of today, from the latest figures held  [derived by rule — confirm]</t>
        </is>
      </c>
      <c r="O2" t="inlineStr">
        <is>
          <t>FETCH_PRICES</t>
        </is>
      </c>
      <c r="P2" t="inlineStr">
        <is>
          <t>DECIDES the moment a price stops being current.</t>
        </is>
      </c>
      <c r="Q2" t="inlineStr">
        <is>
          <t>Prices are never synced, so freshness is per device. Two devices can legitimately disagree about how current a value is.</t>
        </is>
      </c>
      <c r="R2" t="inlineStr">
        <is>
          <t>NOT DETERMINED — no assumption recorded for this figure yet.</t>
        </is>
      </c>
      <c r="S2" t="inlineStr"/>
      <c r="T2" t="inlineStr">
        <is>
          <t>Q22 — How old is too old for a price before the screen warns? Today it is a fixed limit in the code; you have never set it.</t>
        </is>
      </c>
      <c r="U2" t="inlineStr"/>
      <c r="V2" t="inlineStr"/>
      <c r="W2" t="inlineStr">
        <is>
          <t>NOT DETERMINED</t>
        </is>
      </c>
      <c r="X2" t="inlineStr">
        <is>
          <t>VERIFIED 2026-08-22</t>
        </is>
      </c>
    </row>
    <row r="3">
      <c r="A3" t="inlineStr">
        <is>
          <t>MK-HM-M-002</t>
        </is>
      </c>
      <c r="B3" t="inlineStr">
        <is>
          <t>Home</t>
        </is>
      </c>
      <c r="C3" t="inlineStr">
        <is>
          <t>NA</t>
        </is>
      </c>
      <c r="D3" t="inlineStr">
        <is>
          <t>Your net worth just crossed X</t>
        </is>
      </c>
      <c r="E3" t="inlineStr">
        <is>
          <t>milestone</t>
        </is>
      </c>
      <c r="F3" t="inlineStr">
        <is>
          <t>NOT IN OLD MASTER — milestoneCrossed, src/domain/milestones.ts</t>
        </is>
      </c>
      <c r="G3" t="inlineStr">
        <is>
          <t>MK-HM-E-002</t>
        </is>
      </c>
      <c r="H3" t="inlineStr">
        <is>
          <t>crossed when net worth ≥ the next round mark above the highest mark already seen</t>
        </is>
      </c>
      <c r="I3" t="inlineStr">
        <is>
          <t>Notices when net worth passes a round number for the first time, and remembers the highest one already shown so the same milestone is never announced twice.</t>
        </is>
      </c>
      <c r="J3" t="inlineStr">
        <is>
          <t>NOT DETERMINED — no input list on record for this engine</t>
        </is>
      </c>
      <c r="K3" t="inlineStr">
        <is>
          <t>US dollars · held to the cent · shown as whole dollars  [derived by rule — confirm]</t>
        </is>
      </c>
      <c r="L3" t="inlineStr">
        <is>
          <t>NOT DETERMINED — this engine has not been read for its refusal yet.</t>
        </is>
      </c>
      <c r="M3" t="inlineStr">
        <is>
          <t>One figure per person — or per household when two people share one record  [derived by rule — confirm]</t>
        </is>
      </c>
      <c r="N3" t="inlineStr">
        <is>
          <t>As of today, from the latest figures held  [derived by rule — confirm]</t>
        </is>
      </c>
      <c r="O3" t="inlineStr">
        <is>
          <t>NOT DETERMINED</t>
        </is>
      </c>
      <c r="P3" t="inlineStr"/>
      <c r="Q3" t="inlineStr"/>
      <c r="R3" t="inlineStr">
        <is>
          <t>NOT DETERMINED — no assumption recorded for this figure yet.</t>
        </is>
      </c>
      <c r="S3" t="inlineStr"/>
      <c r="T3" t="inlineStr"/>
      <c r="U3" t="inlineStr"/>
      <c r="V3" t="inlineStr"/>
      <c r="W3" t="inlineStr">
        <is>
          <t>NOT DETERMINED</t>
        </is>
      </c>
      <c r="X3" t="inlineStr">
        <is>
          <t>VERIFIED 2026-08-22</t>
        </is>
      </c>
    </row>
    <row r="4">
      <c r="A4" t="inlineStr">
        <is>
          <t>MK-HM-M-003</t>
        </is>
      </c>
      <c r="B4" t="inlineStr">
        <is>
          <t>Home</t>
        </is>
      </c>
      <c r="C4" t="inlineStr">
        <is>
          <t>NA</t>
        </is>
      </c>
      <c r="D4" t="inlineStr">
        <is>
          <t>Needs your attention (1, 2, 3)</t>
        </is>
      </c>
      <c r="E4" t="inlineStr">
        <is>
          <t>topInsights</t>
        </is>
      </c>
      <c r="F4" t="inlineStr">
        <is>
          <t>NOT IN OLD MASTER — useInsights, src/domain/insights</t>
        </is>
      </c>
      <c r="G4" t="inlineStr">
        <is>
          <t>MK-HM-E-003</t>
        </is>
      </c>
      <c r="H4" t="inlineStr">
        <is>
          <t>each insight scores its own dollars at stake; the list = the highest few, ranked</t>
        </is>
      </c>
      <c r="I4" t="inlineStr">
        <is>
          <t>Works out what is worth saying today, puts a dollar amount against each, and shows the few that matter most.</t>
        </is>
      </c>
      <c r="J4" t="inlineStr">
        <is>
          <t>NOT DETERMINED — no input list on record for this engine</t>
        </is>
      </c>
      <c r="K4" t="inlineStr">
        <is>
          <t>US dollars · held to the cent · shown as whole dollars  [derived by rule — confirm]</t>
        </is>
      </c>
      <c r="L4" t="inlineStr">
        <is>
          <t>NOT DETERMINED — this engine has not been read for its refusal yet.</t>
        </is>
      </c>
      <c r="M4" t="inlineStr">
        <is>
          <t>One figure per person — or per household when two people share one record  [derived by rule — confirm]</t>
        </is>
      </c>
      <c r="N4" t="inlineStr">
        <is>
          <t>As of today, from the latest figures held  [derived by rule — confirm]</t>
        </is>
      </c>
      <c r="O4" t="inlineStr">
        <is>
          <t>NOT DETERMINED</t>
        </is>
      </c>
      <c r="P4" t="inlineStr"/>
      <c r="Q4" t="inlineStr"/>
      <c r="R4" t="inlineStr">
        <is>
          <t>NOT DETERMINED — no assumption recorded for this figure yet.</t>
        </is>
      </c>
      <c r="S4" t="inlineStr">
        <is>
          <t>THE SAME FIGURE AS MK-MN-M-015 — The insights list. Home shows the top three of the same list the Insights screen shows in full.</t>
        </is>
      </c>
      <c r="T4" t="inlineStr"/>
      <c r="U4" t="inlineStr"/>
      <c r="V4" t="inlineStr"/>
      <c r="W4" t="inlineStr">
        <is>
          <t>NOT DETERMINED</t>
        </is>
      </c>
      <c r="X4" t="inlineStr">
        <is>
          <t>VERIFIED 2026-08-22</t>
        </is>
      </c>
    </row>
    <row r="5">
      <c r="A5" t="inlineStr">
        <is>
          <t>MK-HM-M-004</t>
        </is>
      </c>
      <c r="B5" t="inlineStr">
        <is>
          <t>Home</t>
        </is>
      </c>
      <c r="C5" t="inlineStr">
        <is>
          <t>NA</t>
        </is>
      </c>
      <c r="D5" t="inlineStr">
        <is>
          <t>&lt;n&gt;% spent · day n of m</t>
        </is>
      </c>
      <c r="E5" t="inlineStr">
        <is>
          <t>pctSpent</t>
        </is>
      </c>
      <c r="F5" t="inlineStr">
        <is>
          <t>worked out on the screen: spent so far ÷ money in</t>
        </is>
      </c>
      <c r="G5" t="inlineStr"/>
      <c r="H5" t="inlineStr">
        <is>
          <t>share spent = spent so far ÷ money in this month</t>
        </is>
      </c>
      <c r="I5" t="inlineStr">
        <is>
          <t>Worked out on the screen itself, with no engine behind it — a place a second definition can appear.</t>
        </is>
      </c>
      <c r="J5" t="inlineStr">
        <is>
          <t>NOT DETERMINED — no input list on record for this engine</t>
        </is>
      </c>
      <c r="K5" t="inlineStr">
        <is>
          <t>Percent · one decimal shown  [derived by rule — confirm]</t>
        </is>
      </c>
      <c r="L5" t="inlineStr">
        <is>
          <t>Inherits the refusal of the figures it is built from: if either side is missing, this line is not shown.</t>
        </is>
      </c>
      <c r="M5" t="inlineStr">
        <is>
          <t>One figure per person — or per household when two people share one record  [derived by rule — confirm]</t>
        </is>
      </c>
      <c r="N5" t="inlineStr">
        <is>
          <t>As of today, from the latest figures held  [derived by rule — confirm]</t>
        </is>
      </c>
      <c r="O5" t="inlineStr">
        <is>
          <t>NOT DETERMINED</t>
        </is>
      </c>
      <c r="P5" t="inlineStr"/>
      <c r="Q5" t="inlineStr"/>
      <c r="R5" t="inlineStr">
        <is>
          <t>NOT DETERMINED — no assumption recorded for this figure yet.</t>
        </is>
      </c>
      <c r="S5" t="inlineStr"/>
      <c r="T5" t="inlineStr"/>
      <c r="U5" t="inlineStr"/>
      <c r="V5" t="inlineStr"/>
      <c r="W5" t="inlineStr">
        <is>
          <t>NOT DETERMINED</t>
        </is>
      </c>
      <c r="X5" t="inlineStr">
        <is>
          <t>VERIFIED 2026-08-22</t>
        </is>
      </c>
    </row>
    <row r="6">
      <c r="A6" t="inlineStr"/>
      <c r="B6" t="inlineStr">
        <is>
          <t>Home</t>
        </is>
      </c>
      <c r="C6" t="inlineStr">
        <is>
          <t>/add-account</t>
        </is>
      </c>
      <c r="D6" t="inlineStr">
        <is>
          <t>—</t>
        </is>
      </c>
      <c r="E6" t="inlineStr">
        <is>
          <t>—</t>
        </is>
      </c>
      <c r="F6" t="inlineStr">
        <is>
          <t>—</t>
        </is>
      </c>
      <c r="G6" t="inlineStr"/>
      <c r="H6" t="inlineStr"/>
      <c r="I6" t="inlineStr"/>
      <c r="J6" t="inlineStr"/>
      <c r="K6" t="inlineStr"/>
      <c r="L6" t="inlineStr"/>
      <c r="M6" t="inlineStr"/>
      <c r="N6" t="inlineStr"/>
      <c r="O6" t="inlineStr"/>
      <c r="P6" t="inlineStr"/>
      <c r="Q6" t="inlineStr"/>
      <c r="R6" t="inlineStr"/>
      <c r="S6" t="inlineStr"/>
      <c r="T6" t="inlineStr"/>
      <c r="U6" t="inlineStr"/>
      <c r="V6" t="inlineStr">
        <is>
          <t>NOT DETERMINED</t>
        </is>
      </c>
      <c r="W6" t="inlineStr">
        <is>
          <t>READ 2026-08-22 — no calculated figure on this screen</t>
        </is>
      </c>
    </row>
    <row r="7">
      <c r="A7" t="inlineStr"/>
      <c r="B7" t="inlineStr">
        <is>
          <t>Home</t>
        </is>
      </c>
      <c r="C7" t="inlineStr">
        <is>
          <t>/connect</t>
        </is>
      </c>
      <c r="D7" t="inlineStr">
        <is>
          <t>—</t>
        </is>
      </c>
      <c r="E7" t="inlineStr">
        <is>
          <t>—</t>
        </is>
      </c>
      <c r="F7" t="inlineStr">
        <is>
          <t>—</t>
        </is>
      </c>
      <c r="G7" t="inlineStr"/>
      <c r="H7" t="inlineStr"/>
      <c r="I7" t="inlineStr"/>
      <c r="J7" t="inlineStr"/>
      <c r="K7" t="inlineStr"/>
      <c r="L7" t="inlineStr"/>
      <c r="M7" t="inlineStr"/>
      <c r="N7" t="inlineStr"/>
      <c r="O7" t="inlineStr"/>
      <c r="P7" t="inlineStr"/>
      <c r="Q7" t="inlineStr"/>
      <c r="R7" t="inlineStr"/>
      <c r="S7" t="inlineStr"/>
      <c r="T7" t="inlineStr"/>
      <c r="U7" t="inlineStr"/>
      <c r="V7" t="inlineStr">
        <is>
          <t>NOT DETERMINED</t>
        </is>
      </c>
      <c r="W7" t="inlineStr">
        <is>
          <t>READ 2026-08-22 — no calculated figure on this screen</t>
        </is>
      </c>
    </row>
    <row r="8">
      <c r="A8" t="inlineStr"/>
      <c r="B8" t="inlineStr">
        <is>
          <t>Home</t>
        </is>
      </c>
      <c r="C8" t="inlineStr">
        <is>
          <t>/import-holdings</t>
        </is>
      </c>
      <c r="D8" t="inlineStr">
        <is>
          <t>—</t>
        </is>
      </c>
      <c r="E8" t="inlineStr">
        <is>
          <t>—</t>
        </is>
      </c>
      <c r="F8" t="inlineStr">
        <is>
          <t>—</t>
        </is>
      </c>
      <c r="G8" t="inlineStr"/>
      <c r="H8" t="inlineStr"/>
      <c r="I8" t="inlineStr"/>
      <c r="J8" t="inlineStr"/>
      <c r="K8" t="inlineStr"/>
      <c r="L8" t="inlineStr"/>
      <c r="M8" t="inlineStr"/>
      <c r="N8" t="inlineStr"/>
      <c r="O8" t="inlineStr"/>
      <c r="P8" t="inlineStr"/>
      <c r="Q8" t="inlineStr"/>
      <c r="R8" t="inlineStr"/>
      <c r="S8" t="inlineStr"/>
      <c r="T8" t="inlineStr"/>
      <c r="U8" t="inlineStr"/>
      <c r="V8" t="inlineStr">
        <is>
          <t>NOT DETERMINED</t>
        </is>
      </c>
      <c r="W8" t="inlineStr">
        <is>
          <t>READ 2026-08-22 — no calculated figure on this screen</t>
        </is>
      </c>
    </row>
    <row r="9">
      <c r="A9" t="inlineStr"/>
      <c r="B9" t="inlineStr">
        <is>
          <t>Home</t>
        </is>
      </c>
      <c r="C9" t="inlineStr">
        <is>
          <t>/onboarding</t>
        </is>
      </c>
      <c r="D9" t="inlineStr">
        <is>
          <t>—</t>
        </is>
      </c>
      <c r="E9" t="inlineStr">
        <is>
          <t>—</t>
        </is>
      </c>
      <c r="F9" t="inlineStr">
        <is>
          <t>—</t>
        </is>
      </c>
      <c r="G9" t="inlineStr"/>
      <c r="H9" t="inlineStr"/>
      <c r="I9" t="inlineStr"/>
      <c r="J9" t="inlineStr"/>
      <c r="K9" t="inlineStr"/>
      <c r="L9" t="inlineStr"/>
      <c r="M9" t="inlineStr"/>
      <c r="N9" t="inlineStr"/>
      <c r="O9" t="inlineStr"/>
      <c r="P9" t="inlineStr"/>
      <c r="Q9" t="inlineStr"/>
      <c r="R9" t="inlineStr"/>
      <c r="S9" t="inlineStr"/>
      <c r="T9" t="inlineStr"/>
      <c r="U9" t="inlineStr"/>
      <c r="V9" t="inlineStr">
        <is>
          <t>NOT DETERMINED</t>
        </is>
      </c>
      <c r="W9" t="inlineStr">
        <is>
          <t>READ 2026-08-22 — no calculated figure on this screen</t>
        </is>
      </c>
    </row>
    <row r="10">
      <c r="A10" t="inlineStr"/>
      <c r="B10" t="inlineStr">
        <is>
          <t>Home</t>
        </is>
      </c>
      <c r="C10" t="inlineStr">
        <is>
          <t>/performance</t>
        </is>
      </c>
      <c r="D10" t="inlineStr">
        <is>
          <t>—</t>
        </is>
      </c>
      <c r="E10" t="inlineStr">
        <is>
          <t>—</t>
        </is>
      </c>
      <c r="F10" t="inlineStr">
        <is>
          <t>—</t>
        </is>
      </c>
      <c r="G10" t="inlineStr"/>
      <c r="H10" t="inlineStr"/>
      <c r="I10" t="inlineStr"/>
      <c r="J10" t="inlineStr"/>
      <c r="K10" t="inlineStr"/>
      <c r="L10" t="inlineStr"/>
      <c r="M10" t="inlineStr"/>
      <c r="N10" t="inlineStr"/>
      <c r="O10" t="inlineStr"/>
      <c r="P10" t="inlineStr"/>
      <c r="Q10" t="inlineStr"/>
      <c r="R10" t="inlineStr"/>
      <c r="S10" t="inlineStr"/>
      <c r="T10" t="inlineStr"/>
      <c r="U10" t="inlineStr"/>
      <c r="V10" t="inlineStr">
        <is>
          <t>NOT DETERMINED</t>
        </is>
      </c>
      <c r="W10" t="inlineStr">
        <is>
          <t>READ 2026-08-22 — the same screen as /invest, reached by a second route</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X49"/>
  <sheetViews>
    <sheetView workbookViewId="0">
      <pane ySplit="1" topLeftCell="A2" activePane="bottomLeft" state="frozen"/>
      <selection pane="bottomLeft" activeCell="A1" sqref="A1"/>
    </sheetView>
  </sheetViews>
  <sheetFormatPr baseColWidth="8" defaultRowHeight="15"/>
  <cols>
    <col width="17" customWidth="1" min="1" max="1"/>
    <col width="26" customWidth="1" min="2" max="2"/>
    <col width="29" customWidth="1" min="3" max="3"/>
    <col width="22" customWidth="1" min="4" max="4"/>
    <col width="33" customWidth="1" min="5" max="5"/>
    <col width="33" customWidth="1" min="6" max="6"/>
    <col width="17" customWidth="1" min="7" max="7"/>
    <col width="30" customWidth="1" min="8" max="8"/>
    <col width="26" customWidth="1" min="9" max="9"/>
    <col width="23" customWidth="1" min="10" max="10"/>
    <col width="42" customWidth="1" min="11" max="11"/>
    <col width="42" customWidth="1" min="12" max="12"/>
    <col width="35" customWidth="1" min="13" max="13"/>
    <col width="42" customWidth="1" min="14" max="14"/>
    <col width="29" customWidth="1" min="15" max="15"/>
    <col width="42" customWidth="1" min="16" max="16"/>
    <col width="37" customWidth="1" min="17" max="17"/>
    <col width="22" customWidth="1" min="18" max="18"/>
    <col width="28" customWidth="1" min="19" max="19"/>
    <col width="36" customWidth="1" min="20" max="20"/>
    <col width="41" customWidth="1" min="21" max="21"/>
    <col width="41" customWidth="1" min="22" max="22"/>
    <col width="20" customWidth="1" min="23" max="23"/>
    <col width="18" customWidth="1" min="24" max="24"/>
  </cols>
  <sheetData>
    <row r="1">
      <c r="A1" s="1" t="inlineStr">
        <is>
          <t>Metric ID</t>
        </is>
      </c>
      <c r="B1" s="1" t="inlineStr">
        <is>
          <t>Parent Screen Name</t>
        </is>
      </c>
      <c r="C1" s="1" t="inlineStr">
        <is>
          <t>Secondary Screen Name</t>
        </is>
      </c>
      <c r="D1" s="1" t="inlineStr">
        <is>
          <t>Name on Screen</t>
        </is>
      </c>
      <c r="E1" s="1" t="inlineStr">
        <is>
          <t>Name of Underlying Metric</t>
        </is>
      </c>
      <c r="F1" s="1" t="inlineStr">
        <is>
          <t>Name of Underlying Engine</t>
        </is>
      </c>
      <c r="G1" s="1" t="inlineStr">
        <is>
          <t>Engine ID</t>
        </is>
      </c>
      <c r="H1" s="1" t="inlineStr">
        <is>
          <t>Formula (mathematical)</t>
        </is>
      </c>
      <c r="I1" s="1" t="inlineStr">
        <is>
          <t>Formula (in words)</t>
        </is>
      </c>
      <c r="J1" s="1" t="inlineStr">
        <is>
          <t>Inputs it needs</t>
        </is>
      </c>
      <c r="K1" s="1" t="inlineStr">
        <is>
          <t>What comes out — unit and rounding</t>
        </is>
      </c>
      <c r="L1" s="1" t="inlineStr">
        <is>
          <t>What it says when it cannot be computed</t>
        </is>
      </c>
      <c r="M1" s="1" t="inlineStr">
        <is>
          <t>Grain — one figure per what</t>
        </is>
      </c>
      <c r="N1" s="1" t="inlineStr">
        <is>
          <t>Period — as of when, over what window</t>
        </is>
      </c>
      <c r="O1" s="1" t="inlineStr">
        <is>
          <t>Engines it depends on</t>
        </is>
      </c>
      <c r="P1" s="1" t="inlineStr">
        <is>
          <t>Secondary calculations and decisions the engine makes</t>
        </is>
      </c>
      <c r="Q1" s="1" t="inlineStr">
        <is>
          <t>Errors or findings to address</t>
        </is>
      </c>
      <c r="R1" s="1" t="inlineStr">
        <is>
          <t>Decisions made</t>
        </is>
      </c>
      <c r="S1" s="1" t="inlineStr">
        <is>
          <t>Same figure as (S16)</t>
        </is>
      </c>
      <c r="T1" s="1" t="inlineStr">
        <is>
          <t>Questions for you (numbered)</t>
        </is>
      </c>
      <c r="U1" s="1" t="inlineStr">
        <is>
          <t>YOUR ANSWER — use the same number</t>
        </is>
      </c>
      <c r="V1" s="1" t="inlineStr">
        <is>
          <t>Your name for it (72-metric file)</t>
        </is>
      </c>
      <c r="W1" s="1" t="inlineStr">
        <is>
          <t>Core screen?</t>
        </is>
      </c>
      <c r="X1" s="1" t="inlineStr">
        <is>
          <t>Row status</t>
        </is>
      </c>
    </row>
    <row r="2">
      <c r="A2" t="inlineStr">
        <is>
          <t>MK-NW-M-001</t>
        </is>
      </c>
      <c r="B2" t="inlineStr">
        <is>
          <t>Networth</t>
        </is>
      </c>
      <c r="C2" t="inlineStr">
        <is>
          <t>NA</t>
        </is>
      </c>
      <c r="D2" t="inlineStr">
        <is>
          <t>Change in net worth +$X</t>
        </is>
      </c>
      <c r="E2" t="inlineStr">
        <is>
          <t>changeThisYear</t>
        </is>
      </c>
      <c r="F2" t="inlineStr">
        <is>
          <t>TREND_SERIES</t>
        </is>
      </c>
      <c r="G2" t="inlineStr">
        <is>
          <t>MK-NW-E-001</t>
        </is>
      </c>
      <c r="H2" t="inlineStr">
        <is>
          <t>the line is the recorded net worth at each point;  change over the year = net worth today − net worth at the first point of the year</t>
        </is>
      </c>
      <c r="I2" t="inlineStr">
        <is>
          <t>Monthly snapshots and daily points merged into one series and sorted by their date text. A month ("2026-07") sorts before its own days ("2026-07-04"), which is what makes plain text sorting safe.
A daily value that is not a real date or not a real number is ignored rather than drawn as zero.
No history → an empty series, NOT a flat line at zero.
THE LIMIT THAT MATTERS, and it is the mechanism behind the founder's F15: a daily point is ONE NUMBER — total net worth. There is no per-account daily history anywhere in the app, so "what was my Vanguard account worth in April" has no answer to read, and a beginning value gets BACK-SOLVED from today minus whatever the ledger claims happened. It also only ever starts the day the app was first opened: an account connected today has no yesterday, whatever the market did before that.</t>
        </is>
      </c>
      <c r="J2" t="inlineStr">
        <is>
          <t>monthly snapshots → monthly  [MK-XS-I-031] · daily points → daily  [MK-XS-I-031]</t>
        </is>
      </c>
      <c r="K2" t="inlineStr">
        <is>
          <t>US dollars · held to the cent · shown as whole dollars  [derived by rule — confirm]</t>
        </is>
      </c>
      <c r="L2" t="inlineStr">
        <is>
          <t>A line needs at least two points; with one, the point is shown and the line is not drawn.</t>
        </is>
      </c>
      <c r="M2" t="inlineStr">
        <is>
          <t>One figure per person — or per household when two people share one record  [derived by rule — confirm]</t>
        </is>
      </c>
      <c r="N2" t="inlineStr">
        <is>
          <t>As of today, from the latest figures held  [derived by rule — confirm]</t>
        </is>
      </c>
      <c r="O2" t="inlineStr">
        <is>
          <t>SNAPSHOT_READ_ALL</t>
        </is>
      </c>
      <c r="P2" t="inlineStr"/>
      <c r="Q2" t="inlineStr">
        <is>
          <t>The daily and monthly points are synced, but the DAILY RECORD they are checked against is not. On a second device the trend survives and the walk behind it does not.</t>
        </is>
      </c>
      <c r="R2" t="inlineStr">
        <is>
          <t>NOT DETERMINED — no assumption recorded for this figure yet.</t>
        </is>
      </c>
      <c r="S2" t="inlineStr"/>
      <c r="T2" t="inlineStr">
        <is>
          <t>Q32 — The trend survives on a new device but the walk behind it does not. Should the trend say so, or show quietly?</t>
        </is>
      </c>
      <c r="U2" t="inlineStr"/>
      <c r="V2" t="inlineStr"/>
      <c r="W2" t="inlineStr">
        <is>
          <t>NOT DETERMINED</t>
        </is>
      </c>
      <c r="X2" t="inlineStr">
        <is>
          <t>VERIFIED 2026-08-22</t>
        </is>
      </c>
    </row>
    <row r="3">
      <c r="A3" t="inlineStr">
        <is>
          <t>MK-NW-M-002</t>
        </is>
      </c>
      <c r="B3" t="inlineStr">
        <is>
          <t>Networth</t>
        </is>
      </c>
      <c r="C3" t="inlineStr">
        <is>
          <t>NA</t>
        </is>
      </c>
      <c r="D3" t="inlineStr">
        <is>
          <t>Return on cash + investments ±X%</t>
        </is>
      </c>
      <c r="E3" t="inlineStr">
        <is>
          <t>invPct</t>
        </is>
      </c>
      <c r="F3" t="inlineStr">
        <is>
          <t>NW_CHANGE_PCT</t>
        </is>
      </c>
      <c r="G3" t="inlineStr">
        <is>
          <t>MK-NW-E-002</t>
        </is>
      </c>
      <c r="H3" t="inlineStr">
        <is>
          <t>return = (investable now − investable then) ÷ investable then — money paid in or taken out is NOT removed, so a deposit shows up as a gain</t>
        </is>
      </c>
      <c r="I3" t="inlineStr">
        <is>
          <t>(today's investable − the baseline value) ÷ the baseline value.
The baseline is the EARLIEST stored daily point on or after the baseline date. The house is left out because it only moves when someone retypes it, which would otherwise read as a market gain.
No history → NO percentage. It is never back-guessed, which is right.
THE DEFECT IS WHAT THE BASELINE IS. It is whatever day the app happened to be opened, not a date a person chose. If the only stored point was written after a fall, the fall is invisible and the small recovery since reads as a gain — which is exactly how a −4.2% year showed as +2.0%.</t>
        </is>
      </c>
      <c r="J3" t="inlineStr">
        <is>
          <t>stored history → daily  [MK-XS-I-031] · today's value → currentInvestable  [NO INPUT ID — not on the inputs tab] · baseline date → sinceKey  [NO INPUT ID — not on the inputs tab]</t>
        </is>
      </c>
      <c r="K3" t="inlineStr">
        <is>
          <t>Percent · one decimal shown  [derived by rule — confirm]</t>
        </is>
      </c>
      <c r="L3" t="inlineStr">
        <is>
          <t>No baseline, or nothing invested, means the line is simply absent rather than shown as zero.</t>
        </is>
      </c>
      <c r="M3" t="inlineStr">
        <is>
          <t>One figure per person — or per household when two people share one record  [derived by rule — confirm]</t>
        </is>
      </c>
      <c r="N3" t="inlineStr">
        <is>
          <t>The window the person chose on screen  [derived by rule — confirm]</t>
        </is>
      </c>
      <c r="O3" t="inlineStr">
        <is>
          <t>None found in the code — it reads raw values only</t>
        </is>
      </c>
      <c r="P3" t="inlineStr"/>
      <c r="Q3" t="inlineStr">
        <is>
          <t>The line is labelled "Return on cash + investments" but is computed as (now − then) ÷ then with NO adjustment for money paid in or taken out. Move $50,000 in and it reports a gain. Either the label is wrong or the formula is — founder's call.</t>
        </is>
      </c>
      <c r="R3" t="inlineStr">
        <is>
          <t>NOT DETERMINED — no assumption recorded for this figure yet.</t>
        </is>
      </c>
      <c r="S3" t="inlineStr"/>
      <c r="T3" t="inlineStr">
        <is>
          <t>Q17 — "Return on cash + investments" counts money you paid in as a gain. Is the LABEL wrong, or the FORMULA? Fixing the formula means removing deposits and withdrawals before measuring.</t>
        </is>
      </c>
      <c r="U3" t="inlineStr"/>
      <c r="V3" t="inlineStr"/>
      <c r="W3" t="inlineStr">
        <is>
          <t>NOT DETERMINED</t>
        </is>
      </c>
      <c r="X3" t="inlineStr">
        <is>
          <t>VERIFIED 2026-08-22</t>
        </is>
      </c>
    </row>
    <row r="4">
      <c r="A4" t="inlineStr">
        <is>
          <t>MK-NW-M-003</t>
        </is>
      </c>
      <c r="B4" t="inlineStr">
        <is>
          <t>Networth</t>
        </is>
      </c>
      <c r="C4" t="inlineStr">
        <is>
          <t>NA</t>
        </is>
      </c>
      <c r="D4" t="inlineStr">
        <is>
          <t>the trend line</t>
        </is>
      </c>
      <c r="E4" t="inlineStr">
        <is>
          <t>series</t>
        </is>
      </c>
      <c r="F4" t="inlineStr">
        <is>
          <t>TREND_SERIES</t>
        </is>
      </c>
      <c r="G4" t="inlineStr">
        <is>
          <t>MK-NW-E-001</t>
        </is>
      </c>
      <c r="H4" t="inlineStr">
        <is>
          <t>the line is the recorded net worth at each point;  change over the year = net worth today − net worth at the first point of the year</t>
        </is>
      </c>
      <c r="I4" t="inlineStr">
        <is>
          <t>Monthly snapshots and daily points merged into one series and sorted by their date text. A month ("2026-07") sorts before its own days ("2026-07-04"), which is what makes plain text sorting safe.
A daily value that is not a real date or not a real number is ignored rather than drawn as zero.
No history → an empty series, NOT a flat line at zero.
THE LIMIT THAT MATTERS, and it is the mechanism behind the founder's F15: a daily point is ONE NUMBER — total net worth. There is no per-account daily history anywhere in the app, so "what was my Vanguard account worth in April" has no answer to read, and a beginning value gets BACK-SOLVED from today minus whatever the ledger claims happened. It also only ever starts the day the app was first opened: an account connected today has no yesterday, whatever the market did before that.</t>
        </is>
      </c>
      <c r="J4" t="inlineStr">
        <is>
          <t>monthly snapshots → monthly  [MK-XS-I-031] · daily points → daily  [MK-XS-I-031]</t>
        </is>
      </c>
      <c r="K4" t="inlineStr">
        <is>
          <t>US dollars · held to the cent · shown as whole dollars  [derived by rule — confirm]</t>
        </is>
      </c>
      <c r="L4" t="inlineStr">
        <is>
          <t>A line needs at least two points; with one, the point is shown and the line is not drawn.</t>
        </is>
      </c>
      <c r="M4" t="inlineStr">
        <is>
          <t>One figure per person — or per household when two people share one record  [derived by rule — confirm]</t>
        </is>
      </c>
      <c r="N4" t="inlineStr">
        <is>
          <t>As of today, from the latest figures held  [derived by rule — confirm]</t>
        </is>
      </c>
      <c r="O4" t="inlineStr">
        <is>
          <t>SNAPSHOT_READ_ALL</t>
        </is>
      </c>
      <c r="P4" t="inlineStr"/>
      <c r="Q4" t="inlineStr">
        <is>
          <t>The daily and monthly points are synced, but the DAILY RECORD they are checked against is not. On a second device the trend survives and the walk behind it does not.</t>
        </is>
      </c>
      <c r="R4" t="inlineStr">
        <is>
          <t>NOT DETERMINED — no assumption recorded for this figure yet.</t>
        </is>
      </c>
      <c r="S4" t="inlineStr"/>
      <c r="T4" t="inlineStr"/>
      <c r="U4" t="inlineStr"/>
      <c r="V4" t="inlineStr"/>
      <c r="W4" t="inlineStr">
        <is>
          <t>NOT DETERMINED</t>
        </is>
      </c>
      <c r="X4" t="inlineStr">
        <is>
          <t>VERIFIED 2026-08-22</t>
        </is>
      </c>
    </row>
    <row r="5">
      <c r="A5" t="inlineStr">
        <is>
          <t>MK-NW-M-004</t>
        </is>
      </c>
      <c r="B5" t="inlineStr">
        <is>
          <t>Networth</t>
        </is>
      </c>
      <c r="C5" t="inlineStr">
        <is>
          <t>NA</t>
        </is>
      </c>
      <c r="D5" t="inlineStr">
        <is>
          <t>WHAT YOU OWN</t>
        </is>
      </c>
      <c r="E5" t="inlineStr">
        <is>
          <t>totalAssets</t>
        </is>
      </c>
      <c r="F5" t="inlineStr">
        <is>
          <t>ACCOUNT_SHARE_OF_TOTAL</t>
        </is>
      </c>
      <c r="G5" t="inlineStr">
        <is>
          <t>MK-NW-E-003</t>
        </is>
      </c>
      <c r="H5" t="inlineStr">
        <is>
          <t>assets = Σ(balance of every account);  share of an account = balance ÷ assets</t>
        </is>
      </c>
      <c r="I5" t="inlineStr">
        <is>
          <t>Each account's share = its balance ÷ the total, so the shares add to 100. The blended return is weighted by money, not an average of the rates.
No money at all → every share is 0 and a stated default return is used, rather than dividing by nothing.</t>
        </is>
      </c>
      <c r="J5" t="inlineStr">
        <is>
          <t>each balance → balance  [MK-XS-I-001] · each assumed return → target_return  [MK-XS-I-028]</t>
        </is>
      </c>
      <c r="K5" t="inlineStr">
        <is>
          <t>US dollars · held to the cent · shown as whole dollars  [derived by rule — confirm]</t>
        </is>
      </c>
      <c r="L5" t="inlineStr">
        <is>
          <t>Adds up to $0 when there is nothing to add. Zero and "nothing recorded yet" look identical on screen — worth a decision.</t>
        </is>
      </c>
      <c r="M5" t="inlineStr">
        <is>
          <t>One figure per account  [derived by rule — confirm]</t>
        </is>
      </c>
      <c r="N5" t="inlineStr">
        <is>
          <t>As of today, from the latest figures held  [derived by rule — confirm]</t>
        </is>
      </c>
      <c r="O5" t="inlineStr">
        <is>
          <t>None found in the code — it reads raw values only</t>
        </is>
      </c>
      <c r="P5" t="inlineStr"/>
      <c r="Q5" t="inlineStr"/>
      <c r="R5" t="inlineStr">
        <is>
          <t>NOT DETERMINED — no assumption recorded for this figure yet.</t>
        </is>
      </c>
      <c r="S5" t="inlineStr"/>
      <c r="T5" t="inlineStr"/>
      <c r="U5" t="inlineStr"/>
      <c r="V5" t="inlineStr"/>
      <c r="W5" t="inlineStr">
        <is>
          <t>NOT DETERMINED</t>
        </is>
      </c>
      <c r="X5" t="inlineStr">
        <is>
          <t>VERIFIED 2026-08-22</t>
        </is>
      </c>
    </row>
    <row r="6">
      <c r="A6" t="inlineStr">
        <is>
          <t>MK-NW-M-005</t>
        </is>
      </c>
      <c r="B6" t="inlineStr">
        <is>
          <t>Networth</t>
        </is>
      </c>
      <c r="C6" t="inlineStr">
        <is>
          <t>NA</t>
        </is>
      </c>
      <c r="D6" t="inlineStr">
        <is>
          <t>💵 CASH</t>
        </is>
      </c>
      <c r="E6" t="inlineStr">
        <is>
          <t>cashOnHand</t>
        </is>
      </c>
      <c r="F6" t="inlineStr">
        <is>
          <t>TOTAL_CASH</t>
        </is>
      </c>
      <c r="G6" t="inlineStr">
        <is>
          <t>MK-NW-E-004</t>
        </is>
      </c>
      <c r="H6" t="inlineStr">
        <is>
          <t>cash = Σ(balance of each account whose class = Cash)</t>
        </is>
      </c>
      <c r="I6" t="inlineStr">
        <is>
          <t>Add up the balances of every account whose class is Cash. Under the founder's 2026-08-04 rule that means checking, savings, high-yield savings and the uninvested sweep at a broker — and NOT money-market funds, which pay dividends and are measured with the investments.</t>
        </is>
      </c>
      <c r="J6" t="inlineStr">
        <is>
          <t>each account's class → assetClassOf  [NO INPUT ID — not on the inputs tab] · each account's money → balance  [MK-XS-I-001]</t>
        </is>
      </c>
      <c r="K6" t="inlineStr">
        <is>
          <t>US dollars · held to the cent · shown as whole dollars  [derived by rule — confirm]</t>
        </is>
      </c>
      <c r="L6" t="inlineStr">
        <is>
          <t>Adds up to $0 when there is nothing to add. Zero and "nothing recorded yet" look identical on screen — worth a decision.</t>
        </is>
      </c>
      <c r="M6" t="inlineStr">
        <is>
          <t>One figure per person — or per household when two people share one record  [derived by rule — confirm]</t>
        </is>
      </c>
      <c r="N6" t="inlineStr">
        <is>
          <t>As of today, from the latest figures held  [derived by rule — confirm]</t>
        </is>
      </c>
      <c r="O6" t="inlineStr">
        <is>
          <t>ACCOUNT_SPLIT · ASSET_CLASS_OF_ACCOUNT</t>
        </is>
      </c>
      <c r="P6" t="inlineStr">
        <is>
          <t>DECIDES what counts as cash — and deliberately excludes money-market funds.</t>
        </is>
      </c>
      <c r="Q6" t="inlineStr">
        <is>
          <t>Money-market funds are deliberately NOT counted as cash. Any institution that reports a sweep as a fund will therefore land in investments — worth watching per provider.</t>
        </is>
      </c>
      <c r="R6" t="inlineStr">
        <is>
          <t>[Founder] Cash means checking, savings, high-yield savings and the uninvested sweep at a broker. Money-market funds are investments, because they pay dividends and are measured with the investments (founder, 2026-08-04).</t>
        </is>
      </c>
      <c r="S6" t="inlineStr"/>
      <c r="T6" t="inlineStr">
        <is>
          <t>Q16 — Does foreign-currency cash count towards Cash, or sit apart until it is converted?</t>
        </is>
      </c>
      <c r="U6" t="inlineStr"/>
      <c r="V6" t="inlineStr"/>
      <c r="W6" t="inlineStr">
        <is>
          <t>NOT DETERMINED</t>
        </is>
      </c>
      <c r="X6" t="inlineStr">
        <is>
          <t>VERIFIED 2026-08-22</t>
        </is>
      </c>
    </row>
    <row r="7">
      <c r="A7" t="inlineStr">
        <is>
          <t>MK-NW-M-006</t>
        </is>
      </c>
      <c r="B7" t="inlineStr">
        <is>
          <t>Networth</t>
        </is>
      </c>
      <c r="C7" t="inlineStr">
        <is>
          <t>NA</t>
        </is>
      </c>
      <c r="D7" t="inlineStr">
        <is>
          <t>🏠 PERSONAL PROPERTY</t>
        </is>
      </c>
      <c r="E7" t="inlineStr">
        <is>
          <t>sectionTotals</t>
        </is>
      </c>
      <c r="F7" t="inlineStr">
        <is>
          <t>ACCOUNT_SHARE_OF_TOTAL</t>
        </is>
      </c>
      <c r="G7" t="inlineStr">
        <is>
          <t>MK-NW-E-003</t>
        </is>
      </c>
      <c r="H7" t="inlineStr">
        <is>
          <t>assets = Σ(balance of every account);  share of an account = balance ÷ assets</t>
        </is>
      </c>
      <c r="I7" t="inlineStr">
        <is>
          <t>Each account's share = its balance ÷ the total, so the shares add to 100. The blended return is weighted by money, not an average of the rates.
No money at all → every share is 0 and a stated default return is used, rather than dividing by nothing.</t>
        </is>
      </c>
      <c r="J7" t="inlineStr">
        <is>
          <t>each balance → balance  [MK-XS-I-001] · each assumed return → target_return  [MK-XS-I-028]</t>
        </is>
      </c>
      <c r="K7" t="inlineStr">
        <is>
          <t>US dollars · held to the cent · shown as whole dollars  [derived by rule — confirm]</t>
        </is>
      </c>
      <c r="L7" t="inlineStr">
        <is>
          <t>Adds up to $0 when there is nothing to add. Zero and "nothing recorded yet" look identical on screen — worth a decision.</t>
        </is>
      </c>
      <c r="M7" t="inlineStr">
        <is>
          <t>One figure per account  [derived by rule — confirm]</t>
        </is>
      </c>
      <c r="N7" t="inlineStr">
        <is>
          <t>As of today, from the latest figures held  [derived by rule — confirm]</t>
        </is>
      </c>
      <c r="O7" t="inlineStr">
        <is>
          <t>None found in the code — it reads raw values only</t>
        </is>
      </c>
      <c r="P7" t="inlineStr"/>
      <c r="Q7" t="inlineStr">
        <is>
          <t>This row names ACCOUNT_SHARE_OF_TOTAL, but personal property is its own total, not a share of one.</t>
        </is>
      </c>
      <c r="R7" t="inlineStr">
        <is>
          <t>NOT DETERMINED — no assumption recorded for this figure yet.</t>
        </is>
      </c>
      <c r="S7" t="inlineStr"/>
      <c r="T7" t="inlineStr"/>
      <c r="U7" t="inlineStr"/>
      <c r="V7" t="inlineStr"/>
      <c r="W7" t="inlineStr">
        <is>
          <t>NOT DETERMINED</t>
        </is>
      </c>
      <c r="X7" t="inlineStr">
        <is>
          <t>VERIFIED 2026-08-22</t>
        </is>
      </c>
    </row>
    <row r="8">
      <c r="A8" t="inlineStr">
        <is>
          <t>MK-NW-M-007</t>
        </is>
      </c>
      <c r="B8" t="inlineStr">
        <is>
          <t>Networth</t>
        </is>
      </c>
      <c r="C8" t="inlineStr">
        <is>
          <t>NA</t>
        </is>
      </c>
      <c r="D8" t="inlineStr">
        <is>
          <t>class rows — by class, institution or type</t>
        </is>
      </c>
      <c r="E8" t="inlineStr">
        <is>
          <t>classRows</t>
        </is>
      </c>
      <c r="F8" t="inlineStr">
        <is>
          <t>ALLOCATION_BY_CLASS</t>
        </is>
      </c>
      <c r="G8" t="inlineStr">
        <is>
          <t>MK-NW-E-005</t>
        </is>
      </c>
      <c r="H8" t="inlineStr">
        <is>
          <t>value in class k = Σ(balance of accounts in class k);  share(k) = value(k) ÷ Σ value</t>
        </is>
      </c>
      <c r="I8" t="inlineStr">
        <is>
          <t>For every account: if it has its own breakdown (an account holding several classes at once), add each piece to its own class. Otherwise put the WHOLE balance in the one class the account resolves to. Round each total to the cent at the end, never during.
The totals must add to total assets — this is what the donut draws, so any leak shows as a wrong slice.</t>
        </is>
      </c>
      <c r="J8" t="inlineStr">
        <is>
          <t>each account's class → assetClassOf  [NO INPUT ID — not on the inputs tab] · each account's money → balance  [MK-XS-I-001] · any split → accountClassBreakdown  [NO INPUT ID — not on the inputs tab]</t>
        </is>
      </c>
      <c r="K8" t="inlineStr">
        <is>
          <t>US dollars · held to the cent · shown as whole dollars  [derived by rule — confirm]</t>
        </is>
      </c>
      <c r="L8" t="inlineStr">
        <is>
          <t>Adds up to $0 when there is nothing to add. Zero and "nothing recorded yet" look identical on screen — worth a decision.</t>
        </is>
      </c>
      <c r="M8" t="inlineStr">
        <is>
          <t>One figure per category  [derived by rule — confirm]</t>
        </is>
      </c>
      <c r="N8" t="inlineStr">
        <is>
          <t>As of today, from the latest figures held  [derived by rule — confirm]</t>
        </is>
      </c>
      <c r="O8" t="inlineStr">
        <is>
          <t>ACCOUNT_SPLIT · ASSET_CLASS_OF_ACCOUNT</t>
        </is>
      </c>
      <c r="P8" t="inlineStr">
        <is>
          <t>DECIDES the class of every asset before it can group them, and DECIDES the words shown for each class. The classifying rule itself is engine MK-ST-E-xxx — see the asset-classification standard.</t>
        </is>
      </c>
      <c r="Q8" t="inlineStr"/>
      <c r="R8" t="inlineStr">
        <is>
          <t>NOT DETERMINED — no assumption recorded for this figure yet.</t>
        </is>
      </c>
      <c r="S8" t="inlineStr"/>
      <c r="T8" t="inlineStr">
        <is>
          <t>Q10 — What order of evidence decides an asset's class? Draft: the institution's own class field, then the shape of the identifier (option symbols, nine-character bond numbers, currency codes), then words in the name, then ask you.
Q11 — When nothing matches: refuse the line and ask, or park it as unclassified? Parking keeps the totals right and hides a gap; refusing is honest and stops the import.
Q12 — Does the person's own answer always win and stick, even when the next sync disagrees? That is today's rule for holdings — confirm it holds for every class.
Q13 — Commodities: is a fund that tracks gold (GLD) simply a fund with a "commodity" label for allocation, and do you want PHYSICAL metal — weight, unit, purity, storage, spot price — supported at launch?</t>
        </is>
      </c>
      <c r="U8" t="inlineStr"/>
      <c r="V8" t="inlineStr"/>
      <c r="W8" t="inlineStr">
        <is>
          <t>NOT DETERMINED</t>
        </is>
      </c>
      <c r="X8" t="inlineStr">
        <is>
          <t>VERIFIED 2026-08-22</t>
        </is>
      </c>
    </row>
    <row r="9">
      <c r="A9" t="inlineStr">
        <is>
          <t>MK-NW-M-008</t>
        </is>
      </c>
      <c r="B9" t="inlineStr">
        <is>
          <t>Networth</t>
        </is>
      </c>
      <c r="C9" t="inlineStr">
        <is>
          <t>NA</t>
        </is>
      </c>
      <c r="D9" t="inlineStr">
        <is>
          <t>each account and its balance</t>
        </is>
      </c>
      <c r="E9" t="inlineStr">
        <is>
          <t>a.balance</t>
        </is>
      </c>
      <c r="F9" t="inlineStr">
        <is>
          <t>ACCOUNT_SPLIT</t>
        </is>
      </c>
      <c r="G9" t="inlineStr">
        <is>
          <t>MK-NW-E-006</t>
        </is>
      </c>
      <c r="H9" t="inlineStr">
        <is>
          <t>for one account: value in class k = balance × weight(k), where Σ weight(k) = 1</t>
        </is>
      </c>
      <c r="I9" t="inlineStr">
        <is>
          <t>WHY IT EXISTS. Your Vanguard account is not one thing. It might hold a CD, a money-market fund, some shares, and a little uninvested cash. Showing it as one lump under a single heading would be wrong four ways at once.
HOW IT SPLITS. Start with the uninvested cash. Then place each holding by reading its NAME first — a money-market fund goes with the shares, a CD goes with the bonds — and only fall back to the broker's own label when the name tells us nothing.
THE LEFTOVER. Add the pieces up and they rarely match the broker's total to the penny. What to do with the difference matters more than it sounds.
A WORKED EXAMPLE, AND IT IS YOUR OWN FINDING. Say the account totals $10,100 and holds one CD worth $10,000. There is $100 unaccounted for. The app used to add it to the biggest holding — so your $100 of spare cash was reported as MORE CD. You asked "why is cash added to CD and not cash?", and you were right: it is money sitting there, not another certificate you own. A small positive leftover is now cash.
(If the pieces come to MORE than the broker's total, that is a pricing quirk rather than money, and it goes to the largest holding — putting it in cash would show you a negative cash balance, which reads worse than a rounding nudge.)</t>
        </is>
      </c>
      <c r="J9" t="inlineStr">
        <is>
          <t>the account → a  [NO INPUT ID — not on the inputs tab] · its total → balance  [MK-XS-I-001] · uninvested → cash_balance  [MK-XS-I-001] · holdings → positions[]  [NO INPUT ID — not on the inputs tab] · options → option_holdings[]  [NO INPUT ID — not on the inputs tab]</t>
        </is>
      </c>
      <c r="K9" t="inlineStr">
        <is>
          <t>A count · whole units, except crypto which keeps its fractions  [derived by rule — confirm]</t>
        </is>
      </c>
      <c r="L9" t="inlineStr">
        <is>
          <t>Adds up to $0 when there is nothing to add. Zero and "nothing recorded yet" look identical on screen — worth a decision.</t>
        </is>
      </c>
      <c r="M9" t="inlineStr">
        <is>
          <t>One figure per account  [derived by rule — confirm]</t>
        </is>
      </c>
      <c r="N9" t="inlineStr">
        <is>
          <t>As of today, from the latest figures held  [derived by rule — confirm]</t>
        </is>
      </c>
      <c r="O9" t="inlineStr">
        <is>
          <t>ASSET_CLASS_OF_ACCOUNT · CLASS_FROM_NAME_TEXT</t>
        </is>
      </c>
      <c r="P9" t="inlineStr">
        <is>
          <t>DECIDES which class each holding inside one account belongs to, then how much of the account total sits in each.</t>
        </is>
      </c>
      <c r="Q9" t="inlineStr">
        <is>
          <t>Reported by the 54-item audit as one of the places a total and its parts can disagree; the reconciliation assertion now catches it, but the screen has no way to say so yet.</t>
        </is>
      </c>
      <c r="R9" t="inlineStr">
        <is>
          <t>NOT DETERMINED — no assumption recorded for this figure yet.</t>
        </is>
      </c>
      <c r="S9" t="inlineStr"/>
      <c r="T9" t="inlineStr">
        <is>
          <t>Q14 — What should a MIXED account be called on screen, when it holds several classes at once?</t>
        </is>
      </c>
      <c r="U9" t="inlineStr"/>
      <c r="V9" t="inlineStr"/>
      <c r="W9" t="inlineStr">
        <is>
          <t>NOT DETERMINED</t>
        </is>
      </c>
      <c r="X9" t="inlineStr">
        <is>
          <t>VERIFIED 2026-08-22</t>
        </is>
      </c>
    </row>
    <row r="10">
      <c r="A10" t="inlineStr">
        <is>
          <t>MK-NW-M-009</t>
        </is>
      </c>
      <c r="B10" t="inlineStr">
        <is>
          <t>Networth</t>
        </is>
      </c>
      <c r="C10" t="inlineStr">
        <is>
          <t>NA</t>
        </is>
      </c>
      <c r="D10" t="inlineStr">
        <is>
          <t>WHAT YOU OWE · 💳 DEBTS</t>
        </is>
      </c>
      <c r="E10" t="inlineStr">
        <is>
          <t>dState.total_debt_balance</t>
        </is>
      </c>
      <c r="F10" t="inlineStr">
        <is>
          <t>DEBT_PICTURE</t>
        </is>
      </c>
      <c r="G10" t="inlineStr">
        <is>
          <t>MK-NW-E-007</t>
        </is>
      </c>
      <c r="H10" t="inlineStr">
        <is>
          <t>owed = Σ(remaining balance);  monthly debt payments = Σ(required payment of each debt)</t>
        </is>
      </c>
      <c r="I10" t="inlineStr">
        <is>
          <t>Total the balances. Find the highest-rate debt. Add up separately the balances above the rate we treat as dangerous.
TWO MONTHLY FIGURES ARE KEPT DELIBERATELY: the minimum that must be paid to stay current, and what is actually going out. Confusing them misstates affordability in one direction or the other.
No debts gives zero and nothing to point at.</t>
        </is>
      </c>
      <c r="J10" t="inlineStr">
        <is>
          <t>every debt → debts  [NO INPUT ID — not on the inputs tab] · rates → interest_rate_apr  [MK-XS-I-015] · payments → the minimum and chosen payments  [MK-XS-I-016]</t>
        </is>
      </c>
      <c r="K10" t="inlineStr">
        <is>
          <t>US dollars · held to the cent · shown as whole dollars  [derived by rule — confirm]</t>
        </is>
      </c>
      <c r="L10" t="inlineStr">
        <is>
          <t>Adds up to $0 when there is nothing to add. Zero and "nothing recorded yet" look identical on screen — worth a decision.</t>
        </is>
      </c>
      <c r="M10" t="inlineStr">
        <is>
          <t>One figure per debt, and one total per person  [derived by rule — confirm]</t>
        </is>
      </c>
      <c r="N10" t="inlineStr">
        <is>
          <t>As of today, from the latest figures held  [derived by rule — confirm]</t>
        </is>
      </c>
      <c r="O10" t="inlineStr">
        <is>
          <t>DEBT_MINIMUM_TOTAL · DEBT_PAYMENTS_ACTUAL</t>
        </is>
      </c>
      <c r="P10" t="inlineStr"/>
      <c r="Q10" t="inlineStr"/>
      <c r="R10" t="inlineStr">
        <is>
          <t>NOT DETERMINED — no assumption recorded for this figure yet.</t>
        </is>
      </c>
      <c r="S10" t="inlineStr"/>
      <c r="T10" t="inlineStr"/>
      <c r="U10" t="inlineStr"/>
      <c r="V10" t="inlineStr"/>
      <c r="W10" t="inlineStr">
        <is>
          <t>NOT DETERMINED</t>
        </is>
      </c>
      <c r="X10" t="inlineStr">
        <is>
          <t>VERIFIED 2026-08-22</t>
        </is>
      </c>
    </row>
    <row r="11">
      <c r="A11" t="inlineStr">
        <is>
          <t>MK-NW-M-010</t>
        </is>
      </c>
      <c r="B11" t="inlineStr">
        <is>
          <t>Networth</t>
        </is>
      </c>
      <c r="C11" t="inlineStr">
        <is>
          <t>NA</t>
        </is>
      </c>
      <c r="D11" t="inlineStr">
        <is>
          <t>each debt and what is left on it</t>
        </is>
      </c>
      <c r="E11" t="inlineStr">
        <is>
          <t>d.remaining_balance</t>
        </is>
      </c>
      <c r="F11" t="inlineStr">
        <is>
          <t>DEBT_PICTURE</t>
        </is>
      </c>
      <c r="G11" t="inlineStr">
        <is>
          <t>MK-NW-E-007</t>
        </is>
      </c>
      <c r="H11" t="inlineStr">
        <is>
          <t>owed = Σ(remaining balance);  monthly debt payments = Σ(required payment of each debt)</t>
        </is>
      </c>
      <c r="I11" t="inlineStr">
        <is>
          <t>Total the balances. Find the highest-rate debt. Add up separately the balances above the rate we treat as dangerous.
TWO MONTHLY FIGURES ARE KEPT DELIBERATELY: the minimum that must be paid to stay current, and what is actually going out. Confusing them misstates affordability in one direction or the other.
No debts gives zero and nothing to point at.</t>
        </is>
      </c>
      <c r="J11" t="inlineStr">
        <is>
          <t>every debt → debts  [NO INPUT ID — not on the inputs tab] · rates → interest_rate_apr  [MK-XS-I-015] · payments → the minimum and chosen payments  [MK-XS-I-016]</t>
        </is>
      </c>
      <c r="K11" t="inlineStr">
        <is>
          <t>US dollars · held to the cent · shown as whole dollars  [derived by rule — confirm]</t>
        </is>
      </c>
      <c r="L11" t="inlineStr">
        <is>
          <t>Adds up to $0 when there is nothing to add. Zero and "nothing recorded yet" look identical on screen — worth a decision.</t>
        </is>
      </c>
      <c r="M11" t="inlineStr">
        <is>
          <t>One figure per debt, and one total per person  [derived by rule — confirm]</t>
        </is>
      </c>
      <c r="N11" t="inlineStr">
        <is>
          <t>As of today, from the latest figures held  [derived by rule — confirm]</t>
        </is>
      </c>
      <c r="O11" t="inlineStr">
        <is>
          <t>DEBT_MINIMUM_TOTAL · DEBT_PAYMENTS_ACTUAL</t>
        </is>
      </c>
      <c r="P11" t="inlineStr"/>
      <c r="Q11" t="inlineStr"/>
      <c r="R11" t="inlineStr">
        <is>
          <t>NOT DETERMINED — no assumption recorded for this figure yet.</t>
        </is>
      </c>
      <c r="S11" t="inlineStr"/>
      <c r="T11" t="inlineStr"/>
      <c r="U11" t="inlineStr"/>
      <c r="V11" t="inlineStr"/>
      <c r="W11" t="inlineStr">
        <is>
          <t>NOT DETERMINED</t>
        </is>
      </c>
      <c r="X11" t="inlineStr">
        <is>
          <t>VERIFIED 2026-08-22</t>
        </is>
      </c>
    </row>
    <row r="12">
      <c r="A12" t="inlineStr">
        <is>
          <t>MK-NW-M-011</t>
        </is>
      </c>
      <c r="B12" t="inlineStr">
        <is>
          <t>Networth</t>
        </is>
      </c>
      <c r="C12" t="inlineStr">
        <is>
          <t>NA</t>
        </is>
      </c>
      <c r="D12" t="inlineStr">
        <is>
          <t>minimum monthly payment on a debt</t>
        </is>
      </c>
      <c r="E12" t="inlineStr">
        <is>
          <t>d.minimum_monthly_payment</t>
        </is>
      </c>
      <c r="F12" t="inlineStr">
        <is>
          <t>DEBT_REQUIRED_PAYMENT</t>
        </is>
      </c>
      <c r="G12" t="inlineStr">
        <is>
          <t>MK-NW-E-008</t>
        </is>
      </c>
      <c r="H12" t="inlineStr">
        <is>
          <t>required payment = the stated minimum, or interest + 1% of balance when none is stated</t>
        </is>
      </c>
      <c r="I12" t="inlineStr">
        <is>
          <t>Due in full → 0. It is a dated bill, and calling it a monthly payment overstates what a person is committed to. Otherwise the LARGER of the minimum and whatever payment they have chosen, so overpaying on purpose shows up.</t>
        </is>
      </c>
      <c r="J12" t="inlineStr">
        <is>
          <t>shape → paymentShape  [NO INPUT ID — not on the inputs tab] · minimum → minimum_monthly_payment  [MK-XS-I-016] · chosen → monthly_payment  [NO INPUT ID — not on the inputs tab]</t>
        </is>
      </c>
      <c r="K12" t="inlineStr">
        <is>
          <t>US dollars · held to the cent · shown as whole dollars  [derived by rule — confirm]</t>
        </is>
      </c>
      <c r="L12" t="inlineStr">
        <is>
          <t>NOT DETERMINED — this engine has not been read for its refusal yet.</t>
        </is>
      </c>
      <c r="M12" t="inlineStr">
        <is>
          <t>One figure per debt, and one total per person  [derived by rule — confirm]</t>
        </is>
      </c>
      <c r="N12" t="inlineStr">
        <is>
          <t>As of today, from the latest figures held  [derived by rule — confirm]</t>
        </is>
      </c>
      <c r="O12" t="inlineStr">
        <is>
          <t>DEBT_SHAPE</t>
        </is>
      </c>
      <c r="P12" t="inlineStr"/>
      <c r="Q12" t="inlineStr"/>
      <c r="R12" t="inlineStr">
        <is>
          <t>NOT DETERMINED — no assumption recorded for this figure yet.</t>
        </is>
      </c>
      <c r="S12" t="inlineStr"/>
      <c r="T12" t="inlineStr"/>
      <c r="U12" t="inlineStr"/>
      <c r="V12" t="inlineStr"/>
      <c r="W12" t="inlineStr">
        <is>
          <t>NOT DETERMINED</t>
        </is>
      </c>
      <c r="X12" t="inlineStr">
        <is>
          <t>VERIFIED 2026-08-22</t>
        </is>
      </c>
    </row>
    <row r="13">
      <c r="A13" t="inlineStr">
        <is>
          <t>MK-NW-M-012</t>
        </is>
      </c>
      <c r="B13" t="inlineStr">
        <is>
          <t>Networth</t>
        </is>
      </c>
      <c r="C13" t="inlineStr">
        <is>
          <t>NA</t>
        </is>
      </c>
      <c r="D13" t="inlineStr">
        <is>
          <t>Monthly debt payments $X/mo</t>
        </is>
      </c>
      <c r="E13" t="inlineStr">
        <is>
          <t>dState.total_monthly_debt_service</t>
        </is>
      </c>
      <c r="F13" t="inlineStr">
        <is>
          <t>DEBT_PICTURE</t>
        </is>
      </c>
      <c r="G13" t="inlineStr">
        <is>
          <t>MK-NW-E-007</t>
        </is>
      </c>
      <c r="H13" t="inlineStr">
        <is>
          <t>owed = Σ(remaining balance);  monthly debt payments = Σ(required payment of each debt)</t>
        </is>
      </c>
      <c r="I13" t="inlineStr">
        <is>
          <t>Total the balances. Find the highest-rate debt. Add up separately the balances above the rate we treat as dangerous.
TWO MONTHLY FIGURES ARE KEPT DELIBERATELY: the minimum that must be paid to stay current, and what is actually going out. Confusing them misstates affordability in one direction or the other.
No debts gives zero and nothing to point at.</t>
        </is>
      </c>
      <c r="J13" t="inlineStr">
        <is>
          <t>every debt → debts  [NO INPUT ID — not on the inputs tab] · rates → interest_rate_apr  [MK-XS-I-015] · payments → the minimum and chosen payments  [MK-XS-I-016]</t>
        </is>
      </c>
      <c r="K13" t="inlineStr">
        <is>
          <t>US dollars · held to the cent · shown as whole dollars  [derived by rule — confirm]</t>
        </is>
      </c>
      <c r="L13" t="inlineStr">
        <is>
          <t>Adds up to $0 when there is nothing to add. Zero and "nothing recorded yet" look identical on screen — worth a decision.</t>
        </is>
      </c>
      <c r="M13" t="inlineStr">
        <is>
          <t>One figure per debt, and one total per person  [derived by rule — confirm]</t>
        </is>
      </c>
      <c r="N13" t="inlineStr">
        <is>
          <t>As of today, from the latest figures held  [derived by rule — confirm]</t>
        </is>
      </c>
      <c r="O13" t="inlineStr">
        <is>
          <t>DEBT_MINIMUM_TOTAL · DEBT_PAYMENTS_ACTUAL</t>
        </is>
      </c>
      <c r="P13" t="inlineStr"/>
      <c r="Q13" t="inlineStr"/>
      <c r="R13" t="inlineStr">
        <is>
          <t>NOT DETERMINED — no assumption recorded for this figure yet.</t>
        </is>
      </c>
      <c r="S13" t="inlineStr"/>
      <c r="T13" t="inlineStr"/>
      <c r="U13" t="inlineStr"/>
      <c r="V13" t="inlineStr"/>
      <c r="W13" t="inlineStr">
        <is>
          <t>NOT DETERMINED</t>
        </is>
      </c>
      <c r="X13" t="inlineStr">
        <is>
          <t>VERIFIED 2026-08-22</t>
        </is>
      </c>
    </row>
    <row r="14">
      <c r="A14" t="inlineStr">
        <is>
          <t>MK-NW-M-013</t>
        </is>
      </c>
      <c r="B14" t="inlineStr">
        <is>
          <t>Networth</t>
        </is>
      </c>
      <c r="C14" t="inlineStr">
        <is>
          <t>NA</t>
        </is>
      </c>
      <c r="D14" t="inlineStr">
        <is>
          <t>EMERGENCY CUSHION — X.X months</t>
        </is>
      </c>
      <c r="E14" t="inlineStr">
        <is>
          <t>runwayMonths</t>
        </is>
      </c>
      <c r="F14" t="inlineStr">
        <is>
          <t>worked out on the screen: cash ÷ a typical month of essentials</t>
        </is>
      </c>
      <c r="G14" t="inlineStr"/>
      <c r="H14" t="inlineStr">
        <is>
          <t>cushion in months = cash ÷ essentials a month</t>
        </is>
      </c>
      <c r="I14" t="inlineStr">
        <is>
          <t>Worked out on the screen itself, with no engine behind it — a place a second definition can appear.</t>
        </is>
      </c>
      <c r="J14" t="inlineStr">
        <is>
          <t>NOT DETERMINED — no input list on record for this engine</t>
        </is>
      </c>
      <c r="K14" t="inlineStr">
        <is>
          <t>Months · one decimal  [derived by rule — confirm]</t>
        </is>
      </c>
      <c r="L14" t="inlineStr">
        <is>
          <t>Inherits the refusal of the figures it is built from: if either side is missing, this line is not shown.</t>
        </is>
      </c>
      <c r="M14" t="inlineStr">
        <is>
          <t>One figure per month  [derived by rule — confirm]</t>
        </is>
      </c>
      <c r="N14" t="inlineStr">
        <is>
          <t>As of today, from the latest figures held  [derived by rule — confirm]</t>
        </is>
      </c>
      <c r="O14" t="inlineStr">
        <is>
          <t>NOT DETERMINED</t>
        </is>
      </c>
      <c r="P14" t="inlineStr"/>
      <c r="Q14" t="inlineStr"/>
      <c r="R14" t="inlineStr">
        <is>
          <t>NOT DETERMINED — no assumption recorded for this figure yet.</t>
        </is>
      </c>
      <c r="S14" t="inlineStr"/>
      <c r="T14" t="inlineStr"/>
      <c r="U14" t="inlineStr"/>
      <c r="V14" t="inlineStr"/>
      <c r="W14" t="inlineStr">
        <is>
          <t>NOT DETERMINED</t>
        </is>
      </c>
      <c r="X14" t="inlineStr">
        <is>
          <t>VERIFIED 2026-08-22</t>
        </is>
      </c>
    </row>
    <row r="15">
      <c r="A15" t="inlineStr">
        <is>
          <t>MK-NW-M-014</t>
        </is>
      </c>
      <c r="B15" t="inlineStr">
        <is>
          <t>Networth</t>
        </is>
      </c>
      <c r="C15" t="inlineStr">
        <is>
          <t>NA</t>
        </is>
      </c>
      <c r="D15" t="inlineStr">
        <is>
          <t>of essentials covered by your cash — $X cash ÷ $Y/mo essentials</t>
        </is>
      </c>
      <c r="E15" t="inlineStr">
        <is>
          <t>cashOnHand / monthlySpend</t>
        </is>
      </c>
      <c r="F15" t="inlineStr">
        <is>
          <t>TOTAL_CASH · PLANNED_SPENDING</t>
        </is>
      </c>
      <c r="G15" t="inlineStr">
        <is>
          <t>MK-NW-E-009</t>
        </is>
      </c>
      <c r="H15" t="inlineStr">
        <is>
          <t>months of cushion = cash ÷ essentials a month</t>
        </is>
      </c>
      <c r="I15" t="inlineStr">
        <is>
          <t>Add up the balances of every account whose class is Cash. Under the founder's 2026-08-04 rule that means checking, savings, high-yield savings and the uninvested sweep at a broker — and NOT money-market funds, which pay dividends and are measured with the investments. · The LARGER of two answers: the categories added up, or the single monthly figure they typed.
The larger wins deliberately. Someone may answer both and the two rarely agree, and understating spending is the direction that FLATTERS a plan — it makes the odds look better than they are. Taking the larger errs toward the cautious side.</t>
        </is>
      </c>
      <c r="J15" t="inlineStr">
        <is>
          <t>each account's class → assetClassOf  [NO INPUT ID — not on the inputs tab] · each account's money → balance  [MK-XS-I-001] · the categories → SPENDING_BY_KIND  [MK-XS-I-024] · the single figure → monthlySpending  [MK-XS-I-024, MK-XS-I-030]</t>
        </is>
      </c>
      <c r="K15" t="inlineStr">
        <is>
          <t>US dollars · held to the cent · shown as whole dollars  [derived by rule — confirm]</t>
        </is>
      </c>
      <c r="L15" t="inlineStr">
        <is>
          <t>A division: with nothing on the bottom there is no answer, and the line must not appear as zero. NOT YET CONFIRMED against the engine.</t>
        </is>
      </c>
      <c r="M15" t="inlineStr">
        <is>
          <t>One figure per person — or per household when two people share one record  [derived by rule — confirm]</t>
        </is>
      </c>
      <c r="N15" t="inlineStr">
        <is>
          <t>As of today, from the latest figures held  [derived by rule — confirm]</t>
        </is>
      </c>
      <c r="O15" t="inlineStr">
        <is>
          <t>ACCOUNT_SPLIT · ASSET_CLASS_OF_ACCOUNT · READ_A_NUMBER · SPENDING_BY_KIND</t>
        </is>
      </c>
      <c r="P15" t="inlineStr">
        <is>
          <t>DECIDES what counts as cash — and deliberately excludes money-market funds.</t>
        </is>
      </c>
      <c r="Q15" t="inlineStr">
        <is>
          <t>Money-market funds are deliberately NOT counted as cash. Any institution that reports a sweep as a fund will therefore land in investments — worth watching per provider.</t>
        </is>
      </c>
      <c r="R15" t="inlineStr">
        <is>
          <t>[Founder] Cash means checking, savings, high-yield savings and the uninvested sweep at a broker. Money-market funds are investments, because they pay dividends and are measured with the investments (founder, 2026-08-04).</t>
        </is>
      </c>
      <c r="S15" t="inlineStr"/>
      <c r="T15" t="inlineStr"/>
      <c r="U15" t="inlineStr"/>
      <c r="V15" t="inlineStr"/>
      <c r="W15" t="inlineStr">
        <is>
          <t>NOT DETERMINED</t>
        </is>
      </c>
      <c r="X15" t="inlineStr">
        <is>
          <t>VERIFIED 2026-08-22</t>
        </is>
      </c>
    </row>
    <row r="16">
      <c r="A16" t="inlineStr">
        <is>
          <t>MK-NW-M-015</t>
        </is>
      </c>
      <c r="B16" t="inlineStr">
        <is>
          <t>Networth</t>
        </is>
      </c>
      <c r="C16" t="inlineStr">
        <is>
          <t>NA</t>
        </is>
      </c>
      <c r="D16" t="inlineStr">
        <is>
          <t>YOUR RETIREMENT PLAN — on track for $X by age Y</t>
        </is>
      </c>
      <c r="E16" t="inlineStr">
        <is>
          <t>pathAhead</t>
        </is>
      </c>
      <c r="F16" t="inlineStr">
        <is>
          <t>POT_AT_RETIREMENT</t>
        </is>
      </c>
      <c r="G16" t="inlineStr">
        <is>
          <t>MK-NW-E-010</t>
        </is>
      </c>
      <c r="H16" t="inlineStr">
        <is>
          <t>pot = balance × (1 + r)^n + Σ(contribution × (1 + r)^(n − year)),  n = years to retirement</t>
        </is>
      </c>
      <c r="I16" t="inlineStr">
        <is>
          <t>TWO FIGURES, no random runs anywhere in this one — it is the straight-line check beside the 1,000-run odds.
WHAT YOU WILL HAVE. Today's pot grown at your expected return for the years until you retire, plus every year's saving grown for however many years it has left. Worked at 6%: $600,000 today over 7 years becomes $902,000; $24,000 saved each of those years adds about $201,000; $1,103,000 in all.
WHAT YOU WILL NEED — the target pot. Walk every retirement year one at a time, from the year you retire to the age you plan to. In each year: take that year's spending, take off the guaranteed income you receive that year, and that difference is what the pot must hand you. Bring each of those amounts back to a retirement-year value by dividing by your expected return once for every year you have to wait for it. Add them all up. That total is the pot that pays for the whole plan.
Two rules ride along: spending rises with inflation every year, and so does Social Security, but a pension stays flat.
WHY THE NUMBER IS SMALLER THAN THE SUM OF THE SPENDING. Money you do not need until year fifteen keeps earning until then, so you need less than fifteen years' spending set aside today.
MONEY IS NEEDED AT THE START OF ITS YEAR. The first retirement year's spending is not discounted at all — January's groceries cannot be paid out of December's growth. Some published calculators charge each year at its END, which gives every year one more year of growth and reports a target about (1 + return) / (1 + inflation) smaller — roughly 3% lower at a 6% return and 2.5% inflation. Neither is wrong; ours is the cautious side, and the difference is a timing convention, not a disagreement about the arithmetic.
HOW IT DIFFERS FROM THE 25 x YARDSTICK reported by the odds engine: this one knows how long you plan for and what your money earns; the yardstick knows neither.</t>
        </is>
      </c>
      <c r="J16" t="inlineStr">
        <is>
          <t>the same inputs → inp  [NO INPUT ID — not on the inputs tab]</t>
        </is>
      </c>
      <c r="K16" t="inlineStr">
        <is>
          <t>Age in whole years  [derived by rule — confirm]</t>
        </is>
      </c>
      <c r="L16" t="inlineStr">
        <is>
          <t>No figure when there is nothing to grow, or when retirement is not ahead of the person.</t>
        </is>
      </c>
      <c r="M16" t="inlineStr">
        <is>
          <t>One figure per person — or per household when two people share one record  [derived by rule — confirm]</t>
        </is>
      </c>
      <c r="N16" t="inlineStr">
        <is>
          <t>From today to the retirement age in the plan  [derived by rule — confirm]</t>
        </is>
      </c>
      <c r="O16" t="inlineStr">
        <is>
          <t>WILL_IT_LAST</t>
        </is>
      </c>
      <c r="P16" t="inlineStr"/>
      <c r="Q16" t="inlineStr">
        <is>
          <t>The Net worth screen builds this projection WITHOUT the person's big costs, while Cash flow, Budget, Goals and Social Security timing all include them. Same person, same day, two different nest eggs. Seen in the code; not yet confirmed on screen.</t>
        </is>
      </c>
      <c r="R16" t="inlineStr">
        <is>
          <t>[Founder] The recommended nest egg is 25× the yearly spending not covered by guaranteed income, counted from the start of the retirement year — which is why it differs from an outside calculator.
[Built in] The assumed rate of return, which the person can change on the cockpit.
[The person] The retirement age in their plan.</t>
        </is>
      </c>
      <c r="S16" t="inlineStr">
        <is>
          <t>THE SAME FIGURE AS MK-PL-M-033 — The projected pot at retirement, shown on Net worth as "on track for $X by age Y" and on the cockpit as "your $X grows to $Y". One figure, two screens — the founder spotted this one himself.</t>
        </is>
      </c>
      <c r="T16" t="inlineStr">
        <is>
          <t>Q18 — Net worth projects the pot WITHOUT your big costs; Cash flow, Budget, Goals and Social Security timing all include them. Which is right for the Net worth screen?</t>
        </is>
      </c>
      <c r="U16" t="inlineStr"/>
      <c r="V16" t="inlineStr"/>
      <c r="W16" t="inlineStr">
        <is>
          <t>NOT DETERMINED</t>
        </is>
      </c>
      <c r="X16" t="inlineStr">
        <is>
          <t>VERIFIED 2026-08-22</t>
        </is>
      </c>
    </row>
    <row r="17">
      <c r="A17" t="inlineStr">
        <is>
          <t>MK-NW-M-016</t>
        </is>
      </c>
      <c r="B17" t="inlineStr">
        <is>
          <t>Networth</t>
        </is>
      </c>
      <c r="C17" t="inlineStr">
        <is>
          <t>NA</t>
        </is>
      </c>
      <c r="D17" t="inlineStr">
        <is>
          <t>Net worth so far (setup)</t>
        </is>
      </c>
      <c r="E17" t="inlineStr">
        <is>
          <t>nw.net_worth</t>
        </is>
      </c>
      <c r="F17" t="inlineStr">
        <is>
          <t>NET_WORTH</t>
        </is>
      </c>
      <c r="G17" t="inlineStr">
        <is>
          <t>MK-XS-E-001</t>
        </is>
      </c>
      <c r="H17" t="inlineStr">
        <is>
          <t>net worth = Σ(all asset balances) − Σ(all debt balances)</t>
        </is>
      </c>
      <c r="I17" t="inlineStr">
        <is>
          <t>total assets − total debts, computed here and never stored as a third number that could disagree with its own two halves.
Owing more than you own gives a REAL negative — it is never floored at zero, because someone early in a mortgage genuinely has a negative net worth and hiding it would be a lie about their position.</t>
        </is>
      </c>
      <c r="J17" t="inlineStr">
        <is>
          <t>everything owned → grossAssets  [MK-XS-I-001] · everything owed → grossDebt  [MK-XS-I-014]</t>
        </is>
      </c>
      <c r="K17" t="inlineStr">
        <is>
          <t>US dollars · held to the cent · shown as whole dollars  [derived by rule — confirm]</t>
        </is>
      </c>
      <c r="L17" t="inlineStr">
        <is>
          <t>Adds up to $0 when there is nothing to add. Zero and "nothing recorded yet" look identical on screen — worth a decision.</t>
        </is>
      </c>
      <c r="M17" t="inlineStr">
        <is>
          <t>One figure per person — or per household when two people share one record  [derived by rule — confirm]</t>
        </is>
      </c>
      <c r="N17" t="inlineStr">
        <is>
          <t>As of today, from the latest figures held  [derived by rule — confirm]</t>
        </is>
      </c>
      <c r="O17" t="inlineStr">
        <is>
          <t>None found in the code — it reads raw values only</t>
        </is>
      </c>
      <c r="P17" t="inlineStr"/>
      <c r="Q17" t="inlineStr"/>
      <c r="R17" t="inlineStr">
        <is>
          <t>[Founder] Assets minus debts, computed each time and never stored as a third number that could disagree with its own halves. A genuine negative is shown, never floored at zero.</t>
        </is>
      </c>
      <c r="S17" t="inlineStr">
        <is>
          <t>THE SAME FIGURE AS MK-XS-M-001 — Net worth. "Net worth so far" during setup is the same figure as the headline, mid-way through entry.</t>
        </is>
      </c>
      <c r="T17" t="inlineStr"/>
      <c r="U17" t="inlineStr"/>
      <c r="V17" t="inlineStr"/>
      <c r="W17" t="inlineStr">
        <is>
          <t>NOT DETERMINED</t>
        </is>
      </c>
      <c r="X17" t="inlineStr">
        <is>
          <t>VERIFIED 2026-08-22</t>
        </is>
      </c>
    </row>
    <row r="18">
      <c r="A18" t="inlineStr">
        <is>
          <t>MK-NW-M-017</t>
        </is>
      </c>
      <c r="B18" t="inlineStr">
        <is>
          <t>Networth</t>
        </is>
      </c>
      <c r="C18" t="inlineStr">
        <is>
          <t>NA</t>
        </is>
      </c>
      <c r="D18" t="inlineStr">
        <is>
          <t>Assets $X − Debts $Y = Net worth $Z</t>
        </is>
      </c>
      <c r="E18" t="inlineStr">
        <is>
          <t>totalAssets / dState.total_debt_balance</t>
        </is>
      </c>
      <c r="F18" t="inlineStr">
        <is>
          <t>NET_WORTH · DEBT_PICTURE</t>
        </is>
      </c>
      <c r="G18" t="inlineStr">
        <is>
          <t>MK-NW-E-011</t>
        </is>
      </c>
      <c r="H18" t="inlineStr">
        <is>
          <t>net worth = Σ(assets) − Σ(debts);  debts = Σ(remaining balance of each debt)</t>
        </is>
      </c>
      <c r="I18" t="inlineStr">
        <is>
          <t>total assets − total debts, computed here and never stored as a third number that could disagree with its own two halves.
Owing more than you own gives a REAL negative — it is never floored at zero, because someone early in a mortgage genuinely has a negative net worth and hiding it would be a lie about their position. · Total the balances. Find the highest-rate debt. Add up separately the balances above the rate we treat as dangerous.
TWO MONTHLY FIGURES ARE KEPT DELIBERATELY: the minimum that must be paid to stay current, and what is actually going out. Confusing them misstates affordability in one direction or the other.
No debts gives zero and nothing to point at.</t>
        </is>
      </c>
      <c r="J18" t="inlineStr">
        <is>
          <t>everything owned → grossAssets  [MK-XS-I-001] · everything owed → grossDebt  [MK-XS-I-014] · every debt → debts  [NO INPUT ID — not on the inputs tab] · rates → interest_rate_apr  [MK-XS-I-015] · payments → the minimum and chosen payments  [MK-XS-I-016]</t>
        </is>
      </c>
      <c r="K18" t="inlineStr">
        <is>
          <t>US dollars · held to the cent · shown as whole dollars  [derived by rule — confirm]</t>
        </is>
      </c>
      <c r="L18" t="inlineStr">
        <is>
          <t>Adds up to $0 when there is nothing to add. Zero and "nothing recorded yet" look identical on screen — worth a decision.</t>
        </is>
      </c>
      <c r="M18" t="inlineStr">
        <is>
          <t>One figure per debt, and one total per person  [derived by rule — confirm]</t>
        </is>
      </c>
      <c r="N18" t="inlineStr">
        <is>
          <t>As of today, from the latest figures held  [derived by rule — confirm]</t>
        </is>
      </c>
      <c r="O18" t="inlineStr">
        <is>
          <t>DEBT_MINIMUM_TOTAL · DEBT_PAYMENTS_ACTUAL</t>
        </is>
      </c>
      <c r="P18" t="inlineStr"/>
      <c r="Q18" t="inlineStr"/>
      <c r="R18" t="inlineStr">
        <is>
          <t>[Founder] Assets minus debts, computed each time and never stored as a third number that could disagree with its own halves. A genuine negative is shown, never floored at zero.</t>
        </is>
      </c>
      <c r="S18" t="inlineStr"/>
      <c r="T18" t="inlineStr"/>
      <c r="U18" t="inlineStr"/>
      <c r="V18" t="inlineStr"/>
      <c r="W18" t="inlineStr">
        <is>
          <t>NOT DETERMINED</t>
        </is>
      </c>
      <c r="X18" t="inlineStr">
        <is>
          <t>VERIFIED 2026-08-22</t>
        </is>
      </c>
    </row>
    <row r="19">
      <c r="A19" t="inlineStr">
        <is>
          <t>MK-NW-M-018</t>
        </is>
      </c>
      <c r="B19" t="inlineStr">
        <is>
          <t>Networth</t>
        </is>
      </c>
      <c r="C19" t="inlineStr">
        <is>
          <t>/account-detail</t>
        </is>
      </c>
      <c r="D19" t="inlineStr">
        <is>
          <t>Market value</t>
        </is>
      </c>
      <c r="E19" t="inlineStr">
        <is>
          <t>account.balance</t>
        </is>
      </c>
      <c r="F19" t="inlineStr">
        <is>
          <t>HAND_VALUE_AGE</t>
        </is>
      </c>
      <c r="G19" t="inlineStr">
        <is>
          <t>MK-NW-E-012</t>
        </is>
      </c>
      <c r="H19" t="inlineStr">
        <is>
          <t>value = the balance last recorded;  age = today − date it was recorded</t>
        </is>
      </c>
      <c r="I19" t="inlineStr">
        <is>
          <t>Months between the date the value was set and today. Six months or more → stale.
A LIVE-PRICED account returns nothing: its value comes from today's prices, so staleness is not a question that applies to it. A value with no date recorded also returns nothing rather than being assumed fresh.</t>
        </is>
      </c>
      <c r="J19" t="inlineStr">
        <is>
          <t>the account → a  [NO INPUT ID — not on the inputs tab] · when the value was set → value_as_of  [NO INPUT ID — not on the inputs tab] · today → now  [NO INPUT ID — not on the inputs tab]</t>
        </is>
      </c>
      <c r="K19" t="inlineStr">
        <is>
          <t>US dollars · held to the cent · shown as whole dollars  [derived by rule — confirm]</t>
        </is>
      </c>
      <c r="L19" t="inlineStr">
        <is>
          <t>Always answers, but carries the age of the figure and warns once it is stale.</t>
        </is>
      </c>
      <c r="M19" t="inlineStr">
        <is>
          <t>One figure per person — or per household when two people share one record  [derived by rule — confirm]</t>
        </is>
      </c>
      <c r="N19" t="inlineStr">
        <is>
          <t>As of today, from the latest figures held  [derived by rule — confirm]</t>
        </is>
      </c>
      <c r="O19" t="inlineStr">
        <is>
          <t>None found in the code — it reads raw values only</t>
        </is>
      </c>
      <c r="P19" t="inlineStr">
        <is>
          <t>DECIDES whether a stated value is fresh enough to show without a warning.</t>
        </is>
      </c>
      <c r="Q19" t="inlineStr"/>
      <c r="R19" t="inlineStr">
        <is>
          <t>NOT DETERMINED — no assumption recorded for this figure yet.</t>
        </is>
      </c>
      <c r="S19" t="inlineStr">
        <is>
          <t>THE SURVIVING IDENTIFIER for this figure. Folded in: MK-PL-M-016. An account's value. The balance listed under required withdrawals is the same figure as Market value on account detail.</t>
        </is>
      </c>
      <c r="T19" t="inlineStr">
        <is>
          <t>Q23 — Same question for a value you typed by hand: after how long should the app ask you to check it?</t>
        </is>
      </c>
      <c r="U19" t="inlineStr"/>
      <c r="V19" t="inlineStr"/>
      <c r="W19" t="inlineStr">
        <is>
          <t>NOT DETERMINED</t>
        </is>
      </c>
      <c r="X19" t="inlineStr">
        <is>
          <t>VERIFIED 2026-08-22</t>
        </is>
      </c>
    </row>
    <row r="20">
      <c r="A20" t="inlineStr">
        <is>
          <t>MK-NW-M-019</t>
        </is>
      </c>
      <c r="B20" t="inlineStr">
        <is>
          <t>Networth</t>
        </is>
      </c>
      <c r="C20" t="inlineStr">
        <is>
          <t>/account-detail</t>
        </is>
      </c>
      <c r="D20" t="inlineStr">
        <is>
          <t>Income</t>
        </is>
      </c>
      <c r="E20" t="inlineStr">
        <is>
          <t>acctIncome</t>
        </is>
      </c>
      <c r="F20" t="inlineStr">
        <is>
          <t>the ledger sum of interest and dividends for the account</t>
        </is>
      </c>
      <c r="G20" t="inlineStr">
        <is>
          <t>MK-NW-E-013</t>
        </is>
      </c>
      <c r="H20" t="inlineStr">
        <is>
          <t>income = Σ(interest + dividends recorded on this account in the period)</t>
        </is>
      </c>
      <c r="I20" t="inlineStr">
        <is>
          <t>Adds the income lines the ledger holds for this account over the period shown.</t>
        </is>
      </c>
      <c r="J20" t="inlineStr">
        <is>
          <t>NOT DETERMINED — no input list on record for this engine</t>
        </is>
      </c>
      <c r="K20" t="inlineStr">
        <is>
          <t>US dollars · held to the cent · shown as whole dollars  [derived by rule — confirm]</t>
        </is>
      </c>
      <c r="L20" t="inlineStr">
        <is>
          <t>Adds up to $0 when there is nothing to add. Zero and "nothing recorded yet" look identical on screen — worth a decision.</t>
        </is>
      </c>
      <c r="M20" t="inlineStr">
        <is>
          <t>One figure per person — or per household when two people share one record  [derived by rule — confirm]</t>
        </is>
      </c>
      <c r="N20" t="inlineStr">
        <is>
          <t>As of today, from the latest figures held  [derived by rule — confirm]</t>
        </is>
      </c>
      <c r="O20" t="inlineStr">
        <is>
          <t>NOT DETERMINED</t>
        </is>
      </c>
      <c r="P20" t="inlineStr"/>
      <c r="Q20" t="inlineStr"/>
      <c r="R20" t="inlineStr">
        <is>
          <t>NOT DETERMINED — no assumption recorded for this figure yet.</t>
        </is>
      </c>
      <c r="S20" t="inlineStr"/>
      <c r="T20" t="inlineStr">
        <is>
          <t>Q15 — An institution word we do not recognise: refuse the line and ask you, or book it as unclassified with no direction? The old sign-guess is what minted the $1.4 million.</t>
        </is>
      </c>
      <c r="U20" t="inlineStr"/>
      <c r="V20" t="inlineStr"/>
      <c r="W20" t="inlineStr">
        <is>
          <t>NOT DETERMINED</t>
        </is>
      </c>
      <c r="X20" t="inlineStr">
        <is>
          <t>VERIFIED 2026-08-22</t>
        </is>
      </c>
    </row>
    <row r="21">
      <c r="A21" t="inlineStr">
        <is>
          <t>MK-NW-M-020</t>
        </is>
      </c>
      <c r="B21" t="inlineStr">
        <is>
          <t>Networth</t>
        </is>
      </c>
      <c r="C21" t="inlineStr">
        <is>
          <t>/account-detail</t>
        </is>
      </c>
      <c r="D21" t="inlineStr">
        <is>
          <t>each asset class inside the account</t>
        </is>
      </c>
      <c r="E21" t="inlineStr">
        <is>
          <t>breakdown[k]</t>
        </is>
      </c>
      <c r="F21" t="inlineStr">
        <is>
          <t>ACCOUNT_SPLIT</t>
        </is>
      </c>
      <c r="G21" t="inlineStr">
        <is>
          <t>MK-NW-E-006</t>
        </is>
      </c>
      <c r="H21" t="inlineStr">
        <is>
          <t>for one account: value in class k = balance × weight(k), where Σ weight(k) = 1</t>
        </is>
      </c>
      <c r="I21" t="inlineStr">
        <is>
          <t>WHY IT EXISTS. Your Vanguard account is not one thing. It might hold a CD, a money-market fund, some shares, and a little uninvested cash. Showing it as one lump under a single heading would be wrong four ways at once.
HOW IT SPLITS. Start with the uninvested cash. Then place each holding by reading its NAME first — a money-market fund goes with the shares, a CD goes with the bonds — and only fall back to the broker's own label when the name tells us nothing.
THE LEFTOVER. Add the pieces up and they rarely match the broker's total to the penny. What to do with the difference matters more than it sounds.
A WORKED EXAMPLE, AND IT IS YOUR OWN FINDING. Say the account totals $10,100 and holds one CD worth $10,000. There is $100 unaccounted for. The app used to add it to the biggest holding — so your $100 of spare cash was reported as MORE CD. You asked "why is cash added to CD and not cash?", and you were right: it is money sitting there, not another certificate you own. A small positive leftover is now cash.
(If the pieces come to MORE than the broker's total, that is a pricing quirk rather than money, and it goes to the largest holding — putting it in cash would show you a negative cash balance, which reads worse than a rounding nudge.)</t>
        </is>
      </c>
      <c r="J21" t="inlineStr">
        <is>
          <t>the account → a  [NO INPUT ID — not on the inputs tab] · its total → balance  [MK-XS-I-001] · uninvested → cash_balance  [MK-XS-I-001] · holdings → positions[]  [NO INPUT ID — not on the inputs tab] · options → option_holdings[]  [NO INPUT ID — not on the inputs tab]</t>
        </is>
      </c>
      <c r="K21" t="inlineStr">
        <is>
          <t>A count · whole units, except crypto which keeps its fractions  [derived by rule — confirm]</t>
        </is>
      </c>
      <c r="L21" t="inlineStr">
        <is>
          <t>Adds up to $0 when there is nothing to add. Zero and "nothing recorded yet" look identical on screen — worth a decision.</t>
        </is>
      </c>
      <c r="M21" t="inlineStr">
        <is>
          <t>One figure per account  [derived by rule — confirm]</t>
        </is>
      </c>
      <c r="N21" t="inlineStr">
        <is>
          <t>As of today, from the latest figures held  [derived by rule — confirm]</t>
        </is>
      </c>
      <c r="O21" t="inlineStr">
        <is>
          <t>ASSET_CLASS_OF_ACCOUNT · CLASS_FROM_NAME_TEXT</t>
        </is>
      </c>
      <c r="P21" t="inlineStr">
        <is>
          <t>DECIDES which class each holding inside one account belongs to, then how much of the account total sits in each.</t>
        </is>
      </c>
      <c r="Q21" t="inlineStr">
        <is>
          <t>Reported by the 54-item audit as one of the places a total and its parts can disagree; the reconciliation assertion now catches it, but the screen has no way to say so yet.</t>
        </is>
      </c>
      <c r="R21" t="inlineStr">
        <is>
          <t>NOT DETERMINED — no assumption recorded for this figure yet.</t>
        </is>
      </c>
      <c r="S21" t="inlineStr"/>
      <c r="T21" t="inlineStr"/>
      <c r="U21" t="inlineStr"/>
      <c r="V21" t="inlineStr"/>
      <c r="W21" t="inlineStr">
        <is>
          <t>NOT DETERMINED</t>
        </is>
      </c>
      <c r="X21" t="inlineStr">
        <is>
          <t>VERIFIED 2026-08-22</t>
        </is>
      </c>
    </row>
    <row r="22">
      <c r="A22" t="inlineStr">
        <is>
          <t>MK-NW-M-021</t>
        </is>
      </c>
      <c r="B22" t="inlineStr">
        <is>
          <t>Networth</t>
        </is>
      </c>
      <c r="C22" t="inlineStr">
        <is>
          <t>/account-detail</t>
        </is>
      </c>
      <c r="D22" t="inlineStr">
        <is>
          <t>Income: &lt;amount&gt; on a holding row</t>
        </is>
      </c>
      <c r="E22" t="inlineStr">
        <is>
          <t>incomeOf(rw)</t>
        </is>
      </c>
      <c r="F22" t="inlineStr">
        <is>
          <t>the ledger sum for that holding</t>
        </is>
      </c>
      <c r="G22" t="inlineStr">
        <is>
          <t>MK-NW-E-014</t>
        </is>
      </c>
      <c r="H22" t="inlineStr">
        <is>
          <t>income = Σ(income lines recorded against this holding)</t>
        </is>
      </c>
      <c r="I22" t="inlineStr">
        <is>
          <t>Adds the income the ledger holds for that one holding.</t>
        </is>
      </c>
      <c r="J22" t="inlineStr">
        <is>
          <t>NOT DETERMINED — no input list on record for this engine</t>
        </is>
      </c>
      <c r="K22" t="inlineStr">
        <is>
          <t>US dollars · held to the cent · shown as whole dollars  [derived by rule — confirm]</t>
        </is>
      </c>
      <c r="L22" t="inlineStr">
        <is>
          <t>Adds up to $0 when there is nothing to add. Zero and "nothing recorded yet" look identical on screen — worth a decision.</t>
        </is>
      </c>
      <c r="M22" t="inlineStr">
        <is>
          <t>One figure per holding  [derived by rule — confirm]</t>
        </is>
      </c>
      <c r="N22" t="inlineStr">
        <is>
          <t>As of today, from the latest figures held  [derived by rule — confirm]</t>
        </is>
      </c>
      <c r="O22" t="inlineStr">
        <is>
          <t>NOT DETERMINED</t>
        </is>
      </c>
      <c r="P22" t="inlineStr"/>
      <c r="Q22" t="inlineStr"/>
      <c r="R22" t="inlineStr">
        <is>
          <t>NOT DETERMINED — no assumption recorded for this figure yet.</t>
        </is>
      </c>
      <c r="S22" t="inlineStr"/>
      <c r="T22" t="inlineStr"/>
      <c r="U22" t="inlineStr"/>
      <c r="V22" t="inlineStr"/>
      <c r="W22" t="inlineStr">
        <is>
          <t>NOT DETERMINED</t>
        </is>
      </c>
      <c r="X22" t="inlineStr">
        <is>
          <t>VERIFIED 2026-08-22</t>
        </is>
      </c>
    </row>
    <row r="23">
      <c r="A23" t="inlineStr">
        <is>
          <t>MK-NW-M-022</t>
        </is>
      </c>
      <c r="B23" t="inlineStr">
        <is>
          <t>Networth</t>
        </is>
      </c>
      <c r="C23" t="inlineStr">
        <is>
          <t>/account-detail</t>
        </is>
      </c>
      <c r="D23" t="inlineStr">
        <is>
          <t>ACTIVITY — n records</t>
        </is>
      </c>
      <c r="E23" t="inlineStr">
        <is>
          <t>txns.length</t>
        </is>
      </c>
      <c r="F23" t="inlineStr">
        <is>
          <t>HISTORY_DEPTH</t>
        </is>
      </c>
      <c r="G23" t="inlineStr">
        <is>
          <t>MK-NW-E-015</t>
        </is>
      </c>
      <c r="H23" t="inlineStr">
        <is>
          <t>records = count(transactions held for this account)</t>
        </is>
      </c>
      <c r="I23" t="inlineStr">
        <is>
          <t>Take the earliest valid date in this sync and keep whichever is earlier — it or what we already had. Depth only ever grows; a shallower sync never shortens it. Unreadable dates are ignored, and a sync with no activity leaves the answer untouched.
It exists because brokers back-fill DIFFERENT depths — one sends a year, the next ninety days. Without knowing the depth, a "past year" income figure silently understates, so year-scale figures label themselves with this date.</t>
        </is>
      </c>
      <c r="J23" t="inlineStr">
        <is>
          <t>what we knew → existing  [NO INPUT ID — not on the inputs tab] · the dates in this sync → activityDates  [NO INPUT ID — not on the inputs tab]</t>
        </is>
      </c>
      <c r="K23" t="inlineStr">
        <is>
          <t>A count · whole units, except crypto which keeps its fractions  [derived by rule — confirm]</t>
        </is>
      </c>
      <c r="L23" t="inlineStr">
        <is>
          <t>NOT DETERMINED — this engine has not been read for its refusal yet.</t>
        </is>
      </c>
      <c r="M23" t="inlineStr">
        <is>
          <t>One figure per person — or per household when two people share one record  [derived by rule — confirm]</t>
        </is>
      </c>
      <c r="N23" t="inlineStr">
        <is>
          <t>As of today, from the latest figures held  [derived by rule — confirm]</t>
        </is>
      </c>
      <c r="O23" t="inlineStr">
        <is>
          <t>None found in the code — it reads raw values only</t>
        </is>
      </c>
      <c r="P23" t="inlineStr"/>
      <c r="Q23" t="inlineStr"/>
      <c r="R23" t="inlineStr">
        <is>
          <t>NOT DETERMINED — no assumption recorded for this figure yet.</t>
        </is>
      </c>
      <c r="S23" t="inlineStr"/>
      <c r="T23" t="inlineStr"/>
      <c r="U23" t="inlineStr"/>
      <c r="V23" t="inlineStr"/>
      <c r="W23" t="inlineStr">
        <is>
          <t>NOT DETERMINED</t>
        </is>
      </c>
      <c r="X23" t="inlineStr">
        <is>
          <t>VERIFIED 2026-08-22</t>
        </is>
      </c>
    </row>
    <row r="24">
      <c r="A24" t="inlineStr">
        <is>
          <t>MK-NW-M-023</t>
        </is>
      </c>
      <c r="B24" t="inlineStr">
        <is>
          <t>Networth</t>
        </is>
      </c>
      <c r="C24" t="inlineStr">
        <is>
          <t>/account-detail</t>
        </is>
      </c>
      <c r="D24" t="inlineStr">
        <is>
          <t>Face value</t>
        </is>
      </c>
      <c r="E24" t="inlineStr">
        <is>
          <t>b.face</t>
        </is>
      </c>
      <c r="F24" t="inlineStr">
        <is>
          <t>BOND_FACTS</t>
        </is>
      </c>
      <c r="G24" t="inlineStr">
        <is>
          <t>MK-NW-E-016</t>
        </is>
      </c>
      <c r="H24" t="inlineStr">
        <is>
          <t>face, coupon rate and maturity as recorded;  bonds total = Σ(value of each bond),  face total = Σ(face)</t>
        </is>
      </c>
      <c r="I24" t="inlineStr">
        <is>
          <t>Reads the stored bond fields off the holding and computes its yields. A holding with none of them is not a bond and returns nothing.</t>
        </is>
      </c>
      <c r="J24" t="inlineStr">
        <is>
          <t>the holding → position/account  [NO INPUT ID — not on the inputs tab]</t>
        </is>
      </c>
      <c r="K24" t="inlineStr">
        <is>
          <t>US dollars · held to the cent · shown as whole dollars  [derived by rule — confirm]</t>
        </is>
      </c>
      <c r="L24" t="inlineStr">
        <is>
          <t>Adds up to $0 when there is nothing to add. Zero and "nothing recorded yet" look identical on screen — worth a decision.</t>
        </is>
      </c>
      <c r="M24" t="inlineStr">
        <is>
          <t>One figure per bond  [derived by rule — confirm]</t>
        </is>
      </c>
      <c r="N24" t="inlineStr">
        <is>
          <t>As of today, from the latest figures held  [derived by rule — confirm]</t>
        </is>
      </c>
      <c r="O24" t="inlineStr">
        <is>
          <t>None found in the code — it reads raw values only</t>
        </is>
      </c>
      <c r="P24" t="inlineStr">
        <is>
          <t>DECIDES how a bond is NAMED on screen — issuer, or the identifying number, or a plain description; and DECIDES whether a line is a bond at all.</t>
        </is>
      </c>
      <c r="Q24" t="inlineStr"/>
      <c r="R24" t="inlineStr">
        <is>
          <t>NOT DETERMINED — no assumption recorded for this figure yet.</t>
        </is>
      </c>
      <c r="S24" t="inlineStr"/>
      <c r="T24" t="inlineStr">
        <is>
          <t>Q01 — Is Quantity for a bond the FACE amount (e.g. 227,000) with the price quoted per $100 of face, or the number of bonds? It decides how value and gain are worked out.
Q02 — How should a bond be NAMED on screen? Draft: "US Treasury 4.25% Nov 2029", with the identifying number shown as a detail rather than the headline. Approve or rewrite.
Q03 — Certificates of deposit: under Fixed Income, or their own class? They carry a term, a rate and an early-withdrawal penalty that a bond does not.</t>
        </is>
      </c>
      <c r="U24" t="inlineStr"/>
      <c r="V24" t="inlineStr"/>
      <c r="W24" t="inlineStr">
        <is>
          <t>NOT DETERMINED</t>
        </is>
      </c>
      <c r="X24" t="inlineStr">
        <is>
          <t>VERIFIED 2026-08-22</t>
        </is>
      </c>
    </row>
    <row r="25">
      <c r="A25" t="inlineStr">
        <is>
          <t>MK-NW-M-024</t>
        </is>
      </c>
      <c r="B25" t="inlineStr">
        <is>
          <t>Networth</t>
        </is>
      </c>
      <c r="C25" t="inlineStr">
        <is>
          <t>/account-detail</t>
        </is>
      </c>
      <c r="D25" t="inlineStr">
        <is>
          <t>Interest payments — X%/yr · $Y/yr</t>
        </is>
      </c>
      <c r="E25" t="inlineStr">
        <is>
          <t>annualCoupon(b)</t>
        </is>
      </c>
      <c r="F25" t="inlineStr">
        <is>
          <t>BOND_COUPON</t>
        </is>
      </c>
      <c r="G25" t="inlineStr">
        <is>
          <t>MK-NW-E-017</t>
        </is>
      </c>
      <c r="H25" t="inlineStr">
        <is>
          <t>annual coupon = face × coupon rate</t>
        </is>
      </c>
      <c r="I25" t="inlineStr">
        <is>
          <t>face value × coupon rate. NOT what the bond is worth today × the rate — a $10,000 bond paying 4% pays $400 whether it is trading at $9,800 or $11,000.</t>
        </is>
      </c>
      <c r="J25" t="inlineStr">
        <is>
          <t>face value → face  [MK-XS-I-011] · coupon rate → couponRate  [MK-XS-I-012]</t>
        </is>
      </c>
      <c r="K25" t="inlineStr">
        <is>
          <t>Percent · one decimal shown  [derived by rule — confirm]</t>
        </is>
      </c>
      <c r="L25" t="inlineStr">
        <is>
          <t>NOT DETERMINED — this engine has not been read for its refusal yet.</t>
        </is>
      </c>
      <c r="M25" t="inlineStr">
        <is>
          <t>One figure per bond  [derived by rule — confirm]</t>
        </is>
      </c>
      <c r="N25" t="inlineStr">
        <is>
          <t>The last twelve months  [derived by rule — confirm]</t>
        </is>
      </c>
      <c r="O25" t="inlineStr">
        <is>
          <t>None found in the code — it reads raw values only</t>
        </is>
      </c>
      <c r="P25" t="inlineStr"/>
      <c r="Q25" t="inlineStr"/>
      <c r="R25" t="inlineStr">
        <is>
          <t>NOT DETERMINED — no assumption recorded for this figure yet.</t>
        </is>
      </c>
      <c r="S25" t="inlineStr">
        <is>
          <t>THE SURVIVING IDENTIFIER for this figure. Folded in: MK-NW-M-043. The coupon a bond pays in a year. "Interest payments" on account detail and "COUPON / YR" on the bonds screen.</t>
        </is>
      </c>
      <c r="T25" t="inlineStr">
        <is>
          <t>Q04 — "Annual income" on a bond: the last twelve months actually received, or the forward estimate from today's coupon? Both are defensible and they differ.</t>
        </is>
      </c>
      <c r="U25" t="inlineStr"/>
      <c r="V25" t="inlineStr"/>
      <c r="W25" t="inlineStr">
        <is>
          <t>NOT DETERMINED</t>
        </is>
      </c>
      <c r="X25" t="inlineStr">
        <is>
          <t>VERIFIED 2026-08-22</t>
        </is>
      </c>
    </row>
    <row r="26">
      <c r="A26" t="inlineStr">
        <is>
          <t>MK-NW-M-025</t>
        </is>
      </c>
      <c r="B26" t="inlineStr">
        <is>
          <t>Networth</t>
        </is>
      </c>
      <c r="C26" t="inlineStr">
        <is>
          <t>/account-detail</t>
        </is>
      </c>
      <c r="D26" t="inlineStr">
        <is>
          <t>Matures — &lt;date&gt; (n years away)</t>
        </is>
      </c>
      <c r="E26" t="inlineStr">
        <is>
          <t>years</t>
        </is>
      </c>
      <c r="F26" t="inlineStr">
        <is>
          <t>BOND_YEARS_LEFT</t>
        </is>
      </c>
      <c r="G26" t="inlineStr">
        <is>
          <t>MK-NW-E-018</t>
        </is>
      </c>
      <c r="H26" t="inlineStr">
        <is>
          <t>years to maturity = (maturity date − today) ÷ 365</t>
        </is>
      </c>
      <c r="I26" t="inlineStr">
        <is>
          <t>maturity date − today, in years. Anything already past → 0. No maturity date → 0, treated as due now rather than as never.</t>
        </is>
      </c>
      <c r="J26" t="inlineStr">
        <is>
          <t>maturity → maturity  [MK-XS-I-013] · today → now  [NO INPUT ID — not on the inputs tab]</t>
        </is>
      </c>
      <c r="K26" t="inlineStr">
        <is>
          <t>A date  [derived by rule — confirm]</t>
        </is>
      </c>
      <c r="L26" t="inlineStr">
        <is>
          <t>A division: with nothing on the bottom there is no answer, and the line must not appear as zero. NOT YET CONFIRMED against the engine.</t>
        </is>
      </c>
      <c r="M26" t="inlineStr">
        <is>
          <t>One figure per bond  [derived by rule — confirm]</t>
        </is>
      </c>
      <c r="N26" t="inlineStr">
        <is>
          <t>This calendar year, to today  [derived by rule — confirm]</t>
        </is>
      </c>
      <c r="O26" t="inlineStr">
        <is>
          <t>None found in the code — it reads raw values only</t>
        </is>
      </c>
      <c r="P26" t="inlineStr"/>
      <c r="Q26" t="inlineStr"/>
      <c r="R26" t="inlineStr">
        <is>
          <t>NOT DETERMINED — no assumption recorded for this figure yet.</t>
        </is>
      </c>
      <c r="S26" t="inlineStr"/>
      <c r="T26" t="inlineStr"/>
      <c r="U26" t="inlineStr"/>
      <c r="V26" t="inlineStr"/>
      <c r="W26" t="inlineStr">
        <is>
          <t>NOT DETERMINED</t>
        </is>
      </c>
      <c r="X26" t="inlineStr">
        <is>
          <t>VERIFIED 2026-08-22</t>
        </is>
      </c>
    </row>
    <row r="27">
      <c r="A27" t="inlineStr">
        <is>
          <t>MK-NW-M-026</t>
        </is>
      </c>
      <c r="B27" t="inlineStr">
        <is>
          <t>Networth</t>
        </is>
      </c>
      <c r="C27" t="inlineStr">
        <is>
          <t>/account-detail</t>
        </is>
      </c>
      <c r="D27" t="inlineStr">
        <is>
          <t>Yield if held to maturity</t>
        </is>
      </c>
      <c r="E27" t="inlineStr">
        <is>
          <t>ytm</t>
        </is>
      </c>
      <c r="F27" t="inlineStr">
        <is>
          <t>BOND_YIELD_TO_MATURITY</t>
        </is>
      </c>
      <c r="G27" t="inlineStr">
        <is>
          <t>MK-NW-E-019</t>
        </is>
      </c>
      <c r="H27" t="inlineStr">
        <is>
          <t>y solves: value = Σ(coupon ÷ (1+y)ᵗ) + face ÷ (1+y)ⁿ,  t = 1…n years to maturity</t>
        </is>
      </c>
      <c r="I27" t="inlineStr">
        <is>
          <t>Adds the pull back to face value to the running income:
(annual coupon + (face − value) ÷ years left) ÷ ((face + value) ÷ 2).
A bond bought below face gains as it matures, so this comes out above the current yield. Already matured, or no value → no answer, never zero.</t>
        </is>
      </c>
      <c r="J27" t="inlineStr">
        <is>
          <t>coupon → annualCoupon  [MK-XS-I-012] · face → face  [MK-XS-I-011] · value → value  [NO INPUT ID — not on the inputs tab] · years left → yearsToMaturity  [MK-XS-I-013]</t>
        </is>
      </c>
      <c r="K27" t="inlineStr">
        <is>
          <t>Percent · one decimal shown  [derived by rule — confirm]</t>
        </is>
      </c>
      <c r="L27" t="inlineStr">
        <is>
          <t>No answer once the bond has matured, and none without a price.</t>
        </is>
      </c>
      <c r="M27" t="inlineStr">
        <is>
          <t>One figure per bond  [derived by rule — confirm]</t>
        </is>
      </c>
      <c r="N27" t="inlineStr">
        <is>
          <t>As of today, from the latest figures held  [derived by rule — confirm]</t>
        </is>
      </c>
      <c r="O27" t="inlineStr">
        <is>
          <t>BOND_COUPON · BOND_YEARS_LEFT</t>
        </is>
      </c>
      <c r="P27" t="inlineStr"/>
      <c r="Q27" t="inlineStr"/>
      <c r="R27" t="inlineStr">
        <is>
          <t>NOT DETERMINED — no assumption recorded for this figure yet.</t>
        </is>
      </c>
      <c r="S27" t="inlineStr"/>
      <c r="T27" t="inlineStr">
        <is>
          <t>Q05 — Accrued interest: do we work it out ourselves — which needs a day-count rule per bond type — or only show what the institution gives us?</t>
        </is>
      </c>
      <c r="U27" t="inlineStr"/>
      <c r="V27" t="inlineStr"/>
      <c r="W27" t="inlineStr">
        <is>
          <t>NOT DETERMINED</t>
        </is>
      </c>
      <c r="X27" t="inlineStr">
        <is>
          <t>VERIFIED 2026-08-22</t>
        </is>
      </c>
    </row>
    <row r="28">
      <c r="A28" t="inlineStr">
        <is>
          <t>MK-NW-M-027</t>
        </is>
      </c>
      <c r="B28" t="inlineStr">
        <is>
          <t>Networth</t>
        </is>
      </c>
      <c r="C28" t="inlineStr">
        <is>
          <t>/account-detail</t>
        </is>
      </c>
      <c r="D28" t="inlineStr">
        <is>
          <t>Yield on today's value</t>
        </is>
      </c>
      <c r="E28" t="inlineStr">
        <is>
          <t>cy</t>
        </is>
      </c>
      <c r="F28" t="inlineStr">
        <is>
          <t>BOND_CURRENT_YIELD</t>
        </is>
      </c>
      <c r="G28" t="inlineStr">
        <is>
          <t>MK-NW-E-020</t>
        </is>
      </c>
      <c r="H28" t="inlineStr">
        <is>
          <t>current yield = annual coupon ÷ current value</t>
        </is>
      </c>
      <c r="I28" t="inlineStr">
        <is>
          <t>annual coupon ÷ current value. A bond bought at a discount yields MORE than its stated coupon; one bought at a premium yields less. No value → no answer, never a division by zero.</t>
        </is>
      </c>
      <c r="J28" t="inlineStr">
        <is>
          <t>coupon → annualCoupon  [MK-XS-I-012] · what it is worth → value  [NO INPUT ID — not on the inputs tab]</t>
        </is>
      </c>
      <c r="K28" t="inlineStr">
        <is>
          <t>Percent · one decimal shown  [derived by rule — confirm]</t>
        </is>
      </c>
      <c r="L28" t="inlineStr">
        <is>
          <t>No value means no answer — never a division by zero.</t>
        </is>
      </c>
      <c r="M28" t="inlineStr">
        <is>
          <t>One figure per bond  [derived by rule — confirm]</t>
        </is>
      </c>
      <c r="N28" t="inlineStr">
        <is>
          <t>As of today, from the latest figures held  [derived by rule — confirm]</t>
        </is>
      </c>
      <c r="O28" t="inlineStr">
        <is>
          <t>BOND_COUPON</t>
        </is>
      </c>
      <c r="P28" t="inlineStr"/>
      <c r="Q28" t="inlineStr"/>
      <c r="R28" t="inlineStr">
        <is>
          <t>NOT DETERMINED — no assumption recorded for this figure yet.</t>
        </is>
      </c>
      <c r="S28" t="inlineStr"/>
      <c r="T28" t="inlineStr"/>
      <c r="U28" t="inlineStr"/>
      <c r="V28" t="inlineStr"/>
      <c r="W28" t="inlineStr">
        <is>
          <t>NOT DETERMINED</t>
        </is>
      </c>
      <c r="X28" t="inlineStr">
        <is>
          <t>VERIFIED 2026-08-22</t>
        </is>
      </c>
    </row>
    <row r="29">
      <c r="A29" t="inlineStr">
        <is>
          <t>MK-NW-M-028</t>
        </is>
      </c>
      <c r="B29" t="inlineStr">
        <is>
          <t>Networth</t>
        </is>
      </c>
      <c r="C29" t="inlineStr">
        <is>
          <t>/account-detail</t>
        </is>
      </c>
      <c r="D29" t="inlineStr">
        <is>
          <t>Rates rise 1% → value roughly $X–$Y</t>
        </is>
      </c>
      <c r="E29" t="inlineStr">
        <is>
          <t>sens.ratesUp</t>
        </is>
      </c>
      <c r="F29" t="inlineStr">
        <is>
          <t>BOND_RATE_SENSITIVITY</t>
        </is>
      </c>
      <c r="G29" t="inlineStr">
        <is>
          <t>MK-NW-E-021</t>
        </is>
      </c>
      <c r="H29" t="inlineStr">
        <is>
          <t>change in value ≈ − duration × change in rate × value</t>
        </is>
      </c>
      <c r="I29" t="inlineStr">
        <is>
          <t>Shows roughly what a one percent move in interest rates would do to the bond's value. Longer to maturity means a bigger swing. An illustration, not a forecast.</t>
        </is>
      </c>
      <c r="J29" t="inlineStr">
        <is>
          <t>NOT DETERMINED — no input list on record for this engine</t>
        </is>
      </c>
      <c r="K29" t="inlineStr">
        <is>
          <t>Percent · one decimal shown  [derived by rule — confirm]</t>
        </is>
      </c>
      <c r="L29" t="inlineStr">
        <is>
          <t>NOT DETERMINED — this engine has not been read for its refusal yet.</t>
        </is>
      </c>
      <c r="M29" t="inlineStr">
        <is>
          <t>One figure per bond  [derived by rule — confirm]</t>
        </is>
      </c>
      <c r="N29" t="inlineStr">
        <is>
          <t>As of today, from the latest figures held  [derived by rule — confirm]</t>
        </is>
      </c>
      <c r="O29" t="inlineStr">
        <is>
          <t>NOT DETERMINED</t>
        </is>
      </c>
      <c r="P29" t="inlineStr"/>
      <c r="Q29" t="inlineStr"/>
      <c r="R29" t="inlineStr">
        <is>
          <t>NOT DETERMINED — no assumption recorded for this figure yet.</t>
        </is>
      </c>
      <c r="S29" t="inlineStr"/>
      <c r="T29" t="inlineStr"/>
      <c r="U29" t="inlineStr"/>
      <c r="V29" t="inlineStr"/>
      <c r="W29" t="inlineStr">
        <is>
          <t>NOT DETERMINED</t>
        </is>
      </c>
      <c r="X29" t="inlineStr">
        <is>
          <t>VERIFIED 2026-08-22</t>
        </is>
      </c>
    </row>
    <row r="30">
      <c r="A30" t="inlineStr">
        <is>
          <t>MK-NW-M-029</t>
        </is>
      </c>
      <c r="B30" t="inlineStr">
        <is>
          <t>Networth</t>
        </is>
      </c>
      <c r="C30" t="inlineStr">
        <is>
          <t>/holding-detail</t>
        </is>
      </c>
      <c r="D30" t="inlineStr">
        <is>
          <t>CURRENT PRICE · LIVE</t>
        </is>
      </c>
      <c r="E30" t="inlineStr">
        <is>
          <t>price</t>
        </is>
      </c>
      <c r="F30" t="inlineStr">
        <is>
          <t>the price feed, with its freshness</t>
        </is>
      </c>
      <c r="G30" t="inlineStr">
        <is>
          <t>MK-NW-E-022</t>
        </is>
      </c>
      <c r="H30" t="inlineStr">
        <is>
          <t>price = the latest close from the feed, with the time it was fetched</t>
        </is>
      </c>
      <c r="I30" t="inlineStr">
        <is>
          <t>The most recent price the feed gave, carrying the moment it was fetched so staleness can be shown.</t>
        </is>
      </c>
      <c r="J30" t="inlineStr">
        <is>
          <t>NOT DETERMINED — no input list on record for this engine</t>
        </is>
      </c>
      <c r="K30" t="inlineStr">
        <is>
          <t>US dollars per unit · held to 8 decimal places · decimals shown  [derived by rule — confirm]</t>
        </is>
      </c>
      <c r="L30" t="inlineStr">
        <is>
          <t>NOT DETERMINED — this engine has not been read for its refusal yet.</t>
        </is>
      </c>
      <c r="M30" t="inlineStr">
        <is>
          <t>One figure per person — or per household when two people share one record  [derived by rule — confirm]</t>
        </is>
      </c>
      <c r="N30" t="inlineStr">
        <is>
          <t>As of today, from the latest figures held  [derived by rule — confirm]</t>
        </is>
      </c>
      <c r="O30" t="inlineStr">
        <is>
          <t>NOT DETERMINED</t>
        </is>
      </c>
      <c r="P30" t="inlineStr"/>
      <c r="Q30" t="inlineStr"/>
      <c r="R30" t="inlineStr">
        <is>
          <t>NOT DETERMINED — no assumption recorded for this figure yet.</t>
        </is>
      </c>
      <c r="S30" t="inlineStr"/>
      <c r="T30" t="inlineStr"/>
      <c r="U30" t="inlineStr"/>
      <c r="V30" t="inlineStr"/>
      <c r="W30" t="inlineStr">
        <is>
          <t>NOT DETERMINED</t>
        </is>
      </c>
      <c r="X30" t="inlineStr">
        <is>
          <t>VERIFIED 2026-08-22</t>
        </is>
      </c>
    </row>
    <row r="31">
      <c r="A31" t="inlineStr">
        <is>
          <t>MK-NW-M-030</t>
        </is>
      </c>
      <c r="B31" t="inlineStr">
        <is>
          <t>Networth</t>
        </is>
      </c>
      <c r="C31" t="inlineStr">
        <is>
          <t>/holding-detail</t>
        </is>
      </c>
      <c r="D31" t="inlineStr">
        <is>
          <t>Current value</t>
        </is>
      </c>
      <c r="E31" t="inlineStr">
        <is>
          <t>value</t>
        </is>
      </c>
      <c r="F31" t="inlineStr">
        <is>
          <t>HOLDING_MARKET_VALUE</t>
        </is>
      </c>
      <c r="G31" t="inlineStr">
        <is>
          <t>MK-NW-E-023</t>
        </is>
      </c>
      <c r="H31" t="inlineStr">
        <is>
          <t>value = quantity × latest price</t>
        </is>
      </c>
      <c r="I31" t="inlineStr">
        <is>
          <t>shares × latest price.
NO PRICE MEANS ZERO, NOT A GUESS. An unpriced holding contributes nothing and the screen says the price is missing — it is never valued at what it cost, which would silently report a gain of exactly zero.</t>
        </is>
      </c>
      <c r="J31" t="inlineStr">
        <is>
          <t>shares → totalShares  [MK-XS-I-004] · price → the latest close  [MK-XS-I-005]</t>
        </is>
      </c>
      <c r="K31" t="inlineStr">
        <is>
          <t>US dollars · held to the cent · shown as whole dollars  [derived by rule — confirm]</t>
        </is>
      </c>
      <c r="L31" t="inlineStr">
        <is>
          <t>NOT DETERMINED — this engine has not been read for its refusal yet.</t>
        </is>
      </c>
      <c r="M31" t="inlineStr">
        <is>
          <t>One figure per holding  [derived by rule — confirm]</t>
        </is>
      </c>
      <c r="N31" t="inlineStr">
        <is>
          <t>As of today, from the latest figures held  [derived by rule — confirm]</t>
        </is>
      </c>
      <c r="O31" t="inlineStr">
        <is>
          <t>HOLDING_SHARES</t>
        </is>
      </c>
      <c r="P31" t="inlineStr">
        <is>
          <t>DECIDES whether a line is a share, a bond, an option, a crypto amount or a currency, because the units differ; and DECIDES the price to use when the feed has none.</t>
        </is>
      </c>
      <c r="Q31" t="inlineStr">
        <is>
          <t>OPTIONS: value is quantity × price with no contract multiplier. An option is 100 shares per contract unless the broker states otherwise, so an option position may be reported at one hundredth of its real value. The ledger normalises a TRADE so units × price equals the broker's cash figure, but the holdings path does not. TO VERIFY AND FIX.</t>
        </is>
      </c>
      <c r="R31" t="inlineStr">
        <is>
          <t>[Founder] A price is a ratio, not money: it keeps eight decimal places and is never rounded to cents. Rounding a Treasury bill price of $0.9888 to $0.99 invented $276 of gain on one row.</t>
        </is>
      </c>
      <c r="S31" t="inlineStr">
        <is>
          <t>THE SURVIVING IDENTIFIER for this figure. Folded in: MK-NW-M-040. A holding's current value, on holding detail and again while itemising an account.</t>
        </is>
      </c>
      <c r="T31" t="inlineStr">
        <is>
          <t>Q06 — Options: is quantity held in CONTRACTS with the price per share (so value = contracts x 100 x price), or is the price already per contract? Today neither is applied and the value may be a hundredth of the truth.
Q07 — Crypto: how many decimal places should a quantity keep? Some coins are held in very small fractions.
Q08 — Foreign currency: is this cash held at an institution, or currency trading? And should that tab's "Dividend" row be "Interest"?</t>
        </is>
      </c>
      <c r="U31" t="inlineStr"/>
      <c r="V31" t="inlineStr"/>
      <c r="W31" t="inlineStr">
        <is>
          <t>NOT DETERMINED</t>
        </is>
      </c>
      <c r="X31" t="inlineStr">
        <is>
          <t>VERIFIED 2026-08-22</t>
        </is>
      </c>
    </row>
    <row r="32">
      <c r="A32" t="inlineStr">
        <is>
          <t>MK-NW-M-031</t>
        </is>
      </c>
      <c r="B32" t="inlineStr">
        <is>
          <t>Networth</t>
        </is>
      </c>
      <c r="C32" t="inlineStr">
        <is>
          <t>/holding-detail</t>
        </is>
      </c>
      <c r="D32" t="inlineStr">
        <is>
          <t>Quantity — n shares</t>
        </is>
      </c>
      <c r="E32" t="inlineStr">
        <is>
          <t>shares</t>
        </is>
      </c>
      <c r="F32" t="inlineStr">
        <is>
          <t>HOLDING_SHARES</t>
        </is>
      </c>
      <c r="G32" t="inlineStr">
        <is>
          <t>MK-NW-E-024</t>
        </is>
      </c>
      <c r="H32" t="inlineStr">
        <is>
          <t>quantity = Σ(shares bought) − Σ(shares sold)</t>
        </is>
      </c>
      <c r="I32" t="inlineStr">
        <is>
          <t>Add the shares across every purchase lot. A position is the SUM OF ITS LOTS, never one stored figure — that is what makes gain-since-purchase possible.</t>
        </is>
      </c>
      <c r="J32" t="inlineStr">
        <is>
          <t>each lot's shares → lots[].shares  [MK-XS-I-004, MK-XS-I-007]</t>
        </is>
      </c>
      <c r="K32" t="inlineStr">
        <is>
          <t>A count · whole units, except crypto which keeps its fractions  [derived by rule — confirm]</t>
        </is>
      </c>
      <c r="L32" t="inlineStr">
        <is>
          <t>Adds up to $0 when there is nothing to add. Zero and "nothing recorded yet" look identical on screen — worth a decision.</t>
        </is>
      </c>
      <c r="M32" t="inlineStr">
        <is>
          <t>One figure per holding  [derived by rule — confirm]</t>
        </is>
      </c>
      <c r="N32" t="inlineStr">
        <is>
          <t>As of today, from the latest figures held  [derived by rule — confirm]</t>
        </is>
      </c>
      <c r="O32" t="inlineStr">
        <is>
          <t>None found in the code — it reads raw values only</t>
        </is>
      </c>
      <c r="P32" t="inlineStr"/>
      <c r="Q32" t="inlineStr">
        <is>
          <t>OPTIONS: quantity is held in contracts for options and in shares for stock, in the same field, with nothing marking which. Anything multiplying quantity by price inherits the ambiguity.</t>
        </is>
      </c>
      <c r="R32" t="inlineStr">
        <is>
          <t>NOT DETERMINED — no assumption recorded for this figure yet.</t>
        </is>
      </c>
      <c r="S32" t="inlineStr"/>
      <c r="T32" t="inlineStr">
        <is>
          <t>Q09 — Should the app store the UNIT beside every quantity — shares, contracts, coins, units of face, currency units — so nothing can be multiplied by the wrong price? Today one field holds all of them with nothing marking which.</t>
        </is>
      </c>
      <c r="U32" t="inlineStr"/>
      <c r="V32" t="inlineStr"/>
      <c r="W32" t="inlineStr">
        <is>
          <t>NOT DETERMINED</t>
        </is>
      </c>
      <c r="X32" t="inlineStr">
        <is>
          <t>VERIFIED 2026-08-22</t>
        </is>
      </c>
    </row>
    <row r="33">
      <c r="A33" t="inlineStr">
        <is>
          <t>MK-NW-M-032</t>
        </is>
      </c>
      <c r="B33" t="inlineStr">
        <is>
          <t>Networth</t>
        </is>
      </c>
      <c r="C33" t="inlineStr">
        <is>
          <t>/holding-detail</t>
        </is>
      </c>
      <c r="D33" t="inlineStr">
        <is>
          <t>Price paid (average)</t>
        </is>
      </c>
      <c r="E33" t="inlineStr">
        <is>
          <t>rawAvg</t>
        </is>
      </c>
      <c r="F33" t="inlineStr">
        <is>
          <t>HOLDING_COST_BASIS</t>
        </is>
      </c>
      <c r="G33" t="inlineStr">
        <is>
          <t>MK-NW-E-025</t>
        </is>
      </c>
      <c r="H33" t="inlineStr">
        <is>
          <t>total paid = Σ(shares in each lot × price paid in that lot);  average = total paid ÷ quantity</t>
        </is>
      </c>
      <c r="I33" t="inlineStr">
        <is>
          <t>Add shares × cost per share across every lot. A lot with no cost recorded contributes nothing, but its shares still count as owned.</t>
        </is>
      </c>
      <c r="J33" t="inlineStr">
        <is>
          <t>each lot's shares and cost → lots[].shares, lots[].cost_per_share  [MK-XS-I-004, MK-XS-I-007]</t>
        </is>
      </c>
      <c r="K33" t="inlineStr">
        <is>
          <t>US dollars per unit · held to 8 decimal places · decimals shown  [derived by rule — confirm]</t>
        </is>
      </c>
      <c r="L33" t="inlineStr">
        <is>
          <t>Adds up to $0 when there is nothing to add. Zero and "nothing recorded yet" look identical on screen — worth a decision.</t>
        </is>
      </c>
      <c r="M33" t="inlineStr">
        <is>
          <t>One figure per holding  [derived by rule — confirm]</t>
        </is>
      </c>
      <c r="N33" t="inlineStr">
        <is>
          <t>As of today, from the latest figures held  [derived by rule — confirm]</t>
        </is>
      </c>
      <c r="O33" t="inlineStr">
        <is>
          <t>None found in the code — it reads raw values only</t>
        </is>
      </c>
      <c r="P33" t="inlineStr"/>
      <c r="Q33" t="inlineStr">
        <is>
          <t>OPTIONS: same contract-multiplier question as market value — cost per share × shares, with no ×100 for a contract. TO VERIFY.</t>
        </is>
      </c>
      <c r="R33" t="inlineStr">
        <is>
          <t>[Founder] Cost basis comes from recorded lots. A lot with no cost is skipped rather than treated as free shares, because free shares would report the whole value as gain and tax it.</t>
        </is>
      </c>
      <c r="S33" t="inlineStr"/>
      <c r="T33" t="inlineStr"/>
      <c r="U33" t="inlineStr"/>
      <c r="V33" t="inlineStr"/>
      <c r="W33" t="inlineStr">
        <is>
          <t>NOT DETERMINED</t>
        </is>
      </c>
      <c r="X33" t="inlineStr">
        <is>
          <t>VERIFIED 2026-08-22</t>
        </is>
      </c>
    </row>
    <row r="34">
      <c r="A34" t="inlineStr">
        <is>
          <t>MK-NW-M-033</t>
        </is>
      </c>
      <c r="B34" t="inlineStr">
        <is>
          <t>Networth</t>
        </is>
      </c>
      <c r="C34" t="inlineStr">
        <is>
          <t>/holding-detail</t>
        </is>
      </c>
      <c r="D34" t="inlineStr">
        <is>
          <t>Total paid</t>
        </is>
      </c>
      <c r="E34" t="inlineStr">
        <is>
          <t>basis</t>
        </is>
      </c>
      <c r="F34" t="inlineStr">
        <is>
          <t>HOLDING_COST_BASIS</t>
        </is>
      </c>
      <c r="G34" t="inlineStr">
        <is>
          <t>MK-NW-E-025</t>
        </is>
      </c>
      <c r="H34" t="inlineStr">
        <is>
          <t>total paid = Σ(shares in each lot × price paid in that lot);  average = total paid ÷ quantity</t>
        </is>
      </c>
      <c r="I34" t="inlineStr">
        <is>
          <t>Add shares × cost per share across every lot. A lot with no cost recorded contributes nothing, but its shares still count as owned.</t>
        </is>
      </c>
      <c r="J34" t="inlineStr">
        <is>
          <t>each lot's shares and cost → lots[].shares, lots[].cost_per_share  [MK-XS-I-004, MK-XS-I-007]</t>
        </is>
      </c>
      <c r="K34" t="inlineStr">
        <is>
          <t>US dollars · held to the cent · shown as whole dollars  [derived by rule — confirm]</t>
        </is>
      </c>
      <c r="L34" t="inlineStr">
        <is>
          <t>Adds up to $0 when there is nothing to add. Zero and "nothing recorded yet" look identical on screen — worth a decision.</t>
        </is>
      </c>
      <c r="M34" t="inlineStr">
        <is>
          <t>One figure per holding  [derived by rule — confirm]</t>
        </is>
      </c>
      <c r="N34" t="inlineStr">
        <is>
          <t>As of today, from the latest figures held  [derived by rule — confirm]</t>
        </is>
      </c>
      <c r="O34" t="inlineStr">
        <is>
          <t>None found in the code — it reads raw values only</t>
        </is>
      </c>
      <c r="P34" t="inlineStr"/>
      <c r="Q34" t="inlineStr">
        <is>
          <t>OPTIONS: same contract-multiplier question as market value — cost per share × shares, with no ×100 for a contract. TO VERIFY.</t>
        </is>
      </c>
      <c r="R34" t="inlineStr">
        <is>
          <t>[Founder] Cost basis comes from recorded lots. A lot with no cost is skipped rather than treated as free shares, because free shares would report the whole value as gain and tax it.</t>
        </is>
      </c>
      <c r="S34" t="inlineStr"/>
      <c r="T34" t="inlineStr"/>
      <c r="U34" t="inlineStr"/>
      <c r="V34" t="inlineStr"/>
      <c r="W34" t="inlineStr">
        <is>
          <t>NOT DETERMINED</t>
        </is>
      </c>
      <c r="X34" t="inlineStr">
        <is>
          <t>VERIFIED 2026-08-22</t>
        </is>
      </c>
    </row>
    <row r="35">
      <c r="A35" t="inlineStr">
        <is>
          <t>MK-NW-M-034</t>
        </is>
      </c>
      <c r="B35" t="inlineStr">
        <is>
          <t>Networth</t>
        </is>
      </c>
      <c r="C35" t="inlineStr">
        <is>
          <t>/holding-detail</t>
        </is>
      </c>
      <c r="D35" t="inlineStr">
        <is>
          <t>Dividends received (12 mo)</t>
        </is>
      </c>
      <c r="E35" t="inlineStr">
        <is>
          <t>dividends.trailing12</t>
        </is>
      </c>
      <c r="F35" t="inlineStr">
        <is>
          <t>the ledger sum of dividends over twelve months</t>
        </is>
      </c>
      <c r="G35" t="inlineStr">
        <is>
          <t>MK-NW-E-026</t>
        </is>
      </c>
      <c r="H35" t="inlineStr">
        <is>
          <t>dividends = Σ(dividend lines in the last 12 months)</t>
        </is>
      </c>
      <c r="I35" t="inlineStr">
        <is>
          <t>Adds the dividends recorded for this holding over the last twelve months.</t>
        </is>
      </c>
      <c r="J35" t="inlineStr">
        <is>
          <t>NOT DETERMINED — no input list on record for this engine</t>
        </is>
      </c>
      <c r="K35" t="inlineStr">
        <is>
          <t>US dollars · held to the cent · shown as whole dollars  [derived by rule — confirm]</t>
        </is>
      </c>
      <c r="L35" t="inlineStr">
        <is>
          <t>Adds up to $0 when there is nothing to add. Zero and "nothing recorded yet" look identical on screen — worth a decision.</t>
        </is>
      </c>
      <c r="M35" t="inlineStr">
        <is>
          <t>One figure per person — or per household when two people share one record  [derived by rule — confirm]</t>
        </is>
      </c>
      <c r="N35" t="inlineStr">
        <is>
          <t>This calendar month, to today  [derived by rule — confirm]</t>
        </is>
      </c>
      <c r="O35" t="inlineStr">
        <is>
          <t>NOT DETERMINED</t>
        </is>
      </c>
      <c r="P35" t="inlineStr"/>
      <c r="Q35" t="inlineStr"/>
      <c r="R35" t="inlineStr">
        <is>
          <t>NOT DETERMINED — no assumption recorded for this figure yet.</t>
        </is>
      </c>
      <c r="S35" t="inlineStr"/>
      <c r="T35" t="inlineStr"/>
      <c r="U35" t="inlineStr"/>
      <c r="V35" t="inlineStr"/>
      <c r="W35" t="inlineStr">
        <is>
          <t>NOT DETERMINED</t>
        </is>
      </c>
      <c r="X35" t="inlineStr">
        <is>
          <t>VERIFIED 2026-08-22</t>
        </is>
      </c>
    </row>
    <row r="36">
      <c r="A36" t="inlineStr">
        <is>
          <t>MK-NW-M-035</t>
        </is>
      </c>
      <c r="B36" t="inlineStr">
        <is>
          <t>Networth</t>
        </is>
      </c>
      <c r="C36" t="inlineStr">
        <is>
          <t>/holding-detail</t>
        </is>
      </c>
      <c r="D36" t="inlineStr">
        <is>
          <t>Realized gain from your buys and sells</t>
        </is>
      </c>
      <c r="E36" t="inlineStr">
        <is>
          <t>realized</t>
        </is>
      </c>
      <c r="F36" t="inlineStr">
        <is>
          <t>REALISED_GAIN</t>
        </is>
      </c>
      <c r="G36" t="inlineStr">
        <is>
          <t>MK-NW-E-027</t>
        </is>
      </c>
      <c r="H36" t="inlineStr">
        <is>
          <t>realised gain = Σ over sales of (proceeds − cost of the shares sold, oldest first)</t>
        </is>
      </c>
      <c r="I36" t="inlineStr">
        <is>
          <t>Walk buys and sells in date order. Each sale consumes the OLDEST buy lots first, and the gain is proceeds minus the cost of the shares it consumed.
Lots are kept separately per account AND per ticker, so a Schwab holding never covers a Robinhood sale of the same share.
A SALE WITH NO RECORDED BUY CONTRIBUTES NOTHING and is counted separately, so the screen can say how much it could not see. A cost is never invented — inventing one would report the entire sale as profit.</t>
        </is>
      </c>
      <c r="J36" t="inlineStr">
        <is>
          <t>the ledger → txns  [NO INPUT ID — not on the inputs tab] · optionally one ticker → opts.ticker  [NO INPUT ID — not on the inputs tab] · optionally one account → opts.accountId  [NO INPUT ID — not on the inputs tab] · today → opts.now  [NO INPUT ID — not on the inputs tab]</t>
        </is>
      </c>
      <c r="K36" t="inlineStr">
        <is>
          <t>US dollars · held to the cent · shown as whole dollars  [derived by rule — confirm]</t>
        </is>
      </c>
      <c r="L36" t="inlineStr">
        <is>
          <t>Sales with no recorded purchase are counted separately and named on screen: "N sales had no recorded purchase, so their gain isn't counted."</t>
        </is>
      </c>
      <c r="M36" t="inlineStr">
        <is>
          <t>One figure per person — or per household when two people share one record  [derived by rule — confirm]</t>
        </is>
      </c>
      <c r="N36" t="inlineStr">
        <is>
          <t>As of today, from the latest figures held  [derived by rule — confirm]</t>
        </is>
      </c>
      <c r="O36" t="inlineStr">
        <is>
          <t>None found in the code — it reads raw values only</t>
        </is>
      </c>
      <c r="P36" t="inlineStr"/>
      <c r="Q36" t="inlineStr">
        <is>
          <t>Reads the transaction ledger, which is device-only. On a second device it reports nothing — not because nothing was sold, but because the record is elsewhere.</t>
        </is>
      </c>
      <c r="R36" t="inlineStr">
        <is>
          <t>NOT DETERMINED — no assumption recorded for this figure yet.</t>
        </is>
      </c>
      <c r="S36" t="inlineStr"/>
      <c r="T36" t="inlineStr">
        <is>
          <t>Q21 — On a second device the ledger is absent, so this reads nothing. Until history syncs, should it refuse in words rather than show a figure that looks like zero?</t>
        </is>
      </c>
      <c r="U36" t="inlineStr"/>
      <c r="V36" t="inlineStr"/>
      <c r="W36" t="inlineStr">
        <is>
          <t>NOT DETERMINED</t>
        </is>
      </c>
      <c r="X36" t="inlineStr">
        <is>
          <t>VERIFIED 2026-08-22</t>
        </is>
      </c>
    </row>
    <row r="37">
      <c r="A37" t="inlineStr">
        <is>
          <t>MK-NW-M-036</t>
        </is>
      </c>
      <c r="B37" t="inlineStr">
        <is>
          <t>Networth</t>
        </is>
      </c>
      <c r="C37" t="inlineStr">
        <is>
          <t>/holding-detail</t>
        </is>
      </c>
      <c r="D37" t="inlineStr">
        <is>
          <t>Gain — long-term (held over 1 yr)</t>
        </is>
      </c>
      <c r="E37" t="inlineStr">
        <is>
          <t>cg.longGain</t>
        </is>
      </c>
      <c r="F37" t="inlineStr">
        <is>
          <t>HOLDING_CAP_GAINS</t>
        </is>
      </c>
      <c r="G37" t="inlineStr">
        <is>
          <t>MK-NW-E-028</t>
        </is>
      </c>
      <c r="H37" t="inlineStr">
        <is>
          <t>per lot: gain = shares × (price − cost per share);  long-term if the lot was held ≥ 365 whole days, otherwise short-term;  a lot with no cost recorded is skipped</t>
        </is>
      </c>
      <c r="I37" t="inlineStr">
        <is>
          <t>Each LOT is judged on its OWN purchase date, not the position's: held twelve whole months or more → long-term, otherwise short-term. Gain per lot = shares × (price − cost per share).
A lot with no cost recorded is SKIPPED, not treated as free shares — treating it as free would report the entire value as gain and tax it.
An unreadable purchase date is treated as SHORT-term: the cautious side, since understating a tax bill is the worse mistake.</t>
        </is>
      </c>
      <c r="J37" t="inlineStr">
        <is>
          <t>each lot → lots[]  [MK-XS-I-007] · price → the latest close  [MK-XS-I-005] · today → now  [NO INPUT ID — not on the inputs tab]</t>
        </is>
      </c>
      <c r="K37" t="inlineStr">
        <is>
          <t>US dollars · held to the cent · shown as whole dollars  [derived by rule — confirm]</t>
        </is>
      </c>
      <c r="L37" t="inlineStr">
        <is>
          <t>A lot with no recorded purchase price is SKIPPED. Today the screen does not say so, which is finding Q20.</t>
        </is>
      </c>
      <c r="M37" t="inlineStr">
        <is>
          <t>One figure per holding  [derived by rule — confirm]</t>
        </is>
      </c>
      <c r="N37" t="inlineStr">
        <is>
          <t>As of today, from the latest figures held  [derived by rule — confirm]</t>
        </is>
      </c>
      <c r="O37" t="inlineStr">
        <is>
          <t>None found in the code — it reads raw values only</t>
        </is>
      </c>
      <c r="P37" t="inlineStr"/>
      <c r="Q37" t="inlineStr">
        <is>
          <t>OPTIONS: gain per lot = shares × (price − cost), again with no contract multiplier. TO VERIFY. Separately: a lot with no recorded cost is skipped, so a position of skipped lots reports no gain at all rather than saying it cannot tell.</t>
        </is>
      </c>
      <c r="R37" t="inlineStr">
        <is>
          <t>[Founder] Long-term is decided by DAYS, not calendar months (correction E7): 335 days used to count as long-term and be taxed at the lower rate.</t>
        </is>
      </c>
      <c r="S37" t="inlineStr"/>
      <c r="T37" t="inlineStr">
        <is>
          <t>Q20 — A lot with no recorded purchase price is skipped, so its gain is simply absent. Should the screen SAY so — "gain not counted for N shares, no purchase price on record" — rather than quietly reporting less?</t>
        </is>
      </c>
      <c r="U37" t="inlineStr"/>
      <c r="V37" t="inlineStr"/>
      <c r="W37" t="inlineStr">
        <is>
          <t>NOT DETERMINED</t>
        </is>
      </c>
      <c r="X37" t="inlineStr">
        <is>
          <t>VERIFIED 2026-08-22</t>
        </is>
      </c>
    </row>
    <row r="38">
      <c r="A38" t="inlineStr">
        <is>
          <t>MK-NW-M-037</t>
        </is>
      </c>
      <c r="B38" t="inlineStr">
        <is>
          <t>Networth</t>
        </is>
      </c>
      <c r="C38" t="inlineStr">
        <is>
          <t>/holding-detail</t>
        </is>
      </c>
      <c r="D38" t="inlineStr">
        <is>
          <t>Gain — short-term (under 1 yr)</t>
        </is>
      </c>
      <c r="E38" t="inlineStr">
        <is>
          <t>cg.shortGain</t>
        </is>
      </c>
      <c r="F38" t="inlineStr">
        <is>
          <t>HOLDING_CAP_GAINS</t>
        </is>
      </c>
      <c r="G38" t="inlineStr">
        <is>
          <t>MK-NW-E-028</t>
        </is>
      </c>
      <c r="H38" t="inlineStr">
        <is>
          <t>per lot: gain = shares × (price − cost per share);  long-term if the lot was held ≥ 365 whole days, otherwise short-term;  a lot with no cost recorded is skipped</t>
        </is>
      </c>
      <c r="I38" t="inlineStr">
        <is>
          <t>Each LOT is judged on its OWN purchase date, not the position's: held twelve whole months or more → long-term, otherwise short-term. Gain per lot = shares × (price − cost per share).
A lot with no cost recorded is SKIPPED, not treated as free shares — treating it as free would report the entire value as gain and tax it.
An unreadable purchase date is treated as SHORT-term: the cautious side, since understating a tax bill is the worse mistake.</t>
        </is>
      </c>
      <c r="J38" t="inlineStr">
        <is>
          <t>each lot → lots[]  [MK-XS-I-007] · price → the latest close  [MK-XS-I-005] · today → now  [NO INPUT ID — not on the inputs tab]</t>
        </is>
      </c>
      <c r="K38" t="inlineStr">
        <is>
          <t>US dollars · held to the cent · shown as whole dollars  [derived by rule — confirm]</t>
        </is>
      </c>
      <c r="L38" t="inlineStr">
        <is>
          <t>A lot with no recorded purchase price is SKIPPED. Today the screen does not say so, which is finding Q20.</t>
        </is>
      </c>
      <c r="M38" t="inlineStr">
        <is>
          <t>One figure per holding  [derived by rule — confirm]</t>
        </is>
      </c>
      <c r="N38" t="inlineStr">
        <is>
          <t>As of today, from the latest figures held  [derived by rule — confirm]</t>
        </is>
      </c>
      <c r="O38" t="inlineStr">
        <is>
          <t>None found in the code — it reads raw values only</t>
        </is>
      </c>
      <c r="P38" t="inlineStr"/>
      <c r="Q38" t="inlineStr">
        <is>
          <t>OPTIONS: gain per lot = shares × (price − cost), again with no contract multiplier. TO VERIFY. Separately: a lot with no recorded cost is skipped, so a position of skipped lots reports no gain at all rather than saying it cannot tell.</t>
        </is>
      </c>
      <c r="R38" t="inlineStr">
        <is>
          <t>[Founder] Long-term is decided by DAYS, not calendar months (correction E7): 335 days used to count as long-term and be taxed at the lower rate.</t>
        </is>
      </c>
      <c r="S38" t="inlineStr"/>
      <c r="T38" t="inlineStr"/>
      <c r="U38" t="inlineStr"/>
      <c r="V38" t="inlineStr"/>
      <c r="W38" t="inlineStr">
        <is>
          <t>NOT DETERMINED</t>
        </is>
      </c>
      <c r="X38" t="inlineStr">
        <is>
          <t>VERIFIED 2026-08-22</t>
        </is>
      </c>
    </row>
    <row r="39">
      <c r="A39" t="inlineStr">
        <is>
          <t>MK-NW-M-038</t>
        </is>
      </c>
      <c r="B39" t="inlineStr">
        <is>
          <t>Networth</t>
        </is>
      </c>
      <c r="C39" t="inlineStr">
        <is>
          <t>/itemize</t>
        </is>
      </c>
      <c r="D39" t="inlineStr">
        <is>
          <t>We keep the total at $X</t>
        </is>
      </c>
      <c r="E39" t="inlineStr">
        <is>
          <t>lump.balance</t>
        </is>
      </c>
      <c r="F39" t="inlineStr">
        <is>
          <t>the account balance being itemised</t>
        </is>
      </c>
      <c r="G39" t="inlineStr">
        <is>
          <t>MK-NW-E-029</t>
        </is>
      </c>
      <c r="H39" t="inlineStr">
        <is>
          <t>the balance of the account being broken into holdings</t>
        </is>
      </c>
      <c r="I39" t="inlineStr">
        <is>
          <t>The single account total that the holdings entered must add up to.</t>
        </is>
      </c>
      <c r="J39" t="inlineStr">
        <is>
          <t>NOT DETERMINED — no input list on record for this engine</t>
        </is>
      </c>
      <c r="K39" t="inlineStr">
        <is>
          <t>US dollars · held to the cent · shown as whole dollars  [derived by rule — confirm]</t>
        </is>
      </c>
      <c r="L39" t="inlineStr">
        <is>
          <t>NOT DETERMINED — this engine has not been read for its refusal yet.</t>
        </is>
      </c>
      <c r="M39" t="inlineStr">
        <is>
          <t>One figure per person — or per household when two people share one record  [derived by rule — confirm]</t>
        </is>
      </c>
      <c r="N39" t="inlineStr">
        <is>
          <t>As of today, from the latest figures held  [derived by rule — confirm]</t>
        </is>
      </c>
      <c r="O39" t="inlineStr">
        <is>
          <t>NOT DETERMINED</t>
        </is>
      </c>
      <c r="P39" t="inlineStr"/>
      <c r="Q39" t="inlineStr"/>
      <c r="R39" t="inlineStr">
        <is>
          <t>NOT DETERMINED — no assumption recorded for this figure yet.</t>
        </is>
      </c>
      <c r="S39" t="inlineStr"/>
      <c r="T39" t="inlineStr"/>
      <c r="U39" t="inlineStr"/>
      <c r="V39" t="inlineStr"/>
      <c r="W39" t="inlineStr">
        <is>
          <t>NOT DETERMINED</t>
        </is>
      </c>
      <c r="X39" t="inlineStr">
        <is>
          <t>VERIFIED 2026-08-22</t>
        </is>
      </c>
    </row>
    <row r="40">
      <c r="A40" t="inlineStr">
        <is>
          <t>MK-NW-M-039</t>
        </is>
      </c>
      <c r="B40" t="inlineStr">
        <is>
          <t>Networth</t>
        </is>
      </c>
      <c r="C40" t="inlineStr">
        <is>
          <t>/itemize</t>
        </is>
      </c>
      <c r="D40" t="inlineStr">
        <is>
          <t>$X of $Y itemized · remainder</t>
        </is>
      </c>
      <c r="E40" t="inlineStr">
        <is>
          <t>allocated / remainder</t>
        </is>
      </c>
      <c r="F40" t="inlineStr">
        <is>
          <t>worked out on the screen: total − what has been itemised</t>
        </is>
      </c>
      <c r="G40" t="inlineStr"/>
      <c r="H40" t="inlineStr">
        <is>
          <t>left to itemise = the account total − Σ(holdings entered)</t>
        </is>
      </c>
      <c r="I40" t="inlineStr">
        <is>
          <t>Worked out on the screen itself, with no engine behind it — a place a second definition can appear.</t>
        </is>
      </c>
      <c r="J40" t="inlineStr">
        <is>
          <t>NOT DETERMINED — no input list on record for this engine</t>
        </is>
      </c>
      <c r="K40" t="inlineStr">
        <is>
          <t>US dollars · held to the cent · shown as whole dollars  [derived by rule — confirm]</t>
        </is>
      </c>
      <c r="L40" t="inlineStr">
        <is>
          <t>Inherits the refusal of the figures it is built from: if either side is missing, this line is not shown.</t>
        </is>
      </c>
      <c r="M40" t="inlineStr">
        <is>
          <t>One figure per person — or per household when two people share one record  [derived by rule — confirm]</t>
        </is>
      </c>
      <c r="N40" t="inlineStr">
        <is>
          <t>As of today, from the latest figures held  [derived by rule — confirm]</t>
        </is>
      </c>
      <c r="O40" t="inlineStr">
        <is>
          <t>NOT DETERMINED</t>
        </is>
      </c>
      <c r="P40" t="inlineStr"/>
      <c r="Q40" t="inlineStr"/>
      <c r="R40" t="inlineStr">
        <is>
          <t>NOT DETERMINED — no assumption recorded for this figure yet.</t>
        </is>
      </c>
      <c r="S40" t="inlineStr"/>
      <c r="T40" t="inlineStr"/>
      <c r="U40" t="inlineStr"/>
      <c r="V40" t="inlineStr"/>
      <c r="W40" t="inlineStr">
        <is>
          <t>NOT DETERMINED</t>
        </is>
      </c>
      <c r="X40" t="inlineStr">
        <is>
          <t>VERIFIED 2026-08-22</t>
        </is>
      </c>
    </row>
    <row r="41">
      <c r="A41" t="inlineStr">
        <is>
          <t>MK-NW-M-040</t>
        </is>
      </c>
      <c r="B41" t="inlineStr">
        <is>
          <t>Networth</t>
        </is>
      </c>
      <c r="C41" t="inlineStr">
        <is>
          <t>/itemize</t>
        </is>
      </c>
      <c r="D41" t="inlineStr">
        <is>
          <t>each holding and its value</t>
        </is>
      </c>
      <c r="E41" t="inlineStr">
        <is>
          <t>h.value</t>
        </is>
      </c>
      <c r="F41" t="inlineStr">
        <is>
          <t>HOLDING_MARKET_VALUE</t>
        </is>
      </c>
      <c r="G41" t="inlineStr">
        <is>
          <t>MK-NW-E-023</t>
        </is>
      </c>
      <c r="H41" t="inlineStr">
        <is>
          <t>value = quantity × latest price</t>
        </is>
      </c>
      <c r="I41" t="inlineStr">
        <is>
          <t>shares × latest price.
NO PRICE MEANS ZERO, NOT A GUESS. An unpriced holding contributes nothing and the screen says the price is missing — it is never valued at what it cost, which would silently report a gain of exactly zero.</t>
        </is>
      </c>
      <c r="J41" t="inlineStr">
        <is>
          <t>shares → totalShares  [MK-XS-I-004] · price → the latest close  [MK-XS-I-005]</t>
        </is>
      </c>
      <c r="K41" t="inlineStr">
        <is>
          <t>US dollars · held to the cent · shown as whole dollars  [derived by rule — confirm]</t>
        </is>
      </c>
      <c r="L41" t="inlineStr">
        <is>
          <t>NOT DETERMINED — this engine has not been read for its refusal yet.</t>
        </is>
      </c>
      <c r="M41" t="inlineStr">
        <is>
          <t>One figure per holding  [derived by rule — confirm]</t>
        </is>
      </c>
      <c r="N41" t="inlineStr">
        <is>
          <t>As of today, from the latest figures held  [derived by rule — confirm]</t>
        </is>
      </c>
      <c r="O41" t="inlineStr">
        <is>
          <t>HOLDING_SHARES</t>
        </is>
      </c>
      <c r="P41" t="inlineStr">
        <is>
          <t>DECIDES whether a line is a share, a bond, an option, a crypto amount or a currency, because the units differ; and DECIDES the price to use when the feed has none.</t>
        </is>
      </c>
      <c r="Q41" t="inlineStr">
        <is>
          <t>OPTIONS: value is quantity × price with no contract multiplier. An option is 100 shares per contract unless the broker states otherwise, so an option position may be reported at one hundredth of its real value. The ledger normalises a TRADE so units × price equals the broker's cash figure, but the holdings path does not. TO VERIFY AND FIX.</t>
        </is>
      </c>
      <c r="R41" t="inlineStr">
        <is>
          <t>[Founder] A price is a ratio, not money: it keeps eight decimal places and is never rounded to cents. Rounding a Treasury bill price of $0.9888 to $0.99 invented $276 of gain on one row.</t>
        </is>
      </c>
      <c r="S41" t="inlineStr">
        <is>
          <t>THE SAME FIGURE AS MK-NW-M-030 — A holding's current value, on holding detail and again while itemising an account.</t>
        </is>
      </c>
      <c r="T41" t="inlineStr"/>
      <c r="U41" t="inlineStr"/>
      <c r="V41" t="inlineStr"/>
      <c r="W41" t="inlineStr">
        <is>
          <t>NOT DETERMINED</t>
        </is>
      </c>
      <c r="X41" t="inlineStr">
        <is>
          <t>VERIFIED 2026-08-22</t>
        </is>
      </c>
    </row>
    <row r="42">
      <c r="A42" t="inlineStr">
        <is>
          <t>MK-NW-M-041</t>
        </is>
      </c>
      <c r="B42" t="inlineStr">
        <is>
          <t>Networth</t>
        </is>
      </c>
      <c r="C42" t="inlineStr">
        <is>
          <t>/bonds</t>
        </is>
      </c>
      <c r="D42" t="inlineStr">
        <is>
          <t>total value of your bonds</t>
        </is>
      </c>
      <c r="E42" t="inlineStr">
        <is>
          <t>summary.totalValue</t>
        </is>
      </c>
      <c r="F42" t="inlineStr">
        <is>
          <t>BOND_FACTS</t>
        </is>
      </c>
      <c r="G42" t="inlineStr">
        <is>
          <t>MK-NW-E-016</t>
        </is>
      </c>
      <c r="H42" t="inlineStr">
        <is>
          <t>face, coupon rate and maturity as recorded;  bonds total = Σ(value of each bond),  face total = Σ(face)</t>
        </is>
      </c>
      <c r="I42" t="inlineStr">
        <is>
          <t>Reads the stored bond fields off the holding and computes its yields. A holding with none of them is not a bond and returns nothing.</t>
        </is>
      </c>
      <c r="J42" t="inlineStr">
        <is>
          <t>the holding → position/account  [NO INPUT ID — not on the inputs tab]</t>
        </is>
      </c>
      <c r="K42" t="inlineStr">
        <is>
          <t>US dollars · held to the cent · shown as whole dollars  [derived by rule — confirm]</t>
        </is>
      </c>
      <c r="L42" t="inlineStr">
        <is>
          <t>Adds up to $0 when there is nothing to add. Zero and "nothing recorded yet" look identical on screen — worth a decision.</t>
        </is>
      </c>
      <c r="M42" t="inlineStr">
        <is>
          <t>One figure per bond  [derived by rule — confirm]</t>
        </is>
      </c>
      <c r="N42" t="inlineStr">
        <is>
          <t>As of today, from the latest figures held  [derived by rule — confirm]</t>
        </is>
      </c>
      <c r="O42" t="inlineStr">
        <is>
          <t>None found in the code — it reads raw values only</t>
        </is>
      </c>
      <c r="P42" t="inlineStr">
        <is>
          <t>DECIDES how a bond is NAMED on screen — issuer, or the identifying number, or a plain description; and DECIDES whether a line is a bond at all.</t>
        </is>
      </c>
      <c r="Q42" t="inlineStr"/>
      <c r="R42" t="inlineStr">
        <is>
          <t>NOT DETERMINED — no assumption recorded for this figure yet.</t>
        </is>
      </c>
      <c r="S42" t="inlineStr"/>
      <c r="T42" t="inlineStr"/>
      <c r="U42" t="inlineStr"/>
      <c r="V42" t="inlineStr"/>
      <c r="W42" t="inlineStr">
        <is>
          <t>NOT DETERMINED</t>
        </is>
      </c>
      <c r="X42" t="inlineStr">
        <is>
          <t>VERIFIED 2026-08-22</t>
        </is>
      </c>
    </row>
    <row r="43">
      <c r="A43" t="inlineStr">
        <is>
          <t>MK-NW-M-042</t>
        </is>
      </c>
      <c r="B43" t="inlineStr">
        <is>
          <t>Networth</t>
        </is>
      </c>
      <c r="C43" t="inlineStr">
        <is>
          <t>/bonds</t>
        </is>
      </c>
      <c r="D43" t="inlineStr">
        <is>
          <t>n bonds · face $X</t>
        </is>
      </c>
      <c r="E43" t="inlineStr">
        <is>
          <t>summary.totalFace</t>
        </is>
      </c>
      <c r="F43" t="inlineStr">
        <is>
          <t>BOND_FACTS</t>
        </is>
      </c>
      <c r="G43" t="inlineStr">
        <is>
          <t>MK-NW-E-016</t>
        </is>
      </c>
      <c r="H43" t="inlineStr">
        <is>
          <t>face, coupon rate and maturity as recorded;  bonds total = Σ(value of each bond),  face total = Σ(face)</t>
        </is>
      </c>
      <c r="I43" t="inlineStr">
        <is>
          <t>Reads the stored bond fields off the holding and computes its yields. A holding with none of them is not a bond and returns nothing.</t>
        </is>
      </c>
      <c r="J43" t="inlineStr">
        <is>
          <t>the holding → position/account  [NO INPUT ID — not on the inputs tab]</t>
        </is>
      </c>
      <c r="K43" t="inlineStr">
        <is>
          <t>US dollars · held to the cent · shown as whole dollars  [derived by rule — confirm]</t>
        </is>
      </c>
      <c r="L43" t="inlineStr">
        <is>
          <t>Adds up to $0 when there is nothing to add. Zero and "nothing recorded yet" look identical on screen — worth a decision.</t>
        </is>
      </c>
      <c r="M43" t="inlineStr">
        <is>
          <t>One figure per bond  [derived by rule — confirm]</t>
        </is>
      </c>
      <c r="N43" t="inlineStr">
        <is>
          <t>As of today, from the latest figures held  [derived by rule — confirm]</t>
        </is>
      </c>
      <c r="O43" t="inlineStr">
        <is>
          <t>None found in the code — it reads raw values only</t>
        </is>
      </c>
      <c r="P43" t="inlineStr">
        <is>
          <t>DECIDES how a bond is NAMED on screen — issuer, or the identifying number, or a plain description; and DECIDES whether a line is a bond at all.</t>
        </is>
      </c>
      <c r="Q43" t="inlineStr"/>
      <c r="R43" t="inlineStr">
        <is>
          <t>NOT DETERMINED — no assumption recorded for this figure yet.</t>
        </is>
      </c>
      <c r="S43" t="inlineStr"/>
      <c r="T43" t="inlineStr"/>
      <c r="U43" t="inlineStr"/>
      <c r="V43" t="inlineStr"/>
      <c r="W43" t="inlineStr">
        <is>
          <t>NOT DETERMINED</t>
        </is>
      </c>
      <c r="X43" t="inlineStr">
        <is>
          <t>VERIFIED 2026-08-22</t>
        </is>
      </c>
    </row>
    <row r="44">
      <c r="A44" t="inlineStr">
        <is>
          <t>MK-NW-M-043</t>
        </is>
      </c>
      <c r="B44" t="inlineStr">
        <is>
          <t>Networth</t>
        </is>
      </c>
      <c r="C44" t="inlineStr">
        <is>
          <t>/bonds</t>
        </is>
      </c>
      <c r="D44" t="inlineStr">
        <is>
          <t>COUPON / YR</t>
        </is>
      </c>
      <c r="E44" t="inlineStr">
        <is>
          <t>summary.coupon</t>
        </is>
      </c>
      <c r="F44" t="inlineStr">
        <is>
          <t>BOND_COUPON</t>
        </is>
      </c>
      <c r="G44" t="inlineStr">
        <is>
          <t>MK-NW-E-017</t>
        </is>
      </c>
      <c r="H44" t="inlineStr">
        <is>
          <t>annual coupon = face × coupon rate</t>
        </is>
      </c>
      <c r="I44" t="inlineStr">
        <is>
          <t>face value × coupon rate. NOT what the bond is worth today × the rate — a $10,000 bond paying 4% pays $400 whether it is trading at $9,800 or $11,000.</t>
        </is>
      </c>
      <c r="J44" t="inlineStr">
        <is>
          <t>face value → face  [MK-XS-I-011] · coupon rate → couponRate  [MK-XS-I-012]</t>
        </is>
      </c>
      <c r="K44" t="inlineStr">
        <is>
          <t>US dollars · held to the cent · shown as whole dollars  [derived by rule — confirm]</t>
        </is>
      </c>
      <c r="L44" t="inlineStr">
        <is>
          <t>NOT DETERMINED — this engine has not been read for its refusal yet.</t>
        </is>
      </c>
      <c r="M44" t="inlineStr">
        <is>
          <t>One figure per bond  [derived by rule — confirm]</t>
        </is>
      </c>
      <c r="N44" t="inlineStr">
        <is>
          <t>As of today, from the latest figures held  [derived by rule — confirm]</t>
        </is>
      </c>
      <c r="O44" t="inlineStr">
        <is>
          <t>None found in the code — it reads raw values only</t>
        </is>
      </c>
      <c r="P44" t="inlineStr"/>
      <c r="Q44" t="inlineStr"/>
      <c r="R44" t="inlineStr">
        <is>
          <t>NOT DETERMINED — no assumption recorded for this figure yet.</t>
        </is>
      </c>
      <c r="S44" t="inlineStr">
        <is>
          <t>THE SAME FIGURE AS MK-NW-M-024 — The coupon a bond pays in a year. "Interest payments" on account detail and "COUPON / YR" on the bonds screen.</t>
        </is>
      </c>
      <c r="T44" t="inlineStr"/>
      <c r="U44" t="inlineStr"/>
      <c r="V44" t="inlineStr"/>
      <c r="W44" t="inlineStr">
        <is>
          <t>NOT DETERMINED</t>
        </is>
      </c>
      <c r="X44" t="inlineStr">
        <is>
          <t>VERIFIED 2026-08-22</t>
        </is>
      </c>
    </row>
    <row r="45">
      <c r="A45" t="inlineStr">
        <is>
          <t>MK-NW-M-044</t>
        </is>
      </c>
      <c r="B45" t="inlineStr">
        <is>
          <t>Networth</t>
        </is>
      </c>
      <c r="C45" t="inlineStr">
        <is>
          <t>/bonds</t>
        </is>
      </c>
      <c r="D45" t="inlineStr">
        <is>
          <t>AVG YIELD</t>
        </is>
      </c>
      <c r="E45" t="inlineStr">
        <is>
          <t>summary.yield</t>
        </is>
      </c>
      <c r="F45" t="inlineStr">
        <is>
          <t>BOND_CURRENT_YIELD</t>
        </is>
      </c>
      <c r="G45" t="inlineStr">
        <is>
          <t>MK-NW-E-020</t>
        </is>
      </c>
      <c r="H45" t="inlineStr">
        <is>
          <t>current yield = annual coupon ÷ current value</t>
        </is>
      </c>
      <c r="I45" t="inlineStr">
        <is>
          <t>annual coupon ÷ current value. A bond bought at a discount yields MORE than its stated coupon; one bought at a premium yields less. No value → no answer, never a division by zero.</t>
        </is>
      </c>
      <c r="J45" t="inlineStr">
        <is>
          <t>coupon → annualCoupon  [MK-XS-I-012] · what it is worth → value  [NO INPUT ID — not on the inputs tab]</t>
        </is>
      </c>
      <c r="K45" t="inlineStr">
        <is>
          <t>Percent · one decimal shown  [derived by rule — confirm]</t>
        </is>
      </c>
      <c r="L45" t="inlineStr">
        <is>
          <t>No value means no answer — never a division by zero.</t>
        </is>
      </c>
      <c r="M45" t="inlineStr">
        <is>
          <t>One figure per bond  [derived by rule — confirm]</t>
        </is>
      </c>
      <c r="N45" t="inlineStr">
        <is>
          <t>As of today, from the latest figures held  [derived by rule — confirm]</t>
        </is>
      </c>
      <c r="O45" t="inlineStr">
        <is>
          <t>BOND_COUPON</t>
        </is>
      </c>
      <c r="P45" t="inlineStr"/>
      <c r="Q45" t="inlineStr"/>
      <c r="R45" t="inlineStr">
        <is>
          <t>NOT DETERMINED — no assumption recorded for this figure yet.</t>
        </is>
      </c>
      <c r="S45" t="inlineStr"/>
      <c r="T45" t="inlineStr"/>
      <c r="U45" t="inlineStr"/>
      <c r="V45" t="inlineStr"/>
      <c r="W45" t="inlineStr">
        <is>
          <t>NOT DETERMINED</t>
        </is>
      </c>
      <c r="X45" t="inlineStr">
        <is>
          <t>VERIFIED 2026-08-22</t>
        </is>
      </c>
    </row>
    <row r="46">
      <c r="A46" t="inlineStr">
        <is>
          <t>MK-NW-M-045</t>
        </is>
      </c>
      <c r="B46" t="inlineStr">
        <is>
          <t>Networth</t>
        </is>
      </c>
      <c r="C46" t="inlineStr">
        <is>
          <t>/bonds</t>
        </is>
      </c>
      <c r="D46" t="inlineStr">
        <is>
          <t>each bond — face, coupon, yield</t>
        </is>
      </c>
      <c r="E46" t="inlineStr">
        <is>
          <t>bi</t>
        </is>
      </c>
      <c r="F46" t="inlineStr">
        <is>
          <t>BOND_FACTS · BOND_COUPON</t>
        </is>
      </c>
      <c r="G46" t="inlineStr">
        <is>
          <t>MK-NW-E-030</t>
        </is>
      </c>
      <c r="H46" t="inlineStr">
        <is>
          <t>annual coupon = face × coupon rate</t>
        </is>
      </c>
      <c r="I46" t="inlineStr">
        <is>
          <t>Reads the stored bond fields off the holding and computes its yields. A holding with none of them is not a bond and returns nothing. · face value × coupon rate. NOT what the bond is worth today × the rate — a $10,000 bond paying 4% pays $400 whether it is trading at $9,800 or $11,000.</t>
        </is>
      </c>
      <c r="J46" t="inlineStr">
        <is>
          <t>the holding → position/account  [NO INPUT ID — not on the inputs tab] · face value → face  [MK-XS-I-011] · coupon rate → couponRate  [MK-XS-I-012]</t>
        </is>
      </c>
      <c r="K46" t="inlineStr">
        <is>
          <t>Percent · one decimal shown  [derived by rule — confirm]</t>
        </is>
      </c>
      <c r="L46" t="inlineStr">
        <is>
          <t>NOT DETERMINED — this engine has not been read for its refusal yet.</t>
        </is>
      </c>
      <c r="M46" t="inlineStr">
        <is>
          <t>One figure per bond  [derived by rule — confirm]</t>
        </is>
      </c>
      <c r="N46" t="inlineStr">
        <is>
          <t>As of today, from the latest figures held  [derived by rule — confirm]</t>
        </is>
      </c>
      <c r="O46" t="inlineStr">
        <is>
          <t>NOT DETERMINED</t>
        </is>
      </c>
      <c r="P46" t="inlineStr">
        <is>
          <t>DECIDES how a bond is NAMED on screen — issuer, or the identifying number, or a plain description; and DECIDES whether a line is a bond at all.</t>
        </is>
      </c>
      <c r="Q46" t="inlineStr"/>
      <c r="R46" t="inlineStr">
        <is>
          <t>NOT DETERMINED — no assumption recorded for this figure yet.</t>
        </is>
      </c>
      <c r="S46" t="inlineStr"/>
      <c r="T46" t="inlineStr"/>
      <c r="U46" t="inlineStr"/>
      <c r="V46" t="inlineStr"/>
      <c r="W46" t="inlineStr">
        <is>
          <t>NOT DETERMINED</t>
        </is>
      </c>
      <c r="X46" t="inlineStr">
        <is>
          <t>VERIFIED 2026-08-22</t>
        </is>
      </c>
    </row>
    <row r="47">
      <c r="A47" t="inlineStr"/>
      <c r="B47" t="inlineStr">
        <is>
          <t>Networth</t>
        </is>
      </c>
      <c r="C47" t="inlineStr">
        <is>
          <t>/add-account</t>
        </is>
      </c>
      <c r="D47" t="inlineStr">
        <is>
          <t>—</t>
        </is>
      </c>
      <c r="E47" t="inlineStr">
        <is>
          <t>—</t>
        </is>
      </c>
      <c r="F47" t="inlineStr">
        <is>
          <t>—</t>
        </is>
      </c>
      <c r="G47" t="inlineStr"/>
      <c r="H47" t="inlineStr"/>
      <c r="I47" t="inlineStr"/>
      <c r="J47" t="inlineStr"/>
      <c r="K47" t="inlineStr"/>
      <c r="L47" t="inlineStr"/>
      <c r="M47" t="inlineStr"/>
      <c r="N47" t="inlineStr"/>
      <c r="O47" t="inlineStr"/>
      <c r="P47" t="inlineStr"/>
      <c r="Q47" t="inlineStr"/>
      <c r="R47" t="inlineStr"/>
      <c r="S47" t="inlineStr"/>
      <c r="T47" t="inlineStr"/>
      <c r="U47" t="inlineStr"/>
      <c r="V47" t="inlineStr">
        <is>
          <t>NOT DETERMINED</t>
        </is>
      </c>
      <c r="W47" t="inlineStr">
        <is>
          <t>READ 2026-08-22 — no calculated figure on this screen</t>
        </is>
      </c>
    </row>
    <row r="48">
      <c r="A48" t="inlineStr"/>
      <c r="B48" t="inlineStr">
        <is>
          <t>Networth</t>
        </is>
      </c>
      <c r="C48" t="inlineStr">
        <is>
          <t>/connect</t>
        </is>
      </c>
      <c r="D48" t="inlineStr">
        <is>
          <t>—</t>
        </is>
      </c>
      <c r="E48" t="inlineStr">
        <is>
          <t>—</t>
        </is>
      </c>
      <c r="F48" t="inlineStr">
        <is>
          <t>—</t>
        </is>
      </c>
      <c r="G48" t="inlineStr"/>
      <c r="H48" t="inlineStr"/>
      <c r="I48" t="inlineStr"/>
      <c r="J48" t="inlineStr"/>
      <c r="K48" t="inlineStr"/>
      <c r="L48" t="inlineStr"/>
      <c r="M48" t="inlineStr"/>
      <c r="N48" t="inlineStr"/>
      <c r="O48" t="inlineStr"/>
      <c r="P48" t="inlineStr"/>
      <c r="Q48" t="inlineStr"/>
      <c r="R48" t="inlineStr"/>
      <c r="S48" t="inlineStr"/>
      <c r="T48" t="inlineStr"/>
      <c r="U48" t="inlineStr"/>
      <c r="V48" t="inlineStr">
        <is>
          <t>NOT DETERMINED</t>
        </is>
      </c>
      <c r="W48" t="inlineStr">
        <is>
          <t>READ 2026-08-22 — no calculated figure on this screen</t>
        </is>
      </c>
    </row>
    <row r="49">
      <c r="A49" t="inlineStr"/>
      <c r="B49" t="inlineStr">
        <is>
          <t>Networth</t>
        </is>
      </c>
      <c r="C49" t="inlineStr">
        <is>
          <t>/import-holdings</t>
        </is>
      </c>
      <c r="D49" t="inlineStr">
        <is>
          <t>—</t>
        </is>
      </c>
      <c r="E49" t="inlineStr">
        <is>
          <t>—</t>
        </is>
      </c>
      <c r="F49" t="inlineStr">
        <is>
          <t>—</t>
        </is>
      </c>
      <c r="G49" t="inlineStr"/>
      <c r="H49" t="inlineStr"/>
      <c r="I49" t="inlineStr"/>
      <c r="J49" t="inlineStr"/>
      <c r="K49" t="inlineStr"/>
      <c r="L49" t="inlineStr"/>
      <c r="M49" t="inlineStr"/>
      <c r="N49" t="inlineStr"/>
      <c r="O49" t="inlineStr"/>
      <c r="P49" t="inlineStr"/>
      <c r="Q49" t="inlineStr"/>
      <c r="R49" t="inlineStr"/>
      <c r="S49" t="inlineStr"/>
      <c r="T49" t="inlineStr"/>
      <c r="U49" t="inlineStr"/>
      <c r="V49" t="inlineStr">
        <is>
          <t>NOT DETERMINED</t>
        </is>
      </c>
      <c r="W49" t="inlineStr">
        <is>
          <t>READ 2026-08-22 — no calculated figure on this screen</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X16"/>
  <sheetViews>
    <sheetView workbookViewId="0">
      <pane ySplit="1" topLeftCell="A2" activePane="bottomLeft" state="frozen"/>
      <selection pane="bottomLeft" activeCell="A1" sqref="A1"/>
    </sheetView>
  </sheetViews>
  <sheetFormatPr baseColWidth="8" defaultRowHeight="15"/>
  <cols>
    <col width="17" customWidth="1" min="1" max="1"/>
    <col width="26" customWidth="1" min="2" max="2"/>
    <col width="29" customWidth="1" min="3" max="3"/>
    <col width="22" customWidth="1" min="4" max="4"/>
    <col width="33" customWidth="1" min="5" max="5"/>
    <col width="33" customWidth="1" min="6" max="6"/>
    <col width="17" customWidth="1" min="7" max="7"/>
    <col width="30" customWidth="1" min="8" max="8"/>
    <col width="26" customWidth="1" min="9" max="9"/>
    <col width="23" customWidth="1" min="10" max="10"/>
    <col width="42" customWidth="1" min="11" max="11"/>
    <col width="42" customWidth="1" min="12" max="12"/>
    <col width="35" customWidth="1" min="13" max="13"/>
    <col width="42" customWidth="1" min="14" max="14"/>
    <col width="29" customWidth="1" min="15" max="15"/>
    <col width="42" customWidth="1" min="16" max="16"/>
    <col width="37" customWidth="1" min="17" max="17"/>
    <col width="22" customWidth="1" min="18" max="18"/>
    <col width="28" customWidth="1" min="19" max="19"/>
    <col width="36" customWidth="1" min="20" max="20"/>
    <col width="41" customWidth="1" min="21" max="21"/>
    <col width="41" customWidth="1" min="22" max="22"/>
    <col width="20" customWidth="1" min="23" max="23"/>
    <col width="18" customWidth="1" min="24" max="24"/>
  </cols>
  <sheetData>
    <row r="1">
      <c r="A1" s="1" t="inlineStr">
        <is>
          <t>Metric ID</t>
        </is>
      </c>
      <c r="B1" s="1" t="inlineStr">
        <is>
          <t>Parent Screen Name</t>
        </is>
      </c>
      <c r="C1" s="1" t="inlineStr">
        <is>
          <t>Secondary Screen Name</t>
        </is>
      </c>
      <c r="D1" s="1" t="inlineStr">
        <is>
          <t>Name on Screen</t>
        </is>
      </c>
      <c r="E1" s="1" t="inlineStr">
        <is>
          <t>Name of Underlying Metric</t>
        </is>
      </c>
      <c r="F1" s="1" t="inlineStr">
        <is>
          <t>Name of Underlying Engine</t>
        </is>
      </c>
      <c r="G1" s="1" t="inlineStr">
        <is>
          <t>Engine ID</t>
        </is>
      </c>
      <c r="H1" s="1" t="inlineStr">
        <is>
          <t>Formula (mathematical)</t>
        </is>
      </c>
      <c r="I1" s="1" t="inlineStr">
        <is>
          <t>Formula (in words)</t>
        </is>
      </c>
      <c r="J1" s="1" t="inlineStr">
        <is>
          <t>Inputs it needs</t>
        </is>
      </c>
      <c r="K1" s="1" t="inlineStr">
        <is>
          <t>What comes out — unit and rounding</t>
        </is>
      </c>
      <c r="L1" s="1" t="inlineStr">
        <is>
          <t>What it says when it cannot be computed</t>
        </is>
      </c>
      <c r="M1" s="1" t="inlineStr">
        <is>
          <t>Grain — one figure per what</t>
        </is>
      </c>
      <c r="N1" s="1" t="inlineStr">
        <is>
          <t>Period — as of when, over what window</t>
        </is>
      </c>
      <c r="O1" s="1" t="inlineStr">
        <is>
          <t>Engines it depends on</t>
        </is>
      </c>
      <c r="P1" s="1" t="inlineStr">
        <is>
          <t>Secondary calculations and decisions the engine makes</t>
        </is>
      </c>
      <c r="Q1" s="1" t="inlineStr">
        <is>
          <t>Errors or findings to address</t>
        </is>
      </c>
      <c r="R1" s="1" t="inlineStr">
        <is>
          <t>Decisions made</t>
        </is>
      </c>
      <c r="S1" s="1" t="inlineStr">
        <is>
          <t>Same figure as (S16)</t>
        </is>
      </c>
      <c r="T1" s="1" t="inlineStr">
        <is>
          <t>Questions for you (numbered)</t>
        </is>
      </c>
      <c r="U1" s="1" t="inlineStr">
        <is>
          <t>YOUR ANSWER — use the same number</t>
        </is>
      </c>
      <c r="V1" s="1" t="inlineStr">
        <is>
          <t>Your name for it (72-metric file)</t>
        </is>
      </c>
      <c r="W1" s="1" t="inlineStr">
        <is>
          <t>Core screen?</t>
        </is>
      </c>
      <c r="X1" s="1" t="inlineStr">
        <is>
          <t>Row status</t>
        </is>
      </c>
    </row>
    <row r="2">
      <c r="A2" t="inlineStr">
        <is>
          <t>MK-PF-M-001</t>
        </is>
      </c>
      <c r="B2" t="inlineStr">
        <is>
          <t>Performance</t>
        </is>
      </c>
      <c r="C2" t="inlineStr">
        <is>
          <t>NA</t>
        </is>
      </c>
      <c r="D2" t="inlineStr">
        <is>
          <t>Ending value</t>
        </is>
      </c>
      <c r="E2" t="inlineStr">
        <is>
          <t>walk.ending</t>
        </is>
      </c>
      <c r="F2" t="inlineStr">
        <is>
          <t>NW_CHANGE_WALK</t>
        </is>
      </c>
      <c r="G2" t="inlineStr">
        <is>
          <t>MK-PF-E-001</t>
        </is>
      </c>
      <c r="H2" t="inlineStr">
        <is>
          <t>ending = beginning + money in − money out + income − costs + market change  (the identity that must close)</t>
        </is>
      </c>
      <c r="I2" t="inlineStr">
        <is>
          <t>WHAT IT IS TRYING TO DO. If you were worth $500,000 last month and $520,000 today, you gained $20,000 — but you want to know why. Did you save it? Did the market give it to you? Did you pay down a loan? Those feel completely different, and only one of them is luck.
HOW IT WORKS OUT EACH LINE. Everything except the last one is a real record: your deposits, your withdrawals, dividends paid, interest received, loan payments made.
THE PROBLEM IS THE LAST LINE. "How your investments moved" is not measured against a single share price. It is simply what is left over after everything else is accounted for. Whatever the app cannot explain lands there — wearing the label of a market movement.
A WORKED EXAMPLE OF THE FAULT. You were worth $939,089. You are still worth $939,089. Nothing moved. But the app thinks you deposited $500. Now the sums must balance: you put in $500 and ended level, so the investments must have LOST $500. The screen tells you the market took $500 from you. It did not. The deposit was wrong.
And a real $500 loss produces exactly the same line. You cannot tell them apart, which is why a wrong deposit anywhere becomes a market movement that never happened.</t>
        </is>
      </c>
      <c r="J2" t="inlineStr">
        <is>
          <t>starting value → beginning  [NO INPUT ID — not on the inputs tab] · ending value → ending  [NO INPUT ID — not on the inputs tab] · money in → contributions  [NO INPUT ID — not on the inputs tab] · money out → withdrawals  [NO INPUT ID — not on the inputs tab] · dividends → dividends  [NO INPUT ID — not on the inputs tab] · interest → interest  [NO INPUT ID — not on the inputs tab] · debt paid down → debtPrincipal  [NO INPUT ID — not on the inputs tab]</t>
        </is>
      </c>
      <c r="K2" t="inlineStr">
        <is>
          <t>US dollars · held to the cent · shown as whole dollars  [derived by rule — confirm]</t>
        </is>
      </c>
      <c r="L2" t="inlineStr">
        <is>
          <t>Where the record does not reach back far enough, the beginning is back-solved and the walk says so. With neither record nor flows it refuses.</t>
        </is>
      </c>
      <c r="M2" t="inlineStr">
        <is>
          <t>One figure per person — or per household when two people share one record  [derived by rule — confirm]</t>
        </is>
      </c>
      <c r="N2" t="inlineStr">
        <is>
          <t>As of today, from the latest figures held  [derived by rule — confirm]</t>
        </is>
      </c>
      <c r="O2" t="inlineStr">
        <is>
          <t>None found in the code — it reads raw values only</t>
        </is>
      </c>
      <c r="P2" t="inlineStr"/>
      <c r="Q2" t="inlineStr">
        <is>
          <t>Beginning values are read from the daily record, which never leaves the phone. On a new device there is no beginning, so the walk back-solves one or refuses.</t>
        </is>
      </c>
      <c r="R2" t="inlineStr">
        <is>
          <t>[Founder] The identity must close: ending = beginning + money in − money out + income − costs + market change. A direction stated by the institution never overrides a contradicting sign — a −$500 line marked IN is a reversal.</t>
        </is>
      </c>
      <c r="S2" t="inlineStr">
        <is>
          <t>THE SURVIVING IDENTIFIER for this figure. Folded in: MK-PF-M-003. The ending value, shown as its own line and again inside the heading "HOW $X BECAME $Y". Same screen, same figure, twice.</t>
        </is>
      </c>
      <c r="T2" t="inlineStr"/>
      <c r="U2" t="inlineStr"/>
      <c r="V2" t="inlineStr"/>
      <c r="W2" t="inlineStr">
        <is>
          <t>NOT DETERMINED</t>
        </is>
      </c>
      <c r="X2" t="inlineStr">
        <is>
          <t>VERIFIED 2026-08-22</t>
        </is>
      </c>
    </row>
    <row r="3">
      <c r="A3" t="inlineStr">
        <is>
          <t>MK-PF-M-002</t>
        </is>
      </c>
      <c r="B3" t="inlineStr">
        <is>
          <t>Performance</t>
        </is>
      </c>
      <c r="C3" t="inlineStr">
        <is>
          <t>NA</t>
        </is>
      </c>
      <c r="D3" t="inlineStr">
        <is>
          <t>Wealth generated</t>
        </is>
      </c>
      <c r="E3" t="inlineStr">
        <is>
          <t>walk.wealthGenerated</t>
        </is>
      </c>
      <c r="F3" t="inlineStr">
        <is>
          <t>NW_CHANGE_WALK</t>
        </is>
      </c>
      <c r="G3" t="inlineStr">
        <is>
          <t>MK-PF-E-001</t>
        </is>
      </c>
      <c r="H3" t="inlineStr">
        <is>
          <t>ending = beginning + money in − money out + income − costs + market change  (the identity that must close)</t>
        </is>
      </c>
      <c r="I3" t="inlineStr">
        <is>
          <t>WHAT IT IS TRYING TO DO. If you were worth $500,000 last month and $520,000 today, you gained $20,000 — but you want to know why. Did you save it? Did the market give it to you? Did you pay down a loan? Those feel completely different, and only one of them is luck.
HOW IT WORKS OUT EACH LINE. Everything except the last one is a real record: your deposits, your withdrawals, dividends paid, interest received, loan payments made.
THE PROBLEM IS THE LAST LINE. "How your investments moved" is not measured against a single share price. It is simply what is left over after everything else is accounted for. Whatever the app cannot explain lands there — wearing the label of a market movement.
A WORKED EXAMPLE OF THE FAULT. You were worth $939,089. You are still worth $939,089. Nothing moved. But the app thinks you deposited $500. Now the sums must balance: you put in $500 and ended level, so the investments must have LOST $500. The screen tells you the market took $500 from you. It did not. The deposit was wrong.
And a real $500 loss produces exactly the same line. You cannot tell them apart, which is why a wrong deposit anywhere becomes a market movement that never happened.</t>
        </is>
      </c>
      <c r="J3" t="inlineStr">
        <is>
          <t>starting value → beginning  [NO INPUT ID — not on the inputs tab] · ending value → ending  [NO INPUT ID — not on the inputs tab] · money in → contributions  [NO INPUT ID — not on the inputs tab] · money out → withdrawals  [NO INPUT ID — not on the inputs tab] · dividends → dividends  [NO INPUT ID — not on the inputs tab] · interest → interest  [NO INPUT ID — not on the inputs tab] · debt paid down → debtPrincipal  [NO INPUT ID — not on the inputs tab]</t>
        </is>
      </c>
      <c r="K3" t="inlineStr">
        <is>
          <t>Percent · one decimal shown  [derived by rule — confirm]</t>
        </is>
      </c>
      <c r="L3" t="inlineStr">
        <is>
          <t>Where the record does not reach back far enough, the beginning is back-solved and the walk says so. With neither record nor flows it refuses.</t>
        </is>
      </c>
      <c r="M3" t="inlineStr">
        <is>
          <t>One figure per person — or per household when two people share one record  [derived by rule — confirm]</t>
        </is>
      </c>
      <c r="N3" t="inlineStr">
        <is>
          <t>As of today, from the latest figures held  [derived by rule — confirm]</t>
        </is>
      </c>
      <c r="O3" t="inlineStr">
        <is>
          <t>None found in the code — it reads raw values only</t>
        </is>
      </c>
      <c r="P3" t="inlineStr"/>
      <c r="Q3" t="inlineStr">
        <is>
          <t>Beginning values are read from the daily record, which never leaves the phone. On a new device there is no beginning, so the walk back-solves one or refuses.</t>
        </is>
      </c>
      <c r="R3" t="inlineStr">
        <is>
          <t>[Founder] The identity must close: ending = beginning + money in − money out + income − costs + market change. A direction stated by the institution never overrides a contradicting sign — a −$500 line marked IN is a reversal.</t>
        </is>
      </c>
      <c r="S3" t="inlineStr"/>
      <c r="T3" t="inlineStr"/>
      <c r="U3" t="inlineStr"/>
      <c r="V3" t="inlineStr"/>
      <c r="W3" t="inlineStr">
        <is>
          <t>NOT DETERMINED</t>
        </is>
      </c>
      <c r="X3" t="inlineStr">
        <is>
          <t>VERIFIED 2026-08-22</t>
        </is>
      </c>
    </row>
    <row r="4">
      <c r="A4" t="inlineStr">
        <is>
          <t>MK-PF-M-003</t>
        </is>
      </c>
      <c r="B4" t="inlineStr">
        <is>
          <t>Performance</t>
        </is>
      </c>
      <c r="C4" t="inlineStr">
        <is>
          <t>NA</t>
        </is>
      </c>
      <c r="D4" t="inlineStr">
        <is>
          <t>HOW $X BECAME $Y · ALL ACCOUNTS</t>
        </is>
      </c>
      <c r="E4" t="inlineStr">
        <is>
          <t>walk.beginning / walk.ending</t>
        </is>
      </c>
      <c r="F4" t="inlineStr">
        <is>
          <t>NW_CHANGE_WALK</t>
        </is>
      </c>
      <c r="G4" t="inlineStr">
        <is>
          <t>MK-PF-E-001</t>
        </is>
      </c>
      <c r="H4" t="inlineStr">
        <is>
          <t>ending = beginning + money in − money out + income − costs + market change  (the identity that must close)</t>
        </is>
      </c>
      <c r="I4" t="inlineStr">
        <is>
          <t>WHAT IT IS TRYING TO DO. If you were worth $500,000 last month and $520,000 today, you gained $20,000 — but you want to know why. Did you save it? Did the market give it to you? Did you pay down a loan? Those feel completely different, and only one of them is luck.
HOW IT WORKS OUT EACH LINE. Everything except the last one is a real record: your deposits, your withdrawals, dividends paid, interest received, loan payments made.
THE PROBLEM IS THE LAST LINE. "How your investments moved" is not measured against a single share price. It is simply what is left over after everything else is accounted for. Whatever the app cannot explain lands there — wearing the label of a market movement.
A WORKED EXAMPLE OF THE FAULT. You were worth $939,089. You are still worth $939,089. Nothing moved. But the app thinks you deposited $500. Now the sums must balance: you put in $500 and ended level, so the investments must have LOST $500. The screen tells you the market took $500 from you. It did not. The deposit was wrong.
And a real $500 loss produces exactly the same line. You cannot tell them apart, which is why a wrong deposit anywhere becomes a market movement that never happened.</t>
        </is>
      </c>
      <c r="J4" t="inlineStr">
        <is>
          <t>starting value → beginning  [NO INPUT ID — not on the inputs tab] · ending value → ending  [NO INPUT ID — not on the inputs tab] · money in → contributions  [NO INPUT ID — not on the inputs tab] · money out → withdrawals  [NO INPUT ID — not on the inputs tab] · dividends → dividends  [NO INPUT ID — not on the inputs tab] · interest → interest  [NO INPUT ID — not on the inputs tab] · debt paid down → debtPrincipal  [NO INPUT ID — not on the inputs tab]</t>
        </is>
      </c>
      <c r="K4" t="inlineStr">
        <is>
          <t>A count · whole units, except crypto which keeps its fractions  [derived by rule — confirm]</t>
        </is>
      </c>
      <c r="L4" t="inlineStr">
        <is>
          <t>Where the record does not reach back far enough, the beginning is back-solved and the walk says so. With neither record nor flows it refuses.</t>
        </is>
      </c>
      <c r="M4" t="inlineStr">
        <is>
          <t>One figure per account  [derived by rule — confirm]</t>
        </is>
      </c>
      <c r="N4" t="inlineStr">
        <is>
          <t>As of today, from the latest figures held  [derived by rule — confirm]</t>
        </is>
      </c>
      <c r="O4" t="inlineStr">
        <is>
          <t>None found in the code — it reads raw values only</t>
        </is>
      </c>
      <c r="P4" t="inlineStr"/>
      <c r="Q4" t="inlineStr">
        <is>
          <t>Beginning values are read from the daily record, which never leaves the phone. On a new device there is no beginning, so the walk back-solves one or refuses.</t>
        </is>
      </c>
      <c r="R4" t="inlineStr">
        <is>
          <t>[Founder] The identity must close: ending = beginning + money in − money out + income − costs + market change. A direction stated by the institution never overrides a contradicting sign — a −$500 line marked IN is a reversal.</t>
        </is>
      </c>
      <c r="S4" t="inlineStr">
        <is>
          <t>THE SAME FIGURE AS MK-PF-M-001 — The ending value, shown as its own line and again inside the heading "HOW $X BECAME $Y". Same screen, same figure, twice.</t>
        </is>
      </c>
      <c r="T4" t="inlineStr"/>
      <c r="U4" t="inlineStr"/>
      <c r="V4" t="inlineStr"/>
      <c r="W4" t="inlineStr">
        <is>
          <t>NOT DETERMINED</t>
        </is>
      </c>
      <c r="X4" t="inlineStr">
        <is>
          <t>VERIFIED 2026-08-22</t>
        </is>
      </c>
    </row>
    <row r="5">
      <c r="A5" t="inlineStr">
        <is>
          <t>MK-PF-M-004</t>
        </is>
      </c>
      <c r="B5" t="inlineStr">
        <is>
          <t>Performance</t>
        </is>
      </c>
      <c r="C5" t="inlineStr">
        <is>
          <t>NA</t>
        </is>
      </c>
      <c r="D5" t="inlineStr">
        <is>
          <t>Ending market value (per account)</t>
        </is>
      </c>
      <c r="E5" t="inlineStr">
        <is>
          <t>w.ending</t>
        </is>
      </c>
      <c r="F5" t="inlineStr">
        <is>
          <t>NW_CHANGE_WALK</t>
        </is>
      </c>
      <c r="G5" t="inlineStr">
        <is>
          <t>MK-PF-E-001</t>
        </is>
      </c>
      <c r="H5" t="inlineStr">
        <is>
          <t>ending = beginning + money in − money out + income − costs + market change  (the identity that must close)</t>
        </is>
      </c>
      <c r="I5" t="inlineStr">
        <is>
          <t>WHAT IT IS TRYING TO DO. If you were worth $500,000 last month and $520,000 today, you gained $20,000 — but you want to know why. Did you save it? Did the market give it to you? Did you pay down a loan? Those feel completely different, and only one of them is luck.
HOW IT WORKS OUT EACH LINE. Everything except the last one is a real record: your deposits, your withdrawals, dividends paid, interest received, loan payments made.
THE PROBLEM IS THE LAST LINE. "How your investments moved" is not measured against a single share price. It is simply what is left over after everything else is accounted for. Whatever the app cannot explain lands there — wearing the label of a market movement.
A WORKED EXAMPLE OF THE FAULT. You were worth $939,089. You are still worth $939,089. Nothing moved. But the app thinks you deposited $500. Now the sums must balance: you put in $500 and ended level, so the investments must have LOST $500. The screen tells you the market took $500 from you. It did not. The deposit was wrong.
And a real $500 loss produces exactly the same line. You cannot tell them apart, which is why a wrong deposit anywhere becomes a market movement that never happened.</t>
        </is>
      </c>
      <c r="J5" t="inlineStr">
        <is>
          <t>starting value → beginning  [NO INPUT ID — not on the inputs tab] · ending value → ending  [NO INPUT ID — not on the inputs tab] · money in → contributions  [NO INPUT ID — not on the inputs tab] · money out → withdrawals  [NO INPUT ID — not on the inputs tab] · dividends → dividends  [NO INPUT ID — not on the inputs tab] · interest → interest  [NO INPUT ID — not on the inputs tab] · debt paid down → debtPrincipal  [NO INPUT ID — not on the inputs tab]</t>
        </is>
      </c>
      <c r="K5" t="inlineStr">
        <is>
          <t>A count · whole units, except crypto which keeps its fractions  [derived by rule — confirm]</t>
        </is>
      </c>
      <c r="L5" t="inlineStr">
        <is>
          <t>Where the record does not reach back far enough, the beginning is back-solved and the walk says so. With neither record nor flows it refuses.</t>
        </is>
      </c>
      <c r="M5" t="inlineStr">
        <is>
          <t>One figure per account  [derived by rule — confirm]</t>
        </is>
      </c>
      <c r="N5" t="inlineStr">
        <is>
          <t>As of today, from the latest figures held  [derived by rule — confirm]</t>
        </is>
      </c>
      <c r="O5" t="inlineStr">
        <is>
          <t>None found in the code — it reads raw values only</t>
        </is>
      </c>
      <c r="P5" t="inlineStr"/>
      <c r="Q5" t="inlineStr">
        <is>
          <t>Beginning values are read from the daily record, which never leaves the phone. On a new device there is no beginning, so the walk back-solves one or refuses.</t>
        </is>
      </c>
      <c r="R5" t="inlineStr">
        <is>
          <t>[Founder] The identity must close: ending = beginning + money in − money out + income − costs + market change. A direction stated by the institution never overrides a contradicting sign — a −$500 line marked IN is a reversal.</t>
        </is>
      </c>
      <c r="S5" t="inlineStr"/>
      <c r="T5" t="inlineStr"/>
      <c r="U5" t="inlineStr"/>
      <c r="V5" t="inlineStr"/>
      <c r="W5" t="inlineStr">
        <is>
          <t>NOT DETERMINED</t>
        </is>
      </c>
      <c r="X5" t="inlineStr">
        <is>
          <t>VERIFIED 2026-08-22</t>
        </is>
      </c>
    </row>
    <row r="6">
      <c r="A6" t="inlineStr">
        <is>
          <t>MK-PF-M-005</t>
        </is>
      </c>
      <c r="B6" t="inlineStr">
        <is>
          <t>Performance</t>
        </is>
      </c>
      <c r="C6" t="inlineStr">
        <is>
          <t>NA</t>
        </is>
      </c>
      <c r="D6" t="inlineStr">
        <is>
          <t>each account and its ending value</t>
        </is>
      </c>
      <c r="E6" t="inlineStr">
        <is>
          <t>a.ending</t>
        </is>
      </c>
      <c r="F6" t="inlineStr">
        <is>
          <t>PERFORMANCE_TABLE</t>
        </is>
      </c>
      <c r="G6" t="inlineStr">
        <is>
          <t>MK-PF-E-002</t>
        </is>
      </c>
      <c r="H6" t="inlineStr">
        <is>
          <t>per account: ending;  per category: earned = Σ(ending − beginning − net money in);  return = earned ÷ average value held</t>
        </is>
      </c>
      <c r="I6" t="inlineStr">
        <is>
          <t>For each holding: fetch its price series; work out value, cost and gain from its lots; then choose HOW to measure its period return —
• bought BEFORE the period started → the ordinary period return from the price series
• bought DURING the period → return since purchase instead, and the row is marked as shortened, because measuring a full year on something owned for a month would be nonsense
The benchmark is measured over THE SAME window, shortened the same way, so the comparison is like for like. Beat-by is simply one minus the other, and is left blank when either side is missing.</t>
        </is>
      </c>
      <c r="J6" t="inlineStr">
        <is>
          <t>the holdings → positions  [NO INPUT ID — not on the inputs tab] · prices → priceOf(ticker)  [MK-XS-I-005] · the chosen chip → period  [NO INPUT ID — not on the inputs tab] · today → now  [NO INPUT ID — not on the inputs tab]</t>
        </is>
      </c>
      <c r="K6" t="inlineStr">
        <is>
          <t>A count · whole units, except crypto which keeps its fractions  [derived by rule — confirm]</t>
        </is>
      </c>
      <c r="L6" t="inlineStr">
        <is>
          <t>Adds up to $0 when there is nothing to add. Zero and "nothing recorded yet" look identical on screen — worth a decision.</t>
        </is>
      </c>
      <c r="M6" t="inlineStr">
        <is>
          <t>One figure per account  [derived by rule — confirm]</t>
        </is>
      </c>
      <c r="N6" t="inlineStr">
        <is>
          <t>As of today, from the latest figures held  [derived by rule — confirm]</t>
        </is>
      </c>
      <c r="O6" t="inlineStr">
        <is>
          <t>BENCHMARK_FOR_KIND · HOLDING_COST_BASIS · HOLDING_FIRST_BOUGHT · HOLDING_MARKET_VALUE · HOLDING_TOTAL_ROI · HOLDING_UNREALISED_GAIN · PERIOD_RETURN · PERIOD_START_DATE · PRICE_LATEST · RETURN_SINCE_A_DATE</t>
        </is>
      </c>
      <c r="P6" t="inlineStr"/>
      <c r="Q6" t="inlineStr"/>
      <c r="R6" t="inlineStr">
        <is>
          <t>NOT DETERMINED — no assumption recorded for this figure yet.</t>
        </is>
      </c>
      <c r="S6" t="inlineStr"/>
      <c r="T6" t="inlineStr"/>
      <c r="U6" t="inlineStr"/>
      <c r="V6" t="inlineStr"/>
      <c r="W6" t="inlineStr">
        <is>
          <t>NOT DETERMINED</t>
        </is>
      </c>
      <c r="X6" t="inlineStr">
        <is>
          <t>VERIFIED 2026-08-22</t>
        </is>
      </c>
    </row>
    <row r="7">
      <c r="A7" t="inlineStr">
        <is>
          <t>MK-PF-M-006</t>
        </is>
      </c>
      <c r="B7" t="inlineStr">
        <is>
          <t>Performance</t>
        </is>
      </c>
      <c r="C7" t="inlineStr">
        <is>
          <t>NA</t>
        </is>
      </c>
      <c r="D7" t="inlineStr">
        <is>
          <t>WHAT EACH CATEGORY EARNED — RETURN</t>
        </is>
      </c>
      <c r="E7" t="inlineStr">
        <is>
          <t>b.earned / b.ret</t>
        </is>
      </c>
      <c r="F7" t="inlineStr">
        <is>
          <t>PERFORMANCE_TABLE</t>
        </is>
      </c>
      <c r="G7" t="inlineStr">
        <is>
          <t>MK-PF-E-002</t>
        </is>
      </c>
      <c r="H7" t="inlineStr">
        <is>
          <t>per account: ending;  per category: earned = Σ(ending − beginning − net money in);  return = earned ÷ average value held</t>
        </is>
      </c>
      <c r="I7" t="inlineStr">
        <is>
          <t>For each holding: fetch its price series; work out value, cost and gain from its lots; then choose HOW to measure its period return —
• bought BEFORE the period started → the ordinary period return from the price series
• bought DURING the period → return since purchase instead, and the row is marked as shortened, because measuring a full year on something owned for a month would be nonsense
The benchmark is measured over THE SAME window, shortened the same way, so the comparison is like for like. Beat-by is simply one minus the other, and is left blank when either side is missing.</t>
        </is>
      </c>
      <c r="J7" t="inlineStr">
        <is>
          <t>the holdings → positions  [NO INPUT ID — not on the inputs tab] · prices → priceOf(ticker)  [MK-XS-I-005] · the chosen chip → period  [NO INPUT ID — not on the inputs tab] · today → now  [NO INPUT ID — not on the inputs tab]</t>
        </is>
      </c>
      <c r="K7" t="inlineStr">
        <is>
          <t>Percent · one decimal shown  [derived by rule — confirm]</t>
        </is>
      </c>
      <c r="L7" t="inlineStr">
        <is>
          <t>Adds up to $0 when there is nothing to add. Zero and "nothing recorded yet" look identical on screen — worth a decision.</t>
        </is>
      </c>
      <c r="M7" t="inlineStr">
        <is>
          <t>One figure per category  [derived by rule — confirm]</t>
        </is>
      </c>
      <c r="N7" t="inlineStr">
        <is>
          <t>The window the person chose on screen  [derived by rule — confirm]</t>
        </is>
      </c>
      <c r="O7" t="inlineStr">
        <is>
          <t>BENCHMARK_FOR_KIND · HOLDING_COST_BASIS · HOLDING_FIRST_BOUGHT · HOLDING_MARKET_VALUE · HOLDING_TOTAL_ROI · HOLDING_UNREALISED_GAIN · PERIOD_RETURN · PERIOD_START_DATE · PRICE_LATEST · RETURN_SINCE_A_DATE</t>
        </is>
      </c>
      <c r="P7" t="inlineStr"/>
      <c r="Q7" t="inlineStr"/>
      <c r="R7" t="inlineStr">
        <is>
          <t>NOT DETERMINED — no assumption recorded for this figure yet.</t>
        </is>
      </c>
      <c r="S7" t="inlineStr"/>
      <c r="T7" t="inlineStr"/>
      <c r="U7" t="inlineStr"/>
      <c r="V7" t="inlineStr"/>
      <c r="W7" t="inlineStr">
        <is>
          <t>NOT DETERMINED</t>
        </is>
      </c>
      <c r="X7" t="inlineStr">
        <is>
          <t>VERIFIED 2026-08-22</t>
        </is>
      </c>
    </row>
    <row r="8">
      <c r="A8" t="inlineStr">
        <is>
          <t>MK-PF-M-007</t>
        </is>
      </c>
      <c r="B8" t="inlineStr">
        <is>
          <t>Performance</t>
        </is>
      </c>
      <c r="C8" t="inlineStr">
        <is>
          <t>NA</t>
        </is>
      </c>
      <c r="D8" t="inlineStr">
        <is>
          <t>All categories</t>
        </is>
      </c>
      <c r="E8" t="inlineStr">
        <is>
          <t>total</t>
        </is>
      </c>
      <c r="F8" t="inlineStr">
        <is>
          <t>PERFORMANCE_TABLE</t>
        </is>
      </c>
      <c r="G8" t="inlineStr">
        <is>
          <t>MK-PF-E-002</t>
        </is>
      </c>
      <c r="H8" t="inlineStr">
        <is>
          <t>per account: ending;  per category: earned = Σ(ending − beginning − net money in);  return = earned ÷ average value held</t>
        </is>
      </c>
      <c r="I8" t="inlineStr">
        <is>
          <t>For each holding: fetch its price series; work out value, cost and gain from its lots; then choose HOW to measure its period return —
• bought BEFORE the period started → the ordinary period return from the price series
• bought DURING the period → return since purchase instead, and the row is marked as shortened, because measuring a full year on something owned for a month would be nonsense
The benchmark is measured over THE SAME window, shortened the same way, so the comparison is like for like. Beat-by is simply one minus the other, and is left blank when either side is missing.</t>
        </is>
      </c>
      <c r="J8" t="inlineStr">
        <is>
          <t>the holdings → positions  [NO INPUT ID — not on the inputs tab] · prices → priceOf(ticker)  [MK-XS-I-005] · the chosen chip → period  [NO INPUT ID — not on the inputs tab] · today → now  [NO INPUT ID — not on the inputs tab]</t>
        </is>
      </c>
      <c r="K8" t="inlineStr">
        <is>
          <t>US dollars · held to the cent · shown as whole dollars  [derived by rule — confirm]</t>
        </is>
      </c>
      <c r="L8" t="inlineStr">
        <is>
          <t>Adds up to $0 when there is nothing to add. Zero and "nothing recorded yet" look identical on screen — worth a decision.</t>
        </is>
      </c>
      <c r="M8" t="inlineStr">
        <is>
          <t>One figure per person — or per household when two people share one record  [derived by rule — confirm]</t>
        </is>
      </c>
      <c r="N8" t="inlineStr">
        <is>
          <t>As of today, from the latest figures held  [derived by rule — confirm]</t>
        </is>
      </c>
      <c r="O8" t="inlineStr">
        <is>
          <t>BENCHMARK_FOR_KIND · HOLDING_COST_BASIS · HOLDING_FIRST_BOUGHT · HOLDING_MARKET_VALUE · HOLDING_TOTAL_ROI · HOLDING_UNREALISED_GAIN · PERIOD_RETURN · PERIOD_START_DATE · PRICE_LATEST · RETURN_SINCE_A_DATE</t>
        </is>
      </c>
      <c r="P8" t="inlineStr"/>
      <c r="Q8" t="inlineStr"/>
      <c r="R8" t="inlineStr">
        <is>
          <t>NOT DETERMINED — no assumption recorded for this figure yet.</t>
        </is>
      </c>
      <c r="S8" t="inlineStr"/>
      <c r="T8" t="inlineStr"/>
      <c r="U8" t="inlineStr"/>
      <c r="V8" t="inlineStr"/>
      <c r="W8" t="inlineStr">
        <is>
          <t>NOT DETERMINED</t>
        </is>
      </c>
      <c r="X8" t="inlineStr">
        <is>
          <t>VERIFIED 2026-08-22</t>
        </is>
      </c>
    </row>
    <row r="9">
      <c r="A9" t="inlineStr">
        <is>
          <t>MK-PF-M-008</t>
        </is>
      </c>
      <c r="B9" t="inlineStr">
        <is>
          <t>Performance</t>
        </is>
      </c>
      <c r="C9" t="inlineStr">
        <is>
          <t>NA</t>
        </is>
      </c>
      <c r="D9" t="inlineStr">
        <is>
          <t>HONEST COMPARISON</t>
        </is>
      </c>
      <c r="E9" t="inlineStr">
        <is>
          <t>benchPort</t>
        </is>
      </c>
      <c r="F9" t="inlineStr">
        <is>
          <t>BENCHMARK_RETURN_BLENDED</t>
        </is>
      </c>
      <c r="G9" t="inlineStr">
        <is>
          <t>MK-PF-E-003</t>
        </is>
      </c>
      <c r="H9" t="inlineStr">
        <is>
          <t>benchmark return = Σ(weight of each class × that class’s index return over the same window)</t>
        </is>
      </c>
      <c r="I9" t="inlineStr">
        <is>
          <t>The same money-weighted blend, over each holding's own benchmark rather than the holding itself. Blending the benchmarks the same way is what makes "you beat it by" a fair statement rather than a comparison against a single index nobody holds.</t>
        </is>
      </c>
      <c r="J9" t="inlineStr">
        <is>
          <t>each holding's benchmark return → rows[].benchReturn  [NO INPUT ID — not on the inputs tab] · its value → rows[].marketValue  [NO INPUT ID — not on the inputs tab]</t>
        </is>
      </c>
      <c r="K9" t="inlineStr">
        <is>
          <t>US dollars · held to the cent · shown as whole dollars  [derived by rule — confirm]</t>
        </is>
      </c>
      <c r="L9" t="inlineStr">
        <is>
          <t>Adds up to $0 when there is nothing to add. Zero and "nothing recorded yet" look identical on screen — worth a decision.</t>
        </is>
      </c>
      <c r="M9" t="inlineStr">
        <is>
          <t>One figure per person — or per household when two people share one record  [derived by rule — confirm]</t>
        </is>
      </c>
      <c r="N9" t="inlineStr">
        <is>
          <t>The window the person chose on screen  [derived by rule — confirm]</t>
        </is>
      </c>
      <c r="O9" t="inlineStr">
        <is>
          <t>None found in the code — it reads raw values only</t>
        </is>
      </c>
      <c r="P9" t="inlineStr"/>
      <c r="Q9" t="inlineStr"/>
      <c r="R9" t="inlineStr">
        <is>
          <t>NOT DETERMINED — no assumption recorded for this figure yet.</t>
        </is>
      </c>
      <c r="S9" t="inlineStr"/>
      <c r="T9" t="inlineStr">
        <is>
          <t>Q33 — Which index should each asset class be compared against, and should the person be able to change it?</t>
        </is>
      </c>
      <c r="U9" t="inlineStr"/>
      <c r="V9" t="inlineStr"/>
      <c r="W9" t="inlineStr">
        <is>
          <t>NOT DETERMINED</t>
        </is>
      </c>
      <c r="X9" t="inlineStr">
        <is>
          <t>VERIFIED 2026-08-22</t>
        </is>
      </c>
    </row>
    <row r="10">
      <c r="A10" t="inlineStr">
        <is>
          <t>MK-PF-M-009</t>
        </is>
      </c>
      <c r="B10" t="inlineStr">
        <is>
          <t>Performance</t>
        </is>
      </c>
      <c r="C10" t="inlineStr">
        <is>
          <t>NA</t>
        </is>
      </c>
      <c r="D10" t="inlineStr">
        <is>
          <t>Return (money-weighted, when the record covers it)</t>
        </is>
      </c>
      <c r="E10" t="inlineStr">
        <is>
          <t>mw.rate</t>
        </is>
      </c>
      <c r="F10" t="inlineStr">
        <is>
          <t>MODIFIED_DIETZ (Calculation Module code/engines/window-return.ts)</t>
        </is>
      </c>
      <c r="G10" t="inlineStr">
        <is>
          <t>MK-PF-E-004</t>
        </is>
      </c>
      <c r="H10" t="inlineStr">
        <is>
          <t>r = (EMV − BMV − F) ÷ (BMV + Σ(Fᵢ × wᵢ)),  wᵢ = (days in window − days before flow i) ÷ days in window</t>
        </is>
      </c>
      <c r="I10" t="inlineStr">
        <is>
          <t>A return that accounts for WHEN money moved in or out: each flow is weighted by how much of the window it was invested for. Refused, with the dollar walk shown instead, when the timing matters too much for one percentage to be honest.</t>
        </is>
      </c>
      <c r="J10" t="inlineStr">
        <is>
          <t>NOT DETERMINED — no input list on record for this engine</t>
        </is>
      </c>
      <c r="K10" t="inlineStr">
        <is>
          <t>Percent · one decimal shown  [derived by rule — confirm]</t>
        </is>
      </c>
      <c r="L10" t="inlineStr">
        <is>
          <t>REFUSES when the timing of money moving in or out drives the percentage more than the investments do, and shows the dollar walk instead. Also refuses when the starting value is zero or negative.</t>
        </is>
      </c>
      <c r="M10" t="inlineStr">
        <is>
          <t>One figure per person — or per household when two people share one record  [derived by rule — confirm]</t>
        </is>
      </c>
      <c r="N10" t="inlineStr">
        <is>
          <t>The window the person chose on screen  [derived by rule — confirm]</t>
        </is>
      </c>
      <c r="O10" t="inlineStr">
        <is>
          <t>NOT DETERMINED</t>
        </is>
      </c>
      <c r="P10" t="inlineStr"/>
      <c r="Q10" t="inlineStr"/>
      <c r="R10" t="inlineStr">
        <is>
          <t>[Founder] When the timing of money moving in or out drives the percentage more than the investments do, the figure is REFUSED and the dollar walk is shown instead.</t>
        </is>
      </c>
      <c r="S10" t="inlineStr"/>
      <c r="T10" t="inlineStr"/>
      <c r="U10" t="inlineStr"/>
      <c r="V10" t="inlineStr"/>
      <c r="W10" t="inlineStr">
        <is>
          <t>NOT DETERMINED</t>
        </is>
      </c>
      <c r="X10" t="inlineStr">
        <is>
          <t>VERIFIED 2026-08-22</t>
        </is>
      </c>
    </row>
    <row r="11">
      <c r="A11" t="inlineStr">
        <is>
          <t>MK-PF-M-010</t>
        </is>
      </c>
      <c r="B11" t="inlineStr">
        <is>
          <t>Performance</t>
        </is>
      </c>
      <c r="C11" t="inlineStr">
        <is>
          <t>/look-back</t>
        </is>
      </c>
      <c r="D11" t="inlineStr">
        <is>
          <t>Left in &lt;fund&gt; it became $X (up/down $Y, Z%)</t>
        </is>
      </c>
      <c r="E11" t="inlineStr">
        <is>
          <t>result.stayed</t>
        </is>
      </c>
      <c r="F11" t="inlineStr">
        <is>
          <t>LOOK_BACK</t>
        </is>
      </c>
      <c r="G11" t="inlineStr">
        <is>
          <t>MK-PF-E-005</t>
        </is>
      </c>
      <c r="H11" t="inlineStr">
        <is>
          <t>stayed = value × (1 + return of what is held);  moved = value × (1 + return of the alternative);  difference = moved − stayed</t>
        </is>
      </c>
      <c r="I11" t="inlineStr">
        <is>
          <t>Grow the amount by each holding's real price movement over the window, and subtract one from the other. Every figure comes from ACTUAL PAST PRICES.
A move that would have lost money returns a real negative — it never quietly reports zero.
Nothing to compare, or a history too short on either side → nothing at all.
It is explicitly BACKWARD-looking: a fact about what did happen, never a suggestion about what to do next.</t>
        </is>
      </c>
      <c r="J11" t="inlineStr">
        <is>
          <t>the amount → amount  [MK-XS-I-008] · where it sat → fromSeries  [NO INPUT ID — not on the inputs tab] · where it might have gone → toSeries  [NO INPUT ID — not on the inputs tab] · how far back → months  [NO INPUT ID — not on the inputs tab]</t>
        </is>
      </c>
      <c r="K11" t="inlineStr">
        <is>
          <t>Percent · one decimal shown  [derived by rule — confirm]</t>
        </is>
      </c>
      <c r="L11" t="inlineStr">
        <is>
          <t>Without enough price history for both sides it declines the comparison rather than compare unequal periods.</t>
        </is>
      </c>
      <c r="M11" t="inlineStr">
        <is>
          <t>One figure per person — or per household when two people share one record  [derived by rule — confirm]</t>
        </is>
      </c>
      <c r="N11" t="inlineStr">
        <is>
          <t>As of today, from the latest figures held  [derived by rule — confirm]</t>
        </is>
      </c>
      <c r="O11" t="inlineStr">
        <is>
          <t>PRICE_FACTOR_OVER_WINDOW</t>
        </is>
      </c>
      <c r="P11" t="inlineStr"/>
      <c r="Q11" t="inlineStr"/>
      <c r="R11" t="inlineStr">
        <is>
          <t>NOT DETERMINED — no assumption recorded for this figure yet.</t>
        </is>
      </c>
      <c r="S11" t="inlineStr"/>
      <c r="T11" t="inlineStr"/>
      <c r="U11" t="inlineStr"/>
      <c r="V11" t="inlineStr"/>
      <c r="W11" t="inlineStr">
        <is>
          <t>NOT DETERMINED</t>
        </is>
      </c>
      <c r="X11" t="inlineStr">
        <is>
          <t>VERIFIED 2026-08-22</t>
        </is>
      </c>
    </row>
    <row r="12">
      <c r="A12" t="inlineStr">
        <is>
          <t>MK-PF-M-011</t>
        </is>
      </c>
      <c r="B12" t="inlineStr">
        <is>
          <t>Performance</t>
        </is>
      </c>
      <c r="C12" t="inlineStr">
        <is>
          <t>/look-back</t>
        </is>
      </c>
      <c r="D12" t="inlineStr">
        <is>
          <t>Moved to &lt;fund&gt; it would be $X</t>
        </is>
      </c>
      <c r="E12" t="inlineStr">
        <is>
          <t>result.moved</t>
        </is>
      </c>
      <c r="F12" t="inlineStr">
        <is>
          <t>LOOK_BACK</t>
        </is>
      </c>
      <c r="G12" t="inlineStr">
        <is>
          <t>MK-PF-E-005</t>
        </is>
      </c>
      <c r="H12" t="inlineStr">
        <is>
          <t>stayed = value × (1 + return of what is held);  moved = value × (1 + return of the alternative);  difference = moved − stayed</t>
        </is>
      </c>
      <c r="I12" t="inlineStr">
        <is>
          <t>Grow the amount by each holding's real price movement over the window, and subtract one from the other. Every figure comes from ACTUAL PAST PRICES.
A move that would have lost money returns a real negative — it never quietly reports zero.
Nothing to compare, or a history too short on either side → nothing at all.
It is explicitly BACKWARD-looking: a fact about what did happen, never a suggestion about what to do next.</t>
        </is>
      </c>
      <c r="J12" t="inlineStr">
        <is>
          <t>the amount → amount  [MK-XS-I-008] · where it sat → fromSeries  [NO INPUT ID — not on the inputs tab] · where it might have gone → toSeries  [NO INPUT ID — not on the inputs tab] · how far back → months  [NO INPUT ID — not on the inputs tab]</t>
        </is>
      </c>
      <c r="K12" t="inlineStr">
        <is>
          <t>US dollars · held to the cent · shown as whole dollars  [derived by rule — confirm]</t>
        </is>
      </c>
      <c r="L12" t="inlineStr">
        <is>
          <t>Without enough price history for both sides it declines the comparison rather than compare unequal periods.</t>
        </is>
      </c>
      <c r="M12" t="inlineStr">
        <is>
          <t>One figure per person — or per household when two people share one record  [derived by rule — confirm]</t>
        </is>
      </c>
      <c r="N12" t="inlineStr">
        <is>
          <t>As of today, from the latest figures held  [derived by rule — confirm]</t>
        </is>
      </c>
      <c r="O12" t="inlineStr">
        <is>
          <t>PRICE_FACTOR_OVER_WINDOW</t>
        </is>
      </c>
      <c r="P12" t="inlineStr"/>
      <c r="Q12" t="inlineStr"/>
      <c r="R12" t="inlineStr">
        <is>
          <t>NOT DETERMINED — no assumption recorded for this figure yet.</t>
        </is>
      </c>
      <c r="S12" t="inlineStr"/>
      <c r="T12" t="inlineStr"/>
      <c r="U12" t="inlineStr"/>
      <c r="V12" t="inlineStr"/>
      <c r="W12" t="inlineStr">
        <is>
          <t>NOT DETERMINED</t>
        </is>
      </c>
      <c r="X12" t="inlineStr">
        <is>
          <t>VERIFIED 2026-08-22</t>
        </is>
      </c>
    </row>
    <row r="13">
      <c r="A13" t="inlineStr">
        <is>
          <t>MK-PF-M-012</t>
        </is>
      </c>
      <c r="B13" t="inlineStr">
        <is>
          <t>Performance</t>
        </is>
      </c>
      <c r="C13" t="inlineStr">
        <is>
          <t>/look-back</t>
        </is>
      </c>
      <c r="D13" t="inlineStr">
        <is>
          <t>Difference: $X more/less if you had moved</t>
        </is>
      </c>
      <c r="E13" t="inlineStr">
        <is>
          <t>result.difference</t>
        </is>
      </c>
      <c r="F13" t="inlineStr">
        <is>
          <t>LOOK_BACK</t>
        </is>
      </c>
      <c r="G13" t="inlineStr">
        <is>
          <t>MK-PF-E-005</t>
        </is>
      </c>
      <c r="H13" t="inlineStr">
        <is>
          <t>stayed = value × (1 + return of what is held);  moved = value × (1 + return of the alternative);  difference = moved − stayed</t>
        </is>
      </c>
      <c r="I13" t="inlineStr">
        <is>
          <t>Grow the amount by each holding's real price movement over the window, and subtract one from the other. Every figure comes from ACTUAL PAST PRICES.
A move that would have lost money returns a real negative — it never quietly reports zero.
Nothing to compare, or a history too short on either side → nothing at all.
It is explicitly BACKWARD-looking: a fact about what did happen, never a suggestion about what to do next.</t>
        </is>
      </c>
      <c r="J13" t="inlineStr">
        <is>
          <t>the amount → amount  [MK-XS-I-008] · where it sat → fromSeries  [NO INPUT ID — not on the inputs tab] · where it might have gone → toSeries  [NO INPUT ID — not on the inputs tab] · how far back → months  [NO INPUT ID — not on the inputs tab]</t>
        </is>
      </c>
      <c r="K13" t="inlineStr">
        <is>
          <t>US dollars · held to the cent · shown as whole dollars  [derived by rule — confirm]</t>
        </is>
      </c>
      <c r="L13" t="inlineStr">
        <is>
          <t>Without enough price history for both sides it declines the comparison rather than compare unequal periods.</t>
        </is>
      </c>
      <c r="M13" t="inlineStr">
        <is>
          <t>One figure per person — or per household when two people share one record  [derived by rule — confirm]</t>
        </is>
      </c>
      <c r="N13" t="inlineStr">
        <is>
          <t>As of today, from the latest figures held  [derived by rule — confirm]</t>
        </is>
      </c>
      <c r="O13" t="inlineStr">
        <is>
          <t>PRICE_FACTOR_OVER_WINDOW</t>
        </is>
      </c>
      <c r="P13" t="inlineStr"/>
      <c r="Q13" t="inlineStr"/>
      <c r="R13" t="inlineStr">
        <is>
          <t>NOT DETERMINED — no assumption recorded for this figure yet.</t>
        </is>
      </c>
      <c r="S13" t="inlineStr"/>
      <c r="T13" t="inlineStr"/>
      <c r="U13" t="inlineStr"/>
      <c r="V13" t="inlineStr"/>
      <c r="W13" t="inlineStr">
        <is>
          <t>NOT DETERMINED</t>
        </is>
      </c>
      <c r="X13" t="inlineStr">
        <is>
          <t>VERIFIED 2026-08-22</t>
        </is>
      </c>
    </row>
    <row r="14">
      <c r="A14" t="inlineStr"/>
      <c r="B14" t="inlineStr">
        <is>
          <t>Performance</t>
        </is>
      </c>
      <c r="C14" t="inlineStr">
        <is>
          <t>/add-account</t>
        </is>
      </c>
      <c r="D14" t="inlineStr">
        <is>
          <t>—</t>
        </is>
      </c>
      <c r="E14" t="inlineStr">
        <is>
          <t>—</t>
        </is>
      </c>
      <c r="F14" t="inlineStr">
        <is>
          <t>—</t>
        </is>
      </c>
      <c r="G14" t="inlineStr"/>
      <c r="H14" t="inlineStr"/>
      <c r="I14" t="inlineStr"/>
      <c r="J14" t="inlineStr"/>
      <c r="K14" t="inlineStr"/>
      <c r="L14" t="inlineStr"/>
      <c r="M14" t="inlineStr"/>
      <c r="N14" t="inlineStr"/>
      <c r="O14" t="inlineStr"/>
      <c r="P14" t="inlineStr"/>
      <c r="Q14" t="inlineStr"/>
      <c r="R14" t="inlineStr"/>
      <c r="S14" t="inlineStr"/>
      <c r="T14" t="inlineStr"/>
      <c r="U14" t="inlineStr"/>
      <c r="V14" t="inlineStr">
        <is>
          <t>NOT DETERMINED</t>
        </is>
      </c>
      <c r="W14" t="inlineStr">
        <is>
          <t>READ 2026-08-22 — no calculated figure on this screen</t>
        </is>
      </c>
    </row>
    <row r="15">
      <c r="A15" t="inlineStr"/>
      <c r="B15" t="inlineStr">
        <is>
          <t>Performance</t>
        </is>
      </c>
      <c r="C15" t="inlineStr">
        <is>
          <t>/connect</t>
        </is>
      </c>
      <c r="D15" t="inlineStr">
        <is>
          <t>—</t>
        </is>
      </c>
      <c r="E15" t="inlineStr">
        <is>
          <t>—</t>
        </is>
      </c>
      <c r="F15" t="inlineStr">
        <is>
          <t>—</t>
        </is>
      </c>
      <c r="G15" t="inlineStr"/>
      <c r="H15" t="inlineStr"/>
      <c r="I15" t="inlineStr"/>
      <c r="J15" t="inlineStr"/>
      <c r="K15" t="inlineStr"/>
      <c r="L15" t="inlineStr"/>
      <c r="M15" t="inlineStr"/>
      <c r="N15" t="inlineStr"/>
      <c r="O15" t="inlineStr"/>
      <c r="P15" t="inlineStr"/>
      <c r="Q15" t="inlineStr"/>
      <c r="R15" t="inlineStr"/>
      <c r="S15" t="inlineStr"/>
      <c r="T15" t="inlineStr"/>
      <c r="U15" t="inlineStr"/>
      <c r="V15" t="inlineStr">
        <is>
          <t>NOT DETERMINED</t>
        </is>
      </c>
      <c r="W15" t="inlineStr">
        <is>
          <t>READ 2026-08-22 — no calculated figure on this screen</t>
        </is>
      </c>
    </row>
    <row r="16">
      <c r="A16" t="inlineStr"/>
      <c r="B16" t="inlineStr">
        <is>
          <t>Performance</t>
        </is>
      </c>
      <c r="C16" t="inlineStr">
        <is>
          <t>/import-holdings</t>
        </is>
      </c>
      <c r="D16" t="inlineStr">
        <is>
          <t>—</t>
        </is>
      </c>
      <c r="E16" t="inlineStr">
        <is>
          <t>—</t>
        </is>
      </c>
      <c r="F16" t="inlineStr">
        <is>
          <t>—</t>
        </is>
      </c>
      <c r="G16" t="inlineStr"/>
      <c r="H16" t="inlineStr"/>
      <c r="I16" t="inlineStr"/>
      <c r="J16" t="inlineStr"/>
      <c r="K16" t="inlineStr"/>
      <c r="L16" t="inlineStr"/>
      <c r="M16" t="inlineStr"/>
      <c r="N16" t="inlineStr"/>
      <c r="O16" t="inlineStr"/>
      <c r="P16" t="inlineStr"/>
      <c r="Q16" t="inlineStr"/>
      <c r="R16" t="inlineStr"/>
      <c r="S16" t="inlineStr"/>
      <c r="T16" t="inlineStr"/>
      <c r="U16" t="inlineStr"/>
      <c r="V16" t="inlineStr">
        <is>
          <t>NOT DETERMINED</t>
        </is>
      </c>
      <c r="W16" t="inlineStr">
        <is>
          <t>READ 2026-08-22 — no calculated figure on this screen</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X43"/>
  <sheetViews>
    <sheetView workbookViewId="0">
      <pane ySplit="1" topLeftCell="A2" activePane="bottomLeft" state="frozen"/>
      <selection pane="bottomLeft" activeCell="A1" sqref="A1"/>
    </sheetView>
  </sheetViews>
  <sheetFormatPr baseColWidth="8" defaultRowHeight="15"/>
  <cols>
    <col width="17" customWidth="1" min="1" max="1"/>
    <col width="26" customWidth="1" min="2" max="2"/>
    <col width="29" customWidth="1" min="3" max="3"/>
    <col width="22" customWidth="1" min="4" max="4"/>
    <col width="33" customWidth="1" min="5" max="5"/>
    <col width="33" customWidth="1" min="6" max="6"/>
    <col width="17" customWidth="1" min="7" max="7"/>
    <col width="30" customWidth="1" min="8" max="8"/>
    <col width="26" customWidth="1" min="9" max="9"/>
    <col width="23" customWidth="1" min="10" max="10"/>
    <col width="42" customWidth="1" min="11" max="11"/>
    <col width="42" customWidth="1" min="12" max="12"/>
    <col width="35" customWidth="1" min="13" max="13"/>
    <col width="42" customWidth="1" min="14" max="14"/>
    <col width="29" customWidth="1" min="15" max="15"/>
    <col width="42" customWidth="1" min="16" max="16"/>
    <col width="37" customWidth="1" min="17" max="17"/>
    <col width="22" customWidth="1" min="18" max="18"/>
    <col width="28" customWidth="1" min="19" max="19"/>
    <col width="36" customWidth="1" min="20" max="20"/>
    <col width="41" customWidth="1" min="21" max="21"/>
    <col width="41" customWidth="1" min="22" max="22"/>
    <col width="20" customWidth="1" min="23" max="23"/>
    <col width="18" customWidth="1" min="24" max="24"/>
  </cols>
  <sheetData>
    <row r="1">
      <c r="A1" s="1" t="inlineStr">
        <is>
          <t>Metric ID</t>
        </is>
      </c>
      <c r="B1" s="1" t="inlineStr">
        <is>
          <t>Parent Screen Name</t>
        </is>
      </c>
      <c r="C1" s="1" t="inlineStr">
        <is>
          <t>Secondary Screen Name</t>
        </is>
      </c>
      <c r="D1" s="1" t="inlineStr">
        <is>
          <t>Name on Screen</t>
        </is>
      </c>
      <c r="E1" s="1" t="inlineStr">
        <is>
          <t>Name of Underlying Metric</t>
        </is>
      </c>
      <c r="F1" s="1" t="inlineStr">
        <is>
          <t>Name of Underlying Engine</t>
        </is>
      </c>
      <c r="G1" s="1" t="inlineStr">
        <is>
          <t>Engine ID</t>
        </is>
      </c>
      <c r="H1" s="1" t="inlineStr">
        <is>
          <t>Formula (mathematical)</t>
        </is>
      </c>
      <c r="I1" s="1" t="inlineStr">
        <is>
          <t>Formula (in words)</t>
        </is>
      </c>
      <c r="J1" s="1" t="inlineStr">
        <is>
          <t>Inputs it needs</t>
        </is>
      </c>
      <c r="K1" s="1" t="inlineStr">
        <is>
          <t>What comes out — unit and rounding</t>
        </is>
      </c>
      <c r="L1" s="1" t="inlineStr">
        <is>
          <t>What it says when it cannot be computed</t>
        </is>
      </c>
      <c r="M1" s="1" t="inlineStr">
        <is>
          <t>Grain — one figure per what</t>
        </is>
      </c>
      <c r="N1" s="1" t="inlineStr">
        <is>
          <t>Period — as of when, over what window</t>
        </is>
      </c>
      <c r="O1" s="1" t="inlineStr">
        <is>
          <t>Engines it depends on</t>
        </is>
      </c>
      <c r="P1" s="1" t="inlineStr">
        <is>
          <t>Secondary calculations and decisions the engine makes</t>
        </is>
      </c>
      <c r="Q1" s="1" t="inlineStr">
        <is>
          <t>Errors or findings to address</t>
        </is>
      </c>
      <c r="R1" s="1" t="inlineStr">
        <is>
          <t>Decisions made</t>
        </is>
      </c>
      <c r="S1" s="1" t="inlineStr">
        <is>
          <t>Same figure as (S16)</t>
        </is>
      </c>
      <c r="T1" s="1" t="inlineStr">
        <is>
          <t>Questions for you (numbered)</t>
        </is>
      </c>
      <c r="U1" s="1" t="inlineStr">
        <is>
          <t>YOUR ANSWER — use the same number</t>
        </is>
      </c>
      <c r="V1" s="1" t="inlineStr">
        <is>
          <t>Your name for it (72-metric file)</t>
        </is>
      </c>
      <c r="W1" s="1" t="inlineStr">
        <is>
          <t>Core screen?</t>
        </is>
      </c>
      <c r="X1" s="1" t="inlineStr">
        <is>
          <t>Row status</t>
        </is>
      </c>
    </row>
    <row r="2">
      <c r="A2" t="inlineStr">
        <is>
          <t>MK-PL-M-001</t>
        </is>
      </c>
      <c r="B2" t="inlineStr">
        <is>
          <t>Plan</t>
        </is>
      </c>
      <c r="C2" t="inlineStr">
        <is>
          <t>NA</t>
        </is>
      </c>
      <c r="D2" t="inlineStr">
        <is>
          <t>✓ What you have — already in: N accounts, $X counted</t>
        </is>
      </c>
      <c r="E2" t="inlineStr">
        <is>
          <t>door.credit.total</t>
        </is>
      </c>
      <c r="F2" t="inlineStr">
        <is>
          <t>WHAT_THE_PLAN_STILL_NEEDS</t>
        </is>
      </c>
      <c r="G2" t="inlineStr">
        <is>
          <t>MK-PL-E-001</t>
        </is>
      </c>
      <c r="H2" t="inlineStr">
        <is>
          <t>missing = the inputs with no answer;  counted = Σ(balances already in)</t>
        </is>
      </c>
      <c r="I2" t="inlineStr">
        <is>
          <t>Three things are needed: their age, what they expect to spend, and money that actually counts toward retirement.
THAT LAST ONE IS A FOUNDER FINDING (2026-08-11). It used to accept ANY account with a balance, so someone whose only asset was the home they live in looked complete here — and then produced no odds at all, because the odds run on the money counted toward retirement, and a primary home is not. The question this asks now means the same thing the odds mean.</t>
        </is>
      </c>
      <c r="J2" t="inlineStr">
        <is>
          <t>their age → birthYear or age  [MK-XS-I-017] · what they spend → monthlySpending  [MK-XS-I-024] · money that counts toward retirement → NEST_EGG  [NO INPUT ID — not on the inputs tab]</t>
        </is>
      </c>
      <c r="K2" t="inlineStr">
        <is>
          <t>A count · whole units, except crypto which keeps its fractions  [derived by rule — confirm]</t>
        </is>
      </c>
      <c r="L2" t="inlineStr">
        <is>
          <t>This engine IS the refusal: it names what is missing and what is already counted.</t>
        </is>
      </c>
      <c r="M2" t="inlineStr">
        <is>
          <t>One figure per account  [derived by rule — confirm]</t>
        </is>
      </c>
      <c r="N2" t="inlineStr">
        <is>
          <t>As of today, from the latest figures held  [derived by rule — confirm]</t>
        </is>
      </c>
      <c r="O2" t="inlineStr">
        <is>
          <t>NEST_EGG</t>
        </is>
      </c>
      <c r="P2" t="inlineStr"/>
      <c r="Q2" t="inlineStr"/>
      <c r="R2" t="inlineStr">
        <is>
          <t>NOT DETERMINED — no assumption recorded for this figure yet.</t>
        </is>
      </c>
      <c r="S2" t="inlineStr"/>
      <c r="T2" t="inlineStr"/>
      <c r="U2" t="inlineStr"/>
      <c r="V2" t="inlineStr"/>
      <c r="W2" t="inlineStr">
        <is>
          <t>NOT DETERMINED</t>
        </is>
      </c>
      <c r="X2" t="inlineStr">
        <is>
          <t>VERIFIED 2026-08-22</t>
        </is>
      </c>
    </row>
    <row r="3">
      <c r="A3" t="inlineStr">
        <is>
          <t>MK-PL-M-002</t>
        </is>
      </c>
      <c r="B3" t="inlineStr">
        <is>
          <t>Plan</t>
        </is>
      </c>
      <c r="C3" t="inlineStr">
        <is>
          <t>NA</t>
        </is>
      </c>
      <c r="D3" t="inlineStr">
        <is>
          <t>Your odds — can't work them out yet. Add &lt;what&gt; below.</t>
        </is>
      </c>
      <c r="E3" t="inlineStr">
        <is>
          <t>door.missing</t>
        </is>
      </c>
      <c r="F3" t="inlineStr">
        <is>
          <t>WHAT_THE_PLAN_STILL_NEEDS</t>
        </is>
      </c>
      <c r="G3" t="inlineStr">
        <is>
          <t>MK-PL-E-001</t>
        </is>
      </c>
      <c r="H3" t="inlineStr">
        <is>
          <t>missing = the inputs with no answer;  counted = Σ(balances already in)</t>
        </is>
      </c>
      <c r="I3" t="inlineStr">
        <is>
          <t>Three things are needed: their age, what they expect to spend, and money that actually counts toward retirement.
THAT LAST ONE IS A FOUNDER FINDING (2026-08-11). It used to accept ANY account with a balance, so someone whose only asset was the home they live in looked complete here — and then produced no odds at all, because the odds run on the money counted toward retirement, and a primary home is not. The question this asks now means the same thing the odds mean.</t>
        </is>
      </c>
      <c r="J3" t="inlineStr">
        <is>
          <t>their age → birthYear or age  [MK-XS-I-017] · what they spend → monthlySpending  [MK-XS-I-024] · money that counts toward retirement → NEST_EGG  [NO INPUT ID — not on the inputs tab]</t>
        </is>
      </c>
      <c r="K3" t="inlineStr">
        <is>
          <t>Percent · rounded to the nearest 5 · a real 100 or 0 shown literally  [derived by rule — confirm]</t>
        </is>
      </c>
      <c r="L3" t="inlineStr">
        <is>
          <t>This engine IS the refusal: it names what is missing and what is already counted.</t>
        </is>
      </c>
      <c r="M3" t="inlineStr">
        <is>
          <t>One figure per person — or per household when two people share one record  [derived by rule — confirm]</t>
        </is>
      </c>
      <c r="N3" t="inlineStr">
        <is>
          <t>As of today, from the latest figures held  [derived by rule — confirm]</t>
        </is>
      </c>
      <c r="O3" t="inlineStr">
        <is>
          <t>NEST_EGG</t>
        </is>
      </c>
      <c r="P3" t="inlineStr"/>
      <c r="Q3" t="inlineStr"/>
      <c r="R3" t="inlineStr">
        <is>
          <t>NOT DETERMINED — no assumption recorded for this figure yet.</t>
        </is>
      </c>
      <c r="S3" t="inlineStr"/>
      <c r="T3" t="inlineStr"/>
      <c r="U3" t="inlineStr"/>
      <c r="V3" t="inlineStr"/>
      <c r="W3" t="inlineStr">
        <is>
          <t>NOT DETERMINED</t>
        </is>
      </c>
      <c r="X3" t="inlineStr">
        <is>
          <t>VERIFIED 2026-08-22</t>
        </is>
      </c>
    </row>
    <row r="4">
      <c r="A4" t="inlineStr">
        <is>
          <t>MK-PL-M-003</t>
        </is>
      </c>
      <c r="B4" t="inlineStr">
        <is>
          <t>Plan</t>
        </is>
      </c>
      <c r="C4" t="inlineStr">
        <is>
          <t>NA</t>
        </is>
      </c>
      <c r="D4" t="inlineStr">
        <is>
          <t>YOUR RETIREMENT PAYCHECK — each guaranteed source</t>
        </is>
      </c>
      <c r="E4" t="inlineStr">
        <is>
          <t>g.amount</t>
        </is>
      </c>
      <c r="F4" t="inlineStr">
        <is>
          <t>NOT IN OLD MASTER — retirementPaycheckYear, src/domain/paycheck</t>
        </is>
      </c>
      <c r="G4" t="inlineStr">
        <is>
          <t>MK-PL-E-002</t>
        </is>
      </c>
      <c r="H4" t="inlineStr">
        <is>
          <t>for each month: guaranteed total = Σ(streams live that month);  paycheck = guaranteed total + safe draw</t>
        </is>
      </c>
      <c r="I4" t="inlineStr">
        <is>
          <t>Builds the retirement paycheck month by month: what is guaranteed that month, plus what can safely be drawn from savings.</t>
        </is>
      </c>
      <c r="J4" t="inlineStr">
        <is>
          <t>NOT DETERMINED — no input list on record for this engine</t>
        </is>
      </c>
      <c r="K4" t="inlineStr">
        <is>
          <t>US dollars · held to the cent · shown as whole dollars  [derived by rule — confirm]</t>
        </is>
      </c>
      <c r="L4" t="inlineStr">
        <is>
          <t>Adds up to $0 when there is nothing to add. Zero and "nothing recorded yet" look identical on screen — worth a decision.</t>
        </is>
      </c>
      <c r="M4" t="inlineStr">
        <is>
          <t>One figure per person — or per household when two people share one record  [derived by rule — confirm]</t>
        </is>
      </c>
      <c r="N4" t="inlineStr">
        <is>
          <t>From today to the retirement age in the plan  [derived by rule — confirm]</t>
        </is>
      </c>
      <c r="O4" t="inlineStr">
        <is>
          <t>NOT DETERMINED</t>
        </is>
      </c>
      <c r="P4" t="inlineStr"/>
      <c r="Q4" t="inlineStr"/>
      <c r="R4" t="inlineStr">
        <is>
          <t>NOT DETERMINED — no assumption recorded for this figure yet.</t>
        </is>
      </c>
      <c r="S4" t="inlineStr"/>
      <c r="T4" t="inlineStr"/>
      <c r="U4" t="inlineStr"/>
      <c r="V4" t="inlineStr"/>
      <c r="W4" t="inlineStr">
        <is>
          <t>NOT DETERMINED</t>
        </is>
      </c>
      <c r="X4" t="inlineStr">
        <is>
          <t>VERIFIED 2026-08-22</t>
        </is>
      </c>
    </row>
    <row r="5">
      <c r="A5" t="inlineStr">
        <is>
          <t>MK-PL-M-004</t>
        </is>
      </c>
      <c r="B5" t="inlineStr">
        <is>
          <t>Plan</t>
        </is>
      </c>
      <c r="C5" t="inlineStr">
        <is>
          <t>NA</t>
        </is>
      </c>
      <c r="D5">
        <f> Guaranteed</f>
        <v/>
      </c>
      <c r="E5" t="inlineStr">
        <is>
          <t>payMonth.guaranteedTotal</t>
        </is>
      </c>
      <c r="F5" t="inlineStr">
        <is>
          <t>NOT IN OLD MASTER — retirementPaycheckYear, src/domain/paycheck</t>
        </is>
      </c>
      <c r="G5" t="inlineStr">
        <is>
          <t>MK-PL-E-002</t>
        </is>
      </c>
      <c r="H5" t="inlineStr">
        <is>
          <t>for each month: guaranteed total = Σ(streams live that month);  paycheck = guaranteed total + safe draw</t>
        </is>
      </c>
      <c r="I5" t="inlineStr">
        <is>
          <t>Builds the retirement paycheck month by month: what is guaranteed that month, plus what can safely be drawn from savings.</t>
        </is>
      </c>
      <c r="J5" t="inlineStr">
        <is>
          <t>NOT DETERMINED — no input list on record for this engine</t>
        </is>
      </c>
      <c r="K5" t="inlineStr">
        <is>
          <t>US dollars · held to the cent · shown as whole dollars  [derived by rule — confirm]</t>
        </is>
      </c>
      <c r="L5" t="inlineStr">
        <is>
          <t>Adds up to $0 when there is nothing to add. Zero and "nothing recorded yet" look identical on screen — worth a decision.</t>
        </is>
      </c>
      <c r="M5" t="inlineStr">
        <is>
          <t>One figure per person — or per household when two people share one record  [derived by rule — confirm]</t>
        </is>
      </c>
      <c r="N5" t="inlineStr">
        <is>
          <t>As of today, from the latest figures held  [derived by rule — confirm]</t>
        </is>
      </c>
      <c r="O5" t="inlineStr">
        <is>
          <t>NOT DETERMINED</t>
        </is>
      </c>
      <c r="P5" t="inlineStr"/>
      <c r="Q5" t="inlineStr"/>
      <c r="R5" t="inlineStr">
        <is>
          <t>NOT DETERMINED — no assumption recorded for this figure yet.</t>
        </is>
      </c>
      <c r="S5" t="inlineStr"/>
      <c r="T5" t="inlineStr"/>
      <c r="U5" t="inlineStr"/>
      <c r="V5" t="inlineStr"/>
      <c r="W5" t="inlineStr">
        <is>
          <t>NOT DETERMINED</t>
        </is>
      </c>
      <c r="X5" t="inlineStr">
        <is>
          <t>VERIFIED 2026-08-22</t>
        </is>
      </c>
    </row>
    <row r="6">
      <c r="A6" t="inlineStr">
        <is>
          <t>MK-PL-M-005</t>
        </is>
      </c>
      <c r="B6" t="inlineStr">
        <is>
          <t>Plan</t>
        </is>
      </c>
      <c r="C6" t="inlineStr">
        <is>
          <t>NA</t>
        </is>
      </c>
      <c r="D6" t="inlineStr">
        <is>
          <t>+ Draw from savings</t>
        </is>
      </c>
      <c r="E6" t="inlineStr">
        <is>
          <t>payMonth.safeDraw</t>
        </is>
      </c>
      <c r="F6" t="inlineStr">
        <is>
          <t>NOT IN OLD MASTER — retirementPaycheckYear, src/domain/paycheck</t>
        </is>
      </c>
      <c r="G6" t="inlineStr">
        <is>
          <t>MK-PL-E-002</t>
        </is>
      </c>
      <c r="H6" t="inlineStr">
        <is>
          <t>for each month: guaranteed total = Σ(streams live that month);  paycheck = guaranteed total + safe draw</t>
        </is>
      </c>
      <c r="I6" t="inlineStr">
        <is>
          <t>Builds the retirement paycheck month by month: what is guaranteed that month, plus what can safely be drawn from savings.</t>
        </is>
      </c>
      <c r="J6" t="inlineStr">
        <is>
          <t>NOT DETERMINED — no input list on record for this engine</t>
        </is>
      </c>
      <c r="K6" t="inlineStr">
        <is>
          <t>US dollars · held to the cent · shown as whole dollars  [derived by rule — confirm]</t>
        </is>
      </c>
      <c r="L6" t="inlineStr">
        <is>
          <t>Adds up to $0 when there is nothing to add. Zero and "nothing recorded yet" look identical on screen — worth a decision.</t>
        </is>
      </c>
      <c r="M6" t="inlineStr">
        <is>
          <t>One figure per person — or per household when two people share one record  [derived by rule — confirm]</t>
        </is>
      </c>
      <c r="N6" t="inlineStr">
        <is>
          <t>As of today, from the latest figures held  [derived by rule — confirm]</t>
        </is>
      </c>
      <c r="O6" t="inlineStr">
        <is>
          <t>NOT DETERMINED</t>
        </is>
      </c>
      <c r="P6" t="inlineStr"/>
      <c r="Q6" t="inlineStr"/>
      <c r="R6" t="inlineStr">
        <is>
          <t>NOT DETERMINED — no assumption recorded for this figure yet.</t>
        </is>
      </c>
      <c r="S6" t="inlineStr"/>
      <c r="T6" t="inlineStr"/>
      <c r="U6" t="inlineStr"/>
      <c r="V6" t="inlineStr"/>
      <c r="W6" t="inlineStr">
        <is>
          <t>NOT DETERMINED</t>
        </is>
      </c>
      <c r="X6" t="inlineStr">
        <is>
          <t>VERIFIED 2026-08-22</t>
        </is>
      </c>
    </row>
    <row r="7">
      <c r="A7" t="inlineStr">
        <is>
          <t>MK-PL-M-006</t>
        </is>
      </c>
      <c r="B7" t="inlineStr">
        <is>
          <t>Plan</t>
        </is>
      </c>
      <c r="C7" t="inlineStr">
        <is>
          <t>NA</t>
        </is>
      </c>
      <c r="D7" t="inlineStr">
        <is>
          <t>Your paycheck $X/mo</t>
        </is>
      </c>
      <c r="E7" t="inlineStr">
        <is>
          <t>paycheckTotal</t>
        </is>
      </c>
      <c r="F7" t="inlineStr">
        <is>
          <t>worked out on the screen: guaranteed + draw from savings</t>
        </is>
      </c>
      <c r="G7" t="inlineStr"/>
      <c r="H7" t="inlineStr">
        <is>
          <t>paycheck = guaranteed income + draw from savings</t>
        </is>
      </c>
      <c r="I7" t="inlineStr">
        <is>
          <t>Worked out on the screen itself, with no engine behind it — a place a second definition can appear.</t>
        </is>
      </c>
      <c r="J7" t="inlineStr">
        <is>
          <t>NOT DETERMINED — no input list on record for this engine</t>
        </is>
      </c>
      <c r="K7" t="inlineStr">
        <is>
          <t>US dollars · held to the cent · shown as whole dollars  [derived by rule — confirm]</t>
        </is>
      </c>
      <c r="L7" t="inlineStr">
        <is>
          <t>Inherits the refusal of the figures it is built from: if either side is missing, this line is not shown.</t>
        </is>
      </c>
      <c r="M7" t="inlineStr">
        <is>
          <t>One figure per person — or per household when two people share one record  [derived by rule — confirm]</t>
        </is>
      </c>
      <c r="N7" t="inlineStr">
        <is>
          <t>As of today, from the latest figures held  [derived by rule — confirm]</t>
        </is>
      </c>
      <c r="O7" t="inlineStr">
        <is>
          <t>NOT DETERMINED</t>
        </is>
      </c>
      <c r="P7" t="inlineStr"/>
      <c r="Q7" t="inlineStr"/>
      <c r="R7" t="inlineStr">
        <is>
          <t>NOT DETERMINED — no assumption recorded for this figure yet.</t>
        </is>
      </c>
      <c r="S7" t="inlineStr"/>
      <c r="T7" t="inlineStr"/>
      <c r="U7" t="inlineStr"/>
      <c r="V7" t="inlineStr"/>
      <c r="W7" t="inlineStr">
        <is>
          <t>NOT DETERMINED</t>
        </is>
      </c>
      <c r="X7" t="inlineStr">
        <is>
          <t>VERIFIED 2026-08-22</t>
        </is>
      </c>
    </row>
    <row r="8">
      <c r="A8" t="inlineStr">
        <is>
          <t>MK-PL-M-007</t>
        </is>
      </c>
      <c r="B8" t="inlineStr">
        <is>
          <t>Plan</t>
        </is>
      </c>
      <c r="C8" t="inlineStr">
        <is>
          <t>NA</t>
        </is>
      </c>
      <c r="D8" t="inlineStr">
        <is>
          <t>SAVED SCENARIOS (n)</t>
        </is>
      </c>
      <c r="E8" t="inlineStr">
        <is>
          <t>scenarios.length</t>
        </is>
      </c>
      <c r="F8" t="inlineStr">
        <is>
          <t>NOT IN OLD MASTER — saved scenarios, src/domain/scenarios</t>
        </is>
      </c>
      <c r="G8" t="inlineStr">
        <is>
          <t>MK-PL-E-003</t>
        </is>
      </c>
      <c r="H8" t="inlineStr">
        <is>
          <t>count of scenarios saved</t>
        </is>
      </c>
      <c r="I8" t="inlineStr">
        <is>
          <t>How many what-if scenarios have been saved.</t>
        </is>
      </c>
      <c r="J8" t="inlineStr">
        <is>
          <t>NOT DETERMINED — no input list on record for this engine</t>
        </is>
      </c>
      <c r="K8" t="inlineStr">
        <is>
          <t>US dollars · held to the cent · shown as whole dollars  [derived by rule — confirm]</t>
        </is>
      </c>
      <c r="L8" t="inlineStr">
        <is>
          <t>NOT DETERMINED — this engine has not been read for its refusal yet.</t>
        </is>
      </c>
      <c r="M8" t="inlineStr">
        <is>
          <t>One figure per person — or per household when two people share one record  [derived by rule — confirm]</t>
        </is>
      </c>
      <c r="N8" t="inlineStr">
        <is>
          <t>As of today, from the latest figures held  [derived by rule — confirm]</t>
        </is>
      </c>
      <c r="O8" t="inlineStr">
        <is>
          <t>NOT DETERMINED</t>
        </is>
      </c>
      <c r="P8" t="inlineStr"/>
      <c r="Q8" t="inlineStr"/>
      <c r="R8" t="inlineStr">
        <is>
          <t>NOT DETERMINED — no assumption recorded for this figure yet.</t>
        </is>
      </c>
      <c r="S8" t="inlineStr"/>
      <c r="T8" t="inlineStr"/>
      <c r="U8" t="inlineStr"/>
      <c r="V8" t="inlineStr"/>
      <c r="W8" t="inlineStr">
        <is>
          <t>NOT DETERMINED</t>
        </is>
      </c>
      <c r="X8" t="inlineStr">
        <is>
          <t>VERIFIED 2026-08-22</t>
        </is>
      </c>
    </row>
    <row r="9">
      <c r="A9" t="inlineStr">
        <is>
          <t>MK-PL-M-008</t>
        </is>
      </c>
      <c r="B9" t="inlineStr">
        <is>
          <t>Plan</t>
        </is>
      </c>
      <c r="C9" t="inlineStr">
        <is>
          <t>/will-it-last</t>
        </is>
      </c>
      <c r="D9" t="inlineStr">
        <is>
          <t>What you have (nest egg)</t>
        </is>
      </c>
      <c r="E9" t="inlineStr">
        <is>
          <t>inp.start_balance</t>
        </is>
      </c>
      <c r="F9" t="inlineStr">
        <is>
          <t>WILL_IT_LAST_INPUTS</t>
        </is>
      </c>
      <c r="G9" t="inlineStr">
        <is>
          <t>MK-PL-E-004</t>
        </is>
      </c>
      <c r="H9" t="inlineStr">
        <is>
          <t>the inputs one plan is built from: what is held, what will be spent, what is guaranteed, and what is still being saved</t>
        </is>
      </c>
      <c r="I9" t="inlineStr">
        <is>
          <t>Gather everything the odds need. The person's own choices override every default, one by one.
NO AGE MEANS NO ANSWER — the odds are never computed from a guessed age.
SOCIAL SECURITY USES THE CHEQUE THE CHOSEN CLAIM AGE ACTUALLY PAYS. The figure on a statement is the age-67 amount; claiming at 62 pays about 70% of it. Using the statement figure regardless would overstate guaranteed income for everyone claiming early.
Not eligible means ZERO guaranteed income, not a default.
A LEGACY TARGET — money someone means to leave behind — is taken off the pot, but ONLY once they are retired. See the defect note.</t>
        </is>
      </c>
      <c r="J9" t="inlineStr">
        <is>
          <t>their age → birthYear  [MK-XS-I-017] · the pot → NEST_EGG  [NO INPUT ID — not on the inputs tab] · return and swing → EXPECTED_RETURN_BLENDED, EXPECTED_SWING_BLENDED  [NO INPUT ID — not on the inputs tab] · spending → RETIREMENT_SPENDING  [MK-XS-I-024] · guaranteed income → RETIREMENT_INCOME, SS_BENEFIT_AT_AGE  [NO INPUT ID — not on the inputs tab] · money to leave behind → legacyTarget  [NO INPUT ID — not on the inputs tab] · their own overrides → the Plan screen  [NO INPUT ID — not on the inputs tab]</t>
        </is>
      </c>
      <c r="K9" t="inlineStr">
        <is>
          <t>Percent · rounded to the nearest 5 · a real 100 or 0 shown literally  [derived by rule — confirm]</t>
        </is>
      </c>
      <c r="L9" t="inlineStr">
        <is>
          <t>NOT DETERMINED — this engine has not been read for its refusal yet.</t>
        </is>
      </c>
      <c r="M9" t="inlineStr">
        <is>
          <t>One figure per person — or per household when two people share one record  [derived by rule — confirm]</t>
        </is>
      </c>
      <c r="N9" t="inlineStr">
        <is>
          <t>From today to the retirement age in the plan  [derived by rule — confirm]</t>
        </is>
      </c>
      <c r="O9" t="inlineStr">
        <is>
          <t>EFFECTIVE_TAX_RATE · EXPECTED_RETURN_BLENDED · EXPECTED_SWING_BLENDED · FILING_STATUS · GUARANTEED_OUTSIDE_STREAMS · MONTHLY_SAVING · NEST_EGG · REPORTED_RETURN · RETIREMENT_SPENDING · SPLIT_BY_HOW_IT_IS_TAXED · SS_BENEFIT_AT_AGE · STATE_TAX_RATE · SWING_FROM_RETURN · TAX_OVER65_COUNT · TOTAL_INCOME</t>
        </is>
      </c>
      <c r="P9" t="inlineStr"/>
      <c r="Q9" t="inlineStr"/>
      <c r="R9" t="inlineStr">
        <is>
          <t>NOT DETERMINED — no assumption recorded for this figure yet.</t>
        </is>
      </c>
      <c r="S9" t="inlineStr"/>
      <c r="T9" t="inlineStr"/>
      <c r="U9" t="inlineStr"/>
      <c r="V9" t="inlineStr"/>
      <c r="W9" t="inlineStr">
        <is>
          <t>NOT DETERMINED</t>
        </is>
      </c>
      <c r="X9" t="inlineStr">
        <is>
          <t>VERIFIED 2026-08-22</t>
        </is>
      </c>
    </row>
    <row r="10">
      <c r="A10" t="inlineStr">
        <is>
          <t>MK-PL-M-009</t>
        </is>
      </c>
      <c r="B10" t="inlineStr">
        <is>
          <t>Plan</t>
        </is>
      </c>
      <c r="C10" t="inlineStr">
        <is>
          <t>/will-it-last</t>
        </is>
      </c>
      <c r="D10" t="inlineStr">
        <is>
          <t>Monthly spending in retirement</t>
        </is>
      </c>
      <c r="E10" t="inlineStr">
        <is>
          <t>inp.retire_monthly_spend_today</t>
        </is>
      </c>
      <c r="F10" t="inlineStr">
        <is>
          <t>RETIREMENT_SPENDING</t>
        </is>
      </c>
      <c r="G10" t="inlineStr">
        <is>
          <t>MK-PL-E-005</t>
        </is>
      </c>
      <c r="H10" t="inlineStr">
        <is>
          <t>spending in retirement a month = what is spent today × the share expected to continue</t>
        </is>
      </c>
      <c r="I10" t="inlineStr">
        <is>
          <t>What the person said they expect to spend, adjusted for where they plan to live. Stated in TODAY'S dollars — the simulation inflates it to each future year, so inflating it here as well would count inflation twice.</t>
        </is>
      </c>
      <c r="J10" t="inlineStr">
        <is>
          <t>the answer → the retirement-spending question  [MK-XS-I-024] · where they will live → the location answer  [NO INPUT ID — not on the inputs tab]</t>
        </is>
      </c>
      <c r="K10" t="inlineStr">
        <is>
          <t>US dollars · held to the cent · shown as whole dollars  [derived by rule — confirm]</t>
        </is>
      </c>
      <c r="L10" t="inlineStr">
        <is>
          <t>NOT DETERMINED — this engine has not been read for its refusal yet.</t>
        </is>
      </c>
      <c r="M10" t="inlineStr">
        <is>
          <t>One figure per month  [derived by rule — confirm]</t>
        </is>
      </c>
      <c r="N10" t="inlineStr">
        <is>
          <t>From today to the retirement age in the plan  [derived by rule — confirm]</t>
        </is>
      </c>
      <c r="O10" t="inlineStr">
        <is>
          <t>COST_OF_LIVING · READ_A_NUMBER</t>
        </is>
      </c>
      <c r="P10" t="inlineStr"/>
      <c r="Q10" t="inlineStr"/>
      <c r="R10" t="inlineStr">
        <is>
          <t>[The person] The retirement age in their plan.</t>
        </is>
      </c>
      <c r="S10" t="inlineStr"/>
      <c r="T10" t="inlineStr"/>
      <c r="U10" t="inlineStr"/>
      <c r="V10" t="inlineStr"/>
      <c r="W10" t="inlineStr">
        <is>
          <t>NOT DETERMINED</t>
        </is>
      </c>
      <c r="X10" t="inlineStr">
        <is>
          <t>VERIFIED 2026-08-22</t>
        </is>
      </c>
    </row>
    <row r="11">
      <c r="A11" t="inlineStr">
        <is>
          <t>MK-PL-M-010</t>
        </is>
      </c>
      <c r="B11" t="inlineStr">
        <is>
          <t>Plan</t>
        </is>
      </c>
      <c r="C11" t="inlineStr">
        <is>
          <t>/will-it-last</t>
        </is>
      </c>
      <c r="D11" t="inlineStr">
        <is>
          <t>Guaranteed income — $X/mo from age Y</t>
        </is>
      </c>
      <c r="E11" t="inlineStr">
        <is>
          <t>inp.guaranteed_monthly_income</t>
        </is>
      </c>
      <c r="F11" t="inlineStr">
        <is>
          <t>GUARANTEED_STREAMS (engines: B1 rebuild)</t>
        </is>
      </c>
      <c r="G11" t="inlineStr">
        <is>
          <t>MK-PL-E-006</t>
        </is>
      </c>
      <c r="H11" t="inlineStr">
        <is>
          <t>each stream grows on its own rule: Social Security rises with inflation, a fixed pension does not</t>
        </is>
      </c>
      <c r="I11" t="inlineStr">
        <is>
          <t>Each guaranteed stream grows on its own rule: Social Security rises with inflation, a fixed pension stays flat. They are never grown together.</t>
        </is>
      </c>
      <c r="J11" t="inlineStr">
        <is>
          <t>NOT DETERMINED — no input list on record for this engine</t>
        </is>
      </c>
      <c r="K11" t="inlineStr">
        <is>
          <t>Age in whole years  [derived by rule — confirm]</t>
        </is>
      </c>
      <c r="L11" t="inlineStr">
        <is>
          <t>NOT DETERMINED — this engine has not been read for its refusal yet.</t>
        </is>
      </c>
      <c r="M11" t="inlineStr">
        <is>
          <t>One figure per person — or per household when two people share one record  [derived by rule — confirm]</t>
        </is>
      </c>
      <c r="N11" t="inlineStr">
        <is>
          <t>As of today, from the latest figures held  [derived by rule — confirm]</t>
        </is>
      </c>
      <c r="O11" t="inlineStr">
        <is>
          <t>NOT DETERMINED</t>
        </is>
      </c>
      <c r="P11" t="inlineStr"/>
      <c r="Q11" t="inlineStr"/>
      <c r="R11" t="inlineStr">
        <is>
          <t>[Founder] Each stream grows on its own rule: Social Security rises with inflation, a fixed pension stays flat. They are never inflated together (fix B1).
[Built in] Inflation comes from a published feed, with a fallback figure when the feed is silent.</t>
        </is>
      </c>
      <c r="S11" t="inlineStr"/>
      <c r="T11" t="inlineStr"/>
      <c r="U11" t="inlineStr"/>
      <c r="V11" t="inlineStr"/>
      <c r="W11" t="inlineStr">
        <is>
          <t>NOT DETERMINED</t>
        </is>
      </c>
      <c r="X11" t="inlineStr">
        <is>
          <t>VERIFIED 2026-08-22</t>
        </is>
      </c>
    </row>
    <row r="12">
      <c r="A12" t="inlineStr">
        <is>
          <t>MK-PL-M-011</t>
        </is>
      </c>
      <c r="B12" t="inlineStr">
        <is>
          <t>Plan</t>
        </is>
      </c>
      <c r="C12" t="inlineStr">
        <is>
          <t>/will-it-last</t>
        </is>
      </c>
      <c r="D12" t="inlineStr">
        <is>
          <t>Monthly saving until then</t>
        </is>
      </c>
      <c r="E12" t="inlineStr">
        <is>
          <t>inp.annual_contrib</t>
        </is>
      </c>
      <c r="F12" t="inlineStr">
        <is>
          <t>WILL_IT_LAST_INPUTS</t>
        </is>
      </c>
      <c r="G12" t="inlineStr">
        <is>
          <t>MK-PL-E-004</t>
        </is>
      </c>
      <c r="H12" t="inlineStr">
        <is>
          <t>the inputs one plan is built from: what is held, what will be spent, what is guaranteed, and what is still being saved</t>
        </is>
      </c>
      <c r="I12" t="inlineStr">
        <is>
          <t>Gather everything the odds need. The person's own choices override every default, one by one.
NO AGE MEANS NO ANSWER — the odds are never computed from a guessed age.
SOCIAL SECURITY USES THE CHEQUE THE CHOSEN CLAIM AGE ACTUALLY PAYS. The figure on a statement is the age-67 amount; claiming at 62 pays about 70% of it. Using the statement figure regardless would overstate guaranteed income for everyone claiming early.
Not eligible means ZERO guaranteed income, not a default.
A LEGACY TARGET — money someone means to leave behind — is taken off the pot, but ONLY once they are retired. See the defect note.</t>
        </is>
      </c>
      <c r="J12" t="inlineStr">
        <is>
          <t>their age → birthYear  [MK-XS-I-017] · the pot → NEST_EGG  [NO INPUT ID — not on the inputs tab] · return and swing → EXPECTED_RETURN_BLENDED, EXPECTED_SWING_BLENDED  [NO INPUT ID — not on the inputs tab] · spending → RETIREMENT_SPENDING  [MK-XS-I-024] · guaranteed income → RETIREMENT_INCOME, SS_BENEFIT_AT_AGE  [NO INPUT ID — not on the inputs tab] · money to leave behind → legacyTarget  [NO INPUT ID — not on the inputs tab] · their own overrides → the Plan screen  [NO INPUT ID — not on the inputs tab]</t>
        </is>
      </c>
      <c r="K12" t="inlineStr">
        <is>
          <t>Percent · rounded to the nearest 5 · a real 100 or 0 shown literally  [derived by rule — confirm]</t>
        </is>
      </c>
      <c r="L12" t="inlineStr">
        <is>
          <t>NOT DETERMINED — this engine has not been read for its refusal yet.</t>
        </is>
      </c>
      <c r="M12" t="inlineStr">
        <is>
          <t>One figure per month  [derived by rule — confirm]</t>
        </is>
      </c>
      <c r="N12" t="inlineStr">
        <is>
          <t>As of today, from the latest figures held  [derived by rule — confirm]</t>
        </is>
      </c>
      <c r="O12" t="inlineStr">
        <is>
          <t>EFFECTIVE_TAX_RATE · EXPECTED_RETURN_BLENDED · EXPECTED_SWING_BLENDED · FILING_STATUS · GUARANTEED_OUTSIDE_STREAMS · MONTHLY_SAVING · NEST_EGG · REPORTED_RETURN · RETIREMENT_SPENDING · SPLIT_BY_HOW_IT_IS_TAXED · SS_BENEFIT_AT_AGE · STATE_TAX_RATE · SWING_FROM_RETURN · TAX_OVER65_COUNT · TOTAL_INCOME</t>
        </is>
      </c>
      <c r="P12" t="inlineStr"/>
      <c r="Q12" t="inlineStr"/>
      <c r="R12" t="inlineStr">
        <is>
          <t>NOT DETERMINED — no assumption recorded for this figure yet.</t>
        </is>
      </c>
      <c r="S12" t="inlineStr">
        <is>
          <t>THE SURVIVING IDENTIFIER for this figure. Folded in: MK-PL-M-029. What is being saved each month towards retirement — "Monthly saving until then" and "Retirement saving $X/mo now".</t>
        </is>
      </c>
      <c r="T12" t="inlineStr"/>
      <c r="U12" t="inlineStr"/>
      <c r="V12" t="inlineStr"/>
      <c r="W12" t="inlineStr">
        <is>
          <t>NOT DETERMINED</t>
        </is>
      </c>
      <c r="X12" t="inlineStr">
        <is>
          <t>VERIFIED 2026-08-22</t>
        </is>
      </c>
    </row>
    <row r="13">
      <c r="A13" t="inlineStr">
        <is>
          <t>MK-PL-M-012</t>
        </is>
      </c>
      <c r="B13" t="inlineStr">
        <is>
          <t>Plan</t>
        </is>
      </c>
      <c r="C13" t="inlineStr">
        <is>
          <t>/required-withdrawals</t>
        </is>
      </c>
      <c r="D13" t="inlineStr">
        <is>
          <t>Yours starts in &lt;year&gt; (age N)</t>
        </is>
      </c>
      <c r="E13" t="inlineStr">
        <is>
          <t>rmdStartAgeFor(age)</t>
        </is>
      </c>
      <c r="F13" t="inlineStr">
        <is>
          <t>RMD_START_AGE (Calculation Module code/engines/rmd.ts)</t>
        </is>
      </c>
      <c r="G13" t="inlineStr">
        <is>
          <t>MK-PL-E-007</t>
        </is>
      </c>
      <c r="H13" t="inlineStr">
        <is>
          <t>start age = 73 for those born 1951–1959, 75 for those born 1960 or later;  Roth 401(k) is exempt</t>
        </is>
      </c>
      <c r="I13" t="inlineStr">
        <is>
          <t>The age required withdrawals begin, from one dated table: 73 for those born 1951 to 1959, 75 for those born in 1960 or later. A Roth 401(k) is exempt.</t>
        </is>
      </c>
      <c r="J13" t="inlineStr">
        <is>
          <t>NOT DETERMINED — no input list on record for this engine</t>
        </is>
      </c>
      <c r="K13" t="inlineStr">
        <is>
          <t>Age in whole years  [derived by rule — confirm]</t>
        </is>
      </c>
      <c r="L13" t="inlineStr">
        <is>
          <t>NOT DETERMINED — this engine has not been read for its refusal yet.</t>
        </is>
      </c>
      <c r="M13" t="inlineStr">
        <is>
          <t>One figure per person — or per household when two people share one record  [derived by rule — confirm]</t>
        </is>
      </c>
      <c r="N13" t="inlineStr">
        <is>
          <t>This calendar year, to today  [derived by rule — confirm]</t>
        </is>
      </c>
      <c r="O13" t="inlineStr">
        <is>
          <t>NOT DETERMINED</t>
        </is>
      </c>
      <c r="P13" t="inlineStr"/>
      <c r="Q13" t="inlineStr"/>
      <c r="R13" t="inlineStr">
        <is>
          <t>[Founder] The same one dated table, after both earlier copies were deleted.</t>
        </is>
      </c>
      <c r="S13" t="inlineStr"/>
      <c r="T13" t="inlineStr"/>
      <c r="U13" t="inlineStr"/>
      <c r="V13" t="inlineStr"/>
      <c r="W13" t="inlineStr">
        <is>
          <t>NOT DETERMINED</t>
        </is>
      </c>
      <c r="X13" t="inlineStr">
        <is>
          <t>VERIFIED 2026-08-22</t>
        </is>
      </c>
    </row>
    <row r="14">
      <c r="A14" t="inlineStr">
        <is>
          <t>MK-PL-M-013</t>
        </is>
      </c>
      <c r="B14" t="inlineStr">
        <is>
          <t>Plan</t>
        </is>
      </c>
      <c r="C14" t="inlineStr">
        <is>
          <t>/required-withdrawals</t>
        </is>
      </c>
      <c r="D14" t="inlineStr">
        <is>
          <t>Required $X</t>
        </is>
      </c>
      <c r="E14" t="inlineStr">
        <is>
          <t>required</t>
        </is>
      </c>
      <c r="F14" t="inlineStr">
        <is>
          <t>REQUIRED_WITHDRAWAL</t>
        </is>
      </c>
      <c r="G14" t="inlineStr">
        <is>
          <t>MK-PL-E-008</t>
        </is>
      </c>
      <c r="H14" t="inlineStr">
        <is>
          <t>required = balance on 31 December last year ÷ the life-expectancy factor for this age</t>
        </is>
      </c>
      <c r="I14" t="inlineStr">
        <is>
          <t>The amount the law requires to be taken out this year: last 31 December's balance divided by the life-expectancy factor for the person's age.</t>
        </is>
      </c>
      <c r="J14" t="inlineStr">
        <is>
          <t>NOT DETERMINED — no input list on record for this engine</t>
        </is>
      </c>
      <c r="K14" t="inlineStr">
        <is>
          <t>US dollars · held to the cent · shown as whole dollars  [derived by rule — confirm]</t>
        </is>
      </c>
      <c r="L14" t="inlineStr">
        <is>
          <t>Nothing before the start age for that birth year. A Roth 401(k) is exempt and says so.</t>
        </is>
      </c>
      <c r="M14" t="inlineStr">
        <is>
          <t>One figure per person — or per household when two people share one record  [derived by rule — confirm]</t>
        </is>
      </c>
      <c r="N14" t="inlineStr">
        <is>
          <t>As of today, from the latest figures held  [derived by rule — confirm]</t>
        </is>
      </c>
      <c r="O14" t="inlineStr">
        <is>
          <t>NOT DETERMINED</t>
        </is>
      </c>
      <c r="P14" t="inlineStr"/>
      <c r="Q14" t="inlineStr"/>
      <c r="R14" t="inlineStr">
        <is>
          <t>[Founder] One dated table. Start age is 73 for those born 1951–1959 and 75 for those born 1960 or later; a Roth 401(k) is exempt (fix B4).</t>
        </is>
      </c>
      <c r="S14" t="inlineStr"/>
      <c r="T14" t="inlineStr">
        <is>
          <t>Q31 — Required withdrawals are estimated from balances we hold. When an institution states its own required figure, does theirs win?</t>
        </is>
      </c>
      <c r="U14" t="inlineStr"/>
      <c r="V14" t="inlineStr"/>
      <c r="W14" t="inlineStr">
        <is>
          <t>NOT DETERMINED</t>
        </is>
      </c>
      <c r="X14" t="inlineStr">
        <is>
          <t>VERIFIED 2026-08-22</t>
        </is>
      </c>
    </row>
    <row r="15">
      <c r="A15" t="inlineStr">
        <is>
          <t>MK-PL-M-014</t>
        </is>
      </c>
      <c r="B15" t="inlineStr">
        <is>
          <t>Plan</t>
        </is>
      </c>
      <c r="C15" t="inlineStr">
        <is>
          <t>/required-withdrawals</t>
        </is>
      </c>
      <c r="D15" t="inlineStr">
        <is>
          <t>Taken so far $X · still to take</t>
        </is>
      </c>
      <c r="E15" t="inlineStr">
        <is>
          <t>taken / still</t>
        </is>
      </c>
      <c r="F15" t="inlineStr">
        <is>
          <t>worked out on the screen: required − taken so far</t>
        </is>
      </c>
      <c r="G15" t="inlineStr"/>
      <c r="H15" t="inlineStr">
        <is>
          <t>still to take = required this year − taken so far</t>
        </is>
      </c>
      <c r="I15" t="inlineStr">
        <is>
          <t>Worked out on the screen itself, with no engine behind it — a place a second definition can appear.</t>
        </is>
      </c>
      <c r="J15" t="inlineStr">
        <is>
          <t>NOT DETERMINED — no input list on record for this engine</t>
        </is>
      </c>
      <c r="K15" t="inlineStr">
        <is>
          <t>US dollars · held to the cent · shown as whole dollars  [derived by rule — confirm]</t>
        </is>
      </c>
      <c r="L15" t="inlineStr">
        <is>
          <t>Inherits the refusal of the figures it is built from: if either side is missing, this line is not shown.</t>
        </is>
      </c>
      <c r="M15" t="inlineStr">
        <is>
          <t>One figure per person — or per household when two people share one record  [derived by rule — confirm]</t>
        </is>
      </c>
      <c r="N15" t="inlineStr">
        <is>
          <t>As of today, from the latest figures held  [derived by rule — confirm]</t>
        </is>
      </c>
      <c r="O15" t="inlineStr">
        <is>
          <t>NOT DETERMINED</t>
        </is>
      </c>
      <c r="P15" t="inlineStr"/>
      <c r="Q15" t="inlineStr"/>
      <c r="R15" t="inlineStr">
        <is>
          <t>NOT DETERMINED — no assumption recorded for this figure yet.</t>
        </is>
      </c>
      <c r="S15" t="inlineStr"/>
      <c r="T15" t="inlineStr"/>
      <c r="U15" t="inlineStr"/>
      <c r="V15" t="inlineStr"/>
      <c r="W15" t="inlineStr">
        <is>
          <t>NOT DETERMINED</t>
        </is>
      </c>
      <c r="X15" t="inlineStr">
        <is>
          <t>VERIFIED 2026-08-22</t>
        </is>
      </c>
    </row>
    <row r="16">
      <c r="A16" t="inlineStr">
        <is>
          <t>MK-PL-M-015</t>
        </is>
      </c>
      <c r="B16" t="inlineStr">
        <is>
          <t>Plan</t>
        </is>
      </c>
      <c r="C16" t="inlineStr">
        <is>
          <t>/required-withdrawals</t>
        </is>
      </c>
      <c r="D16" t="inlineStr">
        <is>
          <t>YEAR BY YEAR (ESTIMATES) — each year and amount</t>
        </is>
      </c>
      <c r="E16" t="inlineStr">
        <is>
          <t>r.amount</t>
        </is>
      </c>
      <c r="F16" t="inlineStr">
        <is>
          <t>REQUIRED_WITHDRAWAL</t>
        </is>
      </c>
      <c r="G16" t="inlineStr">
        <is>
          <t>MK-PL-E-008</t>
        </is>
      </c>
      <c r="H16" t="inlineStr">
        <is>
          <t>required = balance on 31 December last year ÷ the life-expectancy factor for this age</t>
        </is>
      </c>
      <c r="I16" t="inlineStr">
        <is>
          <t>The amount the law requires to be taken out this year: last 31 December's balance divided by the life-expectancy factor for the person's age.</t>
        </is>
      </c>
      <c r="J16" t="inlineStr">
        <is>
          <t>NOT DETERMINED — no input list on record for this engine</t>
        </is>
      </c>
      <c r="K16" t="inlineStr">
        <is>
          <t>US dollars · held to the cent · shown as whole dollars  [derived by rule — confirm]</t>
        </is>
      </c>
      <c r="L16" t="inlineStr">
        <is>
          <t>Nothing before the start age for that birth year. A Roth 401(k) is exempt and says so.</t>
        </is>
      </c>
      <c r="M16" t="inlineStr">
        <is>
          <t>One figure per person — or per household when two people share one record  [derived by rule — confirm]</t>
        </is>
      </c>
      <c r="N16" t="inlineStr">
        <is>
          <t>This calendar year, to today  [derived by rule — confirm]</t>
        </is>
      </c>
      <c r="O16" t="inlineStr">
        <is>
          <t>NOT DETERMINED</t>
        </is>
      </c>
      <c r="P16" t="inlineStr"/>
      <c r="Q16" t="inlineStr"/>
      <c r="R16" t="inlineStr">
        <is>
          <t>[Founder] One dated table. Start age is 73 for those born 1951–1959 and 75 for those born 1960 or later; a Roth 401(k) is exempt (fix B4).</t>
        </is>
      </c>
      <c r="S16" t="inlineStr"/>
      <c r="T16" t="inlineStr"/>
      <c r="U16" t="inlineStr"/>
      <c r="V16" t="inlineStr"/>
      <c r="W16" t="inlineStr">
        <is>
          <t>NOT DETERMINED</t>
        </is>
      </c>
      <c r="X16" t="inlineStr">
        <is>
          <t>VERIFIED 2026-08-22</t>
        </is>
      </c>
    </row>
    <row r="17">
      <c r="A17" t="inlineStr">
        <is>
          <t>MK-PL-M-016</t>
        </is>
      </c>
      <c r="B17" t="inlineStr">
        <is>
          <t>Plan</t>
        </is>
      </c>
      <c r="C17" t="inlineStr">
        <is>
          <t>/required-withdrawals</t>
        </is>
      </c>
      <c r="D17" t="inlineStr">
        <is>
          <t>BASED ON THESE ACCOUNTS — each balance</t>
        </is>
      </c>
      <c r="E17" t="inlineStr">
        <is>
          <t>a.balance</t>
        </is>
      </c>
      <c r="F17" t="inlineStr">
        <is>
          <t>HAND_VALUE_AGE</t>
        </is>
      </c>
      <c r="G17" t="inlineStr">
        <is>
          <t>MK-NW-E-012</t>
        </is>
      </c>
      <c r="H17" t="inlineStr">
        <is>
          <t>value = the balance last recorded;  age = today − date it was recorded</t>
        </is>
      </c>
      <c r="I17" t="inlineStr">
        <is>
          <t>Months between the date the value was set and today. Six months or more → stale.
A LIVE-PRICED account returns nothing: its value comes from today's prices, so staleness is not a question that applies to it. A value with no date recorded also returns nothing rather than being assumed fresh.</t>
        </is>
      </c>
      <c r="J17" t="inlineStr">
        <is>
          <t>the account → a  [NO INPUT ID — not on the inputs tab] · when the value was set → value_as_of  [NO INPUT ID — not on the inputs tab] · today → now  [NO INPUT ID — not on the inputs tab]</t>
        </is>
      </c>
      <c r="K17" t="inlineStr">
        <is>
          <t>A count · whole units, except crypto which keeps its fractions  [derived by rule — confirm]</t>
        </is>
      </c>
      <c r="L17" t="inlineStr">
        <is>
          <t>Always answers, but carries the age of the figure and warns once it is stale.</t>
        </is>
      </c>
      <c r="M17" t="inlineStr">
        <is>
          <t>One figure per account  [derived by rule — confirm]</t>
        </is>
      </c>
      <c r="N17" t="inlineStr">
        <is>
          <t>As of today, from the latest figures held  [derived by rule — confirm]</t>
        </is>
      </c>
      <c r="O17" t="inlineStr">
        <is>
          <t>None found in the code — it reads raw values only</t>
        </is>
      </c>
      <c r="P17" t="inlineStr">
        <is>
          <t>DECIDES whether a stated value is fresh enough to show without a warning.</t>
        </is>
      </c>
      <c r="Q17" t="inlineStr"/>
      <c r="R17" t="inlineStr">
        <is>
          <t>NOT DETERMINED — no assumption recorded for this figure yet.</t>
        </is>
      </c>
      <c r="S17" t="inlineStr">
        <is>
          <t>THE SAME FIGURE AS MK-NW-M-018 — An account's value. The balance listed under required withdrawals is the same figure as Market value on account detail.</t>
        </is>
      </c>
      <c r="T17" t="inlineStr"/>
      <c r="U17" t="inlineStr"/>
      <c r="V17" t="inlineStr"/>
      <c r="W17" t="inlineStr">
        <is>
          <t>NOT DETERMINED</t>
        </is>
      </c>
      <c r="X17" t="inlineStr">
        <is>
          <t>VERIFIED 2026-08-22</t>
        </is>
      </c>
    </row>
    <row r="18">
      <c r="A18" t="inlineStr">
        <is>
          <t>MK-PL-M-017</t>
        </is>
      </c>
      <c r="B18" t="inlineStr">
        <is>
          <t>Plan</t>
        </is>
      </c>
      <c r="C18" t="inlineStr">
        <is>
          <t>/ss-timing</t>
        </is>
      </c>
      <c r="D18" t="inlineStr">
        <is>
          <t>Monthly check (today's dollars)</t>
        </is>
      </c>
      <c r="E18" t="inlineStr">
        <is>
          <t>A.guaranteedMonthly</t>
        </is>
      </c>
      <c r="F18" t="inlineStr">
        <is>
          <t>SS_BENEFIT_AT_AGE</t>
        </is>
      </c>
      <c r="G18" t="inlineStr">
        <is>
          <t>MK-PL-E-009</t>
        </is>
      </c>
      <c r="H18" t="inlineStr">
        <is>
          <t>benefit at claim age = the statement amount at full retirement age × the claim factor for that age</t>
        </is>
      </c>
      <c r="I18" t="inlineStr">
        <is>
          <t>Statement monthly amount × the claim factor for (claim age, birth year), rounded to whole dollars.</t>
        </is>
      </c>
      <c r="J18" t="inlineStr">
        <is>
          <t>statement amount at their full retirement age (typed from their ssa.gov statement) → statement monthly  [MK-XS-I-008, MK-XS-I-018, MK-XS-I-020] · claim age (the slider) → the factor's input  [MK-XS-I-021] · birth year (setup) → the anchor  [MK-XS-I-017]</t>
        </is>
      </c>
      <c r="K18" t="inlineStr">
        <is>
          <t>US dollars · held to the cent · shown as whole dollars  [derived by rule — confirm]</t>
        </is>
      </c>
      <c r="L18" t="inlineStr">
        <is>
          <t>Without a statement amount a worked example is shown, labelled as an example throughout.</t>
        </is>
      </c>
      <c r="M18" t="inlineStr">
        <is>
          <t>One figure per month  [derived by rule — confirm]</t>
        </is>
      </c>
      <c r="N18" t="inlineStr">
        <is>
          <t>As of today, from the latest figures held  [derived by rule — confirm]</t>
        </is>
      </c>
      <c r="O18" t="inlineStr">
        <is>
          <t>SS_CLAIM_FACTOR</t>
        </is>
      </c>
      <c r="P18" t="inlineStr"/>
      <c r="Q18" t="inlineStr"/>
      <c r="R18" t="inlineStr">
        <is>
          <t>[Founder] The amount a person types from their statement is the amount at THEIR full retirement age, not at 62 and not at 70 (fix B2). The full-retirement age itself comes from a birth-year table, to the month.
[The person] The claim age they set, and the statement amount they typed.
[The person] The retirement age in their plan.</t>
        </is>
      </c>
      <c r="S18" t="inlineStr"/>
      <c r="T18" t="inlineStr"/>
      <c r="U18" t="inlineStr"/>
      <c r="V18" t="inlineStr"/>
      <c r="W18" t="inlineStr">
        <is>
          <t>NOT DETERMINED</t>
        </is>
      </c>
      <c r="X18" t="inlineStr">
        <is>
          <t>VERIFIED 2026-08-22</t>
        </is>
      </c>
    </row>
    <row r="19">
      <c r="A19" t="inlineStr">
        <is>
          <t>MK-PL-M-018</t>
        </is>
      </c>
      <c r="B19" t="inlineStr">
        <is>
          <t>Plan</t>
        </is>
      </c>
      <c r="C19" t="inlineStr">
        <is>
          <t>/ss-timing</t>
        </is>
      </c>
      <c r="D19" t="inlineStr">
        <is>
          <t>You receive $X/mo ✓</t>
        </is>
      </c>
      <c r="E19" t="inlineStr">
        <is>
          <t>op.ri_ss</t>
        </is>
      </c>
      <c r="F19" t="inlineStr">
        <is>
          <t>RETIREMENT_INCOME_NOW</t>
        </is>
      </c>
      <c r="G19" t="inlineStr">
        <is>
          <t>MK-PL-E-010</t>
        </is>
      </c>
      <c r="H19" t="inlineStr">
        <is>
          <t>guaranteed income now = Σ(streams already being received)</t>
        </is>
      </c>
      <c r="I19" t="inlineStr">
        <is>
          <t>Zero unless the person said retirement income is one of their current sources; otherwise the same total as above.
The distinction stops a future pension being counted as money arriving now — which would overstate today's income and flatter every current figure built on it.</t>
        </is>
      </c>
      <c r="J19" t="inlineStr">
        <is>
          <t>do they receive it now → incomeSources  [NO INPUT ID — not on the inputs tab] · the amounts → retirementIncomeMonthly  [MK-XS-I-008]</t>
        </is>
      </c>
      <c r="K19" t="inlineStr">
        <is>
          <t>US dollars · held to the cent · shown as whole dollars  [derived by rule — confirm]</t>
        </is>
      </c>
      <c r="L19" t="inlineStr">
        <is>
          <t>Adds up to $0 when there is nothing to add. Zero and "nothing recorded yet" look identical on screen — worth a decision.</t>
        </is>
      </c>
      <c r="M19" t="inlineStr">
        <is>
          <t>One figure per person — or per household when two people share one record  [derived by rule — confirm]</t>
        </is>
      </c>
      <c r="N19" t="inlineStr">
        <is>
          <t>As of today, from the latest figures held  [derived by rule — confirm]</t>
        </is>
      </c>
      <c r="O19" t="inlineStr">
        <is>
          <t>RETIREMENT_INCOME</t>
        </is>
      </c>
      <c r="P19" t="inlineStr"/>
      <c r="Q19" t="inlineStr"/>
      <c r="R19" t="inlineStr">
        <is>
          <t>NOT DETERMINED — no assumption recorded for this figure yet.</t>
        </is>
      </c>
      <c r="S19" t="inlineStr">
        <is>
          <t>THE SAME FIGURE AS MK-CF-M-011 — Guaranteed income being received now. Shown four ways: "You receive $X/mo" on Social Security timing, "incl. Social Security $X/mo" on the cockpit, as a source on Cash flow, and as a list on Monthly income. One figure, four identifiers.</t>
        </is>
      </c>
      <c r="T19" t="inlineStr"/>
      <c r="U19" t="inlineStr"/>
      <c r="V19" t="inlineStr"/>
      <c r="W19" t="inlineStr">
        <is>
          <t>NOT DETERMINED</t>
        </is>
      </c>
      <c r="X19" t="inlineStr">
        <is>
          <t>VERIFIED 2026-08-22</t>
        </is>
      </c>
    </row>
    <row r="20">
      <c r="A20" t="inlineStr">
        <is>
          <t>MK-PL-M-019</t>
        </is>
      </c>
      <c r="B20" t="inlineStr">
        <is>
          <t>Plan</t>
        </is>
      </c>
      <c r="C20" t="inlineStr">
        <is>
          <t>/ss-timing</t>
        </is>
      </c>
      <c r="D20" t="inlineStr">
        <is>
          <t>Claiming at N pays $X a month</t>
        </is>
      </c>
      <c r="E20" t="inlineStr">
        <is>
          <t>r.monthly</t>
        </is>
      </c>
      <c r="F20" t="inlineStr">
        <is>
          <t>SS_CLAIM_FACTOR · SS_BENEFIT_AT_AGE</t>
        </is>
      </c>
      <c r="G20" t="inlineStr">
        <is>
          <t>MK-PL-E-011</t>
        </is>
      </c>
      <c r="H20" t="inlineStr">
        <is>
          <t>factor = 1 − 5/9% per month for the first 36 months early, − 5/12% per month beyond that; + 2/3% per month for each month claimed late up to 70</t>
        </is>
      </c>
      <c r="I20" t="inlineStr">
        <is>
          <t>Months between the claim age and the full retirement age. Early: minus 5/9 of 1% per month for the first 36 months, minus 5/12 of 1% per month beyond. Late: plus 2/3 of 1% per month (8% a year) to 70. At the full retirement age exactly: 100%. · Statement monthly amount × the claim factor for (claim age, birth year), rounded to whole dollars.</t>
        </is>
      </c>
      <c r="J20" t="inlineStr">
        <is>
          <t>claim age (the slider, 62–70) → months early or late vs their full retirement age  [MK-XS-I-018, MK-XS-I-021] · birth year (their setup answer) → the full retirement age it anchors to  [MK-XS-I-017, MK-XS-I-018] · statement amount at their full retirement age (typed from their ssa.gov statement) → statement monthly  [MK-XS-I-008, MK-XS-I-018, MK-XS-I-020] · claim age (the slider) → the factor's input  [MK-XS-I-021] · birth year (setup) → the anchor  [MK-XS-I-017]</t>
        </is>
      </c>
      <c r="K20" t="inlineStr">
        <is>
          <t>US dollars · held to the cent · shown as whole dollars  [derived by rule — confirm]</t>
        </is>
      </c>
      <c r="L20" t="inlineStr">
        <is>
          <t>Without a statement amount a worked example is shown, labelled as an example throughout.</t>
        </is>
      </c>
      <c r="M20" t="inlineStr">
        <is>
          <t>One figure per month  [derived by rule — confirm]</t>
        </is>
      </c>
      <c r="N20" t="inlineStr">
        <is>
          <t>As of today, from the latest figures held  [derived by rule — confirm]</t>
        </is>
      </c>
      <c r="O20" t="inlineStr">
        <is>
          <t>SS_CLAIM_FACTOR · SS_FULL_RETIREMENT_AGE</t>
        </is>
      </c>
      <c r="P20" t="inlineStr"/>
      <c r="Q20" t="inlineStr"/>
      <c r="R20" t="inlineStr">
        <is>
          <t>[Founder] The amount a person types from their statement is the amount at THEIR full retirement age, not at 62 and not at 70 (fix B2). The full-retirement age itself comes from a birth-year table, to the month.
[The person] The claim age they set, and the statement amount they typed.</t>
        </is>
      </c>
      <c r="S20" t="inlineStr"/>
      <c r="T20" t="inlineStr"/>
      <c r="U20" t="inlineStr"/>
      <c r="V20" t="inlineStr"/>
      <c r="W20" t="inlineStr">
        <is>
          <t>NOT DETERMINED</t>
        </is>
      </c>
      <c r="X20" t="inlineStr">
        <is>
          <t>VERIFIED 2026-08-22</t>
        </is>
      </c>
    </row>
    <row r="21">
      <c r="A21" t="inlineStr">
        <is>
          <t>MK-PL-M-020</t>
        </is>
      </c>
      <c r="B21" t="inlineStr">
        <is>
          <t>Plan</t>
        </is>
      </c>
      <c r="C21" t="inlineStr">
        <is>
          <t>/ss-timing</t>
        </is>
      </c>
      <c r="D21" t="inlineStr">
        <is>
          <t>about $X in total by age N</t>
        </is>
      </c>
      <c r="E21" t="inlineStr">
        <is>
          <t>r.lifetime</t>
        </is>
      </c>
      <c r="F21" t="inlineStr">
        <is>
          <t>SS_LIFETIME_TOTAL</t>
        </is>
      </c>
      <c r="G21" t="inlineStr">
        <is>
          <t>MK-PL-E-012</t>
        </is>
      </c>
      <c r="H21" t="inlineStr">
        <is>
          <t>lifetime total = monthly benefit × 12 × (life expectancy − claim age)</t>
        </is>
      </c>
      <c r="I21" t="inlineStr">
        <is>
          <t>The monthly Social Security check multiplied out to a life expectancy, so claiming early and claiming late can be compared in total dollars.</t>
        </is>
      </c>
      <c r="J21" t="inlineStr">
        <is>
          <t>NOT DETERMINED — no input list on record for this engine</t>
        </is>
      </c>
      <c r="K21" t="inlineStr">
        <is>
          <t>Age in whole years  [derived by rule — confirm]</t>
        </is>
      </c>
      <c r="L21" t="inlineStr">
        <is>
          <t>NOT DETERMINED — this engine has not been read for its refusal yet.</t>
        </is>
      </c>
      <c r="M21" t="inlineStr">
        <is>
          <t>One figure per person — or per household when two people share one record  [derived by rule — confirm]</t>
        </is>
      </c>
      <c r="N21" t="inlineStr">
        <is>
          <t>As of today, from the latest figures held  [derived by rule — confirm]</t>
        </is>
      </c>
      <c r="O21" t="inlineStr">
        <is>
          <t>NOT DETERMINED</t>
        </is>
      </c>
      <c r="P21" t="inlineStr"/>
      <c r="Q21" t="inlineStr"/>
      <c r="R21" t="inlineStr">
        <is>
          <t>[Built in] A life-expectancy figure the person never chose.
[The person] The claim age they set, and the statement amount they typed.</t>
        </is>
      </c>
      <c r="S21" t="inlineStr"/>
      <c r="T21" t="inlineStr"/>
      <c r="U21" t="inlineStr"/>
      <c r="V21" t="inlineStr"/>
      <c r="W21" t="inlineStr">
        <is>
          <t>NOT DETERMINED</t>
        </is>
      </c>
      <c r="X21" t="inlineStr">
        <is>
          <t>VERIFIED 2026-08-22</t>
        </is>
      </c>
    </row>
    <row r="22">
      <c r="A22" t="inlineStr">
        <is>
          <t>MK-PL-M-021</t>
        </is>
      </c>
      <c r="B22" t="inlineStr">
        <is>
          <t>Plan</t>
        </is>
      </c>
      <c r="C22" t="inlineStr">
        <is>
          <t>/ss-timing</t>
        </is>
      </c>
      <c r="D22" t="inlineStr">
        <is>
          <t>Showing example numbers (a $X/mo statement)</t>
        </is>
      </c>
      <c r="E22" t="inlineStr">
        <is>
          <t>exampleStmt</t>
        </is>
      </c>
      <c r="F22" t="inlineStr">
        <is>
          <t>the worked example used until a real statement goes in</t>
        </is>
      </c>
      <c r="G22" t="inlineStr">
        <is>
          <t>MK-PL-E-013</t>
        </is>
      </c>
      <c r="H22" t="inlineStr">
        <is>
          <t>a stated example amount, shown labelled as an example</t>
        </is>
      </c>
      <c r="I22" t="inlineStr">
        <is>
          <t>A worked example shown in place of a real Social Security statement, always labelled as such.</t>
        </is>
      </c>
      <c r="J22" t="inlineStr">
        <is>
          <t>NOT DETERMINED — no input list on record for this engine</t>
        </is>
      </c>
      <c r="K22" t="inlineStr">
        <is>
          <t>US dollars · held to the cent · shown as whole dollars  [derived by rule — confirm]</t>
        </is>
      </c>
      <c r="L22" t="inlineStr">
        <is>
          <t>NOT DETERMINED — this engine has not been read for its refusal yet.</t>
        </is>
      </c>
      <c r="M22" t="inlineStr">
        <is>
          <t>One figure per person — or per household when two people share one record  [derived by rule — confirm]</t>
        </is>
      </c>
      <c r="N22" t="inlineStr">
        <is>
          <t>As of today, from the latest figures held  [derived by rule — confirm]</t>
        </is>
      </c>
      <c r="O22" t="inlineStr">
        <is>
          <t>NOT DETERMINED</t>
        </is>
      </c>
      <c r="P22" t="inlineStr"/>
      <c r="Q22" t="inlineStr"/>
      <c r="R22" t="inlineStr">
        <is>
          <t>NOT DETERMINED — no assumption recorded for this figure yet.</t>
        </is>
      </c>
      <c r="S22" t="inlineStr"/>
      <c r="T22" t="inlineStr"/>
      <c r="U22" t="inlineStr"/>
      <c r="V22" t="inlineStr"/>
      <c r="W22" t="inlineStr">
        <is>
          <t>NOT DETERMINED</t>
        </is>
      </c>
      <c r="X22" t="inlineStr">
        <is>
          <t>VERIFIED 2026-08-22</t>
        </is>
      </c>
    </row>
    <row r="23">
      <c r="A23" t="inlineStr">
        <is>
          <t>MK-PL-M-022</t>
        </is>
      </c>
      <c r="B23" t="inlineStr">
        <is>
          <t>Plan</t>
        </is>
      </c>
      <c r="C23" t="inlineStr">
        <is>
          <t>/roth</t>
        </is>
      </c>
      <c r="D23" t="inlineStr">
        <is>
          <t>Convert to Roth this year (&lt;year&gt;)</t>
        </is>
      </c>
      <c r="E23" t="inlineStr">
        <is>
          <t>A.rothConversionThisYear</t>
        </is>
      </c>
      <c r="F23" t="inlineStr">
        <is>
          <t>the amount the person chose</t>
        </is>
      </c>
      <c r="G23" t="inlineStr">
        <is>
          <t>MK-PL-E-014</t>
        </is>
      </c>
      <c r="H23" t="inlineStr">
        <is>
          <t>the value typed by the person</t>
        </is>
      </c>
      <c r="I23" t="inlineStr">
        <is>
          <t>A number the person entered; no calculation.</t>
        </is>
      </c>
      <c r="J23" t="inlineStr">
        <is>
          <t>NOT DETERMINED — no input list on record for this engine</t>
        </is>
      </c>
      <c r="K23" t="inlineStr">
        <is>
          <t>US dollars · held to the cent · shown as whole dollars  [derived by rule — confirm]</t>
        </is>
      </c>
      <c r="L23" t="inlineStr">
        <is>
          <t>Nothing to compute — the person either entered it or has not, and the screen shows it only when they have.</t>
        </is>
      </c>
      <c r="M23" t="inlineStr">
        <is>
          <t>One figure per person — or per household when two people share one record  [derived by rule — confirm]</t>
        </is>
      </c>
      <c r="N23" t="inlineStr">
        <is>
          <t>This calendar year, to today  [derived by rule — confirm]</t>
        </is>
      </c>
      <c r="O23" t="inlineStr">
        <is>
          <t>NOT DETERMINED</t>
        </is>
      </c>
      <c r="P23" t="inlineStr"/>
      <c r="Q23" t="inlineStr"/>
      <c r="R23" t="inlineStr">
        <is>
          <t>NOT DETERMINED — no assumption recorded for this figure yet.</t>
        </is>
      </c>
      <c r="S23" t="inlineStr"/>
      <c r="T23" t="inlineStr"/>
      <c r="U23" t="inlineStr"/>
      <c r="V23" t="inlineStr"/>
      <c r="W23" t="inlineStr">
        <is>
          <t>NOT DETERMINED</t>
        </is>
      </c>
      <c r="X23" t="inlineStr">
        <is>
          <t>VERIFIED 2026-08-22</t>
        </is>
      </c>
    </row>
    <row r="24">
      <c r="A24" t="inlineStr">
        <is>
          <t>MK-PL-M-023</t>
        </is>
      </c>
      <c r="B24" t="inlineStr">
        <is>
          <t>Plan</t>
        </is>
      </c>
      <c r="C24" t="inlineStr">
        <is>
          <t>/roth</t>
        </is>
      </c>
      <c r="D24" t="inlineStr">
        <is>
          <t>Extra tax next April (estimate) — about $X</t>
        </is>
      </c>
      <c r="E24" t="inlineStr">
        <is>
          <t>taxCost</t>
        </is>
      </c>
      <c r="F24" t="inlineStr">
        <is>
          <t>TAX_ON_CONVERSION</t>
        </is>
      </c>
      <c r="G24" t="inlineStr">
        <is>
          <t>MK-PL-E-015</t>
        </is>
      </c>
      <c r="H24" t="inlineStr">
        <is>
          <t>extra tax ≈ Σ over bands of (amount converted falling in that band × its rate)</t>
        </is>
      </c>
      <c r="I24" t="inlineStr">
        <is>
          <t>The extra tax a Roth conversion would cause: the converted amount is stacked on top of this year's income and taxed band by band.</t>
        </is>
      </c>
      <c r="J24" t="inlineStr">
        <is>
          <t>NOT DETERMINED — no input list on record for this engine</t>
        </is>
      </c>
      <c r="K24" t="inlineStr">
        <is>
          <t>US dollars · held to the cent · shown as whole dollars  [derived by rule — confirm]</t>
        </is>
      </c>
      <c r="L24" t="inlineStr">
        <is>
          <t>Adds up to $0 when there is nothing to add. Zero and "nothing recorded yet" look identical on screen — worth a decision.</t>
        </is>
      </c>
      <c r="M24" t="inlineStr">
        <is>
          <t>One figure per person — or per household when two people share one record  [derived by rule — confirm]</t>
        </is>
      </c>
      <c r="N24" t="inlineStr">
        <is>
          <t>As of today, from the latest figures held  [derived by rule — confirm]</t>
        </is>
      </c>
      <c r="O24" t="inlineStr">
        <is>
          <t>NOT DETERMINED</t>
        </is>
      </c>
      <c r="P24" t="inlineStr"/>
      <c r="Q24" t="inlineStr"/>
      <c r="R24" t="inlineStr">
        <is>
          <t>NOT DETERMINED — no assumption recorded for this figure yet.</t>
        </is>
      </c>
      <c r="S24" t="inlineStr"/>
      <c r="T24" t="inlineStr"/>
      <c r="U24" t="inlineStr"/>
      <c r="V24" t="inlineStr"/>
      <c r="W24" t="inlineStr">
        <is>
          <t>NOT DETERMINED</t>
        </is>
      </c>
      <c r="X24" t="inlineStr">
        <is>
          <t>VERIFIED 2026-08-22</t>
        </is>
      </c>
    </row>
    <row r="25">
      <c r="A25" t="inlineStr">
        <is>
          <t>MK-PL-M-024</t>
        </is>
      </c>
      <c r="B25" t="inlineStr">
        <is>
          <t>Plan</t>
        </is>
      </c>
      <c r="C25" t="inlineStr">
        <is>
          <t>/roth</t>
        </is>
      </c>
      <c r="D25" t="inlineStr">
        <is>
          <t>from your pre-tax $X</t>
        </is>
      </c>
      <c r="E25" t="inlineStr">
        <is>
          <t>preTax</t>
        </is>
      </c>
      <c r="F25" t="inlineStr">
        <is>
          <t>PRE_TAX_BALANCE</t>
        </is>
      </c>
      <c r="G25" t="inlineStr">
        <is>
          <t>MK-PL-E-016</t>
        </is>
      </c>
      <c r="H25" t="inlineStr">
        <is>
          <t>pre-tax balance = Σ(balance of accounts whose tax type = pre-tax)</t>
        </is>
      </c>
      <c r="I25" t="inlineStr">
        <is>
          <t>Adds the balances of accounts whose money has not been taxed yet — the pot a Roth move would come from.</t>
        </is>
      </c>
      <c r="J25" t="inlineStr">
        <is>
          <t>NOT DETERMINED — no input list on record for this engine</t>
        </is>
      </c>
      <c r="K25" t="inlineStr">
        <is>
          <t>US dollars · held to the cent · shown as whole dollars  [derived by rule — confirm]</t>
        </is>
      </c>
      <c r="L25" t="inlineStr">
        <is>
          <t>Adds up to $0 when there is nothing to add. Zero and "nothing recorded yet" look identical on screen — worth a decision.</t>
        </is>
      </c>
      <c r="M25" t="inlineStr">
        <is>
          <t>One figure per person — or per household when two people share one record  [derived by rule — confirm]</t>
        </is>
      </c>
      <c r="N25" t="inlineStr">
        <is>
          <t>As of today, from the latest figures held  [derived by rule — confirm]</t>
        </is>
      </c>
      <c r="O25" t="inlineStr">
        <is>
          <t>NOT DETERMINED</t>
        </is>
      </c>
      <c r="P25" t="inlineStr"/>
      <c r="Q25" t="inlineStr"/>
      <c r="R25" t="inlineStr">
        <is>
          <t>NOT DETERMINED — no assumption recorded for this figure yet.</t>
        </is>
      </c>
      <c r="S25" t="inlineStr"/>
      <c r="T25" t="inlineStr"/>
      <c r="U25" t="inlineStr"/>
      <c r="V25" t="inlineStr"/>
      <c r="W25" t="inlineStr">
        <is>
          <t>NOT DETERMINED</t>
        </is>
      </c>
      <c r="X25" t="inlineStr">
        <is>
          <t>VERIFIED 2026-08-22</t>
        </is>
      </c>
    </row>
    <row r="26">
      <c r="A26" t="inlineStr">
        <is>
          <t>MK-PL-M-025</t>
        </is>
      </c>
      <c r="B26" t="inlineStr">
        <is>
          <t>Plan</t>
        </is>
      </c>
      <c r="C26" t="inlineStr">
        <is>
          <t>/what-if</t>
        </is>
      </c>
      <c r="D26" t="inlineStr">
        <is>
          <t>+$X/mo (the saving dial)</t>
        </is>
      </c>
      <c r="E26" t="inlineStr">
        <is>
          <t>addMonthly</t>
        </is>
      </c>
      <c r="F26" t="inlineStr">
        <is>
          <t>the amount the person chose</t>
        </is>
      </c>
      <c r="G26" t="inlineStr">
        <is>
          <t>MK-PL-E-014</t>
        </is>
      </c>
      <c r="H26" t="inlineStr">
        <is>
          <t>the value typed by the person</t>
        </is>
      </c>
      <c r="I26" t="inlineStr">
        <is>
          <t>A number the person entered; no calculation.</t>
        </is>
      </c>
      <c r="J26" t="inlineStr">
        <is>
          <t>NOT DETERMINED — no input list on record for this engine</t>
        </is>
      </c>
      <c r="K26" t="inlineStr">
        <is>
          <t>US dollars · held to the cent · shown as whole dollars  [derived by rule — confirm]</t>
        </is>
      </c>
      <c r="L26" t="inlineStr">
        <is>
          <t>Nothing to compute — the person either entered it or has not, and the screen shows it only when they have.</t>
        </is>
      </c>
      <c r="M26" t="inlineStr">
        <is>
          <t>One figure per person — or per household when two people share one record  [derived by rule — confirm]</t>
        </is>
      </c>
      <c r="N26" t="inlineStr">
        <is>
          <t>As of today, from the latest figures held  [derived by rule — confirm]</t>
        </is>
      </c>
      <c r="O26" t="inlineStr">
        <is>
          <t>NOT DETERMINED</t>
        </is>
      </c>
      <c r="P26" t="inlineStr"/>
      <c r="Q26" t="inlineStr"/>
      <c r="R26" t="inlineStr">
        <is>
          <t>NOT DETERMINED — no assumption recorded for this figure yet.</t>
        </is>
      </c>
      <c r="S26" t="inlineStr"/>
      <c r="T26" t="inlineStr"/>
      <c r="U26" t="inlineStr"/>
      <c r="V26" t="inlineStr"/>
      <c r="W26" t="inlineStr">
        <is>
          <t>NOT DETERMINED</t>
        </is>
      </c>
      <c r="X26" t="inlineStr">
        <is>
          <t>VERIFIED 2026-08-22</t>
        </is>
      </c>
    </row>
    <row r="27">
      <c r="A27" t="inlineStr">
        <is>
          <t>MK-PL-M-026</t>
        </is>
      </c>
      <c r="B27" t="inlineStr">
        <is>
          <t>Plan</t>
        </is>
      </c>
      <c r="C27" t="inlineStr">
        <is>
          <t>/what-if</t>
        </is>
      </c>
      <c r="D27" t="inlineStr">
        <is>
          <t>$X → $Y (nest egg before and after)</t>
        </is>
      </c>
      <c r="E27" t="inlineStr">
        <is>
          <t>result.before.egg / result.after.egg</t>
        </is>
      </c>
      <c r="F27" t="inlineStr">
        <is>
          <t>POT_AT_RETIREMENT</t>
        </is>
      </c>
      <c r="G27" t="inlineStr">
        <is>
          <t>MK-NW-E-010</t>
        </is>
      </c>
      <c r="H27" t="inlineStr">
        <is>
          <t>pot = balance × (1 + r)^n + Σ(contribution × (1 + r)^(n − year)),  n = years to retirement</t>
        </is>
      </c>
      <c r="I27" t="inlineStr">
        <is>
          <t>TWO FIGURES, no random runs anywhere in this one — it is the straight-line check beside the 1,000-run odds.
WHAT YOU WILL HAVE. Today's pot grown at your expected return for the years until you retire, plus every year's saving grown for however many years it has left. Worked at 6%: $600,000 today over 7 years becomes $902,000; $24,000 saved each of those years adds about $201,000; $1,103,000 in all.
WHAT YOU WILL NEED — the target pot. Walk every retirement year one at a time, from the year you retire to the age you plan to. In each year: take that year's spending, take off the guaranteed income you receive that year, and that difference is what the pot must hand you. Bring each of those amounts back to a retirement-year value by dividing by your expected return once for every year you have to wait for it. Add them all up. That total is the pot that pays for the whole plan.
Two rules ride along: spending rises with inflation every year, and so does Social Security, but a pension stays flat.
WHY THE NUMBER IS SMALLER THAN THE SUM OF THE SPENDING. Money you do not need until year fifteen keeps earning until then, so you need less than fifteen years' spending set aside today.
MONEY IS NEEDED AT THE START OF ITS YEAR. The first retirement year's spending is not discounted at all — January's groceries cannot be paid out of December's growth. Some published calculators charge each year at its END, which gives every year one more year of growth and reports a target about (1 + return) / (1 + inflation) smaller — roughly 3% lower at a 6% return and 2.5% inflation. Neither is wrong; ours is the cautious side, and the difference is a timing convention, not a disagreement about the arithmetic.
HOW IT DIFFERS FROM THE 25 x YARDSTICK reported by the odds engine: this one knows how long you plan for and what your money earns; the yardstick knows neither.</t>
        </is>
      </c>
      <c r="J27" t="inlineStr">
        <is>
          <t>the same inputs → inp  [NO INPUT ID — not on the inputs tab]</t>
        </is>
      </c>
      <c r="K27" t="inlineStr">
        <is>
          <t>US dollars · held to the cent · shown as whole dollars  [derived by rule — confirm]</t>
        </is>
      </c>
      <c r="L27" t="inlineStr">
        <is>
          <t>No figure when there is nothing to grow, or when retirement is not ahead of the person.</t>
        </is>
      </c>
      <c r="M27" t="inlineStr">
        <is>
          <t>One figure per person — or per household when two people share one record  [derived by rule — confirm]</t>
        </is>
      </c>
      <c r="N27" t="inlineStr">
        <is>
          <t>From today to the retirement age in the plan  [derived by rule — confirm]</t>
        </is>
      </c>
      <c r="O27" t="inlineStr">
        <is>
          <t>WILL_IT_LAST</t>
        </is>
      </c>
      <c r="P27" t="inlineStr"/>
      <c r="Q27" t="inlineStr">
        <is>
          <t>The Net worth screen builds this projection WITHOUT the person's big costs, while Cash flow, Budget, Goals and Social Security timing all include them. Same person, same day, two different nest eggs. Seen in the code; not yet confirmed on screen.</t>
        </is>
      </c>
      <c r="R27" t="inlineStr">
        <is>
          <t>[Founder] The recommended nest egg is 25× the yearly spending not covered by guaranteed income, counted from the start of the retirement year — which is why it differs from an outside calculator.
[Built in] The assumed rate of return, which the person can change on the cockpit.
[The person] The retirement age in their plan.</t>
        </is>
      </c>
      <c r="S27" t="inlineStr"/>
      <c r="T27" t="inlineStr"/>
      <c r="U27" t="inlineStr"/>
      <c r="V27" t="inlineStr"/>
      <c r="W27" t="inlineStr">
        <is>
          <t>NOT DETERMINED</t>
        </is>
      </c>
      <c r="X27" t="inlineStr">
        <is>
          <t>VERIFIED 2026-08-22</t>
        </is>
      </c>
    </row>
    <row r="28">
      <c r="A28" t="inlineStr">
        <is>
          <t>MK-PL-M-027</t>
        </is>
      </c>
      <c r="B28" t="inlineStr">
        <is>
          <t>Plan</t>
        </is>
      </c>
      <c r="C28" t="inlineStr">
        <is>
          <t>/what-if</t>
        </is>
      </c>
      <c r="D28" t="inlineStr">
        <is>
          <t>the difference the change makes</t>
        </is>
      </c>
      <c r="E28" t="inlineStr">
        <is>
          <t>result.after.egg - result.before.egg</t>
        </is>
      </c>
      <c r="F28" t="inlineStr">
        <is>
          <t>worked out on the screen: after − before</t>
        </is>
      </c>
      <c r="G28" t="inlineStr"/>
      <c r="H28" t="inlineStr">
        <is>
          <t>difference = pot after the change − pot before it</t>
        </is>
      </c>
      <c r="I28" t="inlineStr">
        <is>
          <t>Worked out on the screen itself, with no engine behind it — a place a second definition can appear.</t>
        </is>
      </c>
      <c r="J28" t="inlineStr">
        <is>
          <t>NOT DETERMINED — no input list on record for this engine</t>
        </is>
      </c>
      <c r="K28" t="inlineStr">
        <is>
          <t>US dollars · held to the cent · shown as whole dollars  [derived by rule — confirm]</t>
        </is>
      </c>
      <c r="L28" t="inlineStr">
        <is>
          <t>Inherits the refusal of the figures it is built from: if either side is missing, this line is not shown.</t>
        </is>
      </c>
      <c r="M28" t="inlineStr">
        <is>
          <t>One figure per person — or per household when two people share one record  [derived by rule — confirm]</t>
        </is>
      </c>
      <c r="N28" t="inlineStr">
        <is>
          <t>As of today, from the latest figures held  [derived by rule — confirm]</t>
        </is>
      </c>
      <c r="O28" t="inlineStr">
        <is>
          <t>NOT DETERMINED</t>
        </is>
      </c>
      <c r="P28" t="inlineStr"/>
      <c r="Q28" t="inlineStr"/>
      <c r="R28" t="inlineStr">
        <is>
          <t>NOT DETERMINED — no assumption recorded for this figure yet.</t>
        </is>
      </c>
      <c r="S28" t="inlineStr"/>
      <c r="T28" t="inlineStr"/>
      <c r="U28" t="inlineStr"/>
      <c r="V28" t="inlineStr"/>
      <c r="W28" t="inlineStr">
        <is>
          <t>NOT DETERMINED</t>
        </is>
      </c>
      <c r="X28" t="inlineStr">
        <is>
          <t>VERIFIED 2026-08-22</t>
        </is>
      </c>
    </row>
    <row r="29">
      <c r="A29" t="inlineStr">
        <is>
          <t>MK-PL-M-028</t>
        </is>
      </c>
      <c r="B29" t="inlineStr">
        <is>
          <t>Plan</t>
        </is>
      </c>
      <c r="C29" t="inlineStr">
        <is>
          <t>/multi-goal</t>
        </is>
      </c>
      <c r="D29" t="inlineStr">
        <is>
          <t>each goal and its monthly amount</t>
        </is>
      </c>
      <c r="E29" t="inlineStr">
        <is>
          <t>d.monthlyAmount</t>
        </is>
      </c>
      <c r="F29" t="inlineStr">
        <is>
          <t>the amounts the person chose</t>
        </is>
      </c>
      <c r="G29" t="inlineStr">
        <is>
          <t>MK-PL-E-017</t>
        </is>
      </c>
      <c r="H29" t="inlineStr">
        <is>
          <t>the values typed by the person</t>
        </is>
      </c>
      <c r="I29" t="inlineStr">
        <is>
          <t>Amounts the person entered; no calculation.</t>
        </is>
      </c>
      <c r="J29" t="inlineStr">
        <is>
          <t>NOT DETERMINED — no input list on record for this engine</t>
        </is>
      </c>
      <c r="K29" t="inlineStr">
        <is>
          <t>US dollars · held to the cent · shown as whole dollars  [derived by rule — confirm]</t>
        </is>
      </c>
      <c r="L29" t="inlineStr">
        <is>
          <t>Nothing to compute — the person either entered it or has not, and the screen shows it only when they have.</t>
        </is>
      </c>
      <c r="M29" t="inlineStr">
        <is>
          <t>One figure per goal  [derived by rule — confirm]</t>
        </is>
      </c>
      <c r="N29" t="inlineStr">
        <is>
          <t>As of today, from the latest figures held  [derived by rule — confirm]</t>
        </is>
      </c>
      <c r="O29" t="inlineStr">
        <is>
          <t>NOT DETERMINED</t>
        </is>
      </c>
      <c r="P29" t="inlineStr"/>
      <c r="Q29" t="inlineStr"/>
      <c r="R29" t="inlineStr">
        <is>
          <t>NOT DETERMINED — no assumption recorded for this figure yet.</t>
        </is>
      </c>
      <c r="S29" t="inlineStr"/>
      <c r="T29" t="inlineStr"/>
      <c r="U29" t="inlineStr"/>
      <c r="V29" t="inlineStr"/>
      <c r="W29" t="inlineStr">
        <is>
          <t>NOT DETERMINED</t>
        </is>
      </c>
      <c r="X29" t="inlineStr">
        <is>
          <t>VERIFIED 2026-08-22</t>
        </is>
      </c>
    </row>
    <row r="30">
      <c r="A30" t="inlineStr">
        <is>
          <t>MK-PL-M-029</t>
        </is>
      </c>
      <c r="B30" t="inlineStr">
        <is>
          <t>Plan</t>
        </is>
      </c>
      <c r="C30" t="inlineStr">
        <is>
          <t>/multi-goal</t>
        </is>
      </c>
      <c r="D30" t="inlineStr">
        <is>
          <t>Retirement saving — $X/mo now → $Y/mo</t>
        </is>
      </c>
      <c r="E30" t="inlineStr">
        <is>
          <t>A.contribMonthly / retirementMo</t>
        </is>
      </c>
      <c r="F30" t="inlineStr">
        <is>
          <t>WILL_IT_LAST_INPUTS</t>
        </is>
      </c>
      <c r="G30" t="inlineStr">
        <is>
          <t>MK-PL-E-004</t>
        </is>
      </c>
      <c r="H30" t="inlineStr">
        <is>
          <t>the inputs one plan is built from: what is held, what will be spent, what is guaranteed, and what is still being saved</t>
        </is>
      </c>
      <c r="I30" t="inlineStr">
        <is>
          <t>Gather everything the odds need. The person's own choices override every default, one by one.
NO AGE MEANS NO ANSWER — the odds are never computed from a guessed age.
SOCIAL SECURITY USES THE CHEQUE THE CHOSEN CLAIM AGE ACTUALLY PAYS. The figure on a statement is the age-67 amount; claiming at 62 pays about 70% of it. Using the statement figure regardless would overstate guaranteed income for everyone claiming early.
Not eligible means ZERO guaranteed income, not a default.
A LEGACY TARGET — money someone means to leave behind — is taken off the pot, but ONLY once they are retired. See the defect note.</t>
        </is>
      </c>
      <c r="J30" t="inlineStr">
        <is>
          <t>their age → birthYear  [MK-XS-I-017] · the pot → NEST_EGG  [NO INPUT ID — not on the inputs tab] · return and swing → EXPECTED_RETURN_BLENDED, EXPECTED_SWING_BLENDED  [NO INPUT ID — not on the inputs tab] · spending → RETIREMENT_SPENDING  [MK-XS-I-024] · guaranteed income → RETIREMENT_INCOME, SS_BENEFIT_AT_AGE  [NO INPUT ID — not on the inputs tab] · money to leave behind → legacyTarget  [NO INPUT ID — not on the inputs tab] · their own overrides → the Plan screen  [NO INPUT ID — not on the inputs tab]</t>
        </is>
      </c>
      <c r="K30" t="inlineStr">
        <is>
          <t>Percent · rounded to the nearest 5 · a real 100 or 0 shown literally  [derived by rule — confirm]</t>
        </is>
      </c>
      <c r="L30" t="inlineStr">
        <is>
          <t>NOT DETERMINED — this engine has not been read for its refusal yet.</t>
        </is>
      </c>
      <c r="M30" t="inlineStr">
        <is>
          <t>One figure per person — or per household when two people share one record  [derived by rule — confirm]</t>
        </is>
      </c>
      <c r="N30" t="inlineStr">
        <is>
          <t>From today to the retirement age in the plan  [derived by rule — confirm]</t>
        </is>
      </c>
      <c r="O30" t="inlineStr">
        <is>
          <t>EFFECTIVE_TAX_RATE · EXPECTED_RETURN_BLENDED · EXPECTED_SWING_BLENDED · FILING_STATUS · GUARANTEED_OUTSIDE_STREAMS · MONTHLY_SAVING · NEST_EGG · REPORTED_RETURN · RETIREMENT_SPENDING · SPLIT_BY_HOW_IT_IS_TAXED · SS_BENEFIT_AT_AGE · STATE_TAX_RATE · SWING_FROM_RETURN · TAX_OVER65_COUNT · TOTAL_INCOME</t>
        </is>
      </c>
      <c r="P30" t="inlineStr"/>
      <c r="Q30" t="inlineStr"/>
      <c r="R30" t="inlineStr">
        <is>
          <t>NOT DETERMINED — no assumption recorded for this figure yet.</t>
        </is>
      </c>
      <c r="S30" t="inlineStr">
        <is>
          <t>THE SAME FIGURE AS MK-PL-M-011 — What is being saved each month towards retirement — "Monthly saving until then" and "Retirement saving $X/mo now".</t>
        </is>
      </c>
      <c r="T30" t="inlineStr"/>
      <c r="U30" t="inlineStr"/>
      <c r="V30" t="inlineStr"/>
      <c r="W30" t="inlineStr">
        <is>
          <t>NOT DETERMINED</t>
        </is>
      </c>
      <c r="X30" t="inlineStr">
        <is>
          <t>VERIFIED 2026-08-22</t>
        </is>
      </c>
    </row>
    <row r="31">
      <c r="A31" t="inlineStr">
        <is>
          <t>MK-PL-M-030</t>
        </is>
      </c>
      <c r="B31" t="inlineStr">
        <is>
          <t>Plan</t>
        </is>
      </c>
      <c r="C31" t="inlineStr">
        <is>
          <t>/multi-goal</t>
        </is>
      </c>
      <c r="D31" t="inlineStr">
        <is>
          <t>Extra on debt $X/mo</t>
        </is>
      </c>
      <c r="E31" t="inlineStr">
        <is>
          <t>extraDebt</t>
        </is>
      </c>
      <c r="F31" t="inlineStr">
        <is>
          <t>DEBT_PICTURE</t>
        </is>
      </c>
      <c r="G31" t="inlineStr">
        <is>
          <t>MK-NW-E-007</t>
        </is>
      </c>
      <c r="H31" t="inlineStr">
        <is>
          <t>owed = Σ(remaining balance);  monthly debt payments = Σ(required payment of each debt)</t>
        </is>
      </c>
      <c r="I31" t="inlineStr">
        <is>
          <t>Total the balances. Find the highest-rate debt. Add up separately the balances above the rate we treat as dangerous.
TWO MONTHLY FIGURES ARE KEPT DELIBERATELY: the minimum that must be paid to stay current, and what is actually going out. Confusing them misstates affordability in one direction or the other.
No debts gives zero and nothing to point at.</t>
        </is>
      </c>
      <c r="J31" t="inlineStr">
        <is>
          <t>every debt → debts  [NO INPUT ID — not on the inputs tab] · rates → interest_rate_apr  [MK-XS-I-015] · payments → the minimum and chosen payments  [MK-XS-I-016]</t>
        </is>
      </c>
      <c r="K31" t="inlineStr">
        <is>
          <t>US dollars · held to the cent · shown as whole dollars  [derived by rule — confirm]</t>
        </is>
      </c>
      <c r="L31" t="inlineStr">
        <is>
          <t>Adds up to $0 when there is nothing to add. Zero and "nothing recorded yet" look identical on screen — worth a decision.</t>
        </is>
      </c>
      <c r="M31" t="inlineStr">
        <is>
          <t>One figure per debt, and one total per person  [derived by rule — confirm]</t>
        </is>
      </c>
      <c r="N31" t="inlineStr">
        <is>
          <t>As of today, from the latest figures held  [derived by rule — confirm]</t>
        </is>
      </c>
      <c r="O31" t="inlineStr">
        <is>
          <t>DEBT_MINIMUM_TOTAL · DEBT_PAYMENTS_ACTUAL</t>
        </is>
      </c>
      <c r="P31" t="inlineStr"/>
      <c r="Q31" t="inlineStr">
        <is>
          <t>This row names DEBT_PICTURE, but "Extra on debt $X/mo" is an amount the person chose on a dial, not a figure that engine produces.</t>
        </is>
      </c>
      <c r="R31" t="inlineStr">
        <is>
          <t>NOT DETERMINED — no assumption recorded for this figure yet.</t>
        </is>
      </c>
      <c r="S31" t="inlineStr"/>
      <c r="T31" t="inlineStr"/>
      <c r="U31" t="inlineStr"/>
      <c r="V31" t="inlineStr"/>
      <c r="W31" t="inlineStr">
        <is>
          <t>NOT DETERMINED</t>
        </is>
      </c>
      <c r="X31" t="inlineStr">
        <is>
          <t>VERIFIED 2026-08-22</t>
        </is>
      </c>
    </row>
    <row r="32">
      <c r="A32" t="inlineStr">
        <is>
          <t>MK-PL-M-031</t>
        </is>
      </c>
      <c r="B32" t="inlineStr">
        <is>
          <t>Plan</t>
        </is>
      </c>
      <c r="C32" t="inlineStr">
        <is>
          <t>/multi-goal</t>
        </is>
      </c>
      <c r="D32" t="inlineStr">
        <is>
          <t>paid off &lt;month&gt; · saves $X</t>
        </is>
      </c>
      <c r="E32" t="inlineStr">
        <is>
          <t>weighed.debtPayoff</t>
        </is>
      </c>
      <c r="F32" t="inlineStr">
        <is>
          <t>DEBT_PAYOFF</t>
        </is>
      </c>
      <c r="G32" t="inlineStr">
        <is>
          <t>MK-PL-E-018</t>
        </is>
      </c>
      <c r="H32" t="inlineStr">
        <is>
          <t>each month: balance ← balance × (1 + rate ÷ 12) − payment, until balance ≤ 0;  payoff month = the first month it does</t>
        </is>
      </c>
      <c r="I32" t="inlineStr">
        <is>
          <t>Runs the debt forward month by month: interest is added, the payment is taken off, and the month the balance reaches zero is the payoff date.</t>
        </is>
      </c>
      <c r="J32" t="inlineStr">
        <is>
          <t>NOT DETERMINED — no input list on record for this engine</t>
        </is>
      </c>
      <c r="K32" t="inlineStr">
        <is>
          <t>US dollars · held to the cent · shown as whole dollars  [derived by rule — confirm]</t>
        </is>
      </c>
      <c r="L32" t="inlineStr">
        <is>
          <t>A division: with nothing on the bottom there is no answer, and the line must not appear as zero. NOT YET CONFIRMED against the engine.</t>
        </is>
      </c>
      <c r="M32" t="inlineStr">
        <is>
          <t>One figure per debt, and one total per person  [derived by rule — confirm]</t>
        </is>
      </c>
      <c r="N32" t="inlineStr">
        <is>
          <t>As of today, from the latest figures held  [derived by rule — confirm]</t>
        </is>
      </c>
      <c r="O32" t="inlineStr">
        <is>
          <t>NOT DETERMINED</t>
        </is>
      </c>
      <c r="P32" t="inlineStr"/>
      <c r="Q32" t="inlineStr"/>
      <c r="R32" t="inlineStr">
        <is>
          <t>NOT DETERMINED — no assumption recorded for this figure yet.</t>
        </is>
      </c>
      <c r="S32" t="inlineStr"/>
      <c r="T32" t="inlineStr"/>
      <c r="U32" t="inlineStr"/>
      <c r="V32" t="inlineStr"/>
      <c r="W32" t="inlineStr">
        <is>
          <t>NOT DETERMINED</t>
        </is>
      </c>
      <c r="X32" t="inlineStr">
        <is>
          <t>VERIFIED 2026-08-22</t>
        </is>
      </c>
    </row>
    <row r="33">
      <c r="A33" t="inlineStr">
        <is>
          <t>MK-PL-M-032</t>
        </is>
      </c>
      <c r="B33" t="inlineStr">
        <is>
          <t>Plan</t>
        </is>
      </c>
      <c r="C33" t="inlineStr">
        <is>
          <t>/retirement</t>
        </is>
      </c>
      <c r="D33" t="inlineStr">
        <is>
          <t>incl. Social Security $X/mo from age N</t>
        </is>
      </c>
      <c r="E33" t="inlineStr">
        <is>
          <t>ssIncome</t>
        </is>
      </c>
      <c r="F33" t="inlineStr">
        <is>
          <t>RETIREMENT_INCOME_NOW</t>
        </is>
      </c>
      <c r="G33" t="inlineStr">
        <is>
          <t>MK-PL-E-010</t>
        </is>
      </c>
      <c r="H33" t="inlineStr">
        <is>
          <t>guaranteed income now = Σ(streams already being received)</t>
        </is>
      </c>
      <c r="I33" t="inlineStr">
        <is>
          <t>Zero unless the person said retirement income is one of their current sources; otherwise the same total as above.
The distinction stops a future pension being counted as money arriving now — which would overstate today's income and flatter every current figure built on it.</t>
        </is>
      </c>
      <c r="J33" t="inlineStr">
        <is>
          <t>do they receive it now → incomeSources  [NO INPUT ID — not on the inputs tab] · the amounts → retirementIncomeMonthly  [MK-XS-I-008]</t>
        </is>
      </c>
      <c r="K33" t="inlineStr">
        <is>
          <t>Age in whole years  [derived by rule — confirm]</t>
        </is>
      </c>
      <c r="L33" t="inlineStr">
        <is>
          <t>Adds up to $0 when there is nothing to add. Zero and "nothing recorded yet" look identical on screen — worth a decision.</t>
        </is>
      </c>
      <c r="M33" t="inlineStr">
        <is>
          <t>One figure per person — or per household when two people share one record  [derived by rule — confirm]</t>
        </is>
      </c>
      <c r="N33" t="inlineStr">
        <is>
          <t>As of today, from the latest figures held  [derived by rule — confirm]</t>
        </is>
      </c>
      <c r="O33" t="inlineStr">
        <is>
          <t>RETIREMENT_INCOME</t>
        </is>
      </c>
      <c r="P33" t="inlineStr"/>
      <c r="Q33" t="inlineStr"/>
      <c r="R33" t="inlineStr">
        <is>
          <t>NOT DETERMINED — no assumption recorded for this figure yet.</t>
        </is>
      </c>
      <c r="S33" t="inlineStr">
        <is>
          <t>THE SAME FIGURE AS MK-CF-M-011 — Guaranteed income being received now. Shown four ways: "You receive $X/mo" on Social Security timing, "incl. Social Security $X/mo" on the cockpit, as a source on Cash flow, and as a list on Monthly income. One figure, four identifiers.</t>
        </is>
      </c>
      <c r="T33" t="inlineStr"/>
      <c r="U33" t="inlineStr"/>
      <c r="V33" t="inlineStr"/>
      <c r="W33" t="inlineStr">
        <is>
          <t>NOT DETERMINED</t>
        </is>
      </c>
      <c r="X33" t="inlineStr">
        <is>
          <t>VERIFIED 2026-08-22</t>
        </is>
      </c>
    </row>
    <row r="34">
      <c r="A34" t="inlineStr">
        <is>
          <t>MK-PL-M-033</t>
        </is>
      </c>
      <c r="B34" t="inlineStr">
        <is>
          <t>Plan</t>
        </is>
      </c>
      <c r="C34" t="inlineStr">
        <is>
          <t>/retirement</t>
        </is>
      </c>
      <c r="D34" t="inlineStr">
        <is>
          <t>your $X grows to $Y by age N at Z%/yr</t>
        </is>
      </c>
      <c r="E34" t="inlineStr">
        <is>
          <t>nestEgg / scProjected</t>
        </is>
      </c>
      <c r="F34" t="inlineStr">
        <is>
          <t>POT_AT_RETIREMENT</t>
        </is>
      </c>
      <c r="G34" t="inlineStr">
        <is>
          <t>MK-NW-E-010</t>
        </is>
      </c>
      <c r="H34" t="inlineStr">
        <is>
          <t>pot = balance × (1 + r)^n + Σ(contribution × (1 + r)^(n − year)),  n = years to retirement</t>
        </is>
      </c>
      <c r="I34" t="inlineStr">
        <is>
          <t>TWO FIGURES, no random runs anywhere in this one — it is the straight-line check beside the 1,000-run odds.
WHAT YOU WILL HAVE. Today's pot grown at your expected return for the years until you retire, plus every year's saving grown for however many years it has left. Worked at 6%: $600,000 today over 7 years becomes $902,000; $24,000 saved each of those years adds about $201,000; $1,103,000 in all.
WHAT YOU WILL NEED — the target pot. Walk every retirement year one at a time, from the year you retire to the age you plan to. In each year: take that year's spending, take off the guaranteed income you receive that year, and that difference is what the pot must hand you. Bring each of those amounts back to a retirement-year value by dividing by your expected return once for every year you have to wait for it. Add them all up. That total is the pot that pays for the whole plan.
Two rules ride along: spending rises with inflation every year, and so does Social Security, but a pension stays flat.
WHY THE NUMBER IS SMALLER THAN THE SUM OF THE SPENDING. Money you do not need until year fifteen keeps earning until then, so you need less than fifteen years' spending set aside today.
MONEY IS NEEDED AT THE START OF ITS YEAR. The first retirement year's spending is not discounted at all — January's groceries cannot be paid out of December's growth. Some published calculators charge each year at its END, which gives every year one more year of growth and reports a target about (1 + return) / (1 + inflation) smaller — roughly 3% lower at a 6% return and 2.5% inflation. Neither is wrong; ours is the cautious side, and the difference is a timing convention, not a disagreement about the arithmetic.
HOW IT DIFFERS FROM THE 25 x YARDSTICK reported by the odds engine: this one knows how long you plan for and what your money earns; the yardstick knows neither.</t>
        </is>
      </c>
      <c r="J34" t="inlineStr">
        <is>
          <t>the same inputs → inp  [NO INPUT ID — not on the inputs tab]</t>
        </is>
      </c>
      <c r="K34" t="inlineStr">
        <is>
          <t>Percent · one decimal shown  [derived by rule — confirm]</t>
        </is>
      </c>
      <c r="L34" t="inlineStr">
        <is>
          <t>No figure when there is nothing to grow, or when retirement is not ahead of the person.</t>
        </is>
      </c>
      <c r="M34" t="inlineStr">
        <is>
          <t>One figure per person — or per household when two people share one record  [derived by rule — confirm]</t>
        </is>
      </c>
      <c r="N34" t="inlineStr">
        <is>
          <t>The last twelve months  [derived by rule — confirm]</t>
        </is>
      </c>
      <c r="O34" t="inlineStr">
        <is>
          <t>WILL_IT_LAST</t>
        </is>
      </c>
      <c r="P34" t="inlineStr"/>
      <c r="Q34" t="inlineStr">
        <is>
          <t>The Net worth screen builds this projection WITHOUT the person's big costs, while Cash flow, Budget, Goals and Social Security timing all include them. Same person, same day, two different nest eggs. Seen in the code; not yet confirmed on screen.</t>
        </is>
      </c>
      <c r="R34" t="inlineStr">
        <is>
          <t>[Founder] The recommended nest egg is 25× the yearly spending not covered by guaranteed income, counted from the start of the retirement year — which is why it differs from an outside calculator.
[Built in] The assumed rate of return, which the person can change on the cockpit.
[The person] The retirement age in their plan.</t>
        </is>
      </c>
      <c r="S34" t="inlineStr">
        <is>
          <t>THE SURVIVING IDENTIFIER for this figure. Folded in: MK-NW-M-015. The projected pot at retirement, shown on Net worth as "on track for $X by age Y" and on the cockpit as "your $X grows to $Y". One figure, two screens — the founder spotted this one himself.</t>
        </is>
      </c>
      <c r="T34" t="inlineStr"/>
      <c r="U34" t="inlineStr"/>
      <c r="V34" t="inlineStr"/>
      <c r="W34" t="inlineStr">
        <is>
          <t>NOT DETERMINED</t>
        </is>
      </c>
      <c r="X34" t="inlineStr">
        <is>
          <t>VERIFIED 2026-08-22</t>
        </is>
      </c>
    </row>
    <row r="35">
      <c r="A35" t="inlineStr">
        <is>
          <t>MK-PL-M-034</t>
        </is>
      </c>
      <c r="B35" t="inlineStr">
        <is>
          <t>Plan</t>
        </is>
      </c>
      <c r="C35" t="inlineStr">
        <is>
          <t>/retirement</t>
        </is>
      </c>
      <c r="D35" t="inlineStr">
        <is>
          <t>At Z% return, your money lasts past age N</t>
        </is>
      </c>
      <c r="E35" t="inlineStr">
        <is>
          <t>scDeplete</t>
        </is>
      </c>
      <c r="F35" t="inlineStr">
        <is>
          <t>WILL_IT_LAST_RESULT</t>
        </is>
      </c>
      <c r="G35" t="inlineStr">
        <is>
          <t>MK-XS-E-002</t>
        </is>
      </c>
      <c r="H35" t="inlineStr">
        <is>
          <t>run 1,000 futures; in each year: balance ← balance × (1 + random return) − (spending − guaranteed income);  odds = futures that never run out ÷ 1,000</t>
        </is>
      </c>
      <c r="I35" t="inlineStr">
        <is>
          <t>If age, spending and a pot are all known, run the simulation and report the chance. Otherwise report that it could not be answered — NOT a confident zero.
The best-to-worst range re-runs the same plan at a lower and a higher return, so it reads as a range rather than a promise. It always contains the headline figure, and it is repeatable.</t>
        </is>
      </c>
      <c r="J35" t="inlineStr">
        <is>
          <t>everything → WILL_IT_LAST_INPUTS  [NO INPUT ID — not on the inputs tab] · is a range wanted → withBand  [NO INPUT ID — not on the inputs tab]</t>
        </is>
      </c>
      <c r="K35" t="inlineStr">
        <is>
          <t>Percent · rounded to the nearest 5 · a real 100 or 0 shown literally  [derived by rule — confirm]</t>
        </is>
      </c>
      <c r="L35" t="inlineStr">
        <is>
          <t>No odds at all until the three facts are answered. A sample is shown in their place, labelled as a sample, never as the person's own number.</t>
        </is>
      </c>
      <c r="M35" t="inlineStr">
        <is>
          <t>One figure per person — or per household when two people share one record  [derived by rule — confirm]</t>
        </is>
      </c>
      <c r="N35" t="inlineStr">
        <is>
          <t>The window the person chose on screen  [derived by rule — confirm]</t>
        </is>
      </c>
      <c r="O35" t="inlineStr">
        <is>
          <t>NEST_EGG · ODDS_DISPLAY · RETIREMENT_SPENDING · WILL_IT_LAST · WILL_IT_LAST_INPUTS</t>
        </is>
      </c>
      <c r="P35" t="inlineStr"/>
      <c r="Q35" t="inlineStr">
        <is>
          <t>The odds shown on Home, Plan and Cash flow are rounded to the nearest 5, while the compare tables still show them exact. One figure, two precisions — founder's open question.</t>
        </is>
      </c>
      <c r="R35" t="inlineStr">
        <is>
          <t>[Founder] One thousand futures, and the odds are rounded to the nearest 5. A genuine 100 or 0 is shown literally; 98 shows as 95, never as 100 (fix B6). The best-to-worst band was removed.
[Built in] The assumed rate of return, which the person can change on the cockpit.</t>
        </is>
      </c>
      <c r="S35" t="inlineStr"/>
      <c r="T35" t="inlineStr"/>
      <c r="U35" t="inlineStr"/>
      <c r="V35" t="inlineStr"/>
      <c r="W35" t="inlineStr">
        <is>
          <t>NOT DETERMINED</t>
        </is>
      </c>
      <c r="X35" t="inlineStr">
        <is>
          <t>VERIFIED 2026-08-22</t>
        </is>
      </c>
    </row>
    <row r="36">
      <c r="A36" t="inlineStr">
        <is>
          <t>MK-PL-M-035</t>
        </is>
      </c>
      <c r="B36" t="inlineStr">
        <is>
          <t>Plan</t>
        </is>
      </c>
      <c r="C36" t="inlineStr">
        <is>
          <t>/retirement</t>
        </is>
      </c>
      <c r="D36" t="inlineStr">
        <is>
          <t>Retire at age (the dial)</t>
        </is>
      </c>
      <c r="E36" t="inlineStr">
        <is>
          <t>rAge</t>
        </is>
      </c>
      <c r="F36" t="inlineStr">
        <is>
          <t>the age the person chose</t>
        </is>
      </c>
      <c r="G36" t="inlineStr">
        <is>
          <t>MK-PL-E-019</t>
        </is>
      </c>
      <c r="H36" t="inlineStr">
        <is>
          <t>the age set by the person</t>
        </is>
      </c>
      <c r="I36" t="inlineStr">
        <is>
          <t>An age the person set on a dial; no calculation.</t>
        </is>
      </c>
      <c r="J36" t="inlineStr">
        <is>
          <t>NOT DETERMINED — no input list on record for this engine</t>
        </is>
      </c>
      <c r="K36" t="inlineStr">
        <is>
          <t>Age in whole years  [derived by rule — confirm]</t>
        </is>
      </c>
      <c r="L36" t="inlineStr">
        <is>
          <t>Nothing to compute — the person either entered it or has not, and the screen shows it only when they have.</t>
        </is>
      </c>
      <c r="M36" t="inlineStr">
        <is>
          <t>One figure per person — or per household when two people share one record  [derived by rule — confirm]</t>
        </is>
      </c>
      <c r="N36" t="inlineStr">
        <is>
          <t>From today to the retirement age in the plan  [derived by rule — confirm]</t>
        </is>
      </c>
      <c r="O36" t="inlineStr">
        <is>
          <t>NOT DETERMINED</t>
        </is>
      </c>
      <c r="P36" t="inlineStr"/>
      <c r="Q36" t="inlineStr"/>
      <c r="R36" t="inlineStr">
        <is>
          <t>NOT DETERMINED — no assumption recorded for this figure yet.</t>
        </is>
      </c>
      <c r="S36" t="inlineStr"/>
      <c r="T36" t="inlineStr"/>
      <c r="U36" t="inlineStr"/>
      <c r="V36" t="inlineStr"/>
      <c r="W36" t="inlineStr">
        <is>
          <t>NOT DETERMINED</t>
        </is>
      </c>
      <c r="X36" t="inlineStr">
        <is>
          <t>VERIFIED 2026-08-22</t>
        </is>
      </c>
    </row>
    <row r="37">
      <c r="A37" t="inlineStr">
        <is>
          <t>MK-PL-M-036</t>
        </is>
      </c>
      <c r="B37" t="inlineStr">
        <is>
          <t>Plan</t>
        </is>
      </c>
      <c r="C37" t="inlineStr">
        <is>
          <t>/education</t>
        </is>
      </c>
      <c r="D37" t="inlineStr">
        <is>
          <t>the future total cost of school</t>
        </is>
      </c>
      <c r="E37" t="inlineStr">
        <is>
          <t>plan.futureTotalCost</t>
        </is>
      </c>
      <c r="F37" t="inlineStr">
        <is>
          <t>EDUCATION_COST</t>
        </is>
      </c>
      <c r="G37" t="inlineStr">
        <is>
          <t>MK-PL-E-020</t>
        </is>
      </c>
      <c r="H37" t="inlineStr">
        <is>
          <t>future cost = today’s cost × (1 + education inflation)^years;  monthly needed = gap ÷ months until school starts</t>
        </is>
      </c>
      <c r="I37" t="inlineStr">
        <is>
          <t>Grows today's cost of school by education inflation to the year it starts, then divides what is still missing by the months until then.</t>
        </is>
      </c>
      <c r="J37" t="inlineStr">
        <is>
          <t>NOT DETERMINED — no input list on record for this engine</t>
        </is>
      </c>
      <c r="K37" t="inlineStr">
        <is>
          <t>US dollars · held to the cent · shown as whole dollars  [derived by rule — confirm]</t>
        </is>
      </c>
      <c r="L37" t="inlineStr">
        <is>
          <t>A division: with nothing on the bottom there is no answer, and the line must not appear as zero. NOT YET CONFIRMED against the engine.</t>
        </is>
      </c>
      <c r="M37" t="inlineStr">
        <is>
          <t>One figure per person — or per household when two people share one record  [derived by rule — confirm]</t>
        </is>
      </c>
      <c r="N37" t="inlineStr">
        <is>
          <t>As of today, from the latest figures held  [derived by rule — confirm]</t>
        </is>
      </c>
      <c r="O37" t="inlineStr">
        <is>
          <t>NOT DETERMINED</t>
        </is>
      </c>
      <c r="P37" t="inlineStr"/>
      <c r="Q37" t="inlineStr"/>
      <c r="R37" t="inlineStr">
        <is>
          <t>[Built in] Inflation comes from a published feed, with a fallback figure when the feed is silent.</t>
        </is>
      </c>
      <c r="S37" t="inlineStr"/>
      <c r="T37" t="inlineStr">
        <is>
          <t>Q26 — What education inflation rate should the college projection use, and should it be visible and editable on the screen?</t>
        </is>
      </c>
      <c r="U37" t="inlineStr"/>
      <c r="V37" t="inlineStr"/>
      <c r="W37" t="inlineStr">
        <is>
          <t>NOT DETERMINED</t>
        </is>
      </c>
      <c r="X37" t="inlineStr">
        <is>
          <t>VERIFIED 2026-08-22</t>
        </is>
      </c>
    </row>
    <row r="38">
      <c r="A38" t="inlineStr">
        <is>
          <t>MK-PL-M-037</t>
        </is>
      </c>
      <c r="B38" t="inlineStr">
        <is>
          <t>Plan</t>
        </is>
      </c>
      <c r="C38" t="inlineStr">
        <is>
          <t>/education</t>
        </is>
      </c>
      <c r="D38" t="inlineStr">
        <is>
          <t>$X/mo set aside closes the $Y gap</t>
        </is>
      </c>
      <c r="E38" t="inlineStr">
        <is>
          <t>plan.monthlyNeeded / plan.gap</t>
        </is>
      </c>
      <c r="F38" t="inlineStr">
        <is>
          <t>EDUCATION_COST</t>
        </is>
      </c>
      <c r="G38" t="inlineStr">
        <is>
          <t>MK-PL-E-020</t>
        </is>
      </c>
      <c r="H38" t="inlineStr">
        <is>
          <t>future cost = today’s cost × (1 + education inflation)^years;  monthly needed = gap ÷ months until school starts</t>
        </is>
      </c>
      <c r="I38" t="inlineStr">
        <is>
          <t>Grows today's cost of school by education inflation to the year it starts, then divides what is still missing by the months until then.</t>
        </is>
      </c>
      <c r="J38" t="inlineStr">
        <is>
          <t>NOT DETERMINED — no input list on record for this engine</t>
        </is>
      </c>
      <c r="K38" t="inlineStr">
        <is>
          <t>US dollars · held to the cent · shown as whole dollars  [derived by rule — confirm]</t>
        </is>
      </c>
      <c r="L38" t="inlineStr">
        <is>
          <t>A division: with nothing on the bottom there is no answer, and the line must not appear as zero. NOT YET CONFIRMED against the engine.</t>
        </is>
      </c>
      <c r="M38" t="inlineStr">
        <is>
          <t>One figure per person — or per household when two people share one record  [derived by rule — confirm]</t>
        </is>
      </c>
      <c r="N38" t="inlineStr">
        <is>
          <t>As of today, from the latest figures held  [derived by rule — confirm]</t>
        </is>
      </c>
      <c r="O38" t="inlineStr">
        <is>
          <t>NOT DETERMINED</t>
        </is>
      </c>
      <c r="P38" t="inlineStr"/>
      <c r="Q38" t="inlineStr"/>
      <c r="R38" t="inlineStr">
        <is>
          <t>[Built in] Inflation comes from a published feed, with a fallback figure when the feed is silent.</t>
        </is>
      </c>
      <c r="S38" t="inlineStr"/>
      <c r="T38" t="inlineStr"/>
      <c r="U38" t="inlineStr"/>
      <c r="V38" t="inlineStr"/>
      <c r="W38" t="inlineStr">
        <is>
          <t>NOT DETERMINED</t>
        </is>
      </c>
      <c r="X38" t="inlineStr">
        <is>
          <t>VERIFIED 2026-08-22</t>
        </is>
      </c>
    </row>
    <row r="39">
      <c r="A39" t="inlineStr"/>
      <c r="B39" t="inlineStr">
        <is>
          <t>Plan</t>
        </is>
      </c>
      <c r="C39" t="inlineStr">
        <is>
          <t>/add-account</t>
        </is>
      </c>
      <c r="D39" t="inlineStr">
        <is>
          <t>—</t>
        </is>
      </c>
      <c r="E39" t="inlineStr">
        <is>
          <t>—</t>
        </is>
      </c>
      <c r="F39" t="inlineStr">
        <is>
          <t>—</t>
        </is>
      </c>
      <c r="G39" t="inlineStr"/>
      <c r="H39" t="inlineStr"/>
      <c r="I39" t="inlineStr"/>
      <c r="J39" t="inlineStr"/>
      <c r="K39" t="inlineStr"/>
      <c r="L39" t="inlineStr"/>
      <c r="M39" t="inlineStr"/>
      <c r="N39" t="inlineStr"/>
      <c r="O39" t="inlineStr"/>
      <c r="P39" t="inlineStr"/>
      <c r="Q39" t="inlineStr"/>
      <c r="R39" t="inlineStr"/>
      <c r="S39" t="inlineStr"/>
      <c r="T39" t="inlineStr"/>
      <c r="U39" t="inlineStr"/>
      <c r="V39" t="inlineStr">
        <is>
          <t>NOT DETERMINED</t>
        </is>
      </c>
      <c r="W39" t="inlineStr">
        <is>
          <t>READ 2026-08-22 — no calculated figure on this screen</t>
        </is>
      </c>
    </row>
    <row r="40">
      <c r="A40" t="inlineStr"/>
      <c r="B40" t="inlineStr">
        <is>
          <t>Plan</t>
        </is>
      </c>
      <c r="C40" t="inlineStr">
        <is>
          <t>/connect</t>
        </is>
      </c>
      <c r="D40" t="inlineStr">
        <is>
          <t>—</t>
        </is>
      </c>
      <c r="E40" t="inlineStr">
        <is>
          <t>—</t>
        </is>
      </c>
      <c r="F40" t="inlineStr">
        <is>
          <t>—</t>
        </is>
      </c>
      <c r="G40" t="inlineStr"/>
      <c r="H40" t="inlineStr"/>
      <c r="I40" t="inlineStr"/>
      <c r="J40" t="inlineStr"/>
      <c r="K40" t="inlineStr"/>
      <c r="L40" t="inlineStr"/>
      <c r="M40" t="inlineStr"/>
      <c r="N40" t="inlineStr"/>
      <c r="O40" t="inlineStr"/>
      <c r="P40" t="inlineStr"/>
      <c r="Q40" t="inlineStr"/>
      <c r="R40" t="inlineStr"/>
      <c r="S40" t="inlineStr"/>
      <c r="T40" t="inlineStr"/>
      <c r="U40" t="inlineStr"/>
      <c r="V40" t="inlineStr">
        <is>
          <t>NOT DETERMINED</t>
        </is>
      </c>
      <c r="W40" t="inlineStr">
        <is>
          <t>READ 2026-08-22 — no calculated figure on this screen</t>
        </is>
      </c>
    </row>
    <row r="41">
      <c r="A41" t="inlineStr"/>
      <c r="B41" t="inlineStr">
        <is>
          <t>Plan</t>
        </is>
      </c>
      <c r="C41" t="inlineStr">
        <is>
          <t>/import-holdings</t>
        </is>
      </c>
      <c r="D41" t="inlineStr">
        <is>
          <t>—</t>
        </is>
      </c>
      <c r="E41" t="inlineStr">
        <is>
          <t>—</t>
        </is>
      </c>
      <c r="F41" t="inlineStr">
        <is>
          <t>—</t>
        </is>
      </c>
      <c r="G41" t="inlineStr"/>
      <c r="H41" t="inlineStr"/>
      <c r="I41" t="inlineStr"/>
      <c r="J41" t="inlineStr"/>
      <c r="K41" t="inlineStr"/>
      <c r="L41" t="inlineStr"/>
      <c r="M41" t="inlineStr"/>
      <c r="N41" t="inlineStr"/>
      <c r="O41" t="inlineStr"/>
      <c r="P41" t="inlineStr"/>
      <c r="Q41" t="inlineStr"/>
      <c r="R41" t="inlineStr"/>
      <c r="S41" t="inlineStr"/>
      <c r="T41" t="inlineStr"/>
      <c r="U41" t="inlineStr"/>
      <c r="V41" t="inlineStr">
        <is>
          <t>NOT DETERMINED</t>
        </is>
      </c>
      <c r="W41" t="inlineStr">
        <is>
          <t>READ 2026-08-22 — no calculated figure on this screen</t>
        </is>
      </c>
    </row>
    <row r="42">
      <c r="A42" t="inlineStr"/>
      <c r="B42" t="inlineStr">
        <is>
          <t>Plan</t>
        </is>
      </c>
      <c r="C42" t="inlineStr">
        <is>
          <t>/performance</t>
        </is>
      </c>
      <c r="D42" t="inlineStr">
        <is>
          <t>—</t>
        </is>
      </c>
      <c r="E42" t="inlineStr">
        <is>
          <t>—</t>
        </is>
      </c>
      <c r="F42" t="inlineStr">
        <is>
          <t>—</t>
        </is>
      </c>
      <c r="G42" t="inlineStr"/>
      <c r="H42" t="inlineStr"/>
      <c r="I42" t="inlineStr"/>
      <c r="J42" t="inlineStr"/>
      <c r="K42" t="inlineStr"/>
      <c r="L42" t="inlineStr"/>
      <c r="M42" t="inlineStr"/>
      <c r="N42" t="inlineStr"/>
      <c r="O42" t="inlineStr"/>
      <c r="P42" t="inlineStr"/>
      <c r="Q42" t="inlineStr"/>
      <c r="R42" t="inlineStr"/>
      <c r="S42" t="inlineStr"/>
      <c r="T42" t="inlineStr"/>
      <c r="U42" t="inlineStr"/>
      <c r="V42" t="inlineStr">
        <is>
          <t>NOT DETERMINED</t>
        </is>
      </c>
      <c r="W42" t="inlineStr">
        <is>
          <t>READ 2026-08-22 — the same screen as /invest, reached by a second route</t>
        </is>
      </c>
    </row>
    <row r="43">
      <c r="A43" t="inlineStr"/>
      <c r="B43" t="inlineStr">
        <is>
          <t>Plan</t>
        </is>
      </c>
      <c r="C43" t="inlineStr">
        <is>
          <t>/sharpen</t>
        </is>
      </c>
      <c r="D43" t="inlineStr">
        <is>
          <t>—</t>
        </is>
      </c>
      <c r="E43" t="inlineStr">
        <is>
          <t>—</t>
        </is>
      </c>
      <c r="F43" t="inlineStr">
        <is>
          <t>—</t>
        </is>
      </c>
      <c r="G43" t="inlineStr"/>
      <c r="H43" t="inlineStr"/>
      <c r="I43" t="inlineStr"/>
      <c r="J43" t="inlineStr"/>
      <c r="K43" t="inlineStr"/>
      <c r="L43" t="inlineStr"/>
      <c r="M43" t="inlineStr"/>
      <c r="N43" t="inlineStr"/>
      <c r="O43" t="inlineStr"/>
      <c r="P43" t="inlineStr"/>
      <c r="Q43" t="inlineStr"/>
      <c r="R43" t="inlineStr"/>
      <c r="S43" t="inlineStr"/>
      <c r="T43" t="inlineStr"/>
      <c r="U43" t="inlineStr"/>
      <c r="V43" t="inlineStr">
        <is>
          <t>NOT DETERMINED</t>
        </is>
      </c>
      <c r="W43" t="inlineStr">
        <is>
          <t>READ 2026-08-22 — no calculated figure on this screen</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X34"/>
  <sheetViews>
    <sheetView workbookViewId="0">
      <pane ySplit="1" topLeftCell="A2" activePane="bottomLeft" state="frozen"/>
      <selection pane="bottomLeft" activeCell="A1" sqref="A1"/>
    </sheetView>
  </sheetViews>
  <sheetFormatPr baseColWidth="8" defaultRowHeight="15"/>
  <cols>
    <col width="17" customWidth="1" min="1" max="1"/>
    <col width="26" customWidth="1" min="2" max="2"/>
    <col width="29" customWidth="1" min="3" max="3"/>
    <col width="22" customWidth="1" min="4" max="4"/>
    <col width="33" customWidth="1" min="5" max="5"/>
    <col width="33" customWidth="1" min="6" max="6"/>
    <col width="17" customWidth="1" min="7" max="7"/>
    <col width="30" customWidth="1" min="8" max="8"/>
    <col width="26" customWidth="1" min="9" max="9"/>
    <col width="23" customWidth="1" min="10" max="10"/>
    <col width="42" customWidth="1" min="11" max="11"/>
    <col width="42" customWidth="1" min="12" max="12"/>
    <col width="35" customWidth="1" min="13" max="13"/>
    <col width="42" customWidth="1" min="14" max="14"/>
    <col width="29" customWidth="1" min="15" max="15"/>
    <col width="42" customWidth="1" min="16" max="16"/>
    <col width="37" customWidth="1" min="17" max="17"/>
    <col width="22" customWidth="1" min="18" max="18"/>
    <col width="28" customWidth="1" min="19" max="19"/>
    <col width="36" customWidth="1" min="20" max="20"/>
    <col width="41" customWidth="1" min="21" max="21"/>
    <col width="41" customWidth="1" min="22" max="22"/>
    <col width="20" customWidth="1" min="23" max="23"/>
    <col width="18" customWidth="1" min="24" max="24"/>
  </cols>
  <sheetData>
    <row r="1">
      <c r="A1" s="1" t="inlineStr">
        <is>
          <t>Metric ID</t>
        </is>
      </c>
      <c r="B1" s="1" t="inlineStr">
        <is>
          <t>Parent Screen Name</t>
        </is>
      </c>
      <c r="C1" s="1" t="inlineStr">
        <is>
          <t>Secondary Screen Name</t>
        </is>
      </c>
      <c r="D1" s="1" t="inlineStr">
        <is>
          <t>Name on Screen</t>
        </is>
      </c>
      <c r="E1" s="1" t="inlineStr">
        <is>
          <t>Name of Underlying Metric</t>
        </is>
      </c>
      <c r="F1" s="1" t="inlineStr">
        <is>
          <t>Name of Underlying Engine</t>
        </is>
      </c>
      <c r="G1" s="1" t="inlineStr">
        <is>
          <t>Engine ID</t>
        </is>
      </c>
      <c r="H1" s="1" t="inlineStr">
        <is>
          <t>Formula (mathematical)</t>
        </is>
      </c>
      <c r="I1" s="1" t="inlineStr">
        <is>
          <t>Formula (in words)</t>
        </is>
      </c>
      <c r="J1" s="1" t="inlineStr">
        <is>
          <t>Inputs it needs</t>
        </is>
      </c>
      <c r="K1" s="1" t="inlineStr">
        <is>
          <t>What comes out — unit and rounding</t>
        </is>
      </c>
      <c r="L1" s="1" t="inlineStr">
        <is>
          <t>What it says when it cannot be computed</t>
        </is>
      </c>
      <c r="M1" s="1" t="inlineStr">
        <is>
          <t>Grain — one figure per what</t>
        </is>
      </c>
      <c r="N1" s="1" t="inlineStr">
        <is>
          <t>Period — as of when, over what window</t>
        </is>
      </c>
      <c r="O1" s="1" t="inlineStr">
        <is>
          <t>Engines it depends on</t>
        </is>
      </c>
      <c r="P1" s="1" t="inlineStr">
        <is>
          <t>Secondary calculations and decisions the engine makes</t>
        </is>
      </c>
      <c r="Q1" s="1" t="inlineStr">
        <is>
          <t>Errors or findings to address</t>
        </is>
      </c>
      <c r="R1" s="1" t="inlineStr">
        <is>
          <t>Decisions made</t>
        </is>
      </c>
      <c r="S1" s="1" t="inlineStr">
        <is>
          <t>Same figure as (S16)</t>
        </is>
      </c>
      <c r="T1" s="1" t="inlineStr">
        <is>
          <t>Questions for you (numbered)</t>
        </is>
      </c>
      <c r="U1" s="1" t="inlineStr">
        <is>
          <t>YOUR ANSWER — use the same number</t>
        </is>
      </c>
      <c r="V1" s="1" t="inlineStr">
        <is>
          <t>Your name for it (72-metric file)</t>
        </is>
      </c>
      <c r="W1" s="1" t="inlineStr">
        <is>
          <t>Core screen?</t>
        </is>
      </c>
      <c r="X1" s="1" t="inlineStr">
        <is>
          <t>Row status</t>
        </is>
      </c>
    </row>
    <row r="2">
      <c r="A2" t="inlineStr">
        <is>
          <t>MK-CF-M-001</t>
        </is>
      </c>
      <c r="B2" t="inlineStr">
        <is>
          <t>Cashflow</t>
        </is>
      </c>
      <c r="C2" t="inlineStr">
        <is>
          <t>NA</t>
        </is>
      </c>
      <c r="D2" t="inlineStr">
        <is>
          <t>Expected in</t>
        </is>
      </c>
      <c r="E2" t="inlineStr">
        <is>
          <t>cell.inflow</t>
        </is>
      </c>
      <c r="F2" t="inlineStr">
        <is>
          <t>NOT IN OLD MASTER — the by-month grid, src/domain/cashflow</t>
        </is>
      </c>
      <c r="G2" t="inlineStr">
        <is>
          <t>MK-CF-E-001</t>
        </is>
      </c>
      <c r="H2" t="inlineStr">
        <is>
          <t>for month m: expected in = Σ(income landing in m);  planned out = Σ(bills and planned spending dated in m);  planned surplus = expected in − planned out</t>
        </is>
      </c>
      <c r="I2" t="inlineStr">
        <is>
          <t>Lays the year out month by month so a month with a big bill in it can be seen before it arrives.</t>
        </is>
      </c>
      <c r="J2" t="inlineStr">
        <is>
          <t>NOT DETERMINED — no input list on record for this engine</t>
        </is>
      </c>
      <c r="K2" t="inlineStr">
        <is>
          <t>US dollars · held to the cent · shown as whole dollars  [derived by rule — confirm]</t>
        </is>
      </c>
      <c r="L2" t="inlineStr">
        <is>
          <t>Adds up to $0 when there is nothing to add. Zero and "nothing recorded yet" look identical on screen — worth a decision.</t>
        </is>
      </c>
      <c r="M2" t="inlineStr">
        <is>
          <t>One figure per person — or per household when two people share one record  [derived by rule — confirm]</t>
        </is>
      </c>
      <c r="N2" t="inlineStr">
        <is>
          <t>As of today, from the latest figures held  [derived by rule — confirm]</t>
        </is>
      </c>
      <c r="O2" t="inlineStr">
        <is>
          <t>NOT DETERMINED</t>
        </is>
      </c>
      <c r="P2" t="inlineStr"/>
      <c r="Q2" t="inlineStr"/>
      <c r="R2" t="inlineStr">
        <is>
          <t>NOT DETERMINED — no assumption recorded for this figure yet.</t>
        </is>
      </c>
      <c r="S2" t="inlineStr"/>
      <c r="T2" t="inlineStr"/>
      <c r="U2" t="inlineStr"/>
      <c r="V2" t="inlineStr"/>
      <c r="W2" t="inlineStr">
        <is>
          <t>NOT DETERMINED</t>
        </is>
      </c>
      <c r="X2" t="inlineStr">
        <is>
          <t>VERIFIED 2026-08-22</t>
        </is>
      </c>
    </row>
    <row r="3">
      <c r="A3" t="inlineStr">
        <is>
          <t>MK-CF-M-002</t>
        </is>
      </c>
      <c r="B3" t="inlineStr">
        <is>
          <t>Cashflow</t>
        </is>
      </c>
      <c r="C3" t="inlineStr">
        <is>
          <t>NA</t>
        </is>
      </c>
      <c r="D3" t="inlineStr">
        <is>
          <t>Planned out · incl. &lt;big bill&gt;</t>
        </is>
      </c>
      <c r="E3" t="inlineStr">
        <is>
          <t>cell.outflow</t>
        </is>
      </c>
      <c r="F3" t="inlineStr">
        <is>
          <t>NOT IN OLD MASTER — the by-month grid, src/domain/cashflow</t>
        </is>
      </c>
      <c r="G3" t="inlineStr">
        <is>
          <t>MK-CF-E-001</t>
        </is>
      </c>
      <c r="H3" t="inlineStr">
        <is>
          <t>for month m: expected in = Σ(income landing in m);  planned out = Σ(bills and planned spending dated in m);  planned surplus = expected in − planned out</t>
        </is>
      </c>
      <c r="I3" t="inlineStr">
        <is>
          <t>Lays the year out month by month so a month with a big bill in it can be seen before it arrives.</t>
        </is>
      </c>
      <c r="J3" t="inlineStr">
        <is>
          <t>NOT DETERMINED — no input list on record for this engine</t>
        </is>
      </c>
      <c r="K3" t="inlineStr">
        <is>
          <t>US dollars · held to the cent · shown as whole dollars  [derived by rule — confirm]</t>
        </is>
      </c>
      <c r="L3" t="inlineStr">
        <is>
          <t>Adds up to $0 when there is nothing to add. Zero and "nothing recorded yet" look identical on screen — worth a decision.</t>
        </is>
      </c>
      <c r="M3" t="inlineStr">
        <is>
          <t>One figure per person — or per household when two people share one record  [derived by rule — confirm]</t>
        </is>
      </c>
      <c r="N3" t="inlineStr">
        <is>
          <t>As of today, from the latest figures held  [derived by rule — confirm]</t>
        </is>
      </c>
      <c r="O3" t="inlineStr">
        <is>
          <t>NOT DETERMINED</t>
        </is>
      </c>
      <c r="P3" t="inlineStr"/>
      <c r="Q3" t="inlineStr"/>
      <c r="R3" t="inlineStr">
        <is>
          <t>NOT DETERMINED — no assumption recorded for this figure yet.</t>
        </is>
      </c>
      <c r="S3" t="inlineStr"/>
      <c r="T3" t="inlineStr"/>
      <c r="U3" t="inlineStr"/>
      <c r="V3" t="inlineStr"/>
      <c r="W3" t="inlineStr">
        <is>
          <t>NOT DETERMINED</t>
        </is>
      </c>
      <c r="X3" t="inlineStr">
        <is>
          <t>VERIFIED 2026-08-22</t>
        </is>
      </c>
    </row>
    <row r="4">
      <c r="A4" t="inlineStr">
        <is>
          <t>MK-CF-M-003</t>
        </is>
      </c>
      <c r="B4" t="inlineStr">
        <is>
          <t>Cashflow</t>
        </is>
      </c>
      <c r="C4" t="inlineStr">
        <is>
          <t>NA</t>
        </is>
      </c>
      <c r="D4">
        <f> Planned surplus</f>
        <v/>
      </c>
      <c r="E4" t="inlineStr">
        <is>
          <t>cell.net</t>
        </is>
      </c>
      <c r="F4" t="inlineStr">
        <is>
          <t>worked out on the screen: expected in − planned out</t>
        </is>
      </c>
      <c r="G4" t="inlineStr"/>
      <c r="H4" t="inlineStr">
        <is>
          <t>planned surplus = expected in − planned out</t>
        </is>
      </c>
      <c r="I4" t="inlineStr">
        <is>
          <t>Worked out on the screen itself, with no engine behind it — a place a second definition can appear.</t>
        </is>
      </c>
      <c r="J4" t="inlineStr">
        <is>
          <t>NOT DETERMINED — no input list on record for this engine</t>
        </is>
      </c>
      <c r="K4" t="inlineStr">
        <is>
          <t>US dollars · held to the cent · shown as whole dollars  [derived by rule — confirm]</t>
        </is>
      </c>
      <c r="L4" t="inlineStr">
        <is>
          <t>Inherits the refusal of the figures it is built from: if either side is missing, this line is not shown.</t>
        </is>
      </c>
      <c r="M4" t="inlineStr">
        <is>
          <t>One figure per person — or per household when two people share one record  [derived by rule — confirm]</t>
        </is>
      </c>
      <c r="N4" t="inlineStr">
        <is>
          <t>As of today, from the latest figures held  [derived by rule — confirm]</t>
        </is>
      </c>
      <c r="O4" t="inlineStr">
        <is>
          <t>NOT DETERMINED</t>
        </is>
      </c>
      <c r="P4" t="inlineStr"/>
      <c r="Q4" t="inlineStr"/>
      <c r="R4" t="inlineStr">
        <is>
          <t>NOT DETERMINED — no assumption recorded for this figure yet.</t>
        </is>
      </c>
      <c r="S4" t="inlineStr"/>
      <c r="T4" t="inlineStr"/>
      <c r="U4" t="inlineStr"/>
      <c r="V4" t="inlineStr"/>
      <c r="W4" t="inlineStr">
        <is>
          <t>NOT DETERMINED</t>
        </is>
      </c>
      <c r="X4" t="inlineStr">
        <is>
          <t>VERIFIED 2026-08-22</t>
        </is>
      </c>
    </row>
    <row r="5">
      <c r="A5" t="inlineStr">
        <is>
          <t>MK-CF-M-004</t>
        </is>
      </c>
      <c r="B5" t="inlineStr">
        <is>
          <t>Cashflow</t>
        </is>
      </c>
      <c r="C5" t="inlineStr">
        <is>
          <t>NA</t>
        </is>
      </c>
      <c r="D5" t="inlineStr">
        <is>
          <t>Out (spent + debt)</t>
        </is>
      </c>
      <c r="E5" t="inlineStr">
        <is>
          <t>out</t>
        </is>
      </c>
      <c r="F5" t="inlineStr">
        <is>
          <t>NOT IN OLD MASTER — budgetVsActual, src/domain/budget</t>
        </is>
      </c>
      <c r="G5" t="inlineStr">
        <is>
          <t>MK-XS-E-005</t>
        </is>
      </c>
      <c r="H5" t="inlineStr">
        <is>
          <t>spent(bucket) = Σ(expenses dated in this month in that bucket, debt payments excluded);  remaining = planned − spent</t>
        </is>
      </c>
      <c r="I5" t="inlineStr">
        <is>
          <t>Adds up this month’s logged expenses by bucket and sets each against what was planned. Debt payments are deliberately left out, because debt is tracked on its own.</t>
        </is>
      </c>
      <c r="J5" t="inlineStr">
        <is>
          <t>NOT DETERMINED — no input list on record for this engine</t>
        </is>
      </c>
      <c r="K5" t="inlineStr">
        <is>
          <t>US dollars · held to the cent · shown as whole dollars  [derived by rule — confirm]</t>
        </is>
      </c>
      <c r="L5" t="inlineStr">
        <is>
          <t>Adds up to $0 when there is nothing to add. Zero and "nothing recorded yet" look identical on screen — worth a decision.</t>
        </is>
      </c>
      <c r="M5" t="inlineStr">
        <is>
          <t>One figure per debt, and one total per person  [derived by rule — confirm]</t>
        </is>
      </c>
      <c r="N5" t="inlineStr">
        <is>
          <t>As of today, from the latest figures held  [derived by rule — confirm]</t>
        </is>
      </c>
      <c r="O5" t="inlineStr">
        <is>
          <t>NOT DETERMINED</t>
        </is>
      </c>
      <c r="P5" t="inlineStr"/>
      <c r="Q5" t="inlineStr"/>
      <c r="R5" t="inlineStr">
        <is>
          <t>NOT DETERMINED — no assumption recorded for this figure yet.</t>
        </is>
      </c>
      <c r="S5" t="inlineStr"/>
      <c r="T5" t="inlineStr"/>
      <c r="U5" t="inlineStr"/>
      <c r="V5" t="inlineStr"/>
      <c r="W5" t="inlineStr">
        <is>
          <t>NOT DETERMINED</t>
        </is>
      </c>
      <c r="X5" t="inlineStr">
        <is>
          <t>VERIFIED 2026-08-22</t>
        </is>
      </c>
    </row>
    <row r="6">
      <c r="A6" t="inlineStr">
        <is>
          <t>MK-CF-M-005</t>
        </is>
      </c>
      <c r="B6" t="inlineStr">
        <is>
          <t>Cashflow</t>
        </is>
      </c>
      <c r="C6" t="inlineStr">
        <is>
          <t>NA</t>
        </is>
      </c>
      <c r="D6">
        <f> Surplus</f>
        <v/>
      </c>
      <c r="E6" t="inlineStr">
        <is>
          <t>inn - out</t>
        </is>
      </c>
      <c r="F6" t="inlineStr">
        <is>
          <t>worked out on the screen: in − out</t>
        </is>
      </c>
      <c r="G6" t="inlineStr"/>
      <c r="H6" t="inlineStr">
        <is>
          <t>surplus = money in − money out</t>
        </is>
      </c>
      <c r="I6" t="inlineStr">
        <is>
          <t>Worked out on the screen itself, with no engine behind it — a place a second definition can appear.</t>
        </is>
      </c>
      <c r="J6" t="inlineStr">
        <is>
          <t>NOT DETERMINED — no input list on record for this engine</t>
        </is>
      </c>
      <c r="K6" t="inlineStr">
        <is>
          <t>US dollars · held to the cent · shown as whole dollars  [derived by rule — confirm]</t>
        </is>
      </c>
      <c r="L6" t="inlineStr">
        <is>
          <t>Inherits the refusal of the figures it is built from: if either side is missing, this line is not shown.</t>
        </is>
      </c>
      <c r="M6" t="inlineStr">
        <is>
          <t>One figure per person — or per household when two people share one record  [derived by rule — confirm]</t>
        </is>
      </c>
      <c r="N6" t="inlineStr">
        <is>
          <t>As of today, from the latest figures held  [derived by rule — confirm]</t>
        </is>
      </c>
      <c r="O6" t="inlineStr">
        <is>
          <t>NOT DETERMINED</t>
        </is>
      </c>
      <c r="P6" t="inlineStr"/>
      <c r="Q6" t="inlineStr"/>
      <c r="R6" t="inlineStr">
        <is>
          <t>NOT DETERMINED — no assumption recorded for this figure yet.</t>
        </is>
      </c>
      <c r="S6" t="inlineStr"/>
      <c r="T6" t="inlineStr"/>
      <c r="U6" t="inlineStr"/>
      <c r="V6" t="inlineStr"/>
      <c r="W6" t="inlineStr">
        <is>
          <t>NOT DETERMINED</t>
        </is>
      </c>
      <c r="X6" t="inlineStr">
        <is>
          <t>VERIFIED 2026-08-22</t>
        </is>
      </c>
    </row>
    <row r="7">
      <c r="A7" t="inlineStr">
        <is>
          <t>MK-CF-M-006</t>
        </is>
      </c>
      <c r="B7" t="inlineStr">
        <is>
          <t>Cashflow</t>
        </is>
      </c>
      <c r="C7" t="inlineStr">
        <is>
          <t>NA</t>
        </is>
      </c>
      <c r="D7" t="inlineStr">
        <is>
          <t>YOUR SOURCES — Base salary</t>
        </is>
      </c>
      <c r="E7" t="inlineStr">
        <is>
          <t>op.baseSalary</t>
        </is>
      </c>
      <c r="F7" t="inlineStr">
        <is>
          <t>TOTAL_INCOME</t>
        </is>
      </c>
      <c r="G7" t="inlineStr">
        <is>
          <t>MK-CF-E-002</t>
        </is>
      </c>
      <c r="H7" t="inlineStr">
        <is>
          <t>gross a year = salary + self-employment + bonus + equity vesting + rental + other;  net a month = (gross − tax withheld − pre-tax contributions) ÷ 12</t>
        </is>
      </c>
      <c r="I7" t="inlineStr">
        <is>
          <t>Salary + tips + bonus + a signing amount + vesting equity + net rental income + other income (recurring and one-off, taxable and not) + retirement income currently being received.
This is the figure every tax calculation and every savings-capacity figure is built on, which is why each part above has its own row.</t>
        </is>
      </c>
      <c r="J7" t="inlineStr">
        <is>
          <t>each part → its own engine above  [NO INPUT ID — not on the inputs tab]</t>
        </is>
      </c>
      <c r="K7" t="inlineStr">
        <is>
          <t>US dollars · held to the cent · shown as whole dollars  [derived by rule — confirm]</t>
        </is>
      </c>
      <c r="L7" t="inlineStr">
        <is>
          <t>A division: with nothing on the bottom there is no answer, and the line must not appear as zero. NOT YET CONFIRMED against the engine.</t>
        </is>
      </c>
      <c r="M7" t="inlineStr">
        <is>
          <t>One figure per person — or per household when two people share one record  [derived by rule — confirm]</t>
        </is>
      </c>
      <c r="N7" t="inlineStr">
        <is>
          <t>As of today, from the latest figures held  [derived by rule — confirm]</t>
        </is>
      </c>
      <c r="O7" t="inlineStr">
        <is>
          <t>EQUITY_THIS_YEAR · OTHER_INCOME · READ_A_NUMBER · RENTAL_INCOME_A_YEAR · RETIREMENT_INCOME_NOW · SALARY_A_YEAR · TIPS_A_YEAR</t>
        </is>
      </c>
      <c r="P7" t="inlineStr"/>
      <c r="Q7" t="inlineStr"/>
      <c r="R7" t="inlineStr">
        <is>
          <t>NOT DETERMINED — no assumption recorded for this figure yet.</t>
        </is>
      </c>
      <c r="S7" t="inlineStr"/>
      <c r="T7" t="inlineStr"/>
      <c r="U7" t="inlineStr"/>
      <c r="V7" t="inlineStr"/>
      <c r="W7" t="inlineStr">
        <is>
          <t>NOT DETERMINED</t>
        </is>
      </c>
      <c r="X7" t="inlineStr">
        <is>
          <t>VERIFIED 2026-08-22</t>
        </is>
      </c>
    </row>
    <row r="8">
      <c r="A8" t="inlineStr">
        <is>
          <t>MK-CF-M-007</t>
        </is>
      </c>
      <c r="B8" t="inlineStr">
        <is>
          <t>Cashflow</t>
        </is>
      </c>
      <c r="C8" t="inlineStr">
        <is>
          <t>NA</t>
        </is>
      </c>
      <c r="D8" t="inlineStr">
        <is>
          <t>YOUR SOURCES — Self-employment</t>
        </is>
      </c>
      <c r="E8" t="inlineStr">
        <is>
          <t>op.seAmount</t>
        </is>
      </c>
      <c r="F8" t="inlineStr">
        <is>
          <t>TOTAL_INCOME</t>
        </is>
      </c>
      <c r="G8" t="inlineStr">
        <is>
          <t>MK-CF-E-002</t>
        </is>
      </c>
      <c r="H8" t="inlineStr">
        <is>
          <t>gross a year = salary + self-employment + bonus + equity vesting + rental + other;  net a month = (gross − tax withheld − pre-tax contributions) ÷ 12</t>
        </is>
      </c>
      <c r="I8" t="inlineStr">
        <is>
          <t>Salary + tips + bonus + a signing amount + vesting equity + net rental income + other income (recurring and one-off, taxable and not) + retirement income currently being received.
This is the figure every tax calculation and every savings-capacity figure is built on, which is why each part above has its own row.</t>
        </is>
      </c>
      <c r="J8" t="inlineStr">
        <is>
          <t>each part → its own engine above  [NO INPUT ID — not on the inputs tab]</t>
        </is>
      </c>
      <c r="K8" t="inlineStr">
        <is>
          <t>US dollars · held to the cent · shown as whole dollars  [derived by rule — confirm]</t>
        </is>
      </c>
      <c r="L8" t="inlineStr">
        <is>
          <t>A division: with nothing on the bottom there is no answer, and the line must not appear as zero. NOT YET CONFIRMED against the engine.</t>
        </is>
      </c>
      <c r="M8" t="inlineStr">
        <is>
          <t>One figure per person — or per household when two people share one record  [derived by rule — confirm]</t>
        </is>
      </c>
      <c r="N8" t="inlineStr">
        <is>
          <t>As of today, from the latest figures held  [derived by rule — confirm]</t>
        </is>
      </c>
      <c r="O8" t="inlineStr">
        <is>
          <t>EQUITY_THIS_YEAR · OTHER_INCOME · READ_A_NUMBER · RENTAL_INCOME_A_YEAR · RETIREMENT_INCOME_NOW · SALARY_A_YEAR · TIPS_A_YEAR</t>
        </is>
      </c>
      <c r="P8" t="inlineStr"/>
      <c r="Q8" t="inlineStr"/>
      <c r="R8" t="inlineStr">
        <is>
          <t>NOT DETERMINED — no assumption recorded for this figure yet.</t>
        </is>
      </c>
      <c r="S8" t="inlineStr"/>
      <c r="T8" t="inlineStr"/>
      <c r="U8" t="inlineStr"/>
      <c r="V8" t="inlineStr"/>
      <c r="W8" t="inlineStr">
        <is>
          <t>NOT DETERMINED</t>
        </is>
      </c>
      <c r="X8" t="inlineStr">
        <is>
          <t>VERIFIED 2026-08-22</t>
        </is>
      </c>
    </row>
    <row r="9">
      <c r="A9" t="inlineStr">
        <is>
          <t>MK-CF-M-008</t>
        </is>
      </c>
      <c r="B9" t="inlineStr">
        <is>
          <t>Cashflow</t>
        </is>
      </c>
      <c r="C9" t="inlineStr">
        <is>
          <t>NA</t>
        </is>
      </c>
      <c r="D9" t="inlineStr">
        <is>
          <t>YOUR SOURCES — Bonus</t>
        </is>
      </c>
      <c r="E9" t="inlineStr">
        <is>
          <t>op.bonusAnnual</t>
        </is>
      </c>
      <c r="F9" t="inlineStr">
        <is>
          <t>TOTAL_INCOME</t>
        </is>
      </c>
      <c r="G9" t="inlineStr">
        <is>
          <t>MK-CF-E-002</t>
        </is>
      </c>
      <c r="H9" t="inlineStr">
        <is>
          <t>gross a year = salary + self-employment + bonus + equity vesting + rental + other;  net a month = (gross − tax withheld − pre-tax contributions) ÷ 12</t>
        </is>
      </c>
      <c r="I9" t="inlineStr">
        <is>
          <t>Salary + tips + bonus + a signing amount + vesting equity + net rental income + other income (recurring and one-off, taxable and not) + retirement income currently being received.
This is the figure every tax calculation and every savings-capacity figure is built on, which is why each part above has its own row.</t>
        </is>
      </c>
      <c r="J9" t="inlineStr">
        <is>
          <t>each part → its own engine above  [NO INPUT ID — not on the inputs tab]</t>
        </is>
      </c>
      <c r="K9" t="inlineStr">
        <is>
          <t>US dollars · held to the cent · shown as whole dollars  [derived by rule — confirm]</t>
        </is>
      </c>
      <c r="L9" t="inlineStr">
        <is>
          <t>A division: with nothing on the bottom there is no answer, and the line must not appear as zero. NOT YET CONFIRMED against the engine.</t>
        </is>
      </c>
      <c r="M9" t="inlineStr">
        <is>
          <t>One figure per person — or per household when two people share one record  [derived by rule — confirm]</t>
        </is>
      </c>
      <c r="N9" t="inlineStr">
        <is>
          <t>As of today, from the latest figures held  [derived by rule — confirm]</t>
        </is>
      </c>
      <c r="O9" t="inlineStr">
        <is>
          <t>EQUITY_THIS_YEAR · OTHER_INCOME · READ_A_NUMBER · RENTAL_INCOME_A_YEAR · RETIREMENT_INCOME_NOW · SALARY_A_YEAR · TIPS_A_YEAR</t>
        </is>
      </c>
      <c r="P9" t="inlineStr"/>
      <c r="Q9" t="inlineStr"/>
      <c r="R9" t="inlineStr">
        <is>
          <t>NOT DETERMINED — no assumption recorded for this figure yet.</t>
        </is>
      </c>
      <c r="S9" t="inlineStr"/>
      <c r="T9" t="inlineStr"/>
      <c r="U9" t="inlineStr"/>
      <c r="V9" t="inlineStr"/>
      <c r="W9" t="inlineStr">
        <is>
          <t>NOT DETERMINED</t>
        </is>
      </c>
      <c r="X9" t="inlineStr">
        <is>
          <t>VERIFIED 2026-08-22</t>
        </is>
      </c>
    </row>
    <row r="10">
      <c r="A10" t="inlineStr">
        <is>
          <t>MK-CF-M-009</t>
        </is>
      </c>
      <c r="B10" t="inlineStr">
        <is>
          <t>Cashflow</t>
        </is>
      </c>
      <c r="C10" t="inlineStr">
        <is>
          <t>NA</t>
        </is>
      </c>
      <c r="D10" t="inlineStr">
        <is>
          <t>YOUR SOURCES — Stock vesting (equity)</t>
        </is>
      </c>
      <c r="E10" t="inlineStr">
        <is>
          <t>rsuTotal</t>
        </is>
      </c>
      <c r="F10" t="inlineStr">
        <is>
          <t>NOT IN OLD MASTER — the equity schedule, src/domain/income</t>
        </is>
      </c>
      <c r="G10" t="inlineStr">
        <is>
          <t>MK-CF-E-003</t>
        </is>
      </c>
      <c r="H10" t="inlineStr">
        <is>
          <t>equity a year ÷ the vest months it lands in, by the stated weights</t>
        </is>
      </c>
      <c r="I10" t="inlineStr">
        <is>
          <t>Spreads stock that vests across the months it actually vests in, rather than smoothing it over the year.</t>
        </is>
      </c>
      <c r="J10" t="inlineStr">
        <is>
          <t>NOT DETERMINED — no input list on record for this engine</t>
        </is>
      </c>
      <c r="K10" t="inlineStr">
        <is>
          <t>US dollars · held to the cent · shown as whole dollars  [derived by rule — confirm]</t>
        </is>
      </c>
      <c r="L10" t="inlineStr">
        <is>
          <t>A division: with nothing on the bottom there is no answer, and the line must not appear as zero. NOT YET CONFIRMED against the engine.</t>
        </is>
      </c>
      <c r="M10" t="inlineStr">
        <is>
          <t>One figure per person — or per household when two people share one record  [derived by rule — confirm]</t>
        </is>
      </c>
      <c r="N10" t="inlineStr">
        <is>
          <t>As of today, from the latest figures held  [derived by rule — confirm]</t>
        </is>
      </c>
      <c r="O10" t="inlineStr">
        <is>
          <t>NOT DETERMINED</t>
        </is>
      </c>
      <c r="P10" t="inlineStr"/>
      <c r="Q10" t="inlineStr"/>
      <c r="R10" t="inlineStr">
        <is>
          <t>NOT DETERMINED — no assumption recorded for this figure yet.</t>
        </is>
      </c>
      <c r="S10" t="inlineStr"/>
      <c r="T10" t="inlineStr"/>
      <c r="U10" t="inlineStr"/>
      <c r="V10" t="inlineStr"/>
      <c r="W10" t="inlineStr">
        <is>
          <t>NOT DETERMINED</t>
        </is>
      </c>
      <c r="X10" t="inlineStr">
        <is>
          <t>VERIFIED 2026-08-22</t>
        </is>
      </c>
    </row>
    <row r="11">
      <c r="A11" t="inlineStr">
        <is>
          <t>MK-CF-M-010</t>
        </is>
      </c>
      <c r="B11" t="inlineStr">
        <is>
          <t>Cashflow</t>
        </is>
      </c>
      <c r="C11" t="inlineStr">
        <is>
          <t>NA</t>
        </is>
      </c>
      <c r="D11" t="inlineStr">
        <is>
          <t>YOUR SOURCES — Rental property</t>
        </is>
      </c>
      <c r="E11" t="inlineStr">
        <is>
          <t>rentalTotal</t>
        </is>
      </c>
      <c r="F11" t="inlineStr">
        <is>
          <t>RENTAL_INCOME_A_YEAR</t>
        </is>
      </c>
      <c r="G11" t="inlineStr">
        <is>
          <t>MK-CF-E-004</t>
        </is>
      </c>
      <c r="H11" t="inlineStr">
        <is>
          <t>rental net a year = rent received − running costs</t>
        </is>
      </c>
      <c r="I11" t="inlineStr">
        <is>
          <t>(income − costs) each month, added across properties, × 12.
A property that costs more than it earns REDUCES income rather than being floored at zero — a loss-making rental is a real fact about a plan.</t>
        </is>
      </c>
      <c r="J11" t="inlineStr">
        <is>
          <t>each rental → rentalList  [MK-XS-I-023]</t>
        </is>
      </c>
      <c r="K11" t="inlineStr">
        <is>
          <t>US dollars · held to the cent · shown as whole dollars  [derived by rule — confirm]</t>
        </is>
      </c>
      <c r="L11" t="inlineStr">
        <is>
          <t>NOT DETERMINED — this engine has not been read for its refusal yet.</t>
        </is>
      </c>
      <c r="M11" t="inlineStr">
        <is>
          <t>One figure per person — or per household when two people share one record  [derived by rule — confirm]</t>
        </is>
      </c>
      <c r="N11" t="inlineStr">
        <is>
          <t>As of today, from the latest figures held  [derived by rule — confirm]</t>
        </is>
      </c>
      <c r="O11" t="inlineStr">
        <is>
          <t>RENTALS</t>
        </is>
      </c>
      <c r="P11" t="inlineStr"/>
      <c r="Q11" t="inlineStr"/>
      <c r="R11" t="inlineStr">
        <is>
          <t>NOT DETERMINED — no assumption recorded for this figure yet.</t>
        </is>
      </c>
      <c r="S11" t="inlineStr"/>
      <c r="T11" t="inlineStr"/>
      <c r="U11" t="inlineStr"/>
      <c r="V11" t="inlineStr"/>
      <c r="W11" t="inlineStr">
        <is>
          <t>NOT DETERMINED</t>
        </is>
      </c>
      <c r="X11" t="inlineStr">
        <is>
          <t>VERIFIED 2026-08-22</t>
        </is>
      </c>
    </row>
    <row r="12">
      <c r="A12" t="inlineStr">
        <is>
          <t>MK-CF-M-011</t>
        </is>
      </c>
      <c r="B12" t="inlineStr">
        <is>
          <t>Cashflow</t>
        </is>
      </c>
      <c r="C12" t="inlineStr">
        <is>
          <t>NA</t>
        </is>
      </c>
      <c r="D12" t="inlineStr">
        <is>
          <t>YOUR SOURCES — Social Security · pension</t>
        </is>
      </c>
      <c r="E12" t="inlineStr">
        <is>
          <t>guaranteed</t>
        </is>
      </c>
      <c r="F12" t="inlineStr">
        <is>
          <t>RETIREMENT_INCOME_NOW</t>
        </is>
      </c>
      <c r="G12" t="inlineStr">
        <is>
          <t>MK-PL-E-010</t>
        </is>
      </c>
      <c r="H12" t="inlineStr">
        <is>
          <t>guaranteed income now = Σ(streams already being received)</t>
        </is>
      </c>
      <c r="I12" t="inlineStr">
        <is>
          <t>Zero unless the person said retirement income is one of their current sources; otherwise the same total as above.
The distinction stops a future pension being counted as money arriving now — which would overstate today's income and flatter every current figure built on it.</t>
        </is>
      </c>
      <c r="J12" t="inlineStr">
        <is>
          <t>do they receive it now → incomeSources  [NO INPUT ID — not on the inputs tab] · the amounts → retirementIncomeMonthly  [MK-XS-I-008]</t>
        </is>
      </c>
      <c r="K12" t="inlineStr">
        <is>
          <t>US dollars · held to the cent · shown as whole dollars  [derived by rule — confirm]</t>
        </is>
      </c>
      <c r="L12" t="inlineStr">
        <is>
          <t>Adds up to $0 when there is nothing to add. Zero and "nothing recorded yet" look identical on screen — worth a decision.</t>
        </is>
      </c>
      <c r="M12" t="inlineStr">
        <is>
          <t>One figure per person — or per household when two people share one record  [derived by rule — confirm]</t>
        </is>
      </c>
      <c r="N12" t="inlineStr">
        <is>
          <t>As of today, from the latest figures held  [derived by rule — confirm]</t>
        </is>
      </c>
      <c r="O12" t="inlineStr">
        <is>
          <t>RETIREMENT_INCOME</t>
        </is>
      </c>
      <c r="P12" t="inlineStr"/>
      <c r="Q12" t="inlineStr"/>
      <c r="R12" t="inlineStr">
        <is>
          <t>NOT DETERMINED — no assumption recorded for this figure yet.</t>
        </is>
      </c>
      <c r="S12" t="inlineStr">
        <is>
          <t>THE SURVIVING IDENTIFIER for this figure. Folded in: MK-PL-M-018, MK-PL-M-032, MK-CF-M-024. Guaranteed income being received now. Shown four ways: "You receive $X/mo" on Social Security timing, "incl. Social Security $X/mo" on the cockpit, as a source on Cash flow, and as a list on Monthly income. One figure, four identifiers.</t>
        </is>
      </c>
      <c r="T12" t="inlineStr"/>
      <c r="U12" t="inlineStr"/>
      <c r="V12" t="inlineStr"/>
      <c r="W12" t="inlineStr">
        <is>
          <t>NOT DETERMINED</t>
        </is>
      </c>
      <c r="X12" t="inlineStr">
        <is>
          <t>VERIFIED 2026-08-22</t>
        </is>
      </c>
    </row>
    <row r="13">
      <c r="A13" t="inlineStr">
        <is>
          <t>MK-CF-M-012</t>
        </is>
      </c>
      <c r="B13" t="inlineStr">
        <is>
          <t>Cashflow</t>
        </is>
      </c>
      <c r="C13" t="inlineStr">
        <is>
          <t>NA</t>
        </is>
      </c>
      <c r="D13" t="inlineStr">
        <is>
          <t>RECEIVED · &lt;month&gt; — each payment</t>
        </is>
      </c>
      <c r="E13" t="inlineStr">
        <is>
          <t>i.amount</t>
        </is>
      </c>
      <c r="F13" t="inlineStr">
        <is>
          <t>NOT IN OLD MASTER — the received list, src/domain/income</t>
        </is>
      </c>
      <c r="G13" t="inlineStr">
        <is>
          <t>MK-CF-E-005</t>
        </is>
      </c>
      <c r="H13" t="inlineStr">
        <is>
          <t>each payment recorded this month, with its date and source</t>
        </is>
      </c>
      <c r="I13" t="inlineStr">
        <is>
          <t>Lists what has actually been received this month, rather than what was expected.</t>
        </is>
      </c>
      <c r="J13" t="inlineStr">
        <is>
          <t>NOT DETERMINED — no input list on record for this engine</t>
        </is>
      </c>
      <c r="K13" t="inlineStr">
        <is>
          <t>US dollars · held to the cent · shown as whole dollars  [derived by rule — confirm]</t>
        </is>
      </c>
      <c r="L13" t="inlineStr">
        <is>
          <t>NOT DETERMINED — this engine has not been read for its refusal yet.</t>
        </is>
      </c>
      <c r="M13" t="inlineStr">
        <is>
          <t>One figure per month  [derived by rule — confirm]</t>
        </is>
      </c>
      <c r="N13" t="inlineStr">
        <is>
          <t>This calendar month, to today  [derived by rule — confirm]</t>
        </is>
      </c>
      <c r="O13" t="inlineStr">
        <is>
          <t>NOT DETERMINED</t>
        </is>
      </c>
      <c r="P13" t="inlineStr"/>
      <c r="Q13" t="inlineStr"/>
      <c r="R13" t="inlineStr">
        <is>
          <t>NOT DETERMINED — no assumption recorded for this figure yet.</t>
        </is>
      </c>
      <c r="S13" t="inlineStr"/>
      <c r="T13" t="inlineStr"/>
      <c r="U13" t="inlineStr"/>
      <c r="V13" t="inlineStr"/>
      <c r="W13" t="inlineStr">
        <is>
          <t>NOT DETERMINED</t>
        </is>
      </c>
      <c r="X13" t="inlineStr">
        <is>
          <t>VERIFIED 2026-08-22</t>
        </is>
      </c>
    </row>
    <row r="14">
      <c r="A14" t="inlineStr">
        <is>
          <t>MK-CF-M-013</t>
        </is>
      </c>
      <c r="B14" t="inlineStr">
        <is>
          <t>Cashflow</t>
        </is>
      </c>
      <c r="C14" t="inlineStr">
        <is>
          <t>NA</t>
        </is>
      </c>
      <c r="D14" t="inlineStr">
        <is>
          <t>&lt;MONTH&gt; · $X SPENT</t>
        </is>
      </c>
      <c r="E14" t="inlineStr">
        <is>
          <t>spent</t>
        </is>
      </c>
      <c r="F14" t="inlineStr">
        <is>
          <t>SPENDING_BY_KIND</t>
        </is>
      </c>
      <c r="G14" t="inlineStr">
        <is>
          <t>MK-CF-E-006</t>
        </is>
      </c>
      <c r="H14" t="inlineStr">
        <is>
          <t>spent in a bucket = Σ(expenses this month in that bucket);  debt payments are excluded</t>
        </is>
      </c>
      <c r="I14" t="inlineStr">
        <is>
          <t>If the person answered category by category, total each category into its bucket. If they gave three summary figures instead, use those. Nothing answered is zero — never a guessed household average, which would put a number in their plan that nobody chose.</t>
        </is>
      </c>
      <c r="J14" t="inlineStr">
        <is>
          <t>the categories → spendCats  [NO INPUT ID — not on the inputs tab] · or the three summary figures → b_fixed, b_nonmonthly, b_flexible  [NO INPUT ID — not on the inputs tab]</t>
        </is>
      </c>
      <c r="K14" t="inlineStr">
        <is>
          <t>US dollars · held to the cent · shown as whole dollars  [derived by rule — confirm]</t>
        </is>
      </c>
      <c r="L14" t="inlineStr">
        <is>
          <t>Adds up to $0 when there is nothing to add. Zero and "nothing recorded yet" look identical on screen — worth a decision.</t>
        </is>
      </c>
      <c r="M14" t="inlineStr">
        <is>
          <t>One figure per month  [derived by rule — confirm]</t>
        </is>
      </c>
      <c r="N14" t="inlineStr">
        <is>
          <t>As of today, from the latest figures held  [derived by rule — confirm]</t>
        </is>
      </c>
      <c r="O14" t="inlineStr">
        <is>
          <t>READ_A_NUMBER</t>
        </is>
      </c>
      <c r="P14" t="inlineStr"/>
      <c r="Q14" t="inlineStr"/>
      <c r="R14" t="inlineStr">
        <is>
          <t>NOT DETERMINED — no assumption recorded for this figure yet.</t>
        </is>
      </c>
      <c r="S14" t="inlineStr"/>
      <c r="T14" t="inlineStr"/>
      <c r="U14" t="inlineStr"/>
      <c r="V14" t="inlineStr"/>
      <c r="W14" t="inlineStr">
        <is>
          <t>NOT DETERMINED</t>
        </is>
      </c>
      <c r="X14" t="inlineStr">
        <is>
          <t>VERIFIED 2026-08-22</t>
        </is>
      </c>
    </row>
    <row r="15">
      <c r="A15" t="inlineStr">
        <is>
          <t>MK-CF-M-014</t>
        </is>
      </c>
      <c r="B15" t="inlineStr">
        <is>
          <t>Cashflow</t>
        </is>
      </c>
      <c r="C15" t="inlineStr">
        <is>
          <t>NA</t>
        </is>
      </c>
      <c r="D15" t="inlineStr">
        <is>
          <t>each expense and its amount</t>
        </is>
      </c>
      <c r="E15" t="inlineStr">
        <is>
          <t>e.amount</t>
        </is>
      </c>
      <c r="F15" t="inlineStr">
        <is>
          <t>SPENDING_BY_KIND</t>
        </is>
      </c>
      <c r="G15" t="inlineStr">
        <is>
          <t>MK-CF-E-006</t>
        </is>
      </c>
      <c r="H15" t="inlineStr">
        <is>
          <t>spent in a bucket = Σ(expenses this month in that bucket);  debt payments are excluded</t>
        </is>
      </c>
      <c r="I15" t="inlineStr">
        <is>
          <t>If the person answered category by category, total each category into its bucket. If they gave three summary figures instead, use those. Nothing answered is zero — never a guessed household average, which would put a number in their plan that nobody chose.</t>
        </is>
      </c>
      <c r="J15" t="inlineStr">
        <is>
          <t>the categories → spendCats  [NO INPUT ID — not on the inputs tab] · or the three summary figures → b_fixed, b_nonmonthly, b_flexible  [NO INPUT ID — not on the inputs tab]</t>
        </is>
      </c>
      <c r="K15" t="inlineStr">
        <is>
          <t>US dollars · held to the cent · shown as whole dollars  [derived by rule — confirm]</t>
        </is>
      </c>
      <c r="L15" t="inlineStr">
        <is>
          <t>Adds up to $0 when there is nothing to add. Zero and "nothing recorded yet" look identical on screen — worth a decision.</t>
        </is>
      </c>
      <c r="M15" t="inlineStr">
        <is>
          <t>One figure per person — or per household when two people share one record  [derived by rule — confirm]</t>
        </is>
      </c>
      <c r="N15" t="inlineStr">
        <is>
          <t>As of today, from the latest figures held  [derived by rule — confirm]</t>
        </is>
      </c>
      <c r="O15" t="inlineStr">
        <is>
          <t>READ_A_NUMBER</t>
        </is>
      </c>
      <c r="P15" t="inlineStr"/>
      <c r="Q15" t="inlineStr"/>
      <c r="R15" t="inlineStr">
        <is>
          <t>NOT DETERMINED — no assumption recorded for this figure yet.</t>
        </is>
      </c>
      <c r="S15" t="inlineStr"/>
      <c r="T15" t="inlineStr"/>
      <c r="U15" t="inlineStr"/>
      <c r="V15" t="inlineStr"/>
      <c r="W15" t="inlineStr">
        <is>
          <t>NOT DETERMINED</t>
        </is>
      </c>
      <c r="X15" t="inlineStr">
        <is>
          <t>VERIFIED 2026-08-22</t>
        </is>
      </c>
    </row>
    <row r="16">
      <c r="A16" t="inlineStr">
        <is>
          <t>MK-CF-M-015</t>
        </is>
      </c>
      <c r="B16" t="inlineStr">
        <is>
          <t>Cashflow</t>
        </is>
      </c>
      <c r="C16" t="inlineStr">
        <is>
          <t>NA</t>
        </is>
      </c>
      <c r="D16" t="inlineStr">
        <is>
          <t>BY CATEGORY VS PLAN — $X of $Y</t>
        </is>
      </c>
      <c r="E16" t="inlineStr">
        <is>
          <t>b.spent / b.planned</t>
        </is>
      </c>
      <c r="F16" t="inlineStr">
        <is>
          <t>PLANNED_SPENDING</t>
        </is>
      </c>
      <c r="G16" t="inlineStr">
        <is>
          <t>MK-CF-E-007</t>
        </is>
      </c>
      <c r="H16" t="inlineStr">
        <is>
          <t>planned a month = Σ(each category’s planned amount);  remaining = planned − spent</t>
        </is>
      </c>
      <c r="I16" t="inlineStr">
        <is>
          <t>The LARGER of two answers: the categories added up, or the single monthly figure they typed.
The larger wins deliberately. Someone may answer both and the two rarely agree, and understating spending is the direction that FLATTERS a plan — it makes the odds look better than they are. Taking the larger errs toward the cautious side.</t>
        </is>
      </c>
      <c r="J16" t="inlineStr">
        <is>
          <t>the categories → SPENDING_BY_KIND  [MK-XS-I-024] · the single figure → monthlySpending  [MK-XS-I-024, MK-XS-I-030]</t>
        </is>
      </c>
      <c r="K16" t="inlineStr">
        <is>
          <t>US dollars · held to the cent · shown as whole dollars  [derived by rule — confirm]</t>
        </is>
      </c>
      <c r="L16" t="inlineStr">
        <is>
          <t>Adds up to $0 when there is nothing to add. Zero and "nothing recorded yet" look identical on screen — worth a decision.</t>
        </is>
      </c>
      <c r="M16" t="inlineStr">
        <is>
          <t>One figure per category  [derived by rule — confirm]</t>
        </is>
      </c>
      <c r="N16" t="inlineStr">
        <is>
          <t>As of today, from the latest figures held  [derived by rule — confirm]</t>
        </is>
      </c>
      <c r="O16" t="inlineStr">
        <is>
          <t>READ_A_NUMBER · SPENDING_BY_KIND</t>
        </is>
      </c>
      <c r="P16" t="inlineStr"/>
      <c r="Q16" t="inlineStr"/>
      <c r="R16" t="inlineStr">
        <is>
          <t>NOT DETERMINED — no assumption recorded for this figure yet.</t>
        </is>
      </c>
      <c r="S16" t="inlineStr">
        <is>
          <t>THE SURVIVING IDENTIFIER for this figure. Folded in: MK-MN-M-007. Spending against plan for a category — the same comparison on Cash flow and on the expense screen. CONFIRM: the expense screen adds the amount being typed, which may make it a different figure.</t>
        </is>
      </c>
      <c r="T16" t="inlineStr"/>
      <c r="U16" t="inlineStr"/>
      <c r="V16" t="inlineStr"/>
      <c r="W16" t="inlineStr">
        <is>
          <t>NOT DETERMINED</t>
        </is>
      </c>
      <c r="X16" t="inlineStr">
        <is>
          <t>VERIFIED 2026-08-22</t>
        </is>
      </c>
    </row>
    <row r="17">
      <c r="A17" t="inlineStr">
        <is>
          <t>MK-CF-M-016</t>
        </is>
      </c>
      <c r="B17" t="inlineStr">
        <is>
          <t>Cashflow</t>
        </is>
      </c>
      <c r="C17" t="inlineStr">
        <is>
          <t>NA</t>
        </is>
      </c>
      <c r="D17" t="inlineStr">
        <is>
          <t>BIG-TICKET RADAR — &lt;bill&gt; · due &lt;month&gt;</t>
        </is>
      </c>
      <c r="E17" t="inlineStr">
        <is>
          <t>b.amount</t>
        </is>
      </c>
      <c r="F17" t="inlineStr">
        <is>
          <t>NOT IN OLD MASTER — the big-bill radar, src/domain/cashflow</t>
        </is>
      </c>
      <c r="G17" t="inlineStr">
        <is>
          <t>MK-CF-E-008</t>
        </is>
      </c>
      <c r="H17" t="inlineStr">
        <is>
          <t>a bill is flagged when its amount is large relative to a typical month and it falls within the horizon shown</t>
        </is>
      </c>
      <c r="I17" t="inlineStr">
        <is>
          <t>Points out the big one-off bills coming up, so they are not a surprise.</t>
        </is>
      </c>
      <c r="J17" t="inlineStr">
        <is>
          <t>NOT DETERMINED — no input list on record for this engine</t>
        </is>
      </c>
      <c r="K17" t="inlineStr">
        <is>
          <t>US dollars · held to the cent · shown as whole dollars  [derived by rule — confirm]</t>
        </is>
      </c>
      <c r="L17" t="inlineStr">
        <is>
          <t>NOT DETERMINED — this engine has not been read for its refusal yet.</t>
        </is>
      </c>
      <c r="M17" t="inlineStr">
        <is>
          <t>One figure per month  [derived by rule — confirm]</t>
        </is>
      </c>
      <c r="N17" t="inlineStr">
        <is>
          <t>As of today, from the latest figures held  [derived by rule — confirm]</t>
        </is>
      </c>
      <c r="O17" t="inlineStr">
        <is>
          <t>NOT DETERMINED</t>
        </is>
      </c>
      <c r="P17" t="inlineStr"/>
      <c r="Q17" t="inlineStr"/>
      <c r="R17" t="inlineStr">
        <is>
          <t>NOT DETERMINED — no assumption recorded for this figure yet.</t>
        </is>
      </c>
      <c r="S17" t="inlineStr"/>
      <c r="T17" t="inlineStr"/>
      <c r="U17" t="inlineStr"/>
      <c r="V17" t="inlineStr"/>
      <c r="W17" t="inlineStr">
        <is>
          <t>NOT DETERMINED</t>
        </is>
      </c>
      <c r="X17" t="inlineStr">
        <is>
          <t>VERIFIED 2026-08-22</t>
        </is>
      </c>
    </row>
    <row r="18">
      <c r="A18" t="inlineStr">
        <is>
          <t>MK-CF-M-017</t>
        </is>
      </c>
      <c r="B18" t="inlineStr">
        <is>
          <t>Cashflow</t>
        </is>
      </c>
      <c r="C18" t="inlineStr">
        <is>
          <t>NA</t>
        </is>
      </c>
      <c r="D18" t="inlineStr">
        <is>
          <t>well above your usual &lt;category&gt;</t>
        </is>
      </c>
      <c r="E18" t="inlineStr">
        <is>
          <t>e.amount</t>
        </is>
      </c>
      <c r="F18" t="inlineStr">
        <is>
          <t>NOT IN OLD MASTER — the unusual-spend check, src/domain/budget</t>
        </is>
      </c>
      <c r="G18" t="inlineStr">
        <is>
          <t>MK-CF-E-009</t>
        </is>
      </c>
      <c r="H18" t="inlineStr">
        <is>
          <t>flagged when an expense is well above the usual amount for its category</t>
        </is>
      </c>
      <c r="I18" t="inlineStr">
        <is>
          <t>Marks a single expense that sits well above what that category normally costs.</t>
        </is>
      </c>
      <c r="J18" t="inlineStr">
        <is>
          <t>NOT DETERMINED — no input list on record for this engine</t>
        </is>
      </c>
      <c r="K18" t="inlineStr">
        <is>
          <t>US dollars · held to the cent · shown as whole dollars  [derived by rule — confirm]</t>
        </is>
      </c>
      <c r="L18" t="inlineStr">
        <is>
          <t>NOT DETERMINED — this engine has not been read for its refusal yet.</t>
        </is>
      </c>
      <c r="M18" t="inlineStr">
        <is>
          <t>One figure per category  [derived by rule — confirm]</t>
        </is>
      </c>
      <c r="N18" t="inlineStr">
        <is>
          <t>As of today, from the latest figures held  [derived by rule — confirm]</t>
        </is>
      </c>
      <c r="O18" t="inlineStr">
        <is>
          <t>NOT DETERMINED</t>
        </is>
      </c>
      <c r="P18" t="inlineStr"/>
      <c r="Q18" t="inlineStr"/>
      <c r="R18" t="inlineStr">
        <is>
          <t>NOT DETERMINED — no assumption recorded for this figure yet.</t>
        </is>
      </c>
      <c r="S18" t="inlineStr"/>
      <c r="T18" t="inlineStr"/>
      <c r="U18" t="inlineStr"/>
      <c r="V18" t="inlineStr"/>
      <c r="W18" t="inlineStr">
        <is>
          <t>NOT DETERMINED</t>
        </is>
      </c>
      <c r="X18" t="inlineStr">
        <is>
          <t>VERIFIED 2026-08-22</t>
        </is>
      </c>
    </row>
    <row r="19">
      <c r="A19" t="inlineStr">
        <is>
          <t>MK-CF-M-018</t>
        </is>
      </c>
      <c r="B19" t="inlineStr">
        <is>
          <t>Cashflow</t>
        </is>
      </c>
      <c r="C19" t="inlineStr">
        <is>
          <t>NA</t>
        </is>
      </c>
      <c r="D19" t="inlineStr">
        <is>
          <t>THIS MONTH — In (take-home)</t>
        </is>
      </c>
      <c r="E19" t="inlineStr">
        <is>
          <t>inflow</t>
        </is>
      </c>
      <c r="F19" t="inlineStr">
        <is>
          <t>NOT IN OLD MASTER — incomeMonthlyGrid, src/domain/income</t>
        </is>
      </c>
      <c r="G19" t="inlineStr">
        <is>
          <t>MK-XS-E-006</t>
        </is>
      </c>
      <c r="H19" t="inlineStr">
        <is>
          <t>money in month m = salary(m) + tips(m) + rental ÷ 12 + bonus(m) + equity vesting(m) − withholding(m) − pre-tax contributions(m)</t>
        </is>
      </c>
      <c r="I19" t="inlineStr">
        <is>
          <t>Builds twelve months of money in, one month at a time. Salary comes from the per-month table, equity lands in the months it vests, the bonus lands in its own month, and each month has its own withholding rate.</t>
        </is>
      </c>
      <c r="J19" t="inlineStr">
        <is>
          <t>NOT DETERMINED — no input list on record for this engine</t>
        </is>
      </c>
      <c r="K19" t="inlineStr">
        <is>
          <t>US dollars · held to the cent · shown as whole dollars  [derived by rule — confirm]</t>
        </is>
      </c>
      <c r="L19" t="inlineStr">
        <is>
          <t>A division: with nothing on the bottom there is no answer, and the line must not appear as zero. NOT YET CONFIRMED against the engine.</t>
        </is>
      </c>
      <c r="M19" t="inlineStr">
        <is>
          <t>One figure per month  [derived by rule — confirm]</t>
        </is>
      </c>
      <c r="N19" t="inlineStr">
        <is>
          <t>This calendar month, to today  [derived by rule — confirm]</t>
        </is>
      </c>
      <c r="O19" t="inlineStr">
        <is>
          <t>NOT DETERMINED</t>
        </is>
      </c>
      <c r="P19" t="inlineStr"/>
      <c r="Q19" t="inlineStr"/>
      <c r="R19" t="inlineStr">
        <is>
          <t>NOT DETERMINED — no assumption recorded for this figure yet.</t>
        </is>
      </c>
      <c r="S19" t="inlineStr">
        <is>
          <t>THE SAME FIGURE AS MK-XS-M-006 — Money in this month. "In (take-home)" on Cash flow is the same figure as "Income" on Home.</t>
        </is>
      </c>
      <c r="T19" t="inlineStr"/>
      <c r="U19" t="inlineStr"/>
      <c r="V19" t="inlineStr"/>
      <c r="W19" t="inlineStr">
        <is>
          <t>NOT DETERMINED</t>
        </is>
      </c>
      <c r="X19" t="inlineStr">
        <is>
          <t>VERIFIED 2026-08-22</t>
        </is>
      </c>
    </row>
    <row r="20">
      <c r="A20" t="inlineStr">
        <is>
          <t>MK-CF-M-019</t>
        </is>
      </c>
      <c r="B20" t="inlineStr">
        <is>
          <t>Cashflow</t>
        </is>
      </c>
      <c r="C20" t="inlineStr">
        <is>
          <t>NA</t>
        </is>
      </c>
      <c r="D20" t="inlineStr">
        <is>
          <t>THIS MONTH — Out (bills + debt)</t>
        </is>
      </c>
      <c r="E20" t="inlineStr">
        <is>
          <t>outflow</t>
        </is>
      </c>
      <c r="F20" t="inlineStr">
        <is>
          <t>SPENDING_BY_KIND · DEBT_REQUIRED_PAYMENT</t>
        </is>
      </c>
      <c r="G20" t="inlineStr">
        <is>
          <t>MK-CF-E-010</t>
        </is>
      </c>
      <c r="H20" t="inlineStr">
        <is>
          <t>money out = Σ(expenses this month) + Σ(required debt payments)</t>
        </is>
      </c>
      <c r="I20" t="inlineStr">
        <is>
          <t>If the person answered category by category, total each category into its bucket. If they gave three summary figures instead, use those. Nothing answered is zero — never a guessed household average, which would put a number in their plan that nobody chose. · Due in full → 0. It is a dated bill, and calling it a monthly payment overstates what a person is committed to. Otherwise the LARGER of the minimum and whatever payment they have chosen, so overpaying on purpose shows up.</t>
        </is>
      </c>
      <c r="J20" t="inlineStr">
        <is>
          <t>the categories → spendCats  [NO INPUT ID — not on the inputs tab] · or the three summary figures → b_fixed, b_nonmonthly, b_flexible  [NO INPUT ID — not on the inputs tab] · shape → paymentShape  [NO INPUT ID — not on the inputs tab] · minimum → minimum_monthly_payment  [MK-XS-I-016] · chosen → monthly_payment  [NO INPUT ID — not on the inputs tab]</t>
        </is>
      </c>
      <c r="K20" t="inlineStr">
        <is>
          <t>US dollars · held to the cent · shown as whole dollars  [derived by rule — confirm]</t>
        </is>
      </c>
      <c r="L20" t="inlineStr">
        <is>
          <t>Adds up to $0 when there is nothing to add. Zero and "nothing recorded yet" look identical on screen — worth a decision.</t>
        </is>
      </c>
      <c r="M20" t="inlineStr">
        <is>
          <t>One figure per debt, and one total per person  [derived by rule — confirm]</t>
        </is>
      </c>
      <c r="N20" t="inlineStr">
        <is>
          <t>This calendar month, to today  [derived by rule — confirm]</t>
        </is>
      </c>
      <c r="O20" t="inlineStr">
        <is>
          <t>DEBT_SHAPE · READ_A_NUMBER</t>
        </is>
      </c>
      <c r="P20" t="inlineStr"/>
      <c r="Q20" t="inlineStr"/>
      <c r="R20" t="inlineStr">
        <is>
          <t>NOT DETERMINED — no assumption recorded for this figure yet.</t>
        </is>
      </c>
      <c r="S20" t="inlineStr"/>
      <c r="T20" t="inlineStr"/>
      <c r="U20" t="inlineStr"/>
      <c r="V20" t="inlineStr"/>
      <c r="W20" t="inlineStr">
        <is>
          <t>NOT DETERMINED</t>
        </is>
      </c>
      <c r="X20" t="inlineStr">
        <is>
          <t>VERIFIED 2026-08-22</t>
        </is>
      </c>
    </row>
    <row r="21">
      <c r="A21" t="inlineStr">
        <is>
          <t>MK-CF-M-020</t>
        </is>
      </c>
      <c r="B21" t="inlineStr">
        <is>
          <t>Cashflow</t>
        </is>
      </c>
      <c r="C21" t="inlineStr">
        <is>
          <t>NA</t>
        </is>
      </c>
      <c r="D21" t="inlineStr">
        <is>
          <t>THIS MONTH — free to use</t>
        </is>
      </c>
      <c r="E21" t="inlineStr">
        <is>
          <t>free</t>
        </is>
      </c>
      <c r="F21" t="inlineStr">
        <is>
          <t>worked out on the screen: in − out − what the Plan committed</t>
        </is>
      </c>
      <c r="G21" t="inlineStr"/>
      <c r="H21" t="inlineStr">
        <is>
          <t>free to use = money in − money out − Σ(monthly amounts the Plan committed)</t>
        </is>
      </c>
      <c r="I21" t="inlineStr">
        <is>
          <t>Worked out on the screen itself, with no engine behind it — a place a second definition can appear.</t>
        </is>
      </c>
      <c r="J21" t="inlineStr">
        <is>
          <t>NOT DETERMINED — no input list on record for this engine</t>
        </is>
      </c>
      <c r="K21" t="inlineStr">
        <is>
          <t>US dollars · held to the cent · shown as whole dollars  [derived by rule — confirm]</t>
        </is>
      </c>
      <c r="L21" t="inlineStr">
        <is>
          <t>Inherits the refusal of the figures it is built from: if either side is missing, this line is not shown.</t>
        </is>
      </c>
      <c r="M21" t="inlineStr">
        <is>
          <t>One figure per month  [derived by rule — confirm]</t>
        </is>
      </c>
      <c r="N21" t="inlineStr">
        <is>
          <t>This calendar month, to today  [derived by rule — confirm]</t>
        </is>
      </c>
      <c r="O21" t="inlineStr">
        <is>
          <t>NOT DETERMINED</t>
        </is>
      </c>
      <c r="P21" t="inlineStr"/>
      <c r="Q21" t="inlineStr"/>
      <c r="R21" t="inlineStr">
        <is>
          <t>NOT DETERMINED — no assumption recorded for this figure yet.</t>
        </is>
      </c>
      <c r="S21" t="inlineStr"/>
      <c r="T21" t="inlineStr"/>
      <c r="U21" t="inlineStr"/>
      <c r="V21" t="inlineStr"/>
      <c r="W21" t="inlineStr">
        <is>
          <t>NOT DETERMINED</t>
        </is>
      </c>
      <c r="X21" t="inlineStr">
        <is>
          <t>VERIFIED 2026-08-22</t>
        </is>
      </c>
    </row>
    <row r="22">
      <c r="A22" t="inlineStr">
        <is>
          <t>MK-CF-M-021</t>
        </is>
      </c>
      <c r="B22" t="inlineStr">
        <is>
          <t>Cashflow</t>
        </is>
      </c>
      <c r="C22" t="inlineStr">
        <is>
          <t>NA</t>
        </is>
      </c>
      <c r="D22" t="inlineStr">
        <is>
          <t>&lt;goal&gt; · from your Plan</t>
        </is>
      </c>
      <c r="E22" t="inlineStr">
        <is>
          <t>c.monthlyAmount</t>
        </is>
      </c>
      <c r="F22" t="inlineStr">
        <is>
          <t>NOT IN OLD MASTER — plan commitments, src/domain/planning</t>
        </is>
      </c>
      <c r="G22" t="inlineStr">
        <is>
          <t>MK-CF-E-011</t>
        </is>
      </c>
      <c r="H22" t="inlineStr">
        <is>
          <t>Σ(monthly amount of each goal the Plan has committed to)</t>
        </is>
      </c>
      <c r="I22" t="inlineStr">
        <is>
          <t>The monthly amounts the Plan has already promised to goals, so cash flow can show what is genuinely free.</t>
        </is>
      </c>
      <c r="J22" t="inlineStr">
        <is>
          <t>NOT DETERMINED — no input list on record for this engine</t>
        </is>
      </c>
      <c r="K22" t="inlineStr">
        <is>
          <t>US dollars · held to the cent · shown as whole dollars  [derived by rule — confirm]</t>
        </is>
      </c>
      <c r="L22" t="inlineStr">
        <is>
          <t>Adds up to $0 when there is nothing to add. Zero and "nothing recorded yet" look identical on screen — worth a decision.</t>
        </is>
      </c>
      <c r="M22" t="inlineStr">
        <is>
          <t>One figure per goal  [derived by rule — confirm]</t>
        </is>
      </c>
      <c r="N22" t="inlineStr">
        <is>
          <t>As of today, from the latest figures held  [derived by rule — confirm]</t>
        </is>
      </c>
      <c r="O22" t="inlineStr">
        <is>
          <t>NOT DETERMINED</t>
        </is>
      </c>
      <c r="P22" t="inlineStr"/>
      <c r="Q22" t="inlineStr"/>
      <c r="R22" t="inlineStr">
        <is>
          <t>NOT DETERMINED — no assumption recorded for this figure yet.</t>
        </is>
      </c>
      <c r="S22" t="inlineStr"/>
      <c r="T22" t="inlineStr"/>
      <c r="U22" t="inlineStr"/>
      <c r="V22" t="inlineStr"/>
      <c r="W22" t="inlineStr">
        <is>
          <t>NOT DETERMINED</t>
        </is>
      </c>
      <c r="X22" t="inlineStr">
        <is>
          <t>VERIFIED 2026-08-22</t>
        </is>
      </c>
    </row>
    <row r="23">
      <c r="A23" t="inlineStr">
        <is>
          <t>MK-CF-M-022</t>
        </is>
      </c>
      <c r="B23" t="inlineStr">
        <is>
          <t>Cashflow</t>
        </is>
      </c>
      <c r="C23" t="inlineStr">
        <is>
          <t>NA</t>
        </is>
      </c>
      <c r="D23" t="inlineStr">
        <is>
          <t>YOUR FUTURE PAYCHECK — At &lt;age&gt;: ~$X / mo</t>
        </is>
      </c>
      <c r="E23" t="inlineStr">
        <is>
          <t>projection.monthly</t>
        </is>
      </c>
      <c r="F23" t="inlineStr">
        <is>
          <t>POT_AT_RETIREMENT</t>
        </is>
      </c>
      <c r="G23" t="inlineStr">
        <is>
          <t>MK-NW-E-010</t>
        </is>
      </c>
      <c r="H23" t="inlineStr">
        <is>
          <t>pot = balance × (1 + r)^n + Σ(contribution × (1 + r)^(n − year)),  n = years to retirement</t>
        </is>
      </c>
      <c r="I23" t="inlineStr">
        <is>
          <t>TWO FIGURES, no random runs anywhere in this one — it is the straight-line check beside the 1,000-run odds.
WHAT YOU WILL HAVE. Today's pot grown at your expected return for the years until you retire, plus every year's saving grown for however many years it has left. Worked at 6%: $600,000 today over 7 years becomes $902,000; $24,000 saved each of those years adds about $201,000; $1,103,000 in all.
WHAT YOU WILL NEED — the target pot. Walk every retirement year one at a time, from the year you retire to the age you plan to. In each year: take that year's spending, take off the guaranteed income you receive that year, and that difference is what the pot must hand you. Bring each of those amounts back to a retirement-year value by dividing by your expected return once for every year you have to wait for it. Add them all up. That total is the pot that pays for the whole plan.
Two rules ride along: spending rises with inflation every year, and so does Social Security, but a pension stays flat.
WHY THE NUMBER IS SMALLER THAN THE SUM OF THE SPENDING. Money you do not need until year fifteen keeps earning until then, so you need less than fifteen years' spending set aside today.
MONEY IS NEEDED AT THE START OF ITS YEAR. The first retirement year's spending is not discounted at all — January's groceries cannot be paid out of December's growth. Some published calculators charge each year at its END, which gives every year one more year of growth and reports a target about (1 + return) / (1 + inflation) smaller — roughly 3% lower at a 6% return and 2.5% inflation. Neither is wrong; ours is the cautious side, and the difference is a timing convention, not a disagreement about the arithmetic.
HOW IT DIFFERS FROM THE 25 x YARDSTICK reported by the odds engine: this one knows how long you plan for and what your money earns; the yardstick knows neither.</t>
        </is>
      </c>
      <c r="J23" t="inlineStr">
        <is>
          <t>the same inputs → inp  [NO INPUT ID — not on the inputs tab]</t>
        </is>
      </c>
      <c r="K23" t="inlineStr">
        <is>
          <t>Age in whole years  [derived by rule — confirm]</t>
        </is>
      </c>
      <c r="L23" t="inlineStr">
        <is>
          <t>No figure when there is nothing to grow, or when retirement is not ahead of the person.</t>
        </is>
      </c>
      <c r="M23" t="inlineStr">
        <is>
          <t>One figure per person — or per household when two people share one record  [derived by rule — confirm]</t>
        </is>
      </c>
      <c r="N23" t="inlineStr">
        <is>
          <t>As of today, from the latest figures held  [derived by rule — confirm]</t>
        </is>
      </c>
      <c r="O23" t="inlineStr">
        <is>
          <t>WILL_IT_LAST</t>
        </is>
      </c>
      <c r="P23" t="inlineStr"/>
      <c r="Q23" t="inlineStr">
        <is>
          <t>The Net worth screen builds this projection WITHOUT the person's big costs, while Cash flow, Budget, Goals and Social Security timing all include them. Same person, same day, two different nest eggs. Seen in the code; not yet confirmed on screen.</t>
        </is>
      </c>
      <c r="R23" t="inlineStr">
        <is>
          <t>[Founder] The recommended nest egg is 25× the yearly spending not covered by guaranteed income, counted from the start of the retirement year — which is why it differs from an outside calculator.
[Built in] The assumed rate of return, which the person can change on the cockpit.
[The person] The retirement age in their plan.</t>
        </is>
      </c>
      <c r="S23" t="inlineStr"/>
      <c r="T23" t="inlineStr"/>
      <c r="U23" t="inlineStr"/>
      <c r="V23" t="inlineStr"/>
      <c r="W23" t="inlineStr">
        <is>
          <t>NOT DETERMINED</t>
        </is>
      </c>
      <c r="X23" t="inlineStr">
        <is>
          <t>VERIFIED 2026-08-22</t>
        </is>
      </c>
    </row>
    <row r="24">
      <c r="A24" t="inlineStr">
        <is>
          <t>MK-CF-M-023</t>
        </is>
      </c>
      <c r="B24" t="inlineStr">
        <is>
          <t>Cashflow</t>
        </is>
      </c>
      <c r="C24" t="inlineStr">
        <is>
          <t>NA</t>
        </is>
      </c>
      <c r="D24" t="inlineStr">
        <is>
          <t>YOUR FUTURE PAYCHECK — Social Security · pension</t>
        </is>
      </c>
      <c r="E24" t="inlineStr">
        <is>
          <t>projection.guaranteed</t>
        </is>
      </c>
      <c r="F24" t="inlineStr">
        <is>
          <t>RETIREMENT_INCOME</t>
        </is>
      </c>
      <c r="G24" t="inlineStr">
        <is>
          <t>MK-CF-E-012</t>
        </is>
      </c>
      <c r="H24" t="inlineStr">
        <is>
          <t>guaranteed income a month = Social Security + pension + annuity + any other stated stream</t>
        </is>
      </c>
      <c r="I24" t="inlineStr">
        <is>
          <t>Add Social Security, pension, withdrawals, required minimum distributions, annuities and other — each converted to a monthly figure from however it was entered (yearly, quarterly, monthly).</t>
        </is>
      </c>
      <c r="J24" t="inlineStr">
        <is>
          <t>each source → ri_ss  [NO INPUT ID — not on the inputs tab] · ri_pension  [MK-XS-I-022] · ri_withdrawals  [NO INPUT ID — not on the inputs tab] · ri_rmd  [NO INPUT ID — not on the inputs tab] · ri_annuities  [NO INPUT ID — not on the inputs tab] · ri_other  [NO INPUT ID — not on the inputs tab] · and how often each arrives → the matching frequency  [NO INPUT ID — not on the inputs tab]</t>
        </is>
      </c>
      <c r="K24" t="inlineStr">
        <is>
          <t>US dollars · held to the cent · shown as whole dollars  [derived by rule — confirm]</t>
        </is>
      </c>
      <c r="L24" t="inlineStr">
        <is>
          <t>NOT DETERMINED — this engine has not been read for its refusal yet.</t>
        </is>
      </c>
      <c r="M24" t="inlineStr">
        <is>
          <t>One figure per person — or per household when two people share one record  [derived by rule — confirm]</t>
        </is>
      </c>
      <c r="N24" t="inlineStr">
        <is>
          <t>As of today, from the latest figures held  [derived by rule — confirm]</t>
        </is>
      </c>
      <c r="O24" t="inlineStr">
        <is>
          <t>READ_A_NUMBER</t>
        </is>
      </c>
      <c r="P24" t="inlineStr"/>
      <c r="Q24" t="inlineStr"/>
      <c r="R24" t="inlineStr">
        <is>
          <t>NOT DETERMINED — no assumption recorded for this figure yet.</t>
        </is>
      </c>
      <c r="S24" t="inlineStr"/>
      <c r="T24" t="inlineStr"/>
      <c r="U24" t="inlineStr"/>
      <c r="V24" t="inlineStr"/>
      <c r="W24" t="inlineStr">
        <is>
          <t>NOT DETERMINED</t>
        </is>
      </c>
      <c r="X24" t="inlineStr">
        <is>
          <t>VERIFIED 2026-08-22</t>
        </is>
      </c>
    </row>
    <row r="25">
      <c r="A25" t="inlineStr">
        <is>
          <t>MK-CF-M-024</t>
        </is>
      </c>
      <c r="B25" t="inlineStr">
        <is>
          <t>Cashflow</t>
        </is>
      </c>
      <c r="C25" t="inlineStr">
        <is>
          <t>/monthly-income</t>
        </is>
      </c>
      <c r="D25" t="inlineStr">
        <is>
          <t>each source of guaranteed income</t>
        </is>
      </c>
      <c r="E25" t="inlineStr">
        <is>
          <t>g.amount</t>
        </is>
      </c>
      <c r="F25" t="inlineStr">
        <is>
          <t>RETIREMENT_INCOME_NOW</t>
        </is>
      </c>
      <c r="G25" t="inlineStr">
        <is>
          <t>MK-PL-E-010</t>
        </is>
      </c>
      <c r="H25" t="inlineStr">
        <is>
          <t>guaranteed income now = Σ(streams already being received)</t>
        </is>
      </c>
      <c r="I25" t="inlineStr">
        <is>
          <t>Zero unless the person said retirement income is one of their current sources; otherwise the same total as above.
The distinction stops a future pension being counted as money arriving now — which would overstate today's income and flatter every current figure built on it.</t>
        </is>
      </c>
      <c r="J25" t="inlineStr">
        <is>
          <t>do they receive it now → incomeSources  [NO INPUT ID — not on the inputs tab] · the amounts → retirementIncomeMonthly  [MK-XS-I-008]</t>
        </is>
      </c>
      <c r="K25" t="inlineStr">
        <is>
          <t>US dollars · held to the cent · shown as whole dollars  [derived by rule — confirm]</t>
        </is>
      </c>
      <c r="L25" t="inlineStr">
        <is>
          <t>Adds up to $0 when there is nothing to add. Zero and "nothing recorded yet" look identical on screen — worth a decision.</t>
        </is>
      </c>
      <c r="M25" t="inlineStr">
        <is>
          <t>One figure per person — or per household when two people share one record  [derived by rule — confirm]</t>
        </is>
      </c>
      <c r="N25" t="inlineStr">
        <is>
          <t>As of today, from the latest figures held  [derived by rule — confirm]</t>
        </is>
      </c>
      <c r="O25" t="inlineStr">
        <is>
          <t>RETIREMENT_INCOME</t>
        </is>
      </c>
      <c r="P25" t="inlineStr"/>
      <c r="Q25" t="inlineStr"/>
      <c r="R25" t="inlineStr">
        <is>
          <t>NOT DETERMINED — no assumption recorded for this figure yet.</t>
        </is>
      </c>
      <c r="S25" t="inlineStr">
        <is>
          <t>THE SAME FIGURE AS MK-CF-M-011 — Guaranteed income being received now. Shown four ways: "You receive $X/mo" on Social Security timing, "incl. Social Security $X/mo" on the cockpit, as a source on Cash flow, and as a list on Monthly income. One figure, four identifiers.</t>
        </is>
      </c>
      <c r="T25" t="inlineStr"/>
      <c r="U25" t="inlineStr"/>
      <c r="V25" t="inlineStr"/>
      <c r="W25" t="inlineStr">
        <is>
          <t>NOT DETERMINED</t>
        </is>
      </c>
      <c r="X25" t="inlineStr">
        <is>
          <t>VERIFIED 2026-08-22</t>
        </is>
      </c>
    </row>
    <row r="26">
      <c r="A26" t="inlineStr">
        <is>
          <t>MK-CF-M-025</t>
        </is>
      </c>
      <c r="B26" t="inlineStr">
        <is>
          <t>Cashflow</t>
        </is>
      </c>
      <c r="C26" t="inlineStr">
        <is>
          <t>/month-detail</t>
        </is>
      </c>
      <c r="D26" t="inlineStr">
        <is>
          <t>what came in and went out that month</t>
        </is>
      </c>
      <c r="E26" t="inlineStr">
        <is>
          <t>cell</t>
        </is>
      </c>
      <c r="F26" t="inlineStr">
        <is>
          <t>the by-month grid</t>
        </is>
      </c>
      <c r="G26" t="inlineStr">
        <is>
          <t>MK-CF-E-013</t>
        </is>
      </c>
      <c r="H26" t="inlineStr">
        <is>
          <t>see the by-month grid</t>
        </is>
      </c>
      <c r="I26" t="inlineStr">
        <is>
          <t>The month-by-month view of money in and money out.</t>
        </is>
      </c>
      <c r="J26" t="inlineStr">
        <is>
          <t>NOT DETERMINED — no input list on record for this engine</t>
        </is>
      </c>
      <c r="K26" t="inlineStr">
        <is>
          <t>US dollars · held to the cent · shown as whole dollars  [derived by rule — confirm]</t>
        </is>
      </c>
      <c r="L26" t="inlineStr">
        <is>
          <t>NOT DETERMINED — this engine has not been read for its refusal yet.</t>
        </is>
      </c>
      <c r="M26" t="inlineStr">
        <is>
          <t>One figure per month  [derived by rule — confirm]</t>
        </is>
      </c>
      <c r="N26" t="inlineStr">
        <is>
          <t>As of today, from the latest figures held  [derived by rule — confirm]</t>
        </is>
      </c>
      <c r="O26" t="inlineStr">
        <is>
          <t>NOT DETERMINED</t>
        </is>
      </c>
      <c r="P26" t="inlineStr"/>
      <c r="Q26" t="inlineStr"/>
      <c r="R26" t="inlineStr">
        <is>
          <t>NOT DETERMINED — no assumption recorded for this figure yet.</t>
        </is>
      </c>
      <c r="S26" t="inlineStr"/>
      <c r="T26" t="inlineStr"/>
      <c r="U26" t="inlineStr"/>
      <c r="V26" t="inlineStr"/>
      <c r="W26" t="inlineStr">
        <is>
          <t>NOT DETERMINED</t>
        </is>
      </c>
      <c r="X26" t="inlineStr">
        <is>
          <t>VERIFIED 2026-08-22</t>
        </is>
      </c>
    </row>
    <row r="27">
      <c r="A27" t="inlineStr">
        <is>
          <t>MK-CF-M-026</t>
        </is>
      </c>
      <c r="B27" t="inlineStr">
        <is>
          <t>Cashflow</t>
        </is>
      </c>
      <c r="C27" t="inlineStr">
        <is>
          <t>/paycheck-months</t>
        </is>
      </c>
      <c r="D27" t="inlineStr">
        <is>
          <t>the months a paycheck lands</t>
        </is>
      </c>
      <c r="E27" t="inlineStr">
        <is>
          <t>payYear</t>
        </is>
      </c>
      <c r="F27" t="inlineStr">
        <is>
          <t>RETIREMENT_PAYCHECK</t>
        </is>
      </c>
      <c r="G27" t="inlineStr">
        <is>
          <t>MK-CF-E-014</t>
        </is>
      </c>
      <c r="H27" t="inlineStr">
        <is>
          <t>paycheck a month = guaranteed income + the draw from savings</t>
        </is>
      </c>
      <c r="I27" t="inlineStr">
        <is>
          <t>Builds the monthly paycheck in retirement: what is guaranteed that month, plus what can be drawn from savings without breaking the plan.</t>
        </is>
      </c>
      <c r="J27" t="inlineStr">
        <is>
          <t>NOT DETERMINED — no input list on record for this engine</t>
        </is>
      </c>
      <c r="K27" t="inlineStr">
        <is>
          <t>Months · one decimal  [derived by rule — confirm]</t>
        </is>
      </c>
      <c r="L27" t="inlineStr">
        <is>
          <t>NOT DETERMINED — this engine has not been read for its refusal yet.</t>
        </is>
      </c>
      <c r="M27" t="inlineStr">
        <is>
          <t>One figure per month  [derived by rule — confirm]</t>
        </is>
      </c>
      <c r="N27" t="inlineStr">
        <is>
          <t>As of today, from the latest figures held  [derived by rule — confirm]</t>
        </is>
      </c>
      <c r="O27" t="inlineStr">
        <is>
          <t>NOT DETERMINED</t>
        </is>
      </c>
      <c r="P27" t="inlineStr"/>
      <c r="Q27" t="inlineStr"/>
      <c r="R27" t="inlineStr">
        <is>
          <t>[Founder] Withdrawals, including required ones, are NOT counted as guaranteed income — counting money coming out of the pot as income would count the same dollars twice (fix B5).</t>
        </is>
      </c>
      <c r="S27" t="inlineStr"/>
      <c r="T27" t="inlineStr">
        <is>
          <t>Q30 — The draw from savings is shown as one figure a month. Should it hold steady in today's dollars, or rise with inflation each year?</t>
        </is>
      </c>
      <c r="U27" t="inlineStr"/>
      <c r="V27" t="inlineStr"/>
      <c r="W27" t="inlineStr">
        <is>
          <t>NOT DETERMINED</t>
        </is>
      </c>
      <c r="X27" t="inlineStr">
        <is>
          <t>VERIFIED 2026-08-22</t>
        </is>
      </c>
    </row>
    <row r="28">
      <c r="A28" t="inlineStr">
        <is>
          <t>MK-CF-M-027</t>
        </is>
      </c>
      <c r="B28" t="inlineStr">
        <is>
          <t>Cashflow</t>
        </is>
      </c>
      <c r="C28" t="inlineStr">
        <is>
          <t>/income-manager</t>
        </is>
      </c>
      <c r="D28" t="inlineStr">
        <is>
          <t>each income source and its amount</t>
        </is>
      </c>
      <c r="E28" t="inlineStr">
        <is>
          <t>sources</t>
        </is>
      </c>
      <c r="F28" t="inlineStr">
        <is>
          <t>TOTAL_INCOME</t>
        </is>
      </c>
      <c r="G28" t="inlineStr">
        <is>
          <t>MK-CF-E-002</t>
        </is>
      </c>
      <c r="H28" t="inlineStr">
        <is>
          <t>gross a year = salary + self-employment + bonus + equity vesting + rental + other;  net a month = (gross − tax withheld − pre-tax contributions) ÷ 12</t>
        </is>
      </c>
      <c r="I28" t="inlineStr">
        <is>
          <t>Salary + tips + bonus + a signing amount + vesting equity + net rental income + other income (recurring and one-off, taxable and not) + retirement income currently being received.
This is the figure every tax calculation and every savings-capacity figure is built on, which is why each part above has its own row.</t>
        </is>
      </c>
      <c r="J28" t="inlineStr">
        <is>
          <t>each part → its own engine above  [NO INPUT ID — not on the inputs tab]</t>
        </is>
      </c>
      <c r="K28" t="inlineStr">
        <is>
          <t>US dollars · held to the cent · shown as whole dollars  [derived by rule — confirm]</t>
        </is>
      </c>
      <c r="L28" t="inlineStr">
        <is>
          <t>A division: with nothing on the bottom there is no answer, and the line must not appear as zero. NOT YET CONFIRMED against the engine.</t>
        </is>
      </c>
      <c r="M28" t="inlineStr">
        <is>
          <t>One figure per person — or per household when two people share one record  [derived by rule — confirm]</t>
        </is>
      </c>
      <c r="N28" t="inlineStr">
        <is>
          <t>As of today, from the latest figures held  [derived by rule — confirm]</t>
        </is>
      </c>
      <c r="O28" t="inlineStr">
        <is>
          <t>EQUITY_THIS_YEAR · OTHER_INCOME · READ_A_NUMBER · RENTAL_INCOME_A_YEAR · RETIREMENT_INCOME_NOW · SALARY_A_YEAR · TIPS_A_YEAR</t>
        </is>
      </c>
      <c r="P28" t="inlineStr"/>
      <c r="Q28" t="inlineStr"/>
      <c r="R28" t="inlineStr">
        <is>
          <t>NOT DETERMINED — no assumption recorded for this figure yet.</t>
        </is>
      </c>
      <c r="S28" t="inlineStr"/>
      <c r="T28" t="inlineStr"/>
      <c r="U28" t="inlineStr"/>
      <c r="V28" t="inlineStr"/>
      <c r="W28" t="inlineStr">
        <is>
          <t>NOT DETERMINED</t>
        </is>
      </c>
      <c r="X28" t="inlineStr">
        <is>
          <t>VERIFIED 2026-08-22</t>
        </is>
      </c>
    </row>
    <row r="29">
      <c r="A29" t="inlineStr">
        <is>
          <t>MK-CF-M-028</t>
        </is>
      </c>
      <c r="B29" t="inlineStr">
        <is>
          <t>Cashflow</t>
        </is>
      </c>
      <c r="C29" t="inlineStr">
        <is>
          <t>/bill-calendar</t>
        </is>
      </c>
      <c r="D29" t="inlineStr">
        <is>
          <t>each bill and the day it falls</t>
        </is>
      </c>
      <c r="E29" t="inlineStr">
        <is>
          <t>bills</t>
        </is>
      </c>
      <c r="F29" t="inlineStr">
        <is>
          <t>THE_BILL_CALENDAR</t>
        </is>
      </c>
      <c r="G29" t="inlineStr">
        <is>
          <t>MK-CF-E-015</t>
        </is>
      </c>
      <c r="H29" t="inlineStr">
        <is>
          <t>each bill falls on its stated day;  the month’s bills = Σ(amounts due in that month)</t>
        </is>
      </c>
      <c r="I29" t="inlineStr">
        <is>
          <t>Places each recurring bill on the day of the month it falls, so the shape of the month can be seen.</t>
        </is>
      </c>
      <c r="J29" t="inlineStr">
        <is>
          <t>NOT DETERMINED — no input list on record for this engine</t>
        </is>
      </c>
      <c r="K29" t="inlineStr">
        <is>
          <t>US dollars · held to the cent · shown as whole dollars  [derived by rule — confirm]</t>
        </is>
      </c>
      <c r="L29" t="inlineStr">
        <is>
          <t>Adds up to $0 when there is nothing to add. Zero and "nothing recorded yet" look identical on screen — worth a decision.</t>
        </is>
      </c>
      <c r="M29" t="inlineStr">
        <is>
          <t>One figure per person — or per household when two people share one record  [derived by rule — confirm]</t>
        </is>
      </c>
      <c r="N29" t="inlineStr">
        <is>
          <t>As of today, from the latest figures held  [derived by rule — confirm]</t>
        </is>
      </c>
      <c r="O29" t="inlineStr">
        <is>
          <t>NOT DETERMINED</t>
        </is>
      </c>
      <c r="P29" t="inlineStr"/>
      <c r="Q29" t="inlineStr"/>
      <c r="R29" t="inlineStr">
        <is>
          <t>NOT DETERMINED — no assumption recorded for this figure yet.</t>
        </is>
      </c>
      <c r="S29" t="inlineStr"/>
      <c r="T29" t="inlineStr"/>
      <c r="U29" t="inlineStr"/>
      <c r="V29" t="inlineStr"/>
      <c r="W29" t="inlineStr">
        <is>
          <t>NOT DETERMINED</t>
        </is>
      </c>
      <c r="X29" t="inlineStr">
        <is>
          <t>VERIFIED 2026-08-22</t>
        </is>
      </c>
    </row>
    <row r="30">
      <c r="A30" t="inlineStr"/>
      <c r="B30" t="inlineStr">
        <is>
          <t>Cashflow</t>
        </is>
      </c>
      <c r="C30" t="inlineStr">
        <is>
          <t>/add-account</t>
        </is>
      </c>
      <c r="D30" t="inlineStr">
        <is>
          <t>—</t>
        </is>
      </c>
      <c r="E30" t="inlineStr">
        <is>
          <t>—</t>
        </is>
      </c>
      <c r="F30" t="inlineStr">
        <is>
          <t>—</t>
        </is>
      </c>
      <c r="G30" t="inlineStr"/>
      <c r="H30" t="inlineStr"/>
      <c r="I30" t="inlineStr"/>
      <c r="J30" t="inlineStr"/>
      <c r="K30" t="inlineStr"/>
      <c r="L30" t="inlineStr"/>
      <c r="M30" t="inlineStr"/>
      <c r="N30" t="inlineStr"/>
      <c r="O30" t="inlineStr"/>
      <c r="P30" t="inlineStr"/>
      <c r="Q30" t="inlineStr"/>
      <c r="R30" t="inlineStr"/>
      <c r="S30" t="inlineStr"/>
      <c r="T30" t="inlineStr"/>
      <c r="U30" t="inlineStr"/>
      <c r="V30" t="inlineStr">
        <is>
          <t>NOT DETERMINED</t>
        </is>
      </c>
      <c r="W30" t="inlineStr">
        <is>
          <t>READ 2026-08-22 — no calculated figure on this screen</t>
        </is>
      </c>
    </row>
    <row r="31">
      <c r="A31" t="inlineStr"/>
      <c r="B31" t="inlineStr">
        <is>
          <t>Cashflow</t>
        </is>
      </c>
      <c r="C31" t="inlineStr">
        <is>
          <t>/connect</t>
        </is>
      </c>
      <c r="D31" t="inlineStr">
        <is>
          <t>—</t>
        </is>
      </c>
      <c r="E31" t="inlineStr">
        <is>
          <t>—</t>
        </is>
      </c>
      <c r="F31" t="inlineStr">
        <is>
          <t>—</t>
        </is>
      </c>
      <c r="G31" t="inlineStr"/>
      <c r="H31" t="inlineStr"/>
      <c r="I31" t="inlineStr"/>
      <c r="J31" t="inlineStr"/>
      <c r="K31" t="inlineStr"/>
      <c r="L31" t="inlineStr"/>
      <c r="M31" t="inlineStr"/>
      <c r="N31" t="inlineStr"/>
      <c r="O31" t="inlineStr"/>
      <c r="P31" t="inlineStr"/>
      <c r="Q31" t="inlineStr"/>
      <c r="R31" t="inlineStr"/>
      <c r="S31" t="inlineStr"/>
      <c r="T31" t="inlineStr"/>
      <c r="U31" t="inlineStr"/>
      <c r="V31" t="inlineStr">
        <is>
          <t>NOT DETERMINED</t>
        </is>
      </c>
      <c r="W31" t="inlineStr">
        <is>
          <t>READ 2026-08-22 — no calculated figure on this screen</t>
        </is>
      </c>
    </row>
    <row r="32">
      <c r="A32" t="inlineStr"/>
      <c r="B32" t="inlineStr">
        <is>
          <t>Cashflow</t>
        </is>
      </c>
      <c r="C32" t="inlineStr">
        <is>
          <t>/import-holdings</t>
        </is>
      </c>
      <c r="D32" t="inlineStr">
        <is>
          <t>—</t>
        </is>
      </c>
      <c r="E32" t="inlineStr">
        <is>
          <t>—</t>
        </is>
      </c>
      <c r="F32" t="inlineStr">
        <is>
          <t>—</t>
        </is>
      </c>
      <c r="G32" t="inlineStr"/>
      <c r="H32" t="inlineStr"/>
      <c r="I32" t="inlineStr"/>
      <c r="J32" t="inlineStr"/>
      <c r="K32" t="inlineStr"/>
      <c r="L32" t="inlineStr"/>
      <c r="M32" t="inlineStr"/>
      <c r="N32" t="inlineStr"/>
      <c r="O32" t="inlineStr"/>
      <c r="P32" t="inlineStr"/>
      <c r="Q32" t="inlineStr"/>
      <c r="R32" t="inlineStr"/>
      <c r="S32" t="inlineStr"/>
      <c r="T32" t="inlineStr"/>
      <c r="U32" t="inlineStr"/>
      <c r="V32" t="inlineStr">
        <is>
          <t>NOT DETERMINED</t>
        </is>
      </c>
      <c r="W32" t="inlineStr">
        <is>
          <t>READ 2026-08-22 — no calculated figure on this screen</t>
        </is>
      </c>
    </row>
    <row r="33">
      <c r="A33" t="inlineStr"/>
      <c r="B33" t="inlineStr">
        <is>
          <t>Cashflow</t>
        </is>
      </c>
      <c r="C33" t="inlineStr">
        <is>
          <t>/onboarding</t>
        </is>
      </c>
      <c r="D33" t="inlineStr">
        <is>
          <t>—</t>
        </is>
      </c>
      <c r="E33" t="inlineStr">
        <is>
          <t>—</t>
        </is>
      </c>
      <c r="F33" t="inlineStr">
        <is>
          <t>—</t>
        </is>
      </c>
      <c r="G33" t="inlineStr"/>
      <c r="H33" t="inlineStr"/>
      <c r="I33" t="inlineStr"/>
      <c r="J33" t="inlineStr"/>
      <c r="K33" t="inlineStr"/>
      <c r="L33" t="inlineStr"/>
      <c r="M33" t="inlineStr"/>
      <c r="N33" t="inlineStr"/>
      <c r="O33" t="inlineStr"/>
      <c r="P33" t="inlineStr"/>
      <c r="Q33" t="inlineStr"/>
      <c r="R33" t="inlineStr"/>
      <c r="S33" t="inlineStr"/>
      <c r="T33" t="inlineStr"/>
      <c r="U33" t="inlineStr"/>
      <c r="V33" t="inlineStr">
        <is>
          <t>NOT DETERMINED</t>
        </is>
      </c>
      <c r="W33" t="inlineStr">
        <is>
          <t>READ 2026-08-22 — no calculated figure on this screen</t>
        </is>
      </c>
    </row>
    <row r="34">
      <c r="A34" t="inlineStr"/>
      <c r="B34" t="inlineStr">
        <is>
          <t>Cashflow</t>
        </is>
      </c>
      <c r="C34" t="inlineStr">
        <is>
          <t>/performance</t>
        </is>
      </c>
      <c r="D34" t="inlineStr">
        <is>
          <t>—</t>
        </is>
      </c>
      <c r="E34" t="inlineStr">
        <is>
          <t>—</t>
        </is>
      </c>
      <c r="F34" t="inlineStr">
        <is>
          <t>—</t>
        </is>
      </c>
      <c r="G34" t="inlineStr"/>
      <c r="H34" t="inlineStr"/>
      <c r="I34" t="inlineStr"/>
      <c r="J34" t="inlineStr"/>
      <c r="K34" t="inlineStr"/>
      <c r="L34" t="inlineStr"/>
      <c r="M34" t="inlineStr"/>
      <c r="N34" t="inlineStr"/>
      <c r="O34" t="inlineStr"/>
      <c r="P34" t="inlineStr"/>
      <c r="Q34" t="inlineStr"/>
      <c r="R34" t="inlineStr"/>
      <c r="S34" t="inlineStr"/>
      <c r="T34" t="inlineStr"/>
      <c r="U34" t="inlineStr"/>
      <c r="V34" t="inlineStr">
        <is>
          <t>NOT DETERMINED</t>
        </is>
      </c>
      <c r="W34" t="inlineStr">
        <is>
          <t>READ 2026-08-22 — the same screen as /invest, reached by a second route</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X38"/>
  <sheetViews>
    <sheetView workbookViewId="0">
      <pane ySplit="1" topLeftCell="A2" activePane="bottomLeft" state="frozen"/>
      <selection pane="bottomLeft" activeCell="A1" sqref="A1"/>
    </sheetView>
  </sheetViews>
  <sheetFormatPr baseColWidth="8" defaultRowHeight="15"/>
  <cols>
    <col width="17" customWidth="1" min="1" max="1"/>
    <col width="26" customWidth="1" min="2" max="2"/>
    <col width="29" customWidth="1" min="3" max="3"/>
    <col width="22" customWidth="1" min="4" max="4"/>
    <col width="33" customWidth="1" min="5" max="5"/>
    <col width="33" customWidth="1" min="6" max="6"/>
    <col width="17" customWidth="1" min="7" max="7"/>
    <col width="30" customWidth="1" min="8" max="8"/>
    <col width="26" customWidth="1" min="9" max="9"/>
    <col width="23" customWidth="1" min="10" max="10"/>
    <col width="42" customWidth="1" min="11" max="11"/>
    <col width="42" customWidth="1" min="12" max="12"/>
    <col width="35" customWidth="1" min="13" max="13"/>
    <col width="42" customWidth="1" min="14" max="14"/>
    <col width="29" customWidth="1" min="15" max="15"/>
    <col width="42" customWidth="1" min="16" max="16"/>
    <col width="37" customWidth="1" min="17" max="17"/>
    <col width="22" customWidth="1" min="18" max="18"/>
    <col width="28" customWidth="1" min="19" max="19"/>
    <col width="36" customWidth="1" min="20" max="20"/>
    <col width="41" customWidth="1" min="21" max="21"/>
    <col width="41" customWidth="1" min="22" max="22"/>
    <col width="20" customWidth="1" min="23" max="23"/>
    <col width="18" customWidth="1" min="24" max="24"/>
  </cols>
  <sheetData>
    <row r="1">
      <c r="A1" s="1" t="inlineStr">
        <is>
          <t>Metric ID</t>
        </is>
      </c>
      <c r="B1" s="1" t="inlineStr">
        <is>
          <t>Parent Screen Name</t>
        </is>
      </c>
      <c r="C1" s="1" t="inlineStr">
        <is>
          <t>Secondary Screen Name</t>
        </is>
      </c>
      <c r="D1" s="1" t="inlineStr">
        <is>
          <t>Name on Screen</t>
        </is>
      </c>
      <c r="E1" s="1" t="inlineStr">
        <is>
          <t>Name of Underlying Metric</t>
        </is>
      </c>
      <c r="F1" s="1" t="inlineStr">
        <is>
          <t>Name of Underlying Engine</t>
        </is>
      </c>
      <c r="G1" s="1" t="inlineStr">
        <is>
          <t>Engine ID</t>
        </is>
      </c>
      <c r="H1" s="1" t="inlineStr">
        <is>
          <t>Formula (mathematical)</t>
        </is>
      </c>
      <c r="I1" s="1" t="inlineStr">
        <is>
          <t>Formula (in words)</t>
        </is>
      </c>
      <c r="J1" s="1" t="inlineStr">
        <is>
          <t>Inputs it needs</t>
        </is>
      </c>
      <c r="K1" s="1" t="inlineStr">
        <is>
          <t>What comes out — unit and rounding</t>
        </is>
      </c>
      <c r="L1" s="1" t="inlineStr">
        <is>
          <t>What it says when it cannot be computed</t>
        </is>
      </c>
      <c r="M1" s="1" t="inlineStr">
        <is>
          <t>Grain — one figure per what</t>
        </is>
      </c>
      <c r="N1" s="1" t="inlineStr">
        <is>
          <t>Period — as of when, over what window</t>
        </is>
      </c>
      <c r="O1" s="1" t="inlineStr">
        <is>
          <t>Engines it depends on</t>
        </is>
      </c>
      <c r="P1" s="1" t="inlineStr">
        <is>
          <t>Secondary calculations and decisions the engine makes</t>
        </is>
      </c>
      <c r="Q1" s="1" t="inlineStr">
        <is>
          <t>Errors or findings to address</t>
        </is>
      </c>
      <c r="R1" s="1" t="inlineStr">
        <is>
          <t>Decisions made</t>
        </is>
      </c>
      <c r="S1" s="1" t="inlineStr">
        <is>
          <t>Same figure as (S16)</t>
        </is>
      </c>
      <c r="T1" s="1" t="inlineStr">
        <is>
          <t>Questions for you (numbered)</t>
        </is>
      </c>
      <c r="U1" s="1" t="inlineStr">
        <is>
          <t>YOUR ANSWER — use the same number</t>
        </is>
      </c>
      <c r="V1" s="1" t="inlineStr">
        <is>
          <t>Your name for it (72-metric file)</t>
        </is>
      </c>
      <c r="W1" s="1" t="inlineStr">
        <is>
          <t>Core screen?</t>
        </is>
      </c>
      <c r="X1" s="1" t="inlineStr">
        <is>
          <t>Row status</t>
        </is>
      </c>
    </row>
    <row r="2">
      <c r="A2" t="inlineStr">
        <is>
          <t>MK-MN-M-001</t>
        </is>
      </c>
      <c r="B2" t="inlineStr">
        <is>
          <t>Menu</t>
        </is>
      </c>
      <c r="C2" t="inlineStr">
        <is>
          <t>/big-costs</t>
        </is>
      </c>
      <c r="D2" t="inlineStr">
        <is>
          <t>each big cost and its year</t>
        </is>
      </c>
      <c r="E2" t="inlineStr">
        <is>
          <t>c.amount</t>
        </is>
      </c>
      <c r="F2" t="inlineStr">
        <is>
          <t>BIG_COSTS</t>
        </is>
      </c>
      <c r="G2" t="inlineStr">
        <is>
          <t>MK-MN-E-001</t>
        </is>
      </c>
      <c r="H2" t="inlineStr">
        <is>
          <t>total = Σ(each big cost);  each one lands in the year it is dated</t>
        </is>
      </c>
      <c r="I2" t="inlineStr">
        <is>
          <t>Adds up the one-off costs the person has told us about, each sitting in the year it is expected.</t>
        </is>
      </c>
      <c r="J2" t="inlineStr">
        <is>
          <t>NOT DETERMINED — no input list on record for this engine</t>
        </is>
      </c>
      <c r="K2" t="inlineStr">
        <is>
          <t>US dollars · held to the cent · shown as whole dollars  [derived by rule — confirm]</t>
        </is>
      </c>
      <c r="L2" t="inlineStr">
        <is>
          <t>Adds up to $0 when there is nothing to add. Zero and "nothing recorded yet" look identical on screen — worth a decision.</t>
        </is>
      </c>
      <c r="M2" t="inlineStr">
        <is>
          <t>One figure per person — or per household when two people share one record  [derived by rule — confirm]</t>
        </is>
      </c>
      <c r="N2" t="inlineStr">
        <is>
          <t>This calendar year, to today  [derived by rule — confirm]</t>
        </is>
      </c>
      <c r="O2" t="inlineStr">
        <is>
          <t>NOT DETERMINED</t>
        </is>
      </c>
      <c r="P2" t="inlineStr"/>
      <c r="Q2" t="inlineStr"/>
      <c r="R2" t="inlineStr">
        <is>
          <t>NOT DETERMINED — no assumption recorded for this figure yet.</t>
        </is>
      </c>
      <c r="S2" t="inlineStr"/>
      <c r="T2" t="inlineStr"/>
      <c r="U2" t="inlineStr"/>
      <c r="V2" t="inlineStr"/>
      <c r="W2" t="inlineStr">
        <is>
          <t>NOT DETERMINED</t>
        </is>
      </c>
      <c r="X2" t="inlineStr">
        <is>
          <t>VERIFIED 2026-08-22</t>
        </is>
      </c>
    </row>
    <row r="3">
      <c r="A3" t="inlineStr">
        <is>
          <t>MK-MN-M-002</t>
        </is>
      </c>
      <c r="B3" t="inlineStr">
        <is>
          <t>Menu</t>
        </is>
      </c>
      <c r="C3" t="inlineStr">
        <is>
          <t>/big-costs</t>
        </is>
      </c>
      <c r="D3" t="inlineStr">
        <is>
          <t>the total of your big costs</t>
        </is>
      </c>
      <c r="E3" t="inlineStr">
        <is>
          <t>total</t>
        </is>
      </c>
      <c r="F3" t="inlineStr">
        <is>
          <t>BIG_COSTS</t>
        </is>
      </c>
      <c r="G3" t="inlineStr">
        <is>
          <t>MK-MN-E-001</t>
        </is>
      </c>
      <c r="H3" t="inlineStr">
        <is>
          <t>total = Σ(each big cost);  each one lands in the year it is dated</t>
        </is>
      </c>
      <c r="I3" t="inlineStr">
        <is>
          <t>Adds up the one-off costs the person has told us about, each sitting in the year it is expected.</t>
        </is>
      </c>
      <c r="J3" t="inlineStr">
        <is>
          <t>NOT DETERMINED — no input list on record for this engine</t>
        </is>
      </c>
      <c r="K3" t="inlineStr">
        <is>
          <t>US dollars · held to the cent · shown as whole dollars  [derived by rule — confirm]</t>
        </is>
      </c>
      <c r="L3" t="inlineStr">
        <is>
          <t>Adds up to $0 when there is nothing to add. Zero and "nothing recorded yet" look identical on screen — worth a decision.</t>
        </is>
      </c>
      <c r="M3" t="inlineStr">
        <is>
          <t>One figure per person — or per household when two people share one record  [derived by rule — confirm]</t>
        </is>
      </c>
      <c r="N3" t="inlineStr">
        <is>
          <t>As of today, from the latest figures held  [derived by rule — confirm]</t>
        </is>
      </c>
      <c r="O3" t="inlineStr">
        <is>
          <t>NOT DETERMINED</t>
        </is>
      </c>
      <c r="P3" t="inlineStr"/>
      <c r="Q3" t="inlineStr"/>
      <c r="R3" t="inlineStr">
        <is>
          <t>NOT DETERMINED — no assumption recorded for this figure yet.</t>
        </is>
      </c>
      <c r="S3" t="inlineStr"/>
      <c r="T3" t="inlineStr"/>
      <c r="U3" t="inlineStr"/>
      <c r="V3" t="inlineStr"/>
      <c r="W3" t="inlineStr">
        <is>
          <t>NOT DETERMINED</t>
        </is>
      </c>
      <c r="X3" t="inlineStr">
        <is>
          <t>VERIFIED 2026-08-22</t>
        </is>
      </c>
    </row>
    <row r="4">
      <c r="A4" t="inlineStr">
        <is>
          <t>MK-MN-M-003</t>
        </is>
      </c>
      <c r="B4" t="inlineStr">
        <is>
          <t>Menu</t>
        </is>
      </c>
      <c r="C4" t="inlineStr">
        <is>
          <t>/contribution-room</t>
        </is>
      </c>
      <c r="D4" t="inlineStr">
        <is>
          <t>$X left / up to $Y</t>
        </is>
      </c>
      <c r="E4" t="inlineStr">
        <is>
          <t>room / limit</t>
        </is>
      </c>
      <c r="F4" t="inlineStr">
        <is>
          <t>CONTRIBUTION_ROOM</t>
        </is>
      </c>
      <c r="G4" t="inlineStr">
        <is>
          <t>MK-MN-E-002</t>
        </is>
      </c>
      <c r="H4" t="inlineStr">
        <is>
          <t>room left = the year’s limit − what has already gone in;  per month = room left ÷ months left in the year</t>
        </is>
      </c>
      <c r="I4" t="inlineStr">
        <is>
          <t>Takes the year's legal limit for the account, subtracts what has already gone in, and divides what is left by the months remaining.</t>
        </is>
      </c>
      <c r="J4" t="inlineStr">
        <is>
          <t>NOT DETERMINED — no input list on record for this engine</t>
        </is>
      </c>
      <c r="K4" t="inlineStr">
        <is>
          <t>US dollars · held to the cent · shown as whole dollars  [derived by rule — confirm]</t>
        </is>
      </c>
      <c r="L4" t="inlineStr">
        <is>
          <t>A division: with nothing on the bottom there is no answer, and the line must not appear as zero. NOT YET CONFIRMED against the engine.</t>
        </is>
      </c>
      <c r="M4" t="inlineStr">
        <is>
          <t>One figure per person — or per household when two people share one record  [derived by rule — confirm]</t>
        </is>
      </c>
      <c r="N4" t="inlineStr">
        <is>
          <t>As of today, from the latest figures held  [derived by rule — confirm]</t>
        </is>
      </c>
      <c r="O4" t="inlineStr">
        <is>
          <t>NOT DETERMINED</t>
        </is>
      </c>
      <c r="P4" t="inlineStr"/>
      <c r="Q4" t="inlineStr"/>
      <c r="R4" t="inlineStr">
        <is>
          <t>NOT DETERMINED — no assumption recorded for this figure yet.</t>
        </is>
      </c>
      <c r="S4" t="inlineStr"/>
      <c r="T4" t="inlineStr"/>
      <c r="U4" t="inlineStr"/>
      <c r="V4" t="inlineStr"/>
      <c r="W4" t="inlineStr">
        <is>
          <t>NOT DETERMINED</t>
        </is>
      </c>
      <c r="X4" t="inlineStr">
        <is>
          <t>VERIFIED 2026-08-22</t>
        </is>
      </c>
    </row>
    <row r="5">
      <c r="A5" t="inlineStr">
        <is>
          <t>MK-MN-M-004</t>
        </is>
      </c>
      <c r="B5" t="inlineStr">
        <is>
          <t>Menu</t>
        </is>
      </c>
      <c r="C5" t="inlineStr">
        <is>
          <t>/contribution-room</t>
        </is>
      </c>
      <c r="D5" t="inlineStr">
        <is>
          <t>about $X of the $Y limit</t>
        </is>
      </c>
      <c r="E5" t="inlineStr">
        <is>
          <t>used / limit</t>
        </is>
      </c>
      <c r="F5" t="inlineStr">
        <is>
          <t>CONTRIBUTION_ROOM</t>
        </is>
      </c>
      <c r="G5" t="inlineStr">
        <is>
          <t>MK-MN-E-002</t>
        </is>
      </c>
      <c r="H5" t="inlineStr">
        <is>
          <t>room left = the year’s limit − what has already gone in;  per month = room left ÷ months left in the year</t>
        </is>
      </c>
      <c r="I5" t="inlineStr">
        <is>
          <t>Takes the year's legal limit for the account, subtracts what has already gone in, and divides what is left by the months remaining.</t>
        </is>
      </c>
      <c r="J5" t="inlineStr">
        <is>
          <t>NOT DETERMINED — no input list on record for this engine</t>
        </is>
      </c>
      <c r="K5" t="inlineStr">
        <is>
          <t>US dollars · held to the cent · shown as whole dollars  [derived by rule — confirm]</t>
        </is>
      </c>
      <c r="L5" t="inlineStr">
        <is>
          <t>A division: with nothing on the bottom there is no answer, and the line must not appear as zero. NOT YET CONFIRMED against the engine.</t>
        </is>
      </c>
      <c r="M5" t="inlineStr">
        <is>
          <t>One figure per person — or per household when two people share one record  [derived by rule — confirm]</t>
        </is>
      </c>
      <c r="N5" t="inlineStr">
        <is>
          <t>As of today, from the latest figures held  [derived by rule — confirm]</t>
        </is>
      </c>
      <c r="O5" t="inlineStr">
        <is>
          <t>NOT DETERMINED</t>
        </is>
      </c>
      <c r="P5" t="inlineStr"/>
      <c r="Q5" t="inlineStr"/>
      <c r="R5" t="inlineStr">
        <is>
          <t>NOT DETERMINED — no assumption recorded for this figure yet.</t>
        </is>
      </c>
      <c r="S5" t="inlineStr"/>
      <c r="T5" t="inlineStr"/>
      <c r="U5" t="inlineStr"/>
      <c r="V5" t="inlineStr"/>
      <c r="W5" t="inlineStr">
        <is>
          <t>NOT DETERMINED</t>
        </is>
      </c>
      <c r="X5" t="inlineStr">
        <is>
          <t>VERIFIED 2026-08-22</t>
        </is>
      </c>
    </row>
    <row r="6">
      <c r="A6" t="inlineStr">
        <is>
          <t>MK-MN-M-005</t>
        </is>
      </c>
      <c r="B6" t="inlineStr">
        <is>
          <t>Menu</t>
        </is>
      </c>
      <c r="C6" t="inlineStr">
        <is>
          <t>/contribution-room</t>
        </is>
      </c>
      <c r="D6" t="inlineStr">
        <is>
          <t>about $X/mo for the rest of the year</t>
        </is>
      </c>
      <c r="E6" t="inlineStr">
        <is>
          <t>perMonth</t>
        </is>
      </c>
      <c r="F6" t="inlineStr">
        <is>
          <t>worked out on the screen: room left ÷ months left</t>
        </is>
      </c>
      <c r="G6" t="inlineStr"/>
      <c r="H6" t="inlineStr">
        <is>
          <t>per month = room left ÷ months left in the year</t>
        </is>
      </c>
      <c r="I6" t="inlineStr">
        <is>
          <t>Worked out on the screen itself, with no engine behind it — a place a second definition can appear.</t>
        </is>
      </c>
      <c r="J6" t="inlineStr">
        <is>
          <t>NOT DETERMINED — no input list on record for this engine</t>
        </is>
      </c>
      <c r="K6" t="inlineStr">
        <is>
          <t>US dollars · held to the cent · shown as whole dollars  [derived by rule — confirm]</t>
        </is>
      </c>
      <c r="L6" t="inlineStr">
        <is>
          <t>Inherits the refusal of the figures it is built from: if either side is missing, this line is not shown.</t>
        </is>
      </c>
      <c r="M6" t="inlineStr">
        <is>
          <t>One figure per person — or per household when two people share one record  [derived by rule — confirm]</t>
        </is>
      </c>
      <c r="N6" t="inlineStr">
        <is>
          <t>This calendar year, to today  [derived by rule — confirm]</t>
        </is>
      </c>
      <c r="O6" t="inlineStr">
        <is>
          <t>NOT DETERMINED</t>
        </is>
      </c>
      <c r="P6" t="inlineStr"/>
      <c r="Q6" t="inlineStr"/>
      <c r="R6" t="inlineStr">
        <is>
          <t>NOT DETERMINED — no assumption recorded for this figure yet.</t>
        </is>
      </c>
      <c r="S6" t="inlineStr"/>
      <c r="T6" t="inlineStr"/>
      <c r="U6" t="inlineStr"/>
      <c r="V6" t="inlineStr"/>
      <c r="W6" t="inlineStr">
        <is>
          <t>NOT DETERMINED</t>
        </is>
      </c>
      <c r="X6" t="inlineStr">
        <is>
          <t>VERIFIED 2026-08-22</t>
        </is>
      </c>
    </row>
    <row r="7">
      <c r="A7" t="inlineStr">
        <is>
          <t>MK-MN-M-006</t>
        </is>
      </c>
      <c r="B7" t="inlineStr">
        <is>
          <t>Menu</t>
        </is>
      </c>
      <c r="C7" t="inlineStr">
        <is>
          <t>/credit</t>
        </is>
      </c>
      <c r="D7" t="inlineStr">
        <is>
          <t>$X of $Y used — the line marks 30%</t>
        </is>
      </c>
      <c r="E7" t="inlineStr">
        <is>
          <t>bal / lim</t>
        </is>
      </c>
      <c r="F7" t="inlineStr">
        <is>
          <t>CREDIT_USE</t>
        </is>
      </c>
      <c r="G7" t="inlineStr">
        <is>
          <t>MK-MN-E-003</t>
        </is>
      </c>
      <c r="H7" t="inlineStr">
        <is>
          <t>use = balance ÷ credit limit</t>
        </is>
      </c>
      <c r="I7" t="inlineStr">
        <is>
          <t>The balance on the card against its limit — the share of the line being used.</t>
        </is>
      </c>
      <c r="J7" t="inlineStr">
        <is>
          <t>NOT DETERMINED — no input list on record for this engine</t>
        </is>
      </c>
      <c r="K7" t="inlineStr">
        <is>
          <t>Percent · one decimal shown  [derived by rule — confirm]</t>
        </is>
      </c>
      <c r="L7" t="inlineStr">
        <is>
          <t>A division: with nothing on the bottom there is no answer, and the line must not appear as zero. NOT YET CONFIRMED against the engine.</t>
        </is>
      </c>
      <c r="M7" t="inlineStr">
        <is>
          <t>One figure per person — or per household when two people share one record  [derived by rule — confirm]</t>
        </is>
      </c>
      <c r="N7" t="inlineStr">
        <is>
          <t>As of today, from the latest figures held  [derived by rule — confirm]</t>
        </is>
      </c>
      <c r="O7" t="inlineStr">
        <is>
          <t>NOT DETERMINED</t>
        </is>
      </c>
      <c r="P7" t="inlineStr"/>
      <c r="Q7" t="inlineStr"/>
      <c r="R7" t="inlineStr">
        <is>
          <t>NOT DETERMINED — no assumption recorded for this figure yet.</t>
        </is>
      </c>
      <c r="S7" t="inlineStr"/>
      <c r="T7" t="inlineStr"/>
      <c r="U7" t="inlineStr"/>
      <c r="V7" t="inlineStr"/>
      <c r="W7" t="inlineStr">
        <is>
          <t>NOT DETERMINED</t>
        </is>
      </c>
      <c r="X7" t="inlineStr">
        <is>
          <t>VERIFIED 2026-08-22</t>
        </is>
      </c>
    </row>
    <row r="8">
      <c r="A8" t="inlineStr">
        <is>
          <t>MK-MN-M-007</t>
        </is>
      </c>
      <c r="B8" t="inlineStr">
        <is>
          <t>Menu</t>
        </is>
      </c>
      <c r="C8" t="inlineStr">
        <is>
          <t>/expense</t>
        </is>
      </c>
      <c r="D8" t="inlineStr">
        <is>
          <t>$X of $Y this month · over by $Z</t>
        </is>
      </c>
      <c r="E8" t="inlineStr">
        <is>
          <t>catSpend / catBudget</t>
        </is>
      </c>
      <c r="F8" t="inlineStr">
        <is>
          <t>PLANNED_SPENDING</t>
        </is>
      </c>
      <c r="G8" t="inlineStr">
        <is>
          <t>MK-CF-E-007</t>
        </is>
      </c>
      <c r="H8" t="inlineStr">
        <is>
          <t>planned a month = Σ(each category’s planned amount);  remaining = planned − spent</t>
        </is>
      </c>
      <c r="I8" t="inlineStr">
        <is>
          <t>The LARGER of two answers: the categories added up, or the single monthly figure they typed.
The larger wins deliberately. Someone may answer both and the two rarely agree, and understating spending is the direction that FLATTERS a plan — it makes the odds look better than they are. Taking the larger errs toward the cautious side.</t>
        </is>
      </c>
      <c r="J8" t="inlineStr">
        <is>
          <t>the categories → SPENDING_BY_KIND  [MK-XS-I-024] · the single figure → monthlySpending  [MK-XS-I-024, MK-XS-I-030]</t>
        </is>
      </c>
      <c r="K8" t="inlineStr">
        <is>
          <t>US dollars · held to the cent · shown as whole dollars  [derived by rule — confirm]</t>
        </is>
      </c>
      <c r="L8" t="inlineStr">
        <is>
          <t>Adds up to $0 when there is nothing to add. Zero and "nothing recorded yet" look identical on screen — worth a decision.</t>
        </is>
      </c>
      <c r="M8" t="inlineStr">
        <is>
          <t>One figure per month  [derived by rule — confirm]</t>
        </is>
      </c>
      <c r="N8" t="inlineStr">
        <is>
          <t>This calendar month, to today  [derived by rule — confirm]</t>
        </is>
      </c>
      <c r="O8" t="inlineStr">
        <is>
          <t>READ_A_NUMBER · SPENDING_BY_KIND</t>
        </is>
      </c>
      <c r="P8" t="inlineStr"/>
      <c r="Q8" t="inlineStr"/>
      <c r="R8" t="inlineStr">
        <is>
          <t>NOT DETERMINED — no assumption recorded for this figure yet.</t>
        </is>
      </c>
      <c r="S8" t="inlineStr">
        <is>
          <t>THE SAME FIGURE AS MK-CF-M-015 — Spending against plan for a category — the same comparison on Cash flow and on the expense screen. CONFIRM: the expense screen adds the amount being typed, which may make it a different figure.</t>
        </is>
      </c>
      <c r="T8" t="inlineStr"/>
      <c r="U8" t="inlineStr"/>
      <c r="V8" t="inlineStr"/>
      <c r="W8" t="inlineStr">
        <is>
          <t>NOT DETERMINED</t>
        </is>
      </c>
      <c r="X8" t="inlineStr">
        <is>
          <t>VERIFIED 2026-08-22</t>
        </is>
      </c>
    </row>
    <row r="9">
      <c r="A9" t="inlineStr">
        <is>
          <t>MK-MN-M-008</t>
        </is>
      </c>
      <c r="B9" t="inlineStr">
        <is>
          <t>Menu</t>
        </is>
      </c>
      <c r="C9" t="inlineStr">
        <is>
          <t>/goals</t>
        </is>
      </c>
      <c r="D9" t="inlineStr">
        <is>
          <t>typical free cash to save $X/mo</t>
        </is>
      </c>
      <c r="E9" t="inlineStr">
        <is>
          <t>capacity.avg</t>
        </is>
      </c>
      <c r="F9" t="inlineStr">
        <is>
          <t>GOAL_CAPACITY</t>
        </is>
      </c>
      <c r="G9" t="inlineStr">
        <is>
          <t>MK-MN-E-004</t>
        </is>
      </c>
      <c r="H9" t="inlineStr">
        <is>
          <t>typical free cash a month = median over recent months of (money in − money out)</t>
        </is>
      </c>
      <c r="I9" t="inlineStr">
        <is>
          <t>Looks at recent months and takes the typical amount left after money in and money out — what could realistically be saved, not the best month.</t>
        </is>
      </c>
      <c r="J9" t="inlineStr">
        <is>
          <t>NOT DETERMINED — no input list on record for this engine</t>
        </is>
      </c>
      <c r="K9" t="inlineStr">
        <is>
          <t>US dollars · held to the cent · shown as whole dollars  [derived by rule — confirm]</t>
        </is>
      </c>
      <c r="L9" t="inlineStr">
        <is>
          <t>Needs recent months to speak. With too few it says so rather than offering a figure from one month.</t>
        </is>
      </c>
      <c r="M9" t="inlineStr">
        <is>
          <t>One figure per person — or per household when two people share one record  [derived by rule — confirm]</t>
        </is>
      </c>
      <c r="N9" t="inlineStr">
        <is>
          <t>As of today, from the latest figures held  [derived by rule — confirm]</t>
        </is>
      </c>
      <c r="O9" t="inlineStr">
        <is>
          <t>NOT DETERMINED</t>
        </is>
      </c>
      <c r="P9" t="inlineStr"/>
      <c r="Q9" t="inlineStr"/>
      <c r="R9" t="inlineStr">
        <is>
          <t>NOT DETERMINED — no assumption recorded for this figure yet.</t>
        </is>
      </c>
      <c r="S9" t="inlineStr"/>
      <c r="T9" t="inlineStr">
        <is>
          <t>Q27 — "Typical free cash to save" uses the middle of recent months. How many months should it look back, and should a one-off windfall be excluded?</t>
        </is>
      </c>
      <c r="U9" t="inlineStr"/>
      <c r="V9" t="inlineStr"/>
      <c r="W9" t="inlineStr">
        <is>
          <t>NOT DETERMINED</t>
        </is>
      </c>
      <c r="X9" t="inlineStr">
        <is>
          <t>VERIFIED 2026-08-22</t>
        </is>
      </c>
    </row>
    <row r="10">
      <c r="A10" t="inlineStr">
        <is>
          <t>MK-MN-M-009</t>
        </is>
      </c>
      <c r="B10" t="inlineStr">
        <is>
          <t>Menu</t>
        </is>
      </c>
      <c r="C10" t="inlineStr">
        <is>
          <t>/goals</t>
        </is>
      </c>
      <c r="D10" t="inlineStr">
        <is>
          <t>each goal — $X of $Y · $Z to go</t>
        </is>
      </c>
      <c r="E10" t="inlineStr">
        <is>
          <t>g.saved / g.target</t>
        </is>
      </c>
      <c r="F10" t="inlineStr">
        <is>
          <t>GOAL_PROGRESS</t>
        </is>
      </c>
      <c r="G10" t="inlineStr">
        <is>
          <t>MK-MN-E-005</t>
        </is>
      </c>
      <c r="H10" t="inlineStr">
        <is>
          <t>to go = target − saved;  progress = saved ÷ target</t>
        </is>
      </c>
      <c r="I10" t="inlineStr">
        <is>
          <t>What has been put aside against the target, and what is still to go.</t>
        </is>
      </c>
      <c r="J10" t="inlineStr">
        <is>
          <t>NOT DETERMINED — no input list on record for this engine</t>
        </is>
      </c>
      <c r="K10" t="inlineStr">
        <is>
          <t>US dollars · held to the cent · shown as whole dollars  [derived by rule — confirm]</t>
        </is>
      </c>
      <c r="L10" t="inlineStr">
        <is>
          <t>A division: with nothing on the bottom there is no answer, and the line must not appear as zero. NOT YET CONFIRMED against the engine.</t>
        </is>
      </c>
      <c r="M10" t="inlineStr">
        <is>
          <t>One figure per goal  [derived by rule — confirm]</t>
        </is>
      </c>
      <c r="N10" t="inlineStr">
        <is>
          <t>As of today, from the latest figures held  [derived by rule — confirm]</t>
        </is>
      </c>
      <c r="O10" t="inlineStr">
        <is>
          <t>NOT DETERMINED</t>
        </is>
      </c>
      <c r="P10" t="inlineStr"/>
      <c r="Q10" t="inlineStr"/>
      <c r="R10" t="inlineStr">
        <is>
          <t>NOT DETERMINED — no assumption recorded for this figure yet.</t>
        </is>
      </c>
      <c r="S10" t="inlineStr"/>
      <c r="T10" t="inlineStr"/>
      <c r="U10" t="inlineStr"/>
      <c r="V10" t="inlineStr"/>
      <c r="W10" t="inlineStr">
        <is>
          <t>NOT DETERMINED</t>
        </is>
      </c>
      <c r="X10" t="inlineStr">
        <is>
          <t>VERIFIED 2026-08-22</t>
        </is>
      </c>
    </row>
    <row r="11">
      <c r="A11" t="inlineStr">
        <is>
          <t>MK-MN-M-010</t>
        </is>
      </c>
      <c r="B11" t="inlineStr">
        <is>
          <t>Menu</t>
        </is>
      </c>
      <c r="C11" t="inlineStr">
        <is>
          <t>/goals</t>
        </is>
      </c>
      <c r="D11" t="inlineStr">
        <is>
          <t>your non-monthly budget</t>
        </is>
      </c>
      <c r="E11" t="inlineStr">
        <is>
          <t>sinkBasis</t>
        </is>
      </c>
      <c r="F11" t="inlineStr">
        <is>
          <t>SINKING_FUNDS</t>
        </is>
      </c>
      <c r="G11" t="inlineStr">
        <is>
          <t>MK-MN-E-006</t>
        </is>
      </c>
      <c r="H11" t="inlineStr">
        <is>
          <t>set aside a month = Σ(each non-monthly cost ÷ months until it falls due)</t>
        </is>
      </c>
      <c r="I11" t="inlineStr">
        <is>
          <t>Takes the costs that do not arrive monthly and spreads each one across the months until it falls due.</t>
        </is>
      </c>
      <c r="J11" t="inlineStr">
        <is>
          <t>NOT DETERMINED — no input list on record for this engine</t>
        </is>
      </c>
      <c r="K11" t="inlineStr">
        <is>
          <t>US dollars · held to the cent · shown as whole dollars  [derived by rule — confirm]</t>
        </is>
      </c>
      <c r="L11" t="inlineStr">
        <is>
          <t>Adds up to $0 when there is nothing to add. Zero and "nothing recorded yet" look identical on screen — worth a decision.</t>
        </is>
      </c>
      <c r="M11" t="inlineStr">
        <is>
          <t>One figure per month  [derived by rule — confirm]</t>
        </is>
      </c>
      <c r="N11" t="inlineStr">
        <is>
          <t>As of today, from the latest figures held  [derived by rule — confirm]</t>
        </is>
      </c>
      <c r="O11" t="inlineStr">
        <is>
          <t>NOT DETERMINED</t>
        </is>
      </c>
      <c r="P11" t="inlineStr"/>
      <c r="Q11" t="inlineStr"/>
      <c r="R11" t="inlineStr">
        <is>
          <t>NOT DETERMINED — no assumption recorded for this figure yet.</t>
        </is>
      </c>
      <c r="S11" t="inlineStr"/>
      <c r="T11" t="inlineStr"/>
      <c r="U11" t="inlineStr"/>
      <c r="V11" t="inlineStr"/>
      <c r="W11" t="inlineStr">
        <is>
          <t>NOT DETERMINED</t>
        </is>
      </c>
      <c r="X11" t="inlineStr">
        <is>
          <t>VERIFIED 2026-08-22</t>
        </is>
      </c>
    </row>
    <row r="12">
      <c r="A12" t="inlineStr">
        <is>
          <t>MK-MN-M-011</t>
        </is>
      </c>
      <c r="B12" t="inlineStr">
        <is>
          <t>Menu</t>
        </is>
      </c>
      <c r="C12" t="inlineStr">
        <is>
          <t>/income-detail</t>
        </is>
      </c>
      <c r="D12" t="inlineStr">
        <is>
          <t>net a year</t>
        </is>
      </c>
      <c r="E12" t="inlineStr">
        <is>
          <t>state.total_net_annual</t>
        </is>
      </c>
      <c r="F12" t="inlineStr">
        <is>
          <t>TOTAL_INCOME</t>
        </is>
      </c>
      <c r="G12" t="inlineStr">
        <is>
          <t>MK-CF-E-002</t>
        </is>
      </c>
      <c r="H12" t="inlineStr">
        <is>
          <t>gross a year = salary + self-employment + bonus + equity vesting + rental + other;  net a month = (gross − tax withheld − pre-tax contributions) ÷ 12</t>
        </is>
      </c>
      <c r="I12" t="inlineStr">
        <is>
          <t>Salary + tips + bonus + a signing amount + vesting equity + net rental income + other income (recurring and one-off, taxable and not) + retirement income currently being received.
This is the figure every tax calculation and every savings-capacity figure is built on, which is why each part above has its own row.</t>
        </is>
      </c>
      <c r="J12" t="inlineStr">
        <is>
          <t>each part → its own engine above  [NO INPUT ID — not on the inputs tab]</t>
        </is>
      </c>
      <c r="K12" t="inlineStr">
        <is>
          <t>US dollars · held to the cent · shown as whole dollars  [derived by rule — confirm]</t>
        </is>
      </c>
      <c r="L12" t="inlineStr">
        <is>
          <t>A division: with nothing on the bottom there is no answer, and the line must not appear as zero. NOT YET CONFIRMED against the engine.</t>
        </is>
      </c>
      <c r="M12" t="inlineStr">
        <is>
          <t>One figure per person — or per household when two people share one record  [derived by rule — confirm]</t>
        </is>
      </c>
      <c r="N12" t="inlineStr">
        <is>
          <t>The last twelve months  [derived by rule — confirm]</t>
        </is>
      </c>
      <c r="O12" t="inlineStr">
        <is>
          <t>EQUITY_THIS_YEAR · OTHER_INCOME · READ_A_NUMBER · RENTAL_INCOME_A_YEAR · RETIREMENT_INCOME_NOW · SALARY_A_YEAR · TIPS_A_YEAR</t>
        </is>
      </c>
      <c r="P12" t="inlineStr"/>
      <c r="Q12" t="inlineStr"/>
      <c r="R12" t="inlineStr">
        <is>
          <t>NOT DETERMINED — no assumption recorded for this figure yet.</t>
        </is>
      </c>
      <c r="S12" t="inlineStr"/>
      <c r="T12" t="inlineStr"/>
      <c r="U12" t="inlineStr"/>
      <c r="V12" t="inlineStr"/>
      <c r="W12" t="inlineStr">
        <is>
          <t>NOT DETERMINED</t>
        </is>
      </c>
      <c r="X12" t="inlineStr">
        <is>
          <t>VERIFIED 2026-08-22</t>
        </is>
      </c>
    </row>
    <row r="13">
      <c r="A13" t="inlineStr">
        <is>
          <t>MK-MN-M-012</t>
        </is>
      </c>
      <c r="B13" t="inlineStr">
        <is>
          <t>Menu</t>
        </is>
      </c>
      <c r="C13" t="inlineStr">
        <is>
          <t>/income-detail</t>
        </is>
      </c>
      <c r="D13" t="inlineStr">
        <is>
          <t>Gross / year</t>
        </is>
      </c>
      <c r="E13" t="inlineStr">
        <is>
          <t>state.total_gross_annual</t>
        </is>
      </c>
      <c r="F13" t="inlineStr">
        <is>
          <t>TOTAL_INCOME</t>
        </is>
      </c>
      <c r="G13" t="inlineStr">
        <is>
          <t>MK-CF-E-002</t>
        </is>
      </c>
      <c r="H13" t="inlineStr">
        <is>
          <t>gross a year = salary + self-employment + bonus + equity vesting + rental + other;  net a month = (gross − tax withheld − pre-tax contributions) ÷ 12</t>
        </is>
      </c>
      <c r="I13" t="inlineStr">
        <is>
          <t>Salary + tips + bonus + a signing amount + vesting equity + net rental income + other income (recurring and one-off, taxable and not) + retirement income currently being received.
This is the figure every tax calculation and every savings-capacity figure is built on, which is why each part above has its own row.</t>
        </is>
      </c>
      <c r="J13" t="inlineStr">
        <is>
          <t>each part → its own engine above  [NO INPUT ID — not on the inputs tab]</t>
        </is>
      </c>
      <c r="K13" t="inlineStr">
        <is>
          <t>US dollars · held to the cent · shown as whole dollars  [derived by rule — confirm]</t>
        </is>
      </c>
      <c r="L13" t="inlineStr">
        <is>
          <t>A division: with nothing on the bottom there is no answer, and the line must not appear as zero. NOT YET CONFIRMED against the engine.</t>
        </is>
      </c>
      <c r="M13" t="inlineStr">
        <is>
          <t>One figure per person — or per household when two people share one record  [derived by rule — confirm]</t>
        </is>
      </c>
      <c r="N13" t="inlineStr">
        <is>
          <t>This calendar year, to today  [derived by rule — confirm]</t>
        </is>
      </c>
      <c r="O13" t="inlineStr">
        <is>
          <t>EQUITY_THIS_YEAR · OTHER_INCOME · READ_A_NUMBER · RENTAL_INCOME_A_YEAR · RETIREMENT_INCOME_NOW · SALARY_A_YEAR · TIPS_A_YEAR</t>
        </is>
      </c>
      <c r="P13" t="inlineStr"/>
      <c r="Q13" t="inlineStr"/>
      <c r="R13" t="inlineStr">
        <is>
          <t>NOT DETERMINED — no assumption recorded for this figure yet.</t>
        </is>
      </c>
      <c r="S13" t="inlineStr"/>
      <c r="T13" t="inlineStr"/>
      <c r="U13" t="inlineStr"/>
      <c r="V13" t="inlineStr"/>
      <c r="W13" t="inlineStr">
        <is>
          <t>NOT DETERMINED</t>
        </is>
      </c>
      <c r="X13" t="inlineStr">
        <is>
          <t>VERIFIED 2026-08-22</t>
        </is>
      </c>
    </row>
    <row r="14">
      <c r="A14" t="inlineStr">
        <is>
          <t>MK-MN-M-013</t>
        </is>
      </c>
      <c r="B14" t="inlineStr">
        <is>
          <t>Menu</t>
        </is>
      </c>
      <c r="C14" t="inlineStr">
        <is>
          <t>/income-detail</t>
        </is>
      </c>
      <c r="D14" t="inlineStr">
        <is>
          <t>Net / month</t>
        </is>
      </c>
      <c r="E14" t="inlineStr">
        <is>
          <t>state.net_monthly_income</t>
        </is>
      </c>
      <c r="F14" t="inlineStr">
        <is>
          <t>TOTAL_INCOME</t>
        </is>
      </c>
      <c r="G14" t="inlineStr">
        <is>
          <t>MK-CF-E-002</t>
        </is>
      </c>
      <c r="H14" t="inlineStr">
        <is>
          <t>gross a year = salary + self-employment + bonus + equity vesting + rental + other;  net a month = (gross − tax withheld − pre-tax contributions) ÷ 12</t>
        </is>
      </c>
      <c r="I14" t="inlineStr">
        <is>
          <t>Salary + tips + bonus + a signing amount + vesting equity + net rental income + other income (recurring and one-off, taxable and not) + retirement income currently being received.
This is the figure every tax calculation and every savings-capacity figure is built on, which is why each part above has its own row.</t>
        </is>
      </c>
      <c r="J14" t="inlineStr">
        <is>
          <t>each part → its own engine above  [NO INPUT ID — not on the inputs tab]</t>
        </is>
      </c>
      <c r="K14" t="inlineStr">
        <is>
          <t>US dollars · held to the cent · shown as whole dollars  [derived by rule — confirm]</t>
        </is>
      </c>
      <c r="L14" t="inlineStr">
        <is>
          <t>A division: with nothing on the bottom there is no answer, and the line must not appear as zero. NOT YET CONFIRMED against the engine.</t>
        </is>
      </c>
      <c r="M14" t="inlineStr">
        <is>
          <t>One figure per month  [derived by rule — confirm]</t>
        </is>
      </c>
      <c r="N14" t="inlineStr">
        <is>
          <t>As of today, from the latest figures held  [derived by rule — confirm]</t>
        </is>
      </c>
      <c r="O14" t="inlineStr">
        <is>
          <t>EQUITY_THIS_YEAR · OTHER_INCOME · READ_A_NUMBER · RENTAL_INCOME_A_YEAR · RETIREMENT_INCOME_NOW · SALARY_A_YEAR · TIPS_A_YEAR</t>
        </is>
      </c>
      <c r="P14" t="inlineStr"/>
      <c r="Q14" t="inlineStr"/>
      <c r="R14" t="inlineStr">
        <is>
          <t>NOT DETERMINED — no assumption recorded for this figure yet.</t>
        </is>
      </c>
      <c r="S14" t="inlineStr"/>
      <c r="T14" t="inlineStr"/>
      <c r="U14" t="inlineStr"/>
      <c r="V14" t="inlineStr"/>
      <c r="W14" t="inlineStr">
        <is>
          <t>NOT DETERMINED</t>
        </is>
      </c>
      <c r="X14" t="inlineStr">
        <is>
          <t>VERIFIED 2026-08-22</t>
        </is>
      </c>
    </row>
    <row r="15">
      <c r="A15" t="inlineStr">
        <is>
          <t>MK-MN-M-014</t>
        </is>
      </c>
      <c r="B15" t="inlineStr">
        <is>
          <t>Menu</t>
        </is>
      </c>
      <c r="C15" t="inlineStr">
        <is>
          <t>/income-detail</t>
        </is>
      </c>
      <c r="D15" t="inlineStr">
        <is>
          <t>Employer 401(k) match</t>
        </is>
      </c>
      <c r="E15" t="inlineStr">
        <is>
          <t>state.employer_match_annual</t>
        </is>
      </c>
      <c r="F15" t="inlineStr">
        <is>
          <t>EMPLOYER_MATCH</t>
        </is>
      </c>
      <c r="G15" t="inlineStr">
        <is>
          <t>MK-MN-E-007</t>
        </is>
      </c>
      <c r="H15" t="inlineStr">
        <is>
          <t>match a year = the employer’s stated rate × pay, capped at the stated limit</t>
        </is>
      </c>
      <c r="I15" t="inlineStr">
        <is>
          <t>Either a percentage of what the person contributes to their 401(k), or a flat monthly amount — whichever way they described it.</t>
        </is>
      </c>
      <c r="J15" t="inlineStr">
        <is>
          <t>the match → employerMatchValue  [NO INPUT ID — not on the inputs tab] · percent or dollars → employerMatchMode  [NO INPUT ID — not on the inputs tab] · their own contribution → c_401k  [NO INPUT ID — not on the inputs tab]</t>
        </is>
      </c>
      <c r="K15" t="inlineStr">
        <is>
          <t>US dollars · held to the cent · shown as whole dollars  [derived by rule — confirm]</t>
        </is>
      </c>
      <c r="L15" t="inlineStr">
        <is>
          <t>NOT DETERMINED — this engine has not been read for its refusal yet.</t>
        </is>
      </c>
      <c r="M15" t="inlineStr">
        <is>
          <t>One figure per person — or per household when two people share one record  [derived by rule — confirm]</t>
        </is>
      </c>
      <c r="N15" t="inlineStr">
        <is>
          <t>As of today, from the latest figures held  [derived by rule — confirm]</t>
        </is>
      </c>
      <c r="O15" t="inlineStr">
        <is>
          <t>READ_A_NUMBER</t>
        </is>
      </c>
      <c r="P15" t="inlineStr"/>
      <c r="Q15" t="inlineStr"/>
      <c r="R15" t="inlineStr">
        <is>
          <t>NOT DETERMINED — no assumption recorded for this figure yet.</t>
        </is>
      </c>
      <c r="S15" t="inlineStr"/>
      <c r="T15" t="inlineStr"/>
      <c r="U15" t="inlineStr"/>
      <c r="V15" t="inlineStr"/>
      <c r="W15" t="inlineStr">
        <is>
          <t>NOT DETERMINED</t>
        </is>
      </c>
      <c r="X15" t="inlineStr">
        <is>
          <t>VERIFIED 2026-08-22</t>
        </is>
      </c>
    </row>
    <row r="16">
      <c r="A16" t="inlineStr">
        <is>
          <t>MK-MN-M-015</t>
        </is>
      </c>
      <c r="B16" t="inlineStr">
        <is>
          <t>Menu</t>
        </is>
      </c>
      <c r="C16" t="inlineStr">
        <is>
          <t>/insights</t>
        </is>
      </c>
      <c r="D16" t="inlineStr">
        <is>
          <t>each insight and the dollars behind it</t>
        </is>
      </c>
      <c r="E16" t="inlineStr">
        <is>
          <t>shareOf(v)</t>
        </is>
      </c>
      <c r="F16" t="inlineStr">
        <is>
          <t>NOT IN OLD MASTER — useInsights, src/domain/insights</t>
        </is>
      </c>
      <c r="G16" t="inlineStr">
        <is>
          <t>MK-HM-E-003</t>
        </is>
      </c>
      <c r="H16" t="inlineStr">
        <is>
          <t>each insight scores its own dollars at stake; the list = the highest few, ranked</t>
        </is>
      </c>
      <c r="I16" t="inlineStr">
        <is>
          <t>Works out what is worth saying today, puts a dollar amount against each, and shows the few that matter most.</t>
        </is>
      </c>
      <c r="J16" t="inlineStr">
        <is>
          <t>NOT DETERMINED — no input list on record for this engine</t>
        </is>
      </c>
      <c r="K16" t="inlineStr">
        <is>
          <t>US dollars · held to the cent · shown as whole dollars  [derived by rule — confirm]</t>
        </is>
      </c>
      <c r="L16" t="inlineStr">
        <is>
          <t>NOT DETERMINED — this engine has not been read for its refusal yet.</t>
        </is>
      </c>
      <c r="M16" t="inlineStr">
        <is>
          <t>One figure per person — or per household when two people share one record  [derived by rule — confirm]</t>
        </is>
      </c>
      <c r="N16" t="inlineStr">
        <is>
          <t>As of today, from the latest figures held  [derived by rule — confirm]</t>
        </is>
      </c>
      <c r="O16" t="inlineStr">
        <is>
          <t>NOT DETERMINED</t>
        </is>
      </c>
      <c r="P16" t="inlineStr"/>
      <c r="Q16" t="inlineStr"/>
      <c r="R16" t="inlineStr">
        <is>
          <t>NOT DETERMINED — no assumption recorded for this figure yet.</t>
        </is>
      </c>
      <c r="S16" t="inlineStr">
        <is>
          <t>THE SURVIVING IDENTIFIER for this figure. Folded in: MK-HM-M-003. The insights list. Home shows the top three of the same list the Insights screen shows in full.</t>
        </is>
      </c>
      <c r="T16" t="inlineStr"/>
      <c r="U16" t="inlineStr"/>
      <c r="V16" t="inlineStr"/>
      <c r="W16" t="inlineStr">
        <is>
          <t>NOT DETERMINED</t>
        </is>
      </c>
      <c r="X16" t="inlineStr">
        <is>
          <t>VERIFIED 2026-08-22</t>
        </is>
      </c>
    </row>
    <row r="17">
      <c r="A17" t="inlineStr">
        <is>
          <t>MK-MN-M-016</t>
        </is>
      </c>
      <c r="B17" t="inlineStr">
        <is>
          <t>Menu</t>
        </is>
      </c>
      <c r="C17" t="inlineStr">
        <is>
          <t>/insights</t>
        </is>
      </c>
      <c r="D17" t="inlineStr">
        <is>
          <t>Total invested · Cash total · Investable total</t>
        </is>
      </c>
      <c r="E17" t="inlineStr">
        <is>
          <t>investable / cash</t>
        </is>
      </c>
      <c r="F17" t="inlineStr">
        <is>
          <t>TOTAL_INVESTABLE · TOTAL_CASH</t>
        </is>
      </c>
      <c r="G17" t="inlineStr">
        <is>
          <t>MK-MN-E-008</t>
        </is>
      </c>
      <c r="H17" t="inlineStr">
        <is>
          <t>investable = cash + investments  (excludes home and belongings)</t>
        </is>
      </c>
      <c r="I17" t="inlineStr">
        <is>
          <t>Cash + investments — everything except the house and the car. Selling the roof you live under is not a plan, so physical assets are excluded by CLASS, not by tax type. · Add up the balances of every account whose class is Cash. Under the founder's 2026-08-04 rule that means checking, savings, high-yield savings and the uninvested sweep at a broker — and NOT money-market funds, which pay dividends and are measured with the investments.</t>
        </is>
      </c>
      <c r="J17" t="inlineStr">
        <is>
          <t>each account's class → assetClassOf  [NO INPUT ID — not on the inputs tab] · each account's money → balance  [MK-XS-I-001] · each account's class → assetClassOf  [NO INPUT ID — not on the inputs tab] · each account's money → balance  [MK-XS-I-001]</t>
        </is>
      </c>
      <c r="K17" t="inlineStr">
        <is>
          <t>US dollars · held to the cent · shown as whole dollars  [derived by rule — confirm]</t>
        </is>
      </c>
      <c r="L17" t="inlineStr">
        <is>
          <t>NOT DETERMINED — this engine has not been read for its refusal yet.</t>
        </is>
      </c>
      <c r="M17" t="inlineStr">
        <is>
          <t>One figure per person — or per household when two people share one record  [derived by rule — confirm]</t>
        </is>
      </c>
      <c r="N17" t="inlineStr">
        <is>
          <t>As of today, from the latest figures held  [derived by rule — confirm]</t>
        </is>
      </c>
      <c r="O17" t="inlineStr">
        <is>
          <t>ACCOUNT_SPLIT · ASSET_CLASS_OF_ACCOUNT · IS_PHYSICAL_ASSET</t>
        </is>
      </c>
      <c r="P17" t="inlineStr">
        <is>
          <t>DECIDES what counts as cash — and deliberately excludes money-market funds.</t>
        </is>
      </c>
      <c r="Q17" t="inlineStr">
        <is>
          <t>Money-market funds are deliberately NOT counted as cash. Any institution that reports a sweep as a fund will therefore land in investments — worth watching per provider.</t>
        </is>
      </c>
      <c r="R17" t="inlineStr">
        <is>
          <t>[Founder] Cash means checking, savings, high-yield savings and the uninvested sweep at a broker. Money-market funds are investments, because they pay dividends and are measured with the investments (founder, 2026-08-04).</t>
        </is>
      </c>
      <c r="S17" t="inlineStr"/>
      <c r="T17" t="inlineStr"/>
      <c r="U17" t="inlineStr"/>
      <c r="V17" t="inlineStr"/>
      <c r="W17" t="inlineStr">
        <is>
          <t>NOT DETERMINED</t>
        </is>
      </c>
      <c r="X17" t="inlineStr">
        <is>
          <t>VERIFIED 2026-08-22</t>
        </is>
      </c>
    </row>
    <row r="18">
      <c r="A18" t="inlineStr">
        <is>
          <t>MK-MN-M-017</t>
        </is>
      </c>
      <c r="B18" t="inlineStr">
        <is>
          <t>Menu</t>
        </is>
      </c>
      <c r="C18" t="inlineStr">
        <is>
          <t>/insurance</t>
        </is>
      </c>
      <c r="D18" t="inlineStr">
        <is>
          <t>the life-cover gap</t>
        </is>
      </c>
      <c r="E18" t="inlineStr">
        <is>
          <t>need.gap</t>
        </is>
      </c>
      <c r="F18" t="inlineStr">
        <is>
          <t>INSURANCE_NEED</t>
        </is>
      </c>
      <c r="G18" t="inlineStr">
        <is>
          <t>MK-MN-E-009</t>
        </is>
      </c>
      <c r="H18" t="inlineStr">
        <is>
          <t>need = income to replace × years + debts + goals + final expenses;  gap = need − cover already held</t>
        </is>
      </c>
      <c r="I18" t="inlineStr">
        <is>
          <t>Adds the income that would need replacing for the chosen number of years to debts, goals and final expenses, then subtracts cover already held.</t>
        </is>
      </c>
      <c r="J18" t="inlineStr">
        <is>
          <t>NOT DETERMINED — no input list on record for this engine</t>
        </is>
      </c>
      <c r="K18" t="inlineStr">
        <is>
          <t>US dollars · held to the cent · shown as whole dollars  [derived by rule — confirm]</t>
        </is>
      </c>
      <c r="L18" t="inlineStr">
        <is>
          <t>NOT DETERMINED — this engine has not been read for its refusal yet.</t>
        </is>
      </c>
      <c r="M18" t="inlineStr">
        <is>
          <t>One figure per person — or per household when two people share one record  [derived by rule — confirm]</t>
        </is>
      </c>
      <c r="N18" t="inlineStr">
        <is>
          <t>As of today, from the latest figures held  [derived by rule — confirm]</t>
        </is>
      </c>
      <c r="O18" t="inlineStr">
        <is>
          <t>NOT DETERMINED</t>
        </is>
      </c>
      <c r="P18" t="inlineStr"/>
      <c r="Q18" t="inlineStr"/>
      <c r="R18" t="inlineStr">
        <is>
          <t>NOT DETERMINED — no assumption recorded for this figure yet.</t>
        </is>
      </c>
      <c r="S18" t="inlineStr"/>
      <c r="T18" t="inlineStr">
        <is>
          <t>Q25 — How many years of income should the default life-cover estimate replace, and does it assume the mortgage is cleared?</t>
        </is>
      </c>
      <c r="U18" t="inlineStr"/>
      <c r="V18" t="inlineStr"/>
      <c r="W18" t="inlineStr">
        <is>
          <t>NOT DETERMINED</t>
        </is>
      </c>
      <c r="X18" t="inlineStr">
        <is>
          <t>VERIFIED 2026-08-22</t>
        </is>
      </c>
    </row>
    <row r="19">
      <c r="A19" t="inlineStr">
        <is>
          <t>MK-MN-M-018</t>
        </is>
      </c>
      <c r="B19" t="inlineStr">
        <is>
          <t>Menu</t>
        </is>
      </c>
      <c r="C19" t="inlineStr">
        <is>
          <t>/insurance</t>
        </is>
      </c>
      <c r="D19" t="inlineStr">
        <is>
          <t>Income replacement (N yrs)</t>
        </is>
      </c>
      <c r="E19" t="inlineStr">
        <is>
          <t>need.incomeReplacement</t>
        </is>
      </c>
      <c r="F19" t="inlineStr">
        <is>
          <t>INSURANCE_NEED</t>
        </is>
      </c>
      <c r="G19" t="inlineStr">
        <is>
          <t>MK-MN-E-009</t>
        </is>
      </c>
      <c r="H19" t="inlineStr">
        <is>
          <t>need = income to replace × years + debts + goals + final expenses;  gap = need − cover already held</t>
        </is>
      </c>
      <c r="I19" t="inlineStr">
        <is>
          <t>Adds the income that would need replacing for the chosen number of years to debts, goals and final expenses, then subtracts cover already held.</t>
        </is>
      </c>
      <c r="J19" t="inlineStr">
        <is>
          <t>NOT DETERMINED — no input list on record for this engine</t>
        </is>
      </c>
      <c r="K19" t="inlineStr">
        <is>
          <t>US dollars · held to the cent · shown as whole dollars  [derived by rule — confirm]</t>
        </is>
      </c>
      <c r="L19" t="inlineStr">
        <is>
          <t>NOT DETERMINED — this engine has not been read for its refusal yet.</t>
        </is>
      </c>
      <c r="M19" t="inlineStr">
        <is>
          <t>One figure per person — or per household when two people share one record  [derived by rule — confirm]</t>
        </is>
      </c>
      <c r="N19" t="inlineStr">
        <is>
          <t>As of today, from the latest figures held  [derived by rule — confirm]</t>
        </is>
      </c>
      <c r="O19" t="inlineStr">
        <is>
          <t>NOT DETERMINED</t>
        </is>
      </c>
      <c r="P19" t="inlineStr"/>
      <c r="Q19" t="inlineStr"/>
      <c r="R19" t="inlineStr">
        <is>
          <t>NOT DETERMINED — no assumption recorded for this figure yet.</t>
        </is>
      </c>
      <c r="S19" t="inlineStr"/>
      <c r="T19" t="inlineStr"/>
      <c r="U19" t="inlineStr"/>
      <c r="V19" t="inlineStr"/>
      <c r="W19" t="inlineStr">
        <is>
          <t>NOT DETERMINED</t>
        </is>
      </c>
      <c r="X19" t="inlineStr">
        <is>
          <t>VERIFIED 2026-08-22</t>
        </is>
      </c>
    </row>
    <row r="20">
      <c r="A20" t="inlineStr">
        <is>
          <t>MK-MN-M-019</t>
        </is>
      </c>
      <c r="B20" t="inlineStr">
        <is>
          <t>Menu</t>
        </is>
      </c>
      <c r="C20" t="inlineStr">
        <is>
          <t>/insurance</t>
        </is>
      </c>
      <c r="D20" t="inlineStr">
        <is>
          <t>+ Debts, goals &amp; final expenses · Total need</t>
        </is>
      </c>
      <c r="E20" t="inlineStr">
        <is>
          <t>need.total</t>
        </is>
      </c>
      <c r="F20" t="inlineStr">
        <is>
          <t>INSURANCE_NEED</t>
        </is>
      </c>
      <c r="G20" t="inlineStr">
        <is>
          <t>MK-MN-E-009</t>
        </is>
      </c>
      <c r="H20" t="inlineStr">
        <is>
          <t>need = income to replace × years + debts + goals + final expenses;  gap = need − cover already held</t>
        </is>
      </c>
      <c r="I20" t="inlineStr">
        <is>
          <t>Adds the income that would need replacing for the chosen number of years to debts, goals and final expenses, then subtracts cover already held.</t>
        </is>
      </c>
      <c r="J20" t="inlineStr">
        <is>
          <t>NOT DETERMINED — no input list on record for this engine</t>
        </is>
      </c>
      <c r="K20" t="inlineStr">
        <is>
          <t>US dollars · held to the cent · shown as whole dollars  [derived by rule — confirm]</t>
        </is>
      </c>
      <c r="L20" t="inlineStr">
        <is>
          <t>NOT DETERMINED — this engine has not been read for its refusal yet.</t>
        </is>
      </c>
      <c r="M20" t="inlineStr">
        <is>
          <t>One figure per debt, and one total per person  [derived by rule — confirm]</t>
        </is>
      </c>
      <c r="N20" t="inlineStr">
        <is>
          <t>As of today, from the latest figures held  [derived by rule — confirm]</t>
        </is>
      </c>
      <c r="O20" t="inlineStr">
        <is>
          <t>NOT DETERMINED</t>
        </is>
      </c>
      <c r="P20" t="inlineStr"/>
      <c r="Q20" t="inlineStr"/>
      <c r="R20" t="inlineStr">
        <is>
          <t>NOT DETERMINED — no assumption recorded for this figure yet.</t>
        </is>
      </c>
      <c r="S20" t="inlineStr"/>
      <c r="T20" t="inlineStr"/>
      <c r="U20" t="inlineStr"/>
      <c r="V20" t="inlineStr"/>
      <c r="W20" t="inlineStr">
        <is>
          <t>NOT DETERMINED</t>
        </is>
      </c>
      <c r="X20" t="inlineStr">
        <is>
          <t>VERIFIED 2026-08-22</t>
        </is>
      </c>
    </row>
    <row r="21">
      <c r="A21" t="inlineStr">
        <is>
          <t>MK-MN-M-020</t>
        </is>
      </c>
      <c r="B21" t="inlineStr">
        <is>
          <t>Menu</t>
        </is>
      </c>
      <c r="C21" t="inlineStr">
        <is>
          <t>/jobsafety</t>
        </is>
      </c>
      <c r="D21" t="inlineStr">
        <is>
          <t>N months of essentials is $X ($Y/mo)</t>
        </is>
      </c>
      <c r="E21" t="inlineStr">
        <is>
          <t>target / ess</t>
        </is>
      </c>
      <c r="F21" t="inlineStr">
        <is>
          <t>JOB_SAFETY_RUNWAY</t>
        </is>
      </c>
      <c r="G21" t="inlineStr">
        <is>
          <t>MK-MN-E-010</t>
        </is>
      </c>
      <c r="H21" t="inlineStr">
        <is>
          <t>runway in months = cash ÷ essentials a month;  target = months wanted × essentials a month</t>
        </is>
      </c>
      <c r="I21" t="inlineStr">
        <is>
          <t>How many months of essential bills the cash on hand would cover with no pay coming in.</t>
        </is>
      </c>
      <c r="J21" t="inlineStr">
        <is>
          <t>NOT DETERMINED — no input list on record for this engine</t>
        </is>
      </c>
      <c r="K21" t="inlineStr">
        <is>
          <t>Months · one decimal  [derived by rule — confirm]</t>
        </is>
      </c>
      <c r="L21" t="inlineStr">
        <is>
          <t>A division: with nothing on the bottom there is no answer, and the line must not appear as zero. NOT YET CONFIRMED against the engine.</t>
        </is>
      </c>
      <c r="M21" t="inlineStr">
        <is>
          <t>One figure per month  [derived by rule — confirm]</t>
        </is>
      </c>
      <c r="N21" t="inlineStr">
        <is>
          <t>As of today, from the latest figures held  [derived by rule — confirm]</t>
        </is>
      </c>
      <c r="O21" t="inlineStr">
        <is>
          <t>NOT DETERMINED</t>
        </is>
      </c>
      <c r="P21" t="inlineStr"/>
      <c r="Q21" t="inlineStr"/>
      <c r="R21" t="inlineStr">
        <is>
          <t>NOT DETERMINED — no assumption recorded for this figure yet.</t>
        </is>
      </c>
      <c r="S21" t="inlineStr"/>
      <c r="T21" t="inlineStr">
        <is>
          <t>Q28 — How many months of essentials should the app treat as safe by default — and is that number yours to set per person, or one figure for everyone?</t>
        </is>
      </c>
      <c r="U21" t="inlineStr"/>
      <c r="V21" t="inlineStr"/>
      <c r="W21" t="inlineStr">
        <is>
          <t>NOT DETERMINED</t>
        </is>
      </c>
      <c r="X21" t="inlineStr">
        <is>
          <t>VERIFIED 2026-08-22</t>
        </is>
      </c>
    </row>
    <row r="22">
      <c r="A22" t="inlineStr">
        <is>
          <t>MK-MN-M-021</t>
        </is>
      </c>
      <c r="B22" t="inlineStr">
        <is>
          <t>Menu</t>
        </is>
      </c>
      <c r="C22" t="inlineStr">
        <is>
          <t>/jobsafety</t>
        </is>
      </c>
      <c r="D22" t="inlineStr">
        <is>
          <t>Using $X/mo from your logged spending</t>
        </is>
      </c>
      <c r="E22" t="inlineStr">
        <is>
          <t>monthSpend</t>
        </is>
      </c>
      <c r="F22" t="inlineStr">
        <is>
          <t>SPENDING_BY_KIND</t>
        </is>
      </c>
      <c r="G22" t="inlineStr">
        <is>
          <t>MK-CF-E-006</t>
        </is>
      </c>
      <c r="H22" t="inlineStr">
        <is>
          <t>spent in a bucket = Σ(expenses this month in that bucket);  debt payments are excluded</t>
        </is>
      </c>
      <c r="I22" t="inlineStr">
        <is>
          <t>If the person answered category by category, total each category into its bucket. If they gave three summary figures instead, use those. Nothing answered is zero — never a guessed household average, which would put a number in their plan that nobody chose.</t>
        </is>
      </c>
      <c r="J22" t="inlineStr">
        <is>
          <t>the categories → spendCats  [NO INPUT ID — not on the inputs tab] · or the three summary figures → b_fixed, b_nonmonthly, b_flexible  [NO INPUT ID — not on the inputs tab]</t>
        </is>
      </c>
      <c r="K22" t="inlineStr">
        <is>
          <t>US dollars · held to the cent · shown as whole dollars  [derived by rule — confirm]</t>
        </is>
      </c>
      <c r="L22" t="inlineStr">
        <is>
          <t>Adds up to $0 when there is nothing to add. Zero and "nothing recorded yet" look identical on screen — worth a decision.</t>
        </is>
      </c>
      <c r="M22" t="inlineStr">
        <is>
          <t>One figure per person — or per household when two people share one record  [derived by rule — confirm]</t>
        </is>
      </c>
      <c r="N22" t="inlineStr">
        <is>
          <t>As of today, from the latest figures held  [derived by rule — confirm]</t>
        </is>
      </c>
      <c r="O22" t="inlineStr">
        <is>
          <t>READ_A_NUMBER</t>
        </is>
      </c>
      <c r="P22" t="inlineStr"/>
      <c r="Q22" t="inlineStr"/>
      <c r="R22" t="inlineStr">
        <is>
          <t>NOT DETERMINED — no assumption recorded for this figure yet.</t>
        </is>
      </c>
      <c r="S22" t="inlineStr"/>
      <c r="T22" t="inlineStr"/>
      <c r="U22" t="inlineStr"/>
      <c r="V22" t="inlineStr"/>
      <c r="W22" t="inlineStr">
        <is>
          <t>NOT DETERMINED</t>
        </is>
      </c>
      <c r="X22" t="inlineStr">
        <is>
          <t>VERIFIED 2026-08-22</t>
        </is>
      </c>
    </row>
    <row r="23">
      <c r="A23" t="inlineStr">
        <is>
          <t>MK-MN-M-022</t>
        </is>
      </c>
      <c r="B23" t="inlineStr">
        <is>
          <t>Menu</t>
        </is>
      </c>
      <c r="C23" t="inlineStr">
        <is>
          <t>/other-investments</t>
        </is>
      </c>
      <c r="D23" t="inlineStr">
        <is>
          <t>the total value of these investments</t>
        </is>
      </c>
      <c r="E23" t="inlineStr">
        <is>
          <t>summary.totalValue</t>
        </is>
      </c>
      <c r="F23" t="inlineStr">
        <is>
          <t>ALTERNATIVES_TOTAL</t>
        </is>
      </c>
      <c r="G23" t="inlineStr">
        <is>
          <t>MK-MN-E-011</t>
        </is>
      </c>
      <c r="H23" t="inlineStr">
        <is>
          <t>total = Σ(recorded value of each alternative holding)</t>
        </is>
      </c>
      <c r="I23" t="inlineStr">
        <is>
          <t>Adds up the recorded value of every alternative holding — the things with no market price of their own.</t>
        </is>
      </c>
      <c r="J23" t="inlineStr">
        <is>
          <t>NOT DETERMINED — no input list on record for this engine</t>
        </is>
      </c>
      <c r="K23" t="inlineStr">
        <is>
          <t>US dollars · held to the cent · shown as whole dollars  [derived by rule — confirm]</t>
        </is>
      </c>
      <c r="L23" t="inlineStr">
        <is>
          <t>Adds up to $0 when there is nothing to add. Zero and "nothing recorded yet" look identical on screen — worth a decision.</t>
        </is>
      </c>
      <c r="M23" t="inlineStr">
        <is>
          <t>One figure per person — or per household when two people share one record  [derived by rule — confirm]</t>
        </is>
      </c>
      <c r="N23" t="inlineStr">
        <is>
          <t>As of today, from the latest figures held  [derived by rule — confirm]</t>
        </is>
      </c>
      <c r="O23" t="inlineStr">
        <is>
          <t>NOT DETERMINED</t>
        </is>
      </c>
      <c r="P23" t="inlineStr"/>
      <c r="Q23" t="inlineStr"/>
      <c r="R23" t="inlineStr">
        <is>
          <t>NOT DETERMINED — no assumption recorded for this figure yet.</t>
        </is>
      </c>
      <c r="S23" t="inlineStr"/>
      <c r="T23" t="inlineStr"/>
      <c r="U23" t="inlineStr"/>
      <c r="V23" t="inlineStr"/>
      <c r="W23" t="inlineStr">
        <is>
          <t>NOT DETERMINED</t>
        </is>
      </c>
      <c r="X23" t="inlineStr">
        <is>
          <t>VERIFIED 2026-08-22</t>
        </is>
      </c>
    </row>
    <row r="24">
      <c r="A24" t="inlineStr">
        <is>
          <t>MK-MN-M-023</t>
        </is>
      </c>
      <c r="B24" t="inlineStr">
        <is>
          <t>Menu</t>
        </is>
      </c>
      <c r="C24" t="inlineStr">
        <is>
          <t>/other-investments</t>
        </is>
      </c>
      <c r="D24" t="inlineStr">
        <is>
          <t>EST. GROWTH / YR</t>
        </is>
      </c>
      <c r="E24" t="inlineStr">
        <is>
          <t>summary.growth</t>
        </is>
      </c>
      <c r="F24" t="inlineStr">
        <is>
          <t>ALTERNATIVES_GROWTH</t>
        </is>
      </c>
      <c r="G24" t="inlineStr">
        <is>
          <t>MK-MN-E-012</t>
        </is>
      </c>
      <c r="H24" t="inlineStr">
        <is>
          <t>estimated growth a year = Σ(value × its stated growth rate)</t>
        </is>
      </c>
      <c r="I24" t="inlineStr">
        <is>
          <t>Applies each alternative holding's own stated growth rate to its value and adds the results. An estimate, and labelled as one.</t>
        </is>
      </c>
      <c r="J24" t="inlineStr">
        <is>
          <t>NOT DETERMINED — no input list on record for this engine</t>
        </is>
      </c>
      <c r="K24" t="inlineStr">
        <is>
          <t>US dollars · held to the cent · shown as whole dollars  [derived by rule — confirm]</t>
        </is>
      </c>
      <c r="L24" t="inlineStr">
        <is>
          <t>Adds up to $0 when there is nothing to add. Zero and "nothing recorded yet" look identical on screen — worth a decision.</t>
        </is>
      </c>
      <c r="M24" t="inlineStr">
        <is>
          <t>One figure per person — or per household when two people share one record  [derived by rule — confirm]</t>
        </is>
      </c>
      <c r="N24" t="inlineStr">
        <is>
          <t>As of today, from the latest figures held  [derived by rule — confirm]</t>
        </is>
      </c>
      <c r="O24" t="inlineStr">
        <is>
          <t>NOT DETERMINED</t>
        </is>
      </c>
      <c r="P24" t="inlineStr"/>
      <c r="Q24" t="inlineStr"/>
      <c r="R24" t="inlineStr">
        <is>
          <t>NOT DETERMINED — no assumption recorded for this figure yet.</t>
        </is>
      </c>
      <c r="S24" t="inlineStr"/>
      <c r="T24" t="inlineStr"/>
      <c r="U24" t="inlineStr"/>
      <c r="V24" t="inlineStr"/>
      <c r="W24" t="inlineStr">
        <is>
          <t>NOT DETERMINED</t>
        </is>
      </c>
      <c r="X24" t="inlineStr">
        <is>
          <t>VERIFIED 2026-08-22</t>
        </is>
      </c>
    </row>
    <row r="25">
      <c r="A25" t="inlineStr">
        <is>
          <t>MK-MN-M-024</t>
        </is>
      </c>
      <c r="B25" t="inlineStr">
        <is>
          <t>Menu</t>
        </is>
      </c>
      <c r="C25" t="inlineStr">
        <is>
          <t>/stress-test</t>
        </is>
      </c>
      <c r="D25" t="inlineStr">
        <is>
          <t>You could cover a $X hit</t>
        </is>
      </c>
      <c r="E25" t="inlineStr">
        <is>
          <t>shock</t>
        </is>
      </c>
      <c r="F25" t="inlineStr">
        <is>
          <t>STRESS_TEST</t>
        </is>
      </c>
      <c r="G25" t="inlineStr">
        <is>
          <t>MK-MN-E-013</t>
        </is>
      </c>
      <c r="H25" t="inlineStr">
        <is>
          <t>cash after = cash − the shock;  runway after = cash after ÷ essentials a month</t>
        </is>
      </c>
      <c r="I25" t="inlineStr">
        <is>
          <t>Takes a one-off hit out of the cash on hand and shows what would be left and how many months of essentials it would cover.</t>
        </is>
      </c>
      <c r="J25" t="inlineStr">
        <is>
          <t>NOT DETERMINED — no input list on record for this engine</t>
        </is>
      </c>
      <c r="K25" t="inlineStr">
        <is>
          <t>US dollars · held to the cent · shown as whole dollars  [derived by rule — confirm]</t>
        </is>
      </c>
      <c r="L25" t="inlineStr">
        <is>
          <t>Adds up to $0 when there is nothing to add. Zero and "nothing recorded yet" look identical on screen — worth a decision.</t>
        </is>
      </c>
      <c r="M25" t="inlineStr">
        <is>
          <t>One figure per person — or per household when two people share one record  [derived by rule — confirm]</t>
        </is>
      </c>
      <c r="N25" t="inlineStr">
        <is>
          <t>As of today, from the latest figures held  [derived by rule — confirm]</t>
        </is>
      </c>
      <c r="O25" t="inlineStr">
        <is>
          <t>NOT DETERMINED</t>
        </is>
      </c>
      <c r="P25" t="inlineStr"/>
      <c r="Q25" t="inlineStr"/>
      <c r="R25" t="inlineStr">
        <is>
          <t>NOT DETERMINED — no assumption recorded for this figure yet.</t>
        </is>
      </c>
      <c r="S25" t="inlineStr"/>
      <c r="T25" t="inlineStr">
        <is>
          <t>Q29 — What size of shock should the test use by default, and should it be a fixed dollar figure or a share of the person's spending?</t>
        </is>
      </c>
      <c r="U25" t="inlineStr"/>
      <c r="V25" t="inlineStr"/>
      <c r="W25" t="inlineStr">
        <is>
          <t>NOT DETERMINED</t>
        </is>
      </c>
      <c r="X25" t="inlineStr">
        <is>
          <t>VERIFIED 2026-08-22</t>
        </is>
      </c>
    </row>
    <row r="26">
      <c r="A26" t="inlineStr">
        <is>
          <t>MK-MN-M-025</t>
        </is>
      </c>
      <c r="B26" t="inlineStr">
        <is>
          <t>Menu</t>
        </is>
      </c>
      <c r="C26" t="inlineStr">
        <is>
          <t>/stress-test</t>
        </is>
      </c>
      <c r="D26" t="inlineStr">
        <is>
          <t>You'd have $X left — about N months of essentials</t>
        </is>
      </c>
      <c r="E26" t="inlineStr">
        <is>
          <t>r.cashAfter / r.runwayAfter</t>
        </is>
      </c>
      <c r="F26" t="inlineStr">
        <is>
          <t>STRESS_TEST</t>
        </is>
      </c>
      <c r="G26" t="inlineStr">
        <is>
          <t>MK-MN-E-013</t>
        </is>
      </c>
      <c r="H26" t="inlineStr">
        <is>
          <t>cash after = cash − the shock;  runway after = cash after ÷ essentials a month</t>
        </is>
      </c>
      <c r="I26" t="inlineStr">
        <is>
          <t>Takes a one-off hit out of the cash on hand and shows what would be left and how many months of essentials it would cover.</t>
        </is>
      </c>
      <c r="J26" t="inlineStr">
        <is>
          <t>NOT DETERMINED — no input list on record for this engine</t>
        </is>
      </c>
      <c r="K26" t="inlineStr">
        <is>
          <t>Months · one decimal  [derived by rule — confirm]</t>
        </is>
      </c>
      <c r="L26" t="inlineStr">
        <is>
          <t>Adds up to $0 when there is nothing to add. Zero and "nothing recorded yet" look identical on screen — worth a decision.</t>
        </is>
      </c>
      <c r="M26" t="inlineStr">
        <is>
          <t>One figure per month  [derived by rule — confirm]</t>
        </is>
      </c>
      <c r="N26" t="inlineStr">
        <is>
          <t>As of today, from the latest figures held  [derived by rule — confirm]</t>
        </is>
      </c>
      <c r="O26" t="inlineStr">
        <is>
          <t>NOT DETERMINED</t>
        </is>
      </c>
      <c r="P26" t="inlineStr"/>
      <c r="Q26" t="inlineStr"/>
      <c r="R26" t="inlineStr">
        <is>
          <t>NOT DETERMINED — no assumption recorded for this figure yet.</t>
        </is>
      </c>
      <c r="S26" t="inlineStr"/>
      <c r="T26" t="inlineStr"/>
      <c r="U26" t="inlineStr"/>
      <c r="V26" t="inlineStr"/>
      <c r="W26" t="inlineStr">
        <is>
          <t>NOT DETERMINED</t>
        </is>
      </c>
      <c r="X26" t="inlineStr">
        <is>
          <t>VERIFIED 2026-08-22</t>
        </is>
      </c>
    </row>
    <row r="27">
      <c r="A27" t="inlineStr">
        <is>
          <t>MK-MN-M-026</t>
        </is>
      </c>
      <c r="B27" t="inlineStr">
        <is>
          <t>Menu</t>
        </is>
      </c>
      <c r="C27" t="inlineStr">
        <is>
          <t>/stress-test</t>
        </is>
      </c>
      <c r="D27" t="inlineStr">
        <is>
          <t>your $X/mo of must-pay bills</t>
        </is>
      </c>
      <c r="E27" t="inlineStr">
        <is>
          <t>ess</t>
        </is>
      </c>
      <c r="F27" t="inlineStr">
        <is>
          <t>PLANNED_SPENDING</t>
        </is>
      </c>
      <c r="G27" t="inlineStr">
        <is>
          <t>MK-CF-E-007</t>
        </is>
      </c>
      <c r="H27" t="inlineStr">
        <is>
          <t>planned a month = Σ(each category’s planned amount);  remaining = planned − spent</t>
        </is>
      </c>
      <c r="I27" t="inlineStr">
        <is>
          <t>The LARGER of two answers: the categories added up, or the single monthly figure they typed.
The larger wins deliberately. Someone may answer both and the two rarely agree, and understating spending is the direction that FLATTERS a plan — it makes the odds look better than they are. Taking the larger errs toward the cautious side.</t>
        </is>
      </c>
      <c r="J27" t="inlineStr">
        <is>
          <t>the categories → SPENDING_BY_KIND  [MK-XS-I-024] · the single figure → monthlySpending  [MK-XS-I-024, MK-XS-I-030]</t>
        </is>
      </c>
      <c r="K27" t="inlineStr">
        <is>
          <t>US dollars · held to the cent · shown as whole dollars  [derived by rule — confirm]</t>
        </is>
      </c>
      <c r="L27" t="inlineStr">
        <is>
          <t>Adds up to $0 when there is nothing to add. Zero and "nothing recorded yet" look identical on screen — worth a decision.</t>
        </is>
      </c>
      <c r="M27" t="inlineStr">
        <is>
          <t>One figure per person — or per household when two people share one record  [derived by rule — confirm]</t>
        </is>
      </c>
      <c r="N27" t="inlineStr">
        <is>
          <t>As of today, from the latest figures held  [derived by rule — confirm]</t>
        </is>
      </c>
      <c r="O27" t="inlineStr">
        <is>
          <t>READ_A_NUMBER · SPENDING_BY_KIND</t>
        </is>
      </c>
      <c r="P27" t="inlineStr"/>
      <c r="Q27" t="inlineStr"/>
      <c r="R27" t="inlineStr">
        <is>
          <t>NOT DETERMINED — no assumption recorded for this figure yet.</t>
        </is>
      </c>
      <c r="S27" t="inlineStr"/>
      <c r="T27" t="inlineStr"/>
      <c r="U27" t="inlineStr"/>
      <c r="V27" t="inlineStr"/>
      <c r="W27" t="inlineStr">
        <is>
          <t>NOT DETERMINED</t>
        </is>
      </c>
      <c r="X27" t="inlineStr">
        <is>
          <t>VERIFIED 2026-08-22</t>
        </is>
      </c>
    </row>
    <row r="28">
      <c r="A28" t="inlineStr">
        <is>
          <t>MK-MN-M-027</t>
        </is>
      </c>
      <c r="B28" t="inlineStr">
        <is>
          <t>Menu</t>
        </is>
      </c>
      <c r="C28" t="inlineStr">
        <is>
          <t>/tax-organizer</t>
        </is>
      </c>
      <c r="D28" t="inlineStr">
        <is>
          <t>each taxable line and its amount</t>
        </is>
      </c>
      <c r="E28" t="inlineStr">
        <is>
          <t>l.amount</t>
        </is>
      </c>
      <c r="F28" t="inlineStr">
        <is>
          <t>TAXABLE_INCOME</t>
        </is>
      </c>
      <c r="G28" t="inlineStr">
        <is>
          <t>MK-MN-E-014</t>
        </is>
      </c>
      <c r="H28" t="inlineStr">
        <is>
          <t>taxable income = gross income − pre-tax contributions − the deduction for the filing status and age</t>
        </is>
      </c>
      <c r="I28" t="inlineStr">
        <is>
          <t>gross − the deduction for that filing status: $16,100 single · $32,200 married · $24,150 head of household.</t>
        </is>
      </c>
      <c r="J28" t="inlineStr">
        <is>
          <t>gross → gross  [NO INPUT ID — not on the inputs tab] · how they file → status  [NO INPUT ID — not on the inputs tab]</t>
        </is>
      </c>
      <c r="K28" t="inlineStr">
        <is>
          <t>US dollars · held to the cent · shown as whole dollars  [derived by rule — confirm]</t>
        </is>
      </c>
      <c r="L28" t="inlineStr">
        <is>
          <t>NOT DETERMINED — this engine has not been read for its refusal yet.</t>
        </is>
      </c>
      <c r="M28" t="inlineStr">
        <is>
          <t>One figure per person — or per household when two people share one record  [derived by rule — confirm]</t>
        </is>
      </c>
      <c r="N28" t="inlineStr">
        <is>
          <t>As of today, from the latest figures held  [derived by rule — confirm]</t>
        </is>
      </c>
      <c r="O28" t="inlineStr">
        <is>
          <t>TAX_DEDUCTION</t>
        </is>
      </c>
      <c r="P28" t="inlineStr"/>
      <c r="Q28" t="inlineStr"/>
      <c r="R28" t="inlineStr">
        <is>
          <t>[Founder] Explicit tables per filing status. A married band is not twice the single band — the 37% band starts at $768,700, not at double the single figure.</t>
        </is>
      </c>
      <c r="S28" t="inlineStr"/>
      <c r="T28" t="inlineStr">
        <is>
          <t>Q24 — State tax is applied to taxable accounts only. Do you want a state rate captured per person, or to keep the single blended figure we use now?</t>
        </is>
      </c>
      <c r="U28" t="inlineStr"/>
      <c r="V28" t="inlineStr"/>
      <c r="W28" t="inlineStr">
        <is>
          <t>NOT DETERMINED</t>
        </is>
      </c>
      <c r="X28" t="inlineStr">
        <is>
          <t>VERIFIED 2026-08-22</t>
        </is>
      </c>
    </row>
    <row r="29">
      <c r="A29" t="inlineStr">
        <is>
          <t>MK-MN-M-028</t>
        </is>
      </c>
      <c r="B29" t="inlineStr">
        <is>
          <t>Menu</t>
        </is>
      </c>
      <c r="C29" t="inlineStr">
        <is>
          <t>/tax-organizer</t>
        </is>
      </c>
      <c r="D29" t="inlineStr">
        <is>
          <t>Taxable income · Non-taxable</t>
        </is>
      </c>
      <c r="E29" t="inlineStr">
        <is>
          <t>org.taxableTotal</t>
        </is>
      </c>
      <c r="F29" t="inlineStr">
        <is>
          <t>TAXABLE_INCOME</t>
        </is>
      </c>
      <c r="G29" t="inlineStr">
        <is>
          <t>MK-MN-E-014</t>
        </is>
      </c>
      <c r="H29" t="inlineStr">
        <is>
          <t>taxable income = gross income − pre-tax contributions − the deduction for the filing status and age</t>
        </is>
      </c>
      <c r="I29" t="inlineStr">
        <is>
          <t>gross − the deduction for that filing status: $16,100 single · $32,200 married · $24,150 head of household.</t>
        </is>
      </c>
      <c r="J29" t="inlineStr">
        <is>
          <t>gross → gross  [NO INPUT ID — not on the inputs tab] · how they file → status  [NO INPUT ID — not on the inputs tab]</t>
        </is>
      </c>
      <c r="K29" t="inlineStr">
        <is>
          <t>US dollars · held to the cent · shown as whole dollars  [derived by rule — confirm]</t>
        </is>
      </c>
      <c r="L29" t="inlineStr">
        <is>
          <t>NOT DETERMINED — this engine has not been read for its refusal yet.</t>
        </is>
      </c>
      <c r="M29" t="inlineStr">
        <is>
          <t>One figure per person — or per household when two people share one record  [derived by rule — confirm]</t>
        </is>
      </c>
      <c r="N29" t="inlineStr">
        <is>
          <t>As of today, from the latest figures held  [derived by rule — confirm]</t>
        </is>
      </c>
      <c r="O29" t="inlineStr">
        <is>
          <t>TAX_DEDUCTION</t>
        </is>
      </c>
      <c r="P29" t="inlineStr"/>
      <c r="Q29" t="inlineStr"/>
      <c r="R29" t="inlineStr">
        <is>
          <t>[Founder] Explicit tables per filing status. A married band is not twice the single band — the 37% band starts at $768,700, not at double the single figure.</t>
        </is>
      </c>
      <c r="S29" t="inlineStr"/>
      <c r="T29" t="inlineStr"/>
      <c r="U29" t="inlineStr"/>
      <c r="V29" t="inlineStr"/>
      <c r="W29" t="inlineStr">
        <is>
          <t>NOT DETERMINED</t>
        </is>
      </c>
      <c r="X29" t="inlineStr">
        <is>
          <t>VERIFIED 2026-08-22</t>
        </is>
      </c>
    </row>
    <row r="30">
      <c r="A30" t="inlineStr">
        <is>
          <t>MK-MN-M-029</t>
        </is>
      </c>
      <c r="B30" t="inlineStr">
        <is>
          <t>Menu</t>
        </is>
      </c>
      <c r="C30" t="inlineStr">
        <is>
          <t>/tax-organizer</t>
        </is>
      </c>
      <c r="D30" t="inlineStr">
        <is>
          <t>each contribution and its amount</t>
        </is>
      </c>
      <c r="E30" t="inlineStr">
        <is>
          <t>c.amount</t>
        </is>
      </c>
      <c r="F30" t="inlineStr">
        <is>
          <t>CONTRIBUTION_ROOM</t>
        </is>
      </c>
      <c r="G30" t="inlineStr">
        <is>
          <t>MK-MN-E-002</t>
        </is>
      </c>
      <c r="H30" t="inlineStr">
        <is>
          <t>room left = the year’s limit − what has already gone in;  per month = room left ÷ months left in the year</t>
        </is>
      </c>
      <c r="I30" t="inlineStr">
        <is>
          <t>Takes the year's legal limit for the account, subtracts what has already gone in, and divides what is left by the months remaining.</t>
        </is>
      </c>
      <c r="J30" t="inlineStr">
        <is>
          <t>NOT DETERMINED — no input list on record for this engine</t>
        </is>
      </c>
      <c r="K30" t="inlineStr">
        <is>
          <t>US dollars · held to the cent · shown as whole dollars  [derived by rule — confirm]</t>
        </is>
      </c>
      <c r="L30" t="inlineStr">
        <is>
          <t>A division: with nothing on the bottom there is no answer, and the line must not appear as zero. NOT YET CONFIRMED against the engine.</t>
        </is>
      </c>
      <c r="M30" t="inlineStr">
        <is>
          <t>One figure per person — or per household when two people share one record  [derived by rule — confirm]</t>
        </is>
      </c>
      <c r="N30" t="inlineStr">
        <is>
          <t>As of today, from the latest figures held  [derived by rule — confirm]</t>
        </is>
      </c>
      <c r="O30" t="inlineStr">
        <is>
          <t>NOT DETERMINED</t>
        </is>
      </c>
      <c r="P30" t="inlineStr"/>
      <c r="Q30" t="inlineStr"/>
      <c r="R30" t="inlineStr">
        <is>
          <t>NOT DETERMINED — no assumption recorded for this figure yet.</t>
        </is>
      </c>
      <c r="S30" t="inlineStr"/>
      <c r="T30" t="inlineStr"/>
      <c r="U30" t="inlineStr"/>
      <c r="V30" t="inlineStr"/>
      <c r="W30" t="inlineStr">
        <is>
          <t>NOT DETERMINED</t>
        </is>
      </c>
      <c r="X30" t="inlineStr">
        <is>
          <t>VERIFIED 2026-08-22</t>
        </is>
      </c>
    </row>
    <row r="31">
      <c r="A31" t="inlineStr">
        <is>
          <t>MK-MN-M-030</t>
        </is>
      </c>
      <c r="B31" t="inlineStr">
        <is>
          <t>Menu</t>
        </is>
      </c>
      <c r="C31" t="inlineStr">
        <is>
          <t>/worth-a-look</t>
        </is>
      </c>
      <c r="D31" t="inlineStr">
        <is>
          <t>$X left &lt;account&gt; on &lt;date&gt;</t>
        </is>
      </c>
      <c r="E31" t="inlineStr">
        <is>
          <t>f.amount</t>
        </is>
      </c>
      <c r="F31" t="inlineStr">
        <is>
          <t>NOT IN OLD MASTER — the outflow watch, src/domain/insights</t>
        </is>
      </c>
      <c r="G31" t="inlineStr">
        <is>
          <t>MK-MN-E-015</t>
        </is>
      </c>
      <c r="H31" t="inlineStr">
        <is>
          <t>flagged when money left an account and has not arrived anywhere else</t>
        </is>
      </c>
      <c r="I31" t="inlineStr">
        <is>
          <t>Notices money leaving an account so it can be asked about rather than quietly lost.</t>
        </is>
      </c>
      <c r="J31" t="inlineStr">
        <is>
          <t>NOT DETERMINED — no input list on record for this engine</t>
        </is>
      </c>
      <c r="K31" t="inlineStr">
        <is>
          <t>A count · whole units, except crypto which keeps its fractions  [derived by rule — confirm]</t>
        </is>
      </c>
      <c r="L31" t="inlineStr">
        <is>
          <t>NOT DETERMINED — this engine has not been read for its refusal yet.</t>
        </is>
      </c>
      <c r="M31" t="inlineStr">
        <is>
          <t>One figure per account  [derived by rule — confirm]</t>
        </is>
      </c>
      <c r="N31" t="inlineStr">
        <is>
          <t>As of today, from the latest figures held  [derived by rule — confirm]</t>
        </is>
      </c>
      <c r="O31" t="inlineStr">
        <is>
          <t>NOT DETERMINED</t>
        </is>
      </c>
      <c r="P31" t="inlineStr"/>
      <c r="Q31" t="inlineStr"/>
      <c r="R31" t="inlineStr">
        <is>
          <t>NOT DETERMINED — no assumption recorded for this figure yet.</t>
        </is>
      </c>
      <c r="S31" t="inlineStr"/>
      <c r="T31" t="inlineStr"/>
      <c r="U31" t="inlineStr"/>
      <c r="V31" t="inlineStr"/>
      <c r="W31" t="inlineStr">
        <is>
          <t>NOT DETERMINED</t>
        </is>
      </c>
      <c r="X31" t="inlineStr">
        <is>
          <t>VERIFIED 2026-08-22</t>
        </is>
      </c>
    </row>
    <row r="32">
      <c r="A32" t="inlineStr"/>
      <c r="B32" t="inlineStr">
        <is>
          <t>Menu</t>
        </is>
      </c>
      <c r="C32" t="inlineStr">
        <is>
          <t>/auth</t>
        </is>
      </c>
      <c r="D32" t="inlineStr">
        <is>
          <t>—</t>
        </is>
      </c>
      <c r="E32" t="inlineStr">
        <is>
          <t>—</t>
        </is>
      </c>
      <c r="F32" t="inlineStr">
        <is>
          <t>—</t>
        </is>
      </c>
      <c r="G32" t="inlineStr"/>
      <c r="H32" t="inlineStr"/>
      <c r="I32" t="inlineStr"/>
      <c r="J32" t="inlineStr"/>
      <c r="K32" t="inlineStr"/>
      <c r="L32" t="inlineStr"/>
      <c r="M32" t="inlineStr"/>
      <c r="N32" t="inlineStr"/>
      <c r="O32" t="inlineStr"/>
      <c r="P32" t="inlineStr"/>
      <c r="Q32" t="inlineStr"/>
      <c r="R32" t="inlineStr"/>
      <c r="S32" t="inlineStr"/>
      <c r="T32" t="inlineStr"/>
      <c r="U32" t="inlineStr"/>
      <c r="V32" t="inlineStr">
        <is>
          <t>NOT DETERMINED</t>
        </is>
      </c>
      <c r="W32" t="inlineStr">
        <is>
          <t>READ 2026-08-22 — no calculated figure on this screen</t>
        </is>
      </c>
    </row>
    <row r="33">
      <c r="A33" t="inlineStr"/>
      <c r="B33" t="inlineStr">
        <is>
          <t>Menu</t>
        </is>
      </c>
      <c r="C33" t="inlineStr">
        <is>
          <t>/estate</t>
        </is>
      </c>
      <c r="D33" t="inlineStr">
        <is>
          <t>—</t>
        </is>
      </c>
      <c r="E33" t="inlineStr">
        <is>
          <t>—</t>
        </is>
      </c>
      <c r="F33" t="inlineStr">
        <is>
          <t>—</t>
        </is>
      </c>
      <c r="G33" t="inlineStr"/>
      <c r="H33" t="inlineStr"/>
      <c r="I33" t="inlineStr"/>
      <c r="J33" t="inlineStr"/>
      <c r="K33" t="inlineStr"/>
      <c r="L33" t="inlineStr"/>
      <c r="M33" t="inlineStr"/>
      <c r="N33" t="inlineStr"/>
      <c r="O33" t="inlineStr"/>
      <c r="P33" t="inlineStr"/>
      <c r="Q33" t="inlineStr"/>
      <c r="R33" t="inlineStr"/>
      <c r="S33" t="inlineStr"/>
      <c r="T33" t="inlineStr"/>
      <c r="U33" t="inlineStr"/>
      <c r="V33" t="inlineStr">
        <is>
          <t>NOT DETERMINED</t>
        </is>
      </c>
      <c r="W33" t="inlineStr">
        <is>
          <t>READ 2026-08-22 — no calculated figure on this screen</t>
        </is>
      </c>
    </row>
    <row r="34">
      <c r="A34" t="inlineStr"/>
      <c r="B34" t="inlineStr">
        <is>
          <t>Menu</t>
        </is>
      </c>
      <c r="C34" t="inlineStr">
        <is>
          <t>/first-run</t>
        </is>
      </c>
      <c r="D34" t="inlineStr">
        <is>
          <t>—</t>
        </is>
      </c>
      <c r="E34" t="inlineStr">
        <is>
          <t>—</t>
        </is>
      </c>
      <c r="F34" t="inlineStr">
        <is>
          <t>—</t>
        </is>
      </c>
      <c r="G34" t="inlineStr"/>
      <c r="H34" t="inlineStr"/>
      <c r="I34" t="inlineStr"/>
      <c r="J34" t="inlineStr"/>
      <c r="K34" t="inlineStr"/>
      <c r="L34" t="inlineStr"/>
      <c r="M34" t="inlineStr"/>
      <c r="N34" t="inlineStr"/>
      <c r="O34" t="inlineStr"/>
      <c r="P34" t="inlineStr"/>
      <c r="Q34" t="inlineStr"/>
      <c r="R34" t="inlineStr"/>
      <c r="S34" t="inlineStr"/>
      <c r="T34" t="inlineStr"/>
      <c r="U34" t="inlineStr"/>
      <c r="V34" t="inlineStr">
        <is>
          <t>NOT DETERMINED</t>
        </is>
      </c>
      <c r="W34" t="inlineStr">
        <is>
          <t>READ 2026-08-22 — no calculated figure on this screen</t>
        </is>
      </c>
    </row>
    <row r="35">
      <c r="A35" t="inlineStr"/>
      <c r="B35" t="inlineStr">
        <is>
          <t>Menu</t>
        </is>
      </c>
      <c r="C35" t="inlineStr">
        <is>
          <t>/income</t>
        </is>
      </c>
      <c r="D35" t="inlineStr">
        <is>
          <t>—</t>
        </is>
      </c>
      <c r="E35" t="inlineStr">
        <is>
          <t>—</t>
        </is>
      </c>
      <c r="F35" t="inlineStr">
        <is>
          <t>—</t>
        </is>
      </c>
      <c r="G35" t="inlineStr"/>
      <c r="H35" t="inlineStr"/>
      <c r="I35" t="inlineStr"/>
      <c r="J35" t="inlineStr"/>
      <c r="K35" t="inlineStr"/>
      <c r="L35" t="inlineStr"/>
      <c r="M35" t="inlineStr"/>
      <c r="N35" t="inlineStr"/>
      <c r="O35" t="inlineStr"/>
      <c r="P35" t="inlineStr"/>
      <c r="Q35" t="inlineStr"/>
      <c r="R35" t="inlineStr"/>
      <c r="S35" t="inlineStr"/>
      <c r="T35" t="inlineStr"/>
      <c r="U35" t="inlineStr"/>
      <c r="V35" t="inlineStr">
        <is>
          <t>NOT DETERMINED</t>
        </is>
      </c>
      <c r="W35" t="inlineStr">
        <is>
          <t>READ 2026-08-22 — no calculated figure on this screen</t>
        </is>
      </c>
    </row>
    <row r="36">
      <c r="A36" t="inlineStr"/>
      <c r="B36" t="inlineStr">
        <is>
          <t>Menu</t>
        </is>
      </c>
      <c r="C36" t="inlineStr">
        <is>
          <t>/rewards</t>
        </is>
      </c>
      <c r="D36" t="inlineStr">
        <is>
          <t>—</t>
        </is>
      </c>
      <c r="E36" t="inlineStr">
        <is>
          <t>—</t>
        </is>
      </c>
      <c r="F36" t="inlineStr">
        <is>
          <t>—</t>
        </is>
      </c>
      <c r="G36" t="inlineStr"/>
      <c r="H36" t="inlineStr"/>
      <c r="I36" t="inlineStr"/>
      <c r="J36" t="inlineStr"/>
      <c r="K36" t="inlineStr"/>
      <c r="L36" t="inlineStr"/>
      <c r="M36" t="inlineStr"/>
      <c r="N36" t="inlineStr"/>
      <c r="O36" t="inlineStr"/>
      <c r="P36" t="inlineStr"/>
      <c r="Q36" t="inlineStr"/>
      <c r="R36" t="inlineStr"/>
      <c r="S36" t="inlineStr"/>
      <c r="T36" t="inlineStr"/>
      <c r="U36" t="inlineStr"/>
      <c r="V36" t="inlineStr">
        <is>
          <t>NOT DETERMINED</t>
        </is>
      </c>
      <c r="W36" t="inlineStr">
        <is>
          <t>READ 2026-08-22 — no calculated figure on this screen</t>
        </is>
      </c>
    </row>
    <row r="37">
      <c r="A37" t="inlineStr"/>
      <c r="B37" t="inlineStr">
        <is>
          <t>Menu</t>
        </is>
      </c>
      <c r="C37" t="inlineStr">
        <is>
          <t>/settings</t>
        </is>
      </c>
      <c r="D37" t="inlineStr">
        <is>
          <t>—</t>
        </is>
      </c>
      <c r="E37" t="inlineStr">
        <is>
          <t>—</t>
        </is>
      </c>
      <c r="F37" t="inlineStr">
        <is>
          <t>—</t>
        </is>
      </c>
      <c r="G37" t="inlineStr"/>
      <c r="H37" t="inlineStr"/>
      <c r="I37" t="inlineStr"/>
      <c r="J37" t="inlineStr"/>
      <c r="K37" t="inlineStr"/>
      <c r="L37" t="inlineStr"/>
      <c r="M37" t="inlineStr"/>
      <c r="N37" t="inlineStr"/>
      <c r="O37" t="inlineStr"/>
      <c r="P37" t="inlineStr"/>
      <c r="Q37" t="inlineStr"/>
      <c r="R37" t="inlineStr"/>
      <c r="S37" t="inlineStr"/>
      <c r="T37" t="inlineStr"/>
      <c r="U37" t="inlineStr"/>
      <c r="V37" t="inlineStr">
        <is>
          <t>NOT DETERMINED</t>
        </is>
      </c>
      <c r="W37" t="inlineStr">
        <is>
          <t>READ 2026-08-22 — no calculated figure on this screen</t>
        </is>
      </c>
    </row>
    <row r="38">
      <c r="A38" t="inlineStr"/>
      <c r="B38" t="inlineStr">
        <is>
          <t>Menu</t>
        </is>
      </c>
      <c r="C38" t="inlineStr">
        <is>
          <t>/tips</t>
        </is>
      </c>
      <c r="D38" t="inlineStr">
        <is>
          <t>—</t>
        </is>
      </c>
      <c r="E38" t="inlineStr">
        <is>
          <t>—</t>
        </is>
      </c>
      <c r="F38" t="inlineStr">
        <is>
          <t>—</t>
        </is>
      </c>
      <c r="G38" t="inlineStr"/>
      <c r="H38" t="inlineStr"/>
      <c r="I38" t="inlineStr"/>
      <c r="J38" t="inlineStr"/>
      <c r="K38" t="inlineStr"/>
      <c r="L38" t="inlineStr"/>
      <c r="M38" t="inlineStr"/>
      <c r="N38" t="inlineStr"/>
      <c r="O38" t="inlineStr"/>
      <c r="P38" t="inlineStr"/>
      <c r="Q38" t="inlineStr"/>
      <c r="R38" t="inlineStr"/>
      <c r="S38" t="inlineStr"/>
      <c r="T38" t="inlineStr"/>
      <c r="U38" t="inlineStr"/>
      <c r="V38" t="inlineStr">
        <is>
          <t>NOT DETERMINED</t>
        </is>
      </c>
      <c r="W38" t="inlineStr">
        <is>
          <t>READ 2026-08-22 — no calculated figure on this screen</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G32"/>
  <sheetViews>
    <sheetView workbookViewId="0">
      <pane ySplit="1" topLeftCell="A2" activePane="bottomLeft" state="frozen"/>
      <selection pane="bottomLeft" activeCell="A1" sqref="A1"/>
    </sheetView>
  </sheetViews>
  <sheetFormatPr baseColWidth="8" defaultRowHeight="15"/>
  <cols>
    <col width="16" customWidth="1" min="1" max="1"/>
    <col width="21" customWidth="1" min="2" max="2"/>
    <col width="14" customWidth="1" min="3" max="3"/>
    <col width="28" customWidth="1" min="4" max="4"/>
    <col width="28" customWidth="1" min="5" max="5"/>
    <col width="17" customWidth="1" min="6" max="6"/>
    <col width="18" customWidth="1" min="7" max="7"/>
  </cols>
  <sheetData>
    <row r="1">
      <c r="A1" s="1" t="inlineStr">
        <is>
          <t>Input ID</t>
        </is>
      </c>
      <c r="B1" s="1" t="inlineStr">
        <is>
          <t>Variable name</t>
        </is>
      </c>
      <c r="C1" s="1" t="inlineStr">
        <is>
          <t>Source</t>
        </is>
      </c>
      <c r="D1" s="1" t="inlineStr">
        <is>
          <t>Which metric uses it</t>
        </is>
      </c>
      <c r="E1" s="1" t="inlineStr">
        <is>
          <t>Which engine uses it</t>
        </is>
      </c>
      <c r="F1" s="1" t="inlineStr">
        <is>
          <t>Engine ID</t>
        </is>
      </c>
      <c r="G1" s="1" t="inlineStr">
        <is>
          <t>Row status</t>
        </is>
      </c>
    </row>
    <row r="2">
      <c r="A2" t="inlineStr">
        <is>
          <t>MK-XS-I-001</t>
        </is>
      </c>
      <c r="B2" t="inlineStr">
        <is>
          <t>account balance</t>
        </is>
      </c>
      <c r="C2" t="inlineStr">
        <is>
          <t>the institution download, a connection, or typed by hand</t>
        </is>
      </c>
      <c r="D2" t="inlineStr">
        <is>
          <t>net worth · what you own · cushion · required withdrawal</t>
        </is>
      </c>
      <c r="E2" t="inlineStr">
        <is>
          <t>NET_WORTH · TOTAL_CASH · TOTAL_INVESTMENTS · REQUIRED_WITHDRAWAL</t>
        </is>
      </c>
      <c r="F2" t="inlineStr">
        <is>
          <t>MK-XS-E-001 · MK-XS-E-003 · MK-NW-E-004 · MK-PL-E-008</t>
        </is>
      </c>
      <c r="G2" t="inlineStr">
        <is>
          <t>VERIFIED 2026-08-22</t>
        </is>
      </c>
    </row>
    <row r="3">
      <c r="A3" t="inlineStr">
        <is>
          <t>MK-XS-I-002</t>
        </is>
      </c>
      <c r="B3" t="inlineStr">
        <is>
          <t>account type (taxable, pre-tax, Roth)</t>
        </is>
      </c>
      <c r="C3" t="inlineStr">
        <is>
          <t>typed at setup, or guessed from the account name</t>
        </is>
      </c>
      <c r="D3" t="inlineStr">
        <is>
          <t>how this account is taxed · required withdrawal · Roth move</t>
        </is>
      </c>
      <c r="E3" t="inlineStr">
        <is>
          <t>TAX_TREATMENT · REQUIRED_WITHDRAWAL</t>
        </is>
      </c>
      <c r="F3" t="inlineStr">
        <is>
          <t>MK-PL-E-008</t>
        </is>
      </c>
      <c r="G3" t="inlineStr">
        <is>
          <t>VERIFIED 2026-08-22</t>
        </is>
      </c>
    </row>
    <row r="4">
      <c r="A4" t="inlineStr">
        <is>
          <t>MK-XS-I-003</t>
        </is>
      </c>
      <c r="B4" t="inlineStr">
        <is>
          <t>institution name</t>
        </is>
      </c>
      <c r="C4" t="inlineStr">
        <is>
          <t>the download or the connection</t>
        </is>
      </c>
      <c r="D4" t="inlineStr">
        <is>
          <t>net worth by institution · account rows</t>
        </is>
      </c>
      <c r="E4" t="inlineStr">
        <is>
          <t>ACCOUNT_SPLIT</t>
        </is>
      </c>
      <c r="F4" t="inlineStr">
        <is>
          <t>MK-NW-E-006</t>
        </is>
      </c>
      <c r="G4" t="inlineStr">
        <is>
          <t>VERIFIED 2026-08-22</t>
        </is>
      </c>
    </row>
    <row r="5">
      <c r="A5" t="inlineStr">
        <is>
          <t>MK-XS-I-004</t>
        </is>
      </c>
      <c r="B5" t="inlineStr">
        <is>
          <t>holding quantity (shares)</t>
        </is>
      </c>
      <c r="C5" t="inlineStr">
        <is>
          <t>the download, a connection, or typed</t>
        </is>
      </c>
      <c r="D5" t="inlineStr">
        <is>
          <t>current value · cost basis · gains</t>
        </is>
      </c>
      <c r="E5" t="inlineStr">
        <is>
          <t>HOLDING_SHARES · HOLDING_MARKET_VALUE</t>
        </is>
      </c>
      <c r="F5" t="inlineStr">
        <is>
          <t>MK-NW-E-023 · MK-NW-E-024</t>
        </is>
      </c>
      <c r="G5" t="inlineStr">
        <is>
          <t>VERIFIED 2026-08-22</t>
        </is>
      </c>
    </row>
    <row r="6">
      <c r="A6" t="inlineStr">
        <is>
          <t>MK-XS-I-005</t>
        </is>
      </c>
      <c r="B6" t="inlineStr">
        <is>
          <t>holding price</t>
        </is>
      </c>
      <c r="C6" t="inlineStr">
        <is>
          <t>the price feed</t>
        </is>
      </c>
      <c r="D6" t="inlineStr">
        <is>
          <t>current value · today's market value · freshness</t>
        </is>
      </c>
      <c r="E6" t="inlineStr">
        <is>
          <t>HOLDING_MARKET_VALUE · PRICE_FRESHNESS</t>
        </is>
      </c>
      <c r="F6" t="inlineStr">
        <is>
          <t>MK-HM-E-001 · MK-NW-E-023</t>
        </is>
      </c>
      <c r="G6" t="inlineStr">
        <is>
          <t>VERIFIED 2026-08-22</t>
        </is>
      </c>
    </row>
    <row r="7">
      <c r="A7" t="inlineStr">
        <is>
          <t>MK-XS-I-006</t>
        </is>
      </c>
      <c r="B7" t="inlineStr">
        <is>
          <t>price fetched at</t>
        </is>
      </c>
      <c r="C7" t="inlineStr">
        <is>
          <t>the app, when it last asked for prices</t>
        </is>
      </c>
      <c r="D7" t="inlineStr">
        <is>
          <t>prices updated &lt;when&gt;</t>
        </is>
      </c>
      <c r="E7" t="inlineStr">
        <is>
          <t>PRICE_FRESHNESS</t>
        </is>
      </c>
      <c r="F7" t="inlineStr">
        <is>
          <t>MK-HM-E-001</t>
        </is>
      </c>
      <c r="G7" t="inlineStr">
        <is>
          <t>VERIFIED 2026-08-22</t>
        </is>
      </c>
    </row>
    <row r="8">
      <c r="A8" t="inlineStr">
        <is>
          <t>MK-XS-I-007</t>
        </is>
      </c>
      <c r="B8" t="inlineStr">
        <is>
          <t>purchase price and date (per lot)</t>
        </is>
      </c>
      <c r="C8" t="inlineStr">
        <is>
          <t>the download or typed</t>
        </is>
      </c>
      <c r="D8" t="inlineStr">
        <is>
          <t>price paid · total paid · long or short-term gain</t>
        </is>
      </c>
      <c r="E8" t="inlineStr">
        <is>
          <t>HOLDING_COST_BASIS · HOLDING_CAP_GAINS</t>
        </is>
      </c>
      <c r="F8" t="inlineStr">
        <is>
          <t>MK-NW-E-025 · MK-NW-E-028</t>
        </is>
      </c>
      <c r="G8" t="inlineStr">
        <is>
          <t>VERIFIED 2026-08-22</t>
        </is>
      </c>
    </row>
    <row r="9">
      <c r="A9" t="inlineStr">
        <is>
          <t>MK-XS-I-008</t>
        </is>
      </c>
      <c r="B9" t="inlineStr">
        <is>
          <t>transaction amount</t>
        </is>
      </c>
      <c r="C9" t="inlineStr">
        <is>
          <t>the institution download</t>
        </is>
      </c>
      <c r="D9" t="inlineStr">
        <is>
          <t>contributions · withdrawals · income · the change walk</t>
        </is>
      </c>
      <c r="E9" t="inlineStr">
        <is>
          <t>LEDGER · NW_CHANGE_WALK</t>
        </is>
      </c>
      <c r="F9" t="inlineStr">
        <is>
          <t>MK-PF-E-001</t>
        </is>
      </c>
      <c r="G9" t="inlineStr">
        <is>
          <t>VERIFIED 2026-08-22</t>
        </is>
      </c>
    </row>
    <row r="10">
      <c r="A10" t="inlineStr">
        <is>
          <t>MK-XS-I-009</t>
        </is>
      </c>
      <c r="B10" t="inlineStr">
        <is>
          <t>transaction date</t>
        </is>
      </c>
      <c r="C10" t="inlineStr">
        <is>
          <t>the institution download</t>
        </is>
      </c>
      <c r="D10" t="inlineStr">
        <is>
          <t>the period a figure covers · the change walk</t>
        </is>
      </c>
      <c r="E10" t="inlineStr">
        <is>
          <t>LEDGER · NW_CHANGE_WALK</t>
        </is>
      </c>
      <c r="F10" t="inlineStr">
        <is>
          <t>MK-PF-E-001</t>
        </is>
      </c>
      <c r="G10" t="inlineStr">
        <is>
          <t>VERIFIED 2026-08-22</t>
        </is>
      </c>
    </row>
    <row r="11">
      <c r="A11" t="inlineStr">
        <is>
          <t>MK-XS-I-010</t>
        </is>
      </c>
      <c r="B11" t="inlineStr">
        <is>
          <t>transaction words (the institution's own wording)</t>
        </is>
      </c>
      <c r="C11" t="inlineStr">
        <is>
          <t>the institution download</t>
        </is>
      </c>
      <c r="D11" t="inlineStr">
        <is>
          <t>what each line means: money in, money out, income, cost</t>
        </is>
      </c>
      <c r="E11" t="inlineStr">
        <is>
          <t>LEDGER · the institution-words table</t>
        </is>
      </c>
      <c r="F11" t="inlineStr"/>
      <c r="G11" t="inlineStr">
        <is>
          <t>VERIFIED 2026-08-22</t>
        </is>
      </c>
    </row>
    <row r="12">
      <c r="A12" t="inlineStr">
        <is>
          <t>MK-XS-I-011</t>
        </is>
      </c>
      <c r="B12" t="inlineStr">
        <is>
          <t>bond face value</t>
        </is>
      </c>
      <c r="C12" t="inlineStr">
        <is>
          <t>typed, or the download</t>
        </is>
      </c>
      <c r="D12" t="inlineStr">
        <is>
          <t>face value · what comes back at maturity</t>
        </is>
      </c>
      <c r="E12" t="inlineStr">
        <is>
          <t>BOND_FACTS</t>
        </is>
      </c>
      <c r="F12" t="inlineStr">
        <is>
          <t>MK-NW-E-016</t>
        </is>
      </c>
      <c r="G12" t="inlineStr">
        <is>
          <t>VERIFIED 2026-08-22</t>
        </is>
      </c>
    </row>
    <row r="13">
      <c r="A13" t="inlineStr">
        <is>
          <t>MK-XS-I-012</t>
        </is>
      </c>
      <c r="B13" t="inlineStr">
        <is>
          <t>bond coupon rate</t>
        </is>
      </c>
      <c r="C13" t="inlineStr">
        <is>
          <t>typed, or the download</t>
        </is>
      </c>
      <c r="D13" t="inlineStr">
        <is>
          <t>interest payments a year · yield</t>
        </is>
      </c>
      <c r="E13" t="inlineStr">
        <is>
          <t>BOND_COUPON · BOND_CURRENT_YIELD</t>
        </is>
      </c>
      <c r="F13" t="inlineStr">
        <is>
          <t>MK-NW-E-017 · MK-NW-E-020</t>
        </is>
      </c>
      <c r="G13" t="inlineStr">
        <is>
          <t>VERIFIED 2026-08-22</t>
        </is>
      </c>
    </row>
    <row r="14">
      <c r="A14" t="inlineStr">
        <is>
          <t>MK-XS-I-013</t>
        </is>
      </c>
      <c r="B14" t="inlineStr">
        <is>
          <t>bond maturity date</t>
        </is>
      </c>
      <c r="C14" t="inlineStr">
        <is>
          <t>typed, or the download</t>
        </is>
      </c>
      <c r="D14" t="inlineStr">
        <is>
          <t>years away · yield if held to maturity</t>
        </is>
      </c>
      <c r="E14" t="inlineStr">
        <is>
          <t>BOND_YEARS_LEFT · BOND_YIELD_TO_MATURITY</t>
        </is>
      </c>
      <c r="F14" t="inlineStr">
        <is>
          <t>MK-NW-E-018 · MK-NW-E-019</t>
        </is>
      </c>
      <c r="G14" t="inlineStr">
        <is>
          <t>VERIFIED 2026-08-22</t>
        </is>
      </c>
    </row>
    <row r="15">
      <c r="A15" t="inlineStr">
        <is>
          <t>MK-XS-I-014</t>
        </is>
      </c>
      <c r="B15" t="inlineStr">
        <is>
          <t>debt balance</t>
        </is>
      </c>
      <c r="C15" t="inlineStr">
        <is>
          <t>typed, or a connection</t>
        </is>
      </c>
      <c r="D15" t="inlineStr">
        <is>
          <t>what you owe · net worth · payoff</t>
        </is>
      </c>
      <c r="E15" t="inlineStr">
        <is>
          <t>DEBT_PICTURE</t>
        </is>
      </c>
      <c r="F15" t="inlineStr">
        <is>
          <t>MK-NW-E-007</t>
        </is>
      </c>
      <c r="G15" t="inlineStr">
        <is>
          <t>VERIFIED 2026-08-22</t>
        </is>
      </c>
    </row>
    <row r="16">
      <c r="A16" t="inlineStr">
        <is>
          <t>MK-XS-I-015</t>
        </is>
      </c>
      <c r="B16" t="inlineStr">
        <is>
          <t>debt interest rate</t>
        </is>
      </c>
      <c r="C16" t="inlineStr">
        <is>
          <t>typed</t>
        </is>
      </c>
      <c r="D16" t="inlineStr">
        <is>
          <t>payoff date · what extra payments save</t>
        </is>
      </c>
      <c r="E16" t="inlineStr">
        <is>
          <t>DEBT_PAYOFF</t>
        </is>
      </c>
      <c r="F16" t="inlineStr">
        <is>
          <t>MK-PL-E-018</t>
        </is>
      </c>
      <c r="G16" t="inlineStr">
        <is>
          <t>VERIFIED 2026-08-22</t>
        </is>
      </c>
    </row>
    <row r="17">
      <c r="A17" t="inlineStr">
        <is>
          <t>MK-XS-I-016</t>
        </is>
      </c>
      <c r="B17" t="inlineStr">
        <is>
          <t>debt minimum payment</t>
        </is>
      </c>
      <c r="C17" t="inlineStr">
        <is>
          <t>typed</t>
        </is>
      </c>
      <c r="D17" t="inlineStr">
        <is>
          <t>monthly debt payments · money out</t>
        </is>
      </c>
      <c r="E17" t="inlineStr">
        <is>
          <t>DEBT_REQUIRED_PAYMENT</t>
        </is>
      </c>
      <c r="F17" t="inlineStr">
        <is>
          <t>MK-NW-E-008</t>
        </is>
      </c>
      <c r="G17" t="inlineStr">
        <is>
          <t>VERIFIED 2026-08-22</t>
        </is>
      </c>
    </row>
    <row r="18">
      <c r="A18" t="inlineStr">
        <is>
          <t>MK-XS-I-017</t>
        </is>
      </c>
      <c r="B18" t="inlineStr">
        <is>
          <t>birth year</t>
        </is>
      </c>
      <c r="C18" t="inlineStr">
        <is>
          <t>typed at setup</t>
        </is>
      </c>
      <c r="D18" t="inlineStr">
        <is>
          <t>current age · retirement age · Social Security · required withdrawal</t>
        </is>
      </c>
      <c r="E18" t="inlineStr">
        <is>
          <t>SS_BENEFIT_AT_AGE · RMD_START_AGE</t>
        </is>
      </c>
      <c r="F18" t="inlineStr">
        <is>
          <t>MK-PL-E-009</t>
        </is>
      </c>
      <c r="G18" t="inlineStr">
        <is>
          <t>VERIFIED 2026-08-22</t>
        </is>
      </c>
    </row>
    <row r="19">
      <c r="A19" t="inlineStr">
        <is>
          <t>MK-XS-I-018</t>
        </is>
      </c>
      <c r="B19" t="inlineStr">
        <is>
          <t>retirement age</t>
        </is>
      </c>
      <c r="C19" t="inlineStr">
        <is>
          <t>typed, or the dial on Plan</t>
        </is>
      </c>
      <c r="D19" t="inlineStr">
        <is>
          <t>the odds · projected pot · the paycheck</t>
        </is>
      </c>
      <c r="E19" t="inlineStr">
        <is>
          <t>WILL_IT_LAST_RESULT · POT_AT_RETIREMENT</t>
        </is>
      </c>
      <c r="F19" t="inlineStr">
        <is>
          <t>MK-XS-E-002 · MK-NW-E-010</t>
        </is>
      </c>
      <c r="G19" t="inlineStr">
        <is>
          <t>VERIFIED 2026-08-22</t>
        </is>
      </c>
    </row>
    <row r="20">
      <c r="A20" t="inlineStr">
        <is>
          <t>MK-XS-I-019</t>
        </is>
      </c>
      <c r="B20" t="inlineStr">
        <is>
          <t>monthly spending in retirement</t>
        </is>
      </c>
      <c r="C20" t="inlineStr">
        <is>
          <t>typed</t>
        </is>
      </c>
      <c r="D20" t="inlineStr">
        <is>
          <t>the odds · the draw from savings</t>
        </is>
      </c>
      <c r="E20" t="inlineStr">
        <is>
          <t>WILL_IT_LAST_INPUTS</t>
        </is>
      </c>
      <c r="F20" t="inlineStr">
        <is>
          <t>MK-PL-E-004</t>
        </is>
      </c>
      <c r="G20" t="inlineStr">
        <is>
          <t>VERIFIED 2026-08-22</t>
        </is>
      </c>
    </row>
    <row r="21">
      <c r="A21" t="inlineStr">
        <is>
          <t>MK-XS-I-020</t>
        </is>
      </c>
      <c r="B21" t="inlineStr">
        <is>
          <t>Social Security monthly amount</t>
        </is>
      </c>
      <c r="C21" t="inlineStr">
        <is>
          <t>typed from the statement, or a worked example</t>
        </is>
      </c>
      <c r="D21" t="inlineStr">
        <is>
          <t>guaranteed income · the paycheck · claim timing</t>
        </is>
      </c>
      <c r="E21" t="inlineStr">
        <is>
          <t>SS_BENEFIT_AT_AGE · RETIREMENT_INCOME_NOW</t>
        </is>
      </c>
      <c r="F21" t="inlineStr">
        <is>
          <t>MK-PL-E-009 · MK-PL-E-010</t>
        </is>
      </c>
      <c r="G21" t="inlineStr">
        <is>
          <t>VERIFIED 2026-08-22</t>
        </is>
      </c>
    </row>
    <row r="22">
      <c r="A22" t="inlineStr">
        <is>
          <t>MK-XS-I-021</t>
        </is>
      </c>
      <c r="B22" t="inlineStr">
        <is>
          <t>Social Security claim age</t>
        </is>
      </c>
      <c r="C22" t="inlineStr">
        <is>
          <t>typed</t>
        </is>
      </c>
      <c r="D22" t="inlineStr">
        <is>
          <t>how much the check is · lifetime total</t>
        </is>
      </c>
      <c r="E22" t="inlineStr">
        <is>
          <t>SS_CLAIM_FACTOR</t>
        </is>
      </c>
      <c r="F22" t="inlineStr"/>
      <c r="G22" t="inlineStr">
        <is>
          <t>VERIFIED 2026-08-22</t>
        </is>
      </c>
    </row>
    <row r="23">
      <c r="A23" t="inlineStr">
        <is>
          <t>MK-XS-I-022</t>
        </is>
      </c>
      <c r="B23" t="inlineStr">
        <is>
          <t>pension monthly amount</t>
        </is>
      </c>
      <c r="C23" t="inlineStr">
        <is>
          <t>typed</t>
        </is>
      </c>
      <c r="D23" t="inlineStr">
        <is>
          <t>guaranteed income · the paycheck</t>
        </is>
      </c>
      <c r="E23" t="inlineStr">
        <is>
          <t>RETIREMENT_INCOME_NOW</t>
        </is>
      </c>
      <c r="F23" t="inlineStr">
        <is>
          <t>MK-PL-E-010</t>
        </is>
      </c>
      <c r="G23" t="inlineStr">
        <is>
          <t>VERIFIED 2026-08-22</t>
        </is>
      </c>
    </row>
    <row r="24">
      <c r="A24" t="inlineStr">
        <is>
          <t>MK-XS-I-023</t>
        </is>
      </c>
      <c r="B24" t="inlineStr">
        <is>
          <t>salary and other income</t>
        </is>
      </c>
      <c r="C24" t="inlineStr">
        <is>
          <t>typed at setup</t>
        </is>
      </c>
      <c r="D24" t="inlineStr">
        <is>
          <t>money in · take-home · savings capacity</t>
        </is>
      </c>
      <c r="E24" t="inlineStr">
        <is>
          <t>TOTAL_INCOME</t>
        </is>
      </c>
      <c r="F24" t="inlineStr">
        <is>
          <t>MK-CF-E-002</t>
        </is>
      </c>
      <c r="G24" t="inlineStr">
        <is>
          <t>VERIFIED 2026-08-22</t>
        </is>
      </c>
    </row>
    <row r="25">
      <c r="A25" t="inlineStr">
        <is>
          <t>MK-XS-I-024</t>
        </is>
      </c>
      <c r="B25" t="inlineStr">
        <is>
          <t>logged spending</t>
        </is>
      </c>
      <c r="C25" t="inlineStr">
        <is>
          <t>typed, or read from a download</t>
        </is>
      </c>
      <c r="D25" t="inlineStr">
        <is>
          <t>spent so far · by category · essentials</t>
        </is>
      </c>
      <c r="E25" t="inlineStr">
        <is>
          <t>SPENDING_BY_KIND · PLANNED_SPENDING</t>
        </is>
      </c>
      <c r="F25" t="inlineStr">
        <is>
          <t>MK-CF-E-006 · MK-CF-E-007</t>
        </is>
      </c>
      <c r="G25" t="inlineStr">
        <is>
          <t>VERIFIED 2026-08-22</t>
        </is>
      </c>
    </row>
    <row r="26">
      <c r="A26" t="inlineStr">
        <is>
          <t>MK-XS-I-025</t>
        </is>
      </c>
      <c r="B26" t="inlineStr">
        <is>
          <t>typical monthly essentials</t>
        </is>
      </c>
      <c r="C26" t="inlineStr">
        <is>
          <t>typed</t>
        </is>
      </c>
      <c r="D26" t="inlineStr">
        <is>
          <t>the cushion · job-safety runway · stress test</t>
        </is>
      </c>
      <c r="E26" t="inlineStr">
        <is>
          <t>PLANNED_SPENDING · JOB_SAFETY_RUNWAY</t>
        </is>
      </c>
      <c r="F26" t="inlineStr">
        <is>
          <t>MK-CF-E-007 · MK-MN-E-010</t>
        </is>
      </c>
      <c r="G26" t="inlineStr">
        <is>
          <t>VERIFIED 2026-08-22</t>
        </is>
      </c>
    </row>
    <row r="27">
      <c r="A27" t="inlineStr">
        <is>
          <t>MK-XS-I-026</t>
        </is>
      </c>
      <c r="B27" t="inlineStr">
        <is>
          <t>big costs (amount and year)</t>
        </is>
      </c>
      <c r="C27" t="inlineStr">
        <is>
          <t>typed</t>
        </is>
      </c>
      <c r="D27" t="inlineStr">
        <is>
          <t>the odds · the plan · the radar</t>
        </is>
      </c>
      <c r="E27" t="inlineStr">
        <is>
          <t>BIG_COSTS</t>
        </is>
      </c>
      <c r="F27" t="inlineStr">
        <is>
          <t>MK-MN-E-001</t>
        </is>
      </c>
      <c r="G27" t="inlineStr">
        <is>
          <t>VERIFIED 2026-08-22</t>
        </is>
      </c>
    </row>
    <row r="28">
      <c r="A28" t="inlineStr">
        <is>
          <t>MK-XS-I-027</t>
        </is>
      </c>
      <c r="B28" t="inlineStr">
        <is>
          <t>goals (target, saved, date)</t>
        </is>
      </c>
      <c r="C28" t="inlineStr">
        <is>
          <t>typed</t>
        </is>
      </c>
      <c r="D28" t="inlineStr">
        <is>
          <t>goal progress · what you can afford together</t>
        </is>
      </c>
      <c r="E28" t="inlineStr">
        <is>
          <t>GOAL_PROGRESS</t>
        </is>
      </c>
      <c r="F28" t="inlineStr">
        <is>
          <t>MK-MN-E-005</t>
        </is>
      </c>
      <c r="G28" t="inlineStr">
        <is>
          <t>VERIFIED 2026-08-22</t>
        </is>
      </c>
    </row>
    <row r="29">
      <c r="A29" t="inlineStr">
        <is>
          <t>MK-XS-I-028</t>
        </is>
      </c>
      <c r="B29" t="inlineStr">
        <is>
          <t>assumed return</t>
        </is>
      </c>
      <c r="C29" t="inlineStr">
        <is>
          <t>built in, and adjustable on the cockpit</t>
        </is>
      </c>
      <c r="D29" t="inlineStr">
        <is>
          <t>projected pot · the odds</t>
        </is>
      </c>
      <c r="E29" t="inlineStr">
        <is>
          <t>POT_AT_RETIREMENT · WILL_IT_LAST_RESULT</t>
        </is>
      </c>
      <c r="F29" t="inlineStr">
        <is>
          <t>MK-XS-E-002 · MK-NW-E-010</t>
        </is>
      </c>
      <c r="G29" t="inlineStr">
        <is>
          <t>VERIFIED 2026-08-22</t>
        </is>
      </c>
    </row>
    <row r="30">
      <c r="A30" t="inlineStr">
        <is>
          <t>MK-XS-I-029</t>
        </is>
      </c>
      <c r="B30" t="inlineStr">
        <is>
          <t>inflation rate</t>
        </is>
      </c>
      <c r="C30" t="inlineStr">
        <is>
          <t>a published feed, with a built-in fallback</t>
        </is>
      </c>
      <c r="D30" t="inlineStr">
        <is>
          <t>tomorrow's dollars · the odds</t>
        </is>
      </c>
      <c r="E30" t="inlineStr">
        <is>
          <t>WILL_IT_LAST_INPUTS</t>
        </is>
      </c>
      <c r="F30" t="inlineStr">
        <is>
          <t>MK-PL-E-004</t>
        </is>
      </c>
      <c r="G30" t="inlineStr">
        <is>
          <t>VERIFIED 2026-08-22</t>
        </is>
      </c>
    </row>
    <row r="31">
      <c r="A31" t="inlineStr">
        <is>
          <t>MK-XS-I-030</t>
        </is>
      </c>
      <c r="B31" t="inlineStr">
        <is>
          <t>tax filing status and age</t>
        </is>
      </c>
      <c r="C31" t="inlineStr">
        <is>
          <t>typed at setup</t>
        </is>
      </c>
      <c r="D31" t="inlineStr">
        <is>
          <t>tax bands · the deduction · tax on a Roth move</t>
        </is>
      </c>
      <c r="E31" t="inlineStr">
        <is>
          <t>TAXABLE_INCOME · TAX_ON_CONVERSION</t>
        </is>
      </c>
      <c r="F31" t="inlineStr">
        <is>
          <t>MK-PL-E-015 · MK-MN-E-014</t>
        </is>
      </c>
      <c r="G31" t="inlineStr">
        <is>
          <t>VERIFIED 2026-08-22</t>
        </is>
      </c>
    </row>
    <row r="32">
      <c r="A32" t="inlineStr">
        <is>
          <t>MK-XS-I-031</t>
        </is>
      </c>
      <c r="B32" t="inlineStr">
        <is>
          <t>daily and monthly snapshots</t>
        </is>
      </c>
      <c r="C32" t="inlineStr">
        <is>
          <t>the app itself, once a day</t>
        </is>
      </c>
      <c r="D32" t="inlineStr">
        <is>
          <t>the trend line · change in net worth · beginning values</t>
        </is>
      </c>
      <c r="E32" t="inlineStr">
        <is>
          <t>TREND_SERIES · NW_CHANGE_WALK</t>
        </is>
      </c>
      <c r="F32" t="inlineStr">
        <is>
          <t>MK-NW-E-001 · MK-PF-E-001</t>
        </is>
      </c>
      <c r="G32" t="inlineStr">
        <is>
          <t>VERIFIED 2026-08-22</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G31"/>
  <sheetViews>
    <sheetView workbookViewId="0">
      <pane ySplit="1" topLeftCell="A2" activePane="bottomLeft" state="frozen"/>
      <selection pane="bottomLeft" activeCell="A1" sqref="A1"/>
    </sheetView>
  </sheetViews>
  <sheetFormatPr baseColWidth="8" defaultRowHeight="15"/>
  <cols>
    <col width="30" customWidth="1" min="1" max="1"/>
    <col width="34" customWidth="1" min="2" max="2"/>
    <col width="60" customWidth="1" min="3" max="3"/>
    <col width="44" customWidth="1" min="4" max="4"/>
    <col width="44" customWidth="1" min="5" max="5"/>
    <col width="44" customWidth="1" min="6" max="6"/>
    <col width="26" customWidth="1" min="7" max="7"/>
  </cols>
  <sheetData>
    <row r="1">
      <c r="A1" s="1" t="inlineStr">
        <is>
          <t>Where it is stored</t>
        </is>
      </c>
      <c r="B1" s="1" t="inlineStr">
        <is>
          <t>Field name in the database</t>
        </is>
      </c>
      <c r="C1" s="1" t="inlineStr">
        <is>
          <t>What it holds</t>
        </is>
      </c>
      <c r="D1" s="1" t="inlineStr">
        <is>
          <t>Metric or input it serves</t>
        </is>
      </c>
      <c r="E1" s="1" t="inlineStr">
        <is>
          <t>How often it is written</t>
        </is>
      </c>
      <c r="F1" s="1" t="inlineStr">
        <is>
          <t>Grain — one row per what</t>
        </is>
      </c>
      <c r="G1" s="1" t="inlineStr">
        <is>
          <t>Encrypted?</t>
        </is>
      </c>
    </row>
    <row r="2">
      <c r="A2" s="3" t="inlineStr">
        <is>
          <t>users/{uid}</t>
        </is>
      </c>
      <c r="B2" s="3" t="inlineStr">
        <is>
          <t>appStateEnc</t>
        </is>
      </c>
      <c r="C2" s="3" t="inlineStr">
        <is>
          <t>THE WHOLE app state, encrypted on the device before it leaves it. Everything below lives inside this one field.</t>
        </is>
      </c>
      <c r="D2" s="3" t="inlineStr">
        <is>
          <t>every metric in this file, through the inputs tab</t>
        </is>
      </c>
      <c r="E2" s="3" t="inlineStr">
        <is>
          <t>2 seconds after any change in the app, the whole payload rewritten</t>
        </is>
      </c>
      <c r="F2" s="3" t="inlineStr">
        <is>
          <t>ONE document per person — or per household when two people share</t>
        </is>
      </c>
      <c r="G2" s="3" t="inlineStr">
        <is>
          <t>Yes — the server cannot read it</t>
        </is>
      </c>
    </row>
    <row r="3">
      <c r="A3" s="3" t="inlineStr">
        <is>
          <t>users/{uid}</t>
        </is>
      </c>
      <c r="B3" s="3" t="inlineStr">
        <is>
          <t>keyEnvelope</t>
        </is>
      </c>
      <c r="C3" s="3" t="inlineStr">
        <is>
          <t>The encryption key, wrapped by the password and by the recovery code.</t>
        </is>
      </c>
      <c r="D3" s="3" t="inlineStr">
        <is>
          <t>—</t>
        </is>
      </c>
      <c r="E3" s="3" t="inlineStr">
        <is>
          <t>when the password or recovery code is set or changed</t>
        </is>
      </c>
      <c r="F3" s="3" t="inlineStr">
        <is>
          <t>one per person</t>
        </is>
      </c>
      <c r="G3" s="3" t="inlineStr">
        <is>
          <t>the key itself is wrapped, never stored bare</t>
        </is>
      </c>
    </row>
    <row r="4">
      <c r="A4" s="3" t="inlineStr">
        <is>
          <t>users/{uid}</t>
        </is>
      </c>
      <c r="B4" s="3" t="inlineStr">
        <is>
          <t>appState</t>
        </is>
      </c>
      <c r="C4" s="3" t="inlineStr">
        <is>
          <t>The old plaintext copy from before encryption. Deleted on the first save by an updated app.</t>
        </is>
      </c>
      <c r="D4" s="3" t="inlineStr">
        <is>
          <t>—</t>
        </is>
      </c>
      <c r="E4" s="3" t="inlineStr">
        <is>
          <t>never written now; removed on first save</t>
        </is>
      </c>
      <c r="F4" s="3" t="inlineStr">
        <is>
          <t>one per person</t>
        </is>
      </c>
      <c r="G4" s="3" t="inlineStr">
        <is>
          <t>No — which is why it is being removed</t>
        </is>
      </c>
    </row>
    <row r="5">
      <c r="A5" s="3" t="inlineStr">
        <is>
          <t>users/{uid}</t>
        </is>
      </c>
      <c r="B5" s="3" t="inlineStr">
        <is>
          <t>householdId</t>
        </is>
      </c>
      <c r="C5" s="3" t="inlineStr">
        <is>
          <t>Whose document this person reads and writes — their own, or the partner who invited them.</t>
        </is>
      </c>
      <c r="D5" s="3" t="inlineStr">
        <is>
          <t>—</t>
        </is>
      </c>
      <c r="E5" s="3" t="inlineStr">
        <is>
          <t>when an invite is redeemed</t>
        </is>
      </c>
      <c r="F5" s="3" t="inlineStr">
        <is>
          <t>one per person</t>
        </is>
      </c>
      <c r="G5" s="3" t="inlineStr">
        <is>
          <t>No</t>
        </is>
      </c>
    </row>
    <row r="6">
      <c r="A6" s="3" t="inlineStr">
        <is>
          <t>households/{owner}/members/{member}</t>
        </is>
      </c>
      <c r="B6" s="3" t="inlineStr">
        <is>
          <t>code, householdId</t>
        </is>
      </c>
      <c r="C6" s="3" t="inlineStr">
        <is>
          <t>The record that a partner joined a household, bound to a real invite.</t>
        </is>
      </c>
      <c r="D6" s="3" t="inlineStr">
        <is>
          <t>—</t>
        </is>
      </c>
      <c r="E6" s="3" t="inlineStr">
        <is>
          <t>once, when the invite is redeemed</t>
        </is>
      </c>
      <c r="F6" s="3" t="inlineStr">
        <is>
          <t>one per member</t>
        </is>
      </c>
      <c r="G6" s="3" t="inlineStr">
        <is>
          <t>No</t>
        </is>
      </c>
    </row>
    <row r="7">
      <c r="A7" s="3" t="inlineStr">
        <is>
          <t>invites/{code}</t>
        </is>
      </c>
      <c r="B7" s="3" t="inlineStr">
        <is>
          <t>householdId</t>
        </is>
      </c>
      <c r="C7" s="3" t="inlineStr">
        <is>
          <t>An invite code and the household it points at.</t>
        </is>
      </c>
      <c r="D7" s="3" t="inlineStr">
        <is>
          <t>—</t>
        </is>
      </c>
      <c r="E7" s="3" t="inlineStr">
        <is>
          <t>when an invite is created</t>
        </is>
      </c>
      <c r="F7" s="3" t="inlineStr">
        <is>
          <t>one per invite</t>
        </is>
      </c>
      <c r="G7" s="3" t="inlineStr">
        <is>
          <t>No</t>
        </is>
      </c>
    </row>
    <row r="8">
      <c r="A8" s="3" t="inlineStr">
        <is>
          <t>feedback/{doc}</t>
        </is>
      </c>
      <c r="B8" s="3" t="inlineStr">
        <is>
          <t>the message</t>
        </is>
      </c>
      <c r="C8" s="3" t="inlineStr">
        <is>
          <t>Feedback sent from inside the app.</t>
        </is>
      </c>
      <c r="D8" s="3" t="inlineStr">
        <is>
          <t>—</t>
        </is>
      </c>
      <c r="E8" s="3" t="inlineStr">
        <is>
          <t>when feedback is sent</t>
        </is>
      </c>
      <c r="F8" s="3" t="inlineStr">
        <is>
          <t>one per message</t>
        </is>
      </c>
      <c r="G8" s="3" t="inlineStr">
        <is>
          <t>No</t>
        </is>
      </c>
    </row>
    <row r="9">
      <c r="A9" s="3" t="inlineStr">
        <is>
          <t>snaptrade_users/{uid}</t>
        </is>
      </c>
      <c r="B9" s="3" t="inlineStr">
        <is>
          <t>the connection record</t>
        </is>
      </c>
      <c r="C9" s="3" t="inlineStr">
        <is>
          <t>The link to the brokerage connection service.</t>
        </is>
      </c>
      <c r="D9" s="3" t="inlineStr">
        <is>
          <t>—</t>
        </is>
      </c>
      <c r="E9" s="3" t="inlineStr">
        <is>
          <t>when an account is connected</t>
        </is>
      </c>
      <c r="F9" s="3" t="inlineStr">
        <is>
          <t>one per person</t>
        </is>
      </c>
      <c r="G9" s="3" t="inlineStr">
        <is>
          <t>No</t>
        </is>
      </c>
    </row>
    <row r="10">
      <c r="A10" s="3" t="inlineStr">
        <is>
          <t>inside appStateEnc</t>
        </is>
      </c>
      <c r="B10" s="3" t="inlineStr">
        <is>
          <t>assetAccounts</t>
        </is>
      </c>
      <c r="C10" s="3" t="inlineStr">
        <is>
          <t>Every account: its name, institution, balance, class and where the figure came from.</t>
        </is>
      </c>
      <c r="D10" s="3" t="inlineStr">
        <is>
          <t>account balance · account type · institution</t>
        </is>
      </c>
      <c r="E10" s="3" t="inlineStr">
        <is>
          <t>with every save</t>
        </is>
      </c>
      <c r="F10" s="3" t="inlineStr">
        <is>
          <t>one entry per account</t>
        </is>
      </c>
      <c r="G10" s="3" t="inlineStr">
        <is>
          <t>inside the encrypted blob</t>
        </is>
      </c>
    </row>
    <row r="11">
      <c r="A11" s="3" t="inlineStr">
        <is>
          <t>inside appStateEnc</t>
        </is>
      </c>
      <c r="B11" s="3" t="inlineStr">
        <is>
          <t>liabilities</t>
        </is>
      </c>
      <c r="C11" s="3" t="inlineStr">
        <is>
          <t>Every debt: balance, rate, minimum payment, due day.</t>
        </is>
      </c>
      <c r="D11" s="3" t="inlineStr">
        <is>
          <t>debt balance · debt interest rate · debt minimum payment</t>
        </is>
      </c>
      <c r="E11" s="3" t="inlineStr">
        <is>
          <t>with every save</t>
        </is>
      </c>
      <c r="F11" s="3" t="inlineStr">
        <is>
          <t>one entry per debt</t>
        </is>
      </c>
      <c r="G11" s="3" t="inlineStr">
        <is>
          <t>inside the encrypted blob</t>
        </is>
      </c>
    </row>
    <row r="12">
      <c r="A12" s="3" t="inlineStr">
        <is>
          <t>inside appStateEnc</t>
        </is>
      </c>
      <c r="B12" s="3" t="inlineStr">
        <is>
          <t>investments</t>
        </is>
      </c>
      <c r="C12" s="3" t="inlineStr">
        <is>
          <t>Holdings: ticker, quantity, price paid, lots.</t>
        </is>
      </c>
      <c r="D12" s="3" t="inlineStr">
        <is>
          <t>holding quantity · purchase price and date</t>
        </is>
      </c>
      <c r="E12" s="3" t="inlineStr">
        <is>
          <t>with every save</t>
        </is>
      </c>
      <c r="F12" s="3" t="inlineStr">
        <is>
          <t>one entry per holding</t>
        </is>
      </c>
      <c r="G12" s="3" t="inlineStr">
        <is>
          <t>inside the encrypted blob</t>
        </is>
      </c>
    </row>
    <row r="13">
      <c r="A13" s="3" t="inlineStr">
        <is>
          <t>inside appStateEnc</t>
        </is>
      </c>
      <c r="B13" s="3" t="inlineStr">
        <is>
          <t>expenses</t>
        </is>
      </c>
      <c r="C13" s="3" t="inlineStr">
        <is>
          <t>Logged spending: date, amount, category, store.</t>
        </is>
      </c>
      <c r="D13" s="3" t="inlineStr">
        <is>
          <t>logged spending</t>
        </is>
      </c>
      <c r="E13" s="3" t="inlineStr">
        <is>
          <t>with every save</t>
        </is>
      </c>
      <c r="F13" s="3" t="inlineStr">
        <is>
          <t>one entry per expense</t>
        </is>
      </c>
      <c r="G13" s="3" t="inlineStr">
        <is>
          <t>inside the encrypted blob</t>
        </is>
      </c>
    </row>
    <row r="14">
      <c r="A14" s="3" t="inlineStr">
        <is>
          <t>inside appStateEnc</t>
        </is>
      </c>
      <c r="B14" s="3" t="inlineStr">
        <is>
          <t>incomes · recurringIncomes</t>
        </is>
      </c>
      <c r="C14" s="3" t="inlineStr">
        <is>
          <t>Money received and the sources that repeat.</t>
        </is>
      </c>
      <c r="D14" s="3" t="inlineStr">
        <is>
          <t>salary and other income</t>
        </is>
      </c>
      <c r="E14" s="3" t="inlineStr">
        <is>
          <t>with every save</t>
        </is>
      </c>
      <c r="F14" s="3" t="inlineStr">
        <is>
          <t>one entry per payment or source</t>
        </is>
      </c>
      <c r="G14" s="3" t="inlineStr">
        <is>
          <t>inside the encrypted blob</t>
        </is>
      </c>
    </row>
    <row r="15">
      <c r="A15" s="3" t="inlineStr">
        <is>
          <t>inside appStateEnc</t>
        </is>
      </c>
      <c r="B15" s="3" t="inlineStr">
        <is>
          <t>recurringExpenses</t>
        </is>
      </c>
      <c r="C15" s="3" t="inlineStr">
        <is>
          <t>Bills that repeat, and the day they fall.</t>
        </is>
      </c>
      <c r="D15" s="3" t="inlineStr">
        <is>
          <t>logged spending · the bill calendar</t>
        </is>
      </c>
      <c r="E15" s="3" t="inlineStr">
        <is>
          <t>with every save</t>
        </is>
      </c>
      <c r="F15" s="3" t="inlineStr">
        <is>
          <t>one entry per bill</t>
        </is>
      </c>
      <c r="G15" s="3" t="inlineStr">
        <is>
          <t>inside the encrypted blob</t>
        </is>
      </c>
    </row>
    <row r="16">
      <c r="A16" s="3" t="inlineStr">
        <is>
          <t>inside appStateEnc</t>
        </is>
      </c>
      <c r="B16" s="3" t="inlineStr">
        <is>
          <t>monthlySnapshots</t>
        </is>
      </c>
      <c r="C16" s="3" t="inlineStr">
        <is>
          <t>Net worth as it stood at each month end.</t>
        </is>
      </c>
      <c r="D16" s="3" t="inlineStr">
        <is>
          <t>the trend line · beginning values</t>
        </is>
      </c>
      <c r="E16" s="3" t="inlineStr">
        <is>
          <t>once a month, on the first open of a new month</t>
        </is>
      </c>
      <c r="F16" s="3" t="inlineStr">
        <is>
          <t>one entry per month</t>
        </is>
      </c>
      <c r="G16" s="3" t="inlineStr">
        <is>
          <t>inside the encrypted blob</t>
        </is>
      </c>
    </row>
    <row r="17">
      <c r="A17" s="3" t="inlineStr">
        <is>
          <t>inside appStateEnc</t>
        </is>
      </c>
      <c r="B17" s="3" t="inlineStr">
        <is>
          <t>nwDaily</t>
        </is>
      </c>
      <c r="C17" s="3" t="inlineStr">
        <is>
          <t>Net worth captured when the app is opened.</t>
        </is>
      </c>
      <c r="D17" s="3" t="inlineStr">
        <is>
          <t>the trend line · change in net worth</t>
        </is>
      </c>
      <c r="E17" s="3" t="inlineStr">
        <is>
          <t>once a day, on the first open</t>
        </is>
      </c>
      <c r="F17" s="3" t="inlineStr">
        <is>
          <t>one entry per day</t>
        </is>
      </c>
      <c r="G17" s="3" t="inlineStr">
        <is>
          <t>inside the encrypted blob</t>
        </is>
      </c>
    </row>
    <row r="18">
      <c r="A18" s="3" t="inlineStr">
        <is>
          <t>inside appStateEnc</t>
        </is>
      </c>
      <c r="B18" s="3" t="inlineStr">
        <is>
          <t>onboardingProfile</t>
        </is>
      </c>
      <c r="C18" s="3" t="inlineStr">
        <is>
          <t>What the person told us at setup: birth year, retirement age, spending, Social Security, pension, filing status.</t>
        </is>
      </c>
      <c r="D18" s="3" t="inlineStr">
        <is>
          <t>birth year · retirement age · monthly spending · Social Security · pension · filing status</t>
        </is>
      </c>
      <c r="E18" s="3" t="inlineStr">
        <is>
          <t>with every save</t>
        </is>
      </c>
      <c r="F18" s="3" t="inlineStr">
        <is>
          <t>one per person</t>
        </is>
      </c>
      <c r="G18" s="3" t="inlineStr">
        <is>
          <t>inside the encrypted blob</t>
        </is>
      </c>
    </row>
    <row r="19">
      <c r="A19" s="3" t="inlineStr">
        <is>
          <t>inside appStateEnc</t>
        </is>
      </c>
      <c r="B19" s="3" t="inlineStr">
        <is>
          <t>retirementAssumptions</t>
        </is>
      </c>
      <c r="C19" s="3" t="inlineStr">
        <is>
          <t>The plan's settings: return, claim age, contributions, draw.</t>
        </is>
      </c>
      <c r="D19" s="3" t="inlineStr">
        <is>
          <t>assumed return · Social Security claim age</t>
        </is>
      </c>
      <c r="E19" s="3" t="inlineStr">
        <is>
          <t>with every save</t>
        </is>
      </c>
      <c r="F19" s="3" t="inlineStr">
        <is>
          <t>one per person</t>
        </is>
      </c>
      <c r="G19" s="3" t="inlineStr">
        <is>
          <t>inside the encrypted blob</t>
        </is>
      </c>
    </row>
    <row r="20">
      <c r="A20" s="3" t="inlineStr">
        <is>
          <t>inside appStateEnc</t>
        </is>
      </c>
      <c r="B20" s="3" t="inlineStr">
        <is>
          <t>retirementScenarios</t>
        </is>
      </c>
      <c r="C20" s="3" t="inlineStr">
        <is>
          <t>Saved what-ifs.</t>
        </is>
      </c>
      <c r="D20" s="3" t="inlineStr">
        <is>
          <t>the saved scenarios count</t>
        </is>
      </c>
      <c r="E20" s="3" t="inlineStr">
        <is>
          <t>when a scenario is saved</t>
        </is>
      </c>
      <c r="F20" s="3" t="inlineStr">
        <is>
          <t>one entry per scenario</t>
        </is>
      </c>
      <c r="G20" s="3" t="inlineStr">
        <is>
          <t>inside the encrypted blob</t>
        </is>
      </c>
    </row>
    <row r="21">
      <c r="A21" s="3" t="inlineStr">
        <is>
          <t>inside appStateEnc</t>
        </is>
      </c>
      <c r="B21" s="3" t="inlineStr">
        <is>
          <t>bigCosts</t>
        </is>
      </c>
      <c r="C21" s="3" t="inlineStr">
        <is>
          <t>One-off costs ahead, with the year each falls.</t>
        </is>
      </c>
      <c r="D21" s="3" t="inlineStr">
        <is>
          <t>big costs</t>
        </is>
      </c>
      <c r="E21" s="3" t="inlineStr">
        <is>
          <t>with every save</t>
        </is>
      </c>
      <c r="F21" s="3" t="inlineStr">
        <is>
          <t>one entry per cost</t>
        </is>
      </c>
      <c r="G21" s="3" t="inlineStr">
        <is>
          <t>inside the encrypted blob</t>
        </is>
      </c>
    </row>
    <row r="22">
      <c r="A22" s="3" t="inlineStr">
        <is>
          <t>inside appStateEnc</t>
        </is>
      </c>
      <c r="B22" s="3" t="inlineStr">
        <is>
          <t>goals · selectedGoals</t>
        </is>
      </c>
      <c r="C22" s="3" t="inlineStr">
        <is>
          <t>Goals: target, saved so far, date.</t>
        </is>
      </c>
      <c r="D22" s="3" t="inlineStr">
        <is>
          <t>goals</t>
        </is>
      </c>
      <c r="E22" s="3" t="inlineStr">
        <is>
          <t>with every save</t>
        </is>
      </c>
      <c r="F22" s="3" t="inlineStr">
        <is>
          <t>one entry per goal</t>
        </is>
      </c>
      <c r="G22" s="3" t="inlineStr">
        <is>
          <t>inside the encrypted blob</t>
        </is>
      </c>
    </row>
    <row r="23">
      <c r="A23" s="3" t="inlineStr">
        <is>
          <t>inside appStateEnc</t>
        </is>
      </c>
      <c r="B23" s="3" t="inlineStr">
        <is>
          <t>budgetCategories · monthlyBudgetTarget · allocatedByMonth</t>
        </is>
      </c>
      <c r="C23" s="3" t="inlineStr">
        <is>
          <t>The plan for spending, by category and by month.</t>
        </is>
      </c>
      <c r="D23" s="3" t="inlineStr">
        <is>
          <t>typical monthly essentials · planned spending</t>
        </is>
      </c>
      <c r="E23" s="3" t="inlineStr">
        <is>
          <t>with every save</t>
        </is>
      </c>
      <c r="F23" s="3" t="inlineStr">
        <is>
          <t>one entry per category or month</t>
        </is>
      </c>
      <c r="G23" s="3" t="inlineStr">
        <is>
          <t>inside the encrypted blob</t>
        </is>
      </c>
    </row>
    <row r="24">
      <c r="A24" s="3" t="inlineStr">
        <is>
          <t>inside appStateEnc</t>
        </is>
      </c>
      <c r="B24" s="3" t="inlineStr">
        <is>
          <t>benchmarkReturns</t>
        </is>
      </c>
      <c r="C24" s="3" t="inlineStr">
        <is>
          <t>The index returns the comparison uses.</t>
        </is>
      </c>
      <c r="D24" s="3" t="inlineStr">
        <is>
          <t>benchmark return</t>
        </is>
      </c>
      <c r="E24" s="3" t="inlineStr">
        <is>
          <t>when they are fetched</t>
        </is>
      </c>
      <c r="F24" s="3" t="inlineStr">
        <is>
          <t>one entry per index and period</t>
        </is>
      </c>
      <c r="G24" s="3" t="inlineStr">
        <is>
          <t>inside the encrypted blob</t>
        </is>
      </c>
    </row>
    <row r="25">
      <c r="A25" s="3" t="inlineStr">
        <is>
          <t>inside appStateEnc</t>
        </is>
      </c>
      <c r="B25" s="3" t="inlineStr">
        <is>
          <t>snaptradeConnections</t>
        </is>
      </c>
      <c r="C25" s="3" t="inlineStr">
        <is>
          <t>Which brokerages are connected.</t>
        </is>
      </c>
      <c r="D25" s="3" t="inlineStr">
        <is>
          <t>—</t>
        </is>
      </c>
      <c r="E25" s="3" t="inlineStr">
        <is>
          <t>when a connection changes</t>
        </is>
      </c>
      <c r="F25" s="3" t="inlineStr">
        <is>
          <t>one entry per connection</t>
        </is>
      </c>
      <c r="G25" s="3" t="inlineStr">
        <is>
          <t>inside the encrypted blob</t>
        </is>
      </c>
    </row>
    <row r="26">
      <c r="A26" s="3" t="inlineStr">
        <is>
          <t>inside appStateEnc</t>
        </is>
      </c>
      <c r="B26" s="3" t="inlineStr">
        <is>
          <t>estatePlan · badges · xp · streak · lastCheckIn</t>
        </is>
      </c>
      <c r="C26" s="3" t="inlineStr">
        <is>
          <t>Estate notes and the encouragement counters.</t>
        </is>
      </c>
      <c r="D26" s="3" t="inlineStr">
        <is>
          <t>—</t>
        </is>
      </c>
      <c r="E26" s="3" t="inlineStr">
        <is>
          <t>with every save</t>
        </is>
      </c>
      <c r="F26" s="3" t="inlineStr">
        <is>
          <t>one per person</t>
        </is>
      </c>
      <c r="G26" s="3" t="inlineStr">
        <is>
          <t>inside the encrypted blob</t>
        </is>
      </c>
    </row>
    <row r="27">
      <c r="A27" s="3" t="inlineStr">
        <is>
          <t>NOT SAVED — DEVICE ONLY</t>
        </is>
      </c>
      <c r="B27" s="3" t="inlineStr">
        <is>
          <t>snapshotDays</t>
        </is>
      </c>
      <c r="C27" s="3" t="inlineStr">
        <is>
          <t>THE DAILY RECORD: for each day, every account and every holding — units, price and value kept apart. This is what a beginning value is READ from instead of being back-solved.</t>
        </is>
      </c>
      <c r="D27" s="3" t="inlineStr">
        <is>
          <t>beginning value · change in account value · the performance walk</t>
        </is>
      </c>
      <c r="E27" s="3" t="inlineStr">
        <is>
          <t>once a day, on the first open</t>
        </is>
      </c>
      <c r="F27" s="3" t="inlineStr">
        <is>
          <t>one entry per day, per account, per holding</t>
        </is>
      </c>
      <c r="G27" s="3" t="inlineStr">
        <is>
          <t>not sent at all</t>
        </is>
      </c>
    </row>
    <row r="28">
      <c r="A28" s="3" t="inlineStr">
        <is>
          <t>NOT SAVED — DEVICE ONLY</t>
        </is>
      </c>
      <c r="B28" s="3" t="inlineStr">
        <is>
          <t>invDaily</t>
        </is>
      </c>
      <c r="C28" s="3" t="inlineStr">
        <is>
          <t>Cash + investments captured daily — the baseline the Net worth return line is measured from.</t>
        </is>
      </c>
      <c r="D28" s="3" t="inlineStr">
        <is>
          <t>Return on cash + investments</t>
        </is>
      </c>
      <c r="E28" s="3" t="inlineStr">
        <is>
          <t>once a day, on the first open</t>
        </is>
      </c>
      <c r="F28" s="3" t="inlineStr">
        <is>
          <t>one entry per day</t>
        </is>
      </c>
      <c r="G28" s="3" t="inlineStr">
        <is>
          <t>not sent at all</t>
        </is>
      </c>
    </row>
    <row r="29">
      <c r="A29" s="3" t="inlineStr">
        <is>
          <t>NOT SAVED — DEVICE ONLY</t>
        </is>
      </c>
      <c r="B29" s="3" t="inlineStr">
        <is>
          <t>transactions</t>
        </is>
      </c>
      <c r="C29" s="3" t="inlineStr">
        <is>
          <t>The append-only ledger read from institution downloads: every buy, sell, contribution, withdrawal, dividend and interest line. Read by 32 places in the app.</t>
        </is>
      </c>
      <c r="D29" s="3" t="inlineStr">
        <is>
          <t>contributions · withdrawals · income · realised gain · the change walk</t>
        </is>
      </c>
      <c r="E29" s="3" t="inlineStr">
        <is>
          <t>when a file is imported or a connection syncs</t>
        </is>
      </c>
      <c r="F29" s="3" t="inlineStr">
        <is>
          <t>one entry per transaction</t>
        </is>
      </c>
      <c r="G29" s="3" t="inlineStr">
        <is>
          <t>not sent at all</t>
        </is>
      </c>
    </row>
    <row r="30">
      <c r="A30" s="3" t="inlineStr">
        <is>
          <t>NOT SAVED</t>
        </is>
      </c>
      <c r="B30" s="3" t="inlineStr">
        <is>
          <t>prices</t>
        </is>
      </c>
      <c r="C30" s="3" t="inlineStr">
        <is>
          <t>Prices are fetched fresh and held only on the device.</t>
        </is>
      </c>
      <c r="D30" s="3" t="inlineStr">
        <is>
          <t>holding price · price fetched at</t>
        </is>
      </c>
      <c r="E30" s="3" t="inlineStr">
        <is>
          <t>never written to the cloud</t>
        </is>
      </c>
      <c r="F30" s="3" t="inlineStr">
        <is>
          <t>—</t>
        </is>
      </c>
      <c r="G30" s="3" t="inlineStr">
        <is>
          <t>—</t>
        </is>
      </c>
    </row>
    <row r="31">
      <c r="A31" s="3" t="inlineStr">
        <is>
          <t>NOT SAVED</t>
        </is>
      </c>
      <c r="B31" s="3" t="inlineStr">
        <is>
          <t>economic figures (inflation, the 10-year yield)</t>
        </is>
      </c>
      <c r="C31" s="3" t="inlineStr">
        <is>
          <t>Fetched from a feed each time; deliberately left out of the sync.</t>
        </is>
      </c>
      <c r="D31" s="3" t="inlineStr">
        <is>
          <t>inflation rate</t>
        </is>
      </c>
      <c r="E31" s="3" t="inlineStr">
        <is>
          <t>never written to the cloud</t>
        </is>
      </c>
      <c r="F31" s="3" t="inlineStr">
        <is>
          <t>—</t>
        </is>
      </c>
      <c r="G31" s="3" t="inlineStr">
        <is>
          <t>—</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D50"/>
  <sheetViews>
    <sheetView workbookViewId="0">
      <pane ySplit="1" topLeftCell="A2" activePane="bottomLeft" state="frozen"/>
      <selection pane="bottomLeft" activeCell="A1" sqref="A1"/>
    </sheetView>
  </sheetViews>
  <sheetFormatPr baseColWidth="8" defaultRowHeight="15"/>
  <cols>
    <col width="34" customWidth="1" min="1" max="1"/>
    <col width="34" customWidth="1" min="2" max="2"/>
    <col width="52" customWidth="1" min="3" max="3"/>
    <col width="26" customWidth="1" min="4" max="4"/>
  </cols>
  <sheetData>
    <row r="1">
      <c r="A1" s="1" t="inlineStr">
        <is>
          <t>Screen name</t>
        </is>
      </c>
      <c r="B1" s="1" t="inlineStr">
        <is>
          <t>Parent screen</t>
        </is>
      </c>
      <c r="C1" s="1" t="inlineStr">
        <is>
          <t>Core or not — my recommendation</t>
        </is>
      </c>
      <c r="D1" s="1" t="inlineStr">
        <is>
          <t>JJ — Decision (Y/N)</t>
        </is>
      </c>
    </row>
    <row r="2">
      <c r="A2" s="3" t="inlineStr">
        <is>
          <t>/account-detail</t>
        </is>
      </c>
      <c r="B2" s="3" t="inlineStr">
        <is>
          <t>Cashflow · Home · Networth · Performance · Plan</t>
        </is>
      </c>
      <c r="C2" s="3" t="inlineStr">
        <is>
          <t>Yes — where a wrong balance is chased</t>
        </is>
      </c>
      <c r="D2" s="3" t="inlineStr"/>
    </row>
    <row r="3">
      <c r="A3" s="3" t="inlineStr">
        <is>
          <t>/add-account</t>
        </is>
      </c>
      <c r="B3" s="3" t="inlineStr">
        <is>
          <t>Cashflow · Home · Networth · Performance · Plan</t>
        </is>
      </c>
      <c r="C3" s="3" t="inlineStr">
        <is>
          <t>Yes</t>
        </is>
      </c>
      <c r="D3" s="3" t="inlineStr"/>
    </row>
    <row r="4">
      <c r="A4" s="3" t="inlineStr">
        <is>
          <t>/analytics</t>
        </is>
      </c>
      <c r="B4" s="3" t="inlineStr">
        <is>
          <t>Networth</t>
        </is>
      </c>
      <c r="C4" s="3" t="inlineStr">
        <is>
          <t>Yes — Net worth</t>
        </is>
      </c>
      <c r="D4" s="3" t="inlineStr"/>
    </row>
    <row r="5">
      <c r="A5" s="3" t="inlineStr">
        <is>
          <t>/auth</t>
        </is>
      </c>
      <c r="B5" s="3" t="inlineStr">
        <is>
          <t>Menu</t>
        </is>
      </c>
      <c r="C5" s="3" t="inlineStr">
        <is>
          <t>Yes — the way in</t>
        </is>
      </c>
      <c r="D5" s="3" t="inlineStr"/>
    </row>
    <row r="6">
      <c r="A6" s="3" t="inlineStr">
        <is>
          <t>/big-costs</t>
        </is>
      </c>
      <c r="B6" s="3" t="inlineStr">
        <is>
          <t>Menu</t>
        </is>
      </c>
      <c r="C6" s="3" t="inlineStr">
        <is>
          <t>Yes — the costs that break a plan</t>
        </is>
      </c>
      <c r="D6" s="3" t="inlineStr"/>
    </row>
    <row r="7">
      <c r="A7" s="3" t="inlineStr">
        <is>
          <t>/bill-calendar</t>
        </is>
      </c>
      <c r="B7" s="3" t="inlineStr">
        <is>
          <t>Cashflow · Home</t>
        </is>
      </c>
      <c r="C7" s="3" t="inlineStr">
        <is>
          <t>Yes</t>
        </is>
      </c>
      <c r="D7" s="3" t="inlineStr"/>
    </row>
    <row r="8">
      <c r="A8" s="3" t="inlineStr">
        <is>
          <t>/bonds</t>
        </is>
      </c>
      <c r="B8" s="3" t="inlineStr">
        <is>
          <t>Cashflow · Home · Networth · Performance · Plan</t>
        </is>
      </c>
      <c r="C8" s="3" t="inlineStr">
        <is>
          <t>Yes — this age group holds them</t>
        </is>
      </c>
      <c r="D8" s="3" t="inlineStr"/>
    </row>
    <row r="9">
      <c r="A9" s="3" t="inlineStr">
        <is>
          <t>/cashflow</t>
        </is>
      </c>
      <c r="B9" s="3" t="inlineStr">
        <is>
          <t>Cashflow</t>
        </is>
      </c>
      <c r="C9" s="3" t="inlineStr">
        <is>
          <t>Yes — Cash flow</t>
        </is>
      </c>
      <c r="D9" s="3" t="inlineStr"/>
    </row>
    <row r="10">
      <c r="A10" s="3" t="inlineStr">
        <is>
          <t>/connect</t>
        </is>
      </c>
      <c r="B10" s="3" t="inlineStr">
        <is>
          <t>Cashflow · Home · Networth · Performance · Plan</t>
        </is>
      </c>
      <c r="C10" s="3" t="inlineStr">
        <is>
          <t>Yes</t>
        </is>
      </c>
      <c r="D10" s="3" t="inlineStr"/>
    </row>
    <row r="11">
      <c r="A11" s="3" t="inlineStr">
        <is>
          <t>/contribution-room</t>
        </is>
      </c>
      <c r="B11" s="3" t="inlineStr">
        <is>
          <t>Menu</t>
        </is>
      </c>
      <c r="C11" s="3" t="inlineStr">
        <is>
          <t>Yes — still relevant while working</t>
        </is>
      </c>
      <c r="D11" s="3" t="inlineStr"/>
    </row>
    <row r="12">
      <c r="A12" s="3" t="inlineStr">
        <is>
          <t>/credit</t>
        </is>
      </c>
      <c r="B12" s="3" t="inlineStr">
        <is>
          <t>Menu</t>
        </is>
      </c>
      <c r="C12" s="3" t="inlineStr">
        <is>
          <t>No — a working-age worry</t>
        </is>
      </c>
      <c r="D12" s="3" t="inlineStr"/>
    </row>
    <row r="13">
      <c r="A13" s="3" t="inlineStr">
        <is>
          <t>/education</t>
        </is>
      </c>
      <c r="B13" s="3" t="inlineStr">
        <is>
          <t>Plan</t>
        </is>
      </c>
      <c r="C13" s="3" t="inlineStr">
        <is>
          <t>No — college costs belong to the younger group</t>
        </is>
      </c>
      <c r="D13" s="3" t="inlineStr"/>
    </row>
    <row r="14">
      <c r="A14" s="3" t="inlineStr">
        <is>
          <t>/estate</t>
        </is>
      </c>
      <c r="B14" s="3" t="inlineStr">
        <is>
          <t>Menu</t>
        </is>
      </c>
      <c r="C14" s="3" t="inlineStr">
        <is>
          <t>Yes — squarely a 55-70 concern</t>
        </is>
      </c>
      <c r="D14" s="3" t="inlineStr"/>
    </row>
    <row r="15">
      <c r="A15" s="3" t="inlineStr">
        <is>
          <t>/expense</t>
        </is>
      </c>
      <c r="B15" s="3" t="inlineStr">
        <is>
          <t>Menu</t>
        </is>
      </c>
      <c r="C15" s="3" t="inlineStr">
        <is>
          <t>Yes</t>
        </is>
      </c>
      <c r="D15" s="3" t="inlineStr"/>
    </row>
    <row r="16">
      <c r="A16" s="3" t="inlineStr">
        <is>
          <t>/first-run</t>
        </is>
      </c>
      <c r="B16" s="3" t="inlineStr">
        <is>
          <t>Menu</t>
        </is>
      </c>
      <c r="C16" s="3" t="inlineStr">
        <is>
          <t>Yes</t>
        </is>
      </c>
      <c r="D16" s="3" t="inlineStr"/>
    </row>
    <row r="17">
      <c r="A17" s="3" t="inlineStr">
        <is>
          <t>/goals</t>
        </is>
      </c>
      <c r="B17" s="3" t="inlineStr">
        <is>
          <t>Menu</t>
        </is>
      </c>
      <c r="C17" s="3" t="inlineStr">
        <is>
          <t>Yes</t>
        </is>
      </c>
      <c r="D17" s="3" t="inlineStr"/>
    </row>
    <row r="18">
      <c r="A18" s="3" t="inlineStr">
        <is>
          <t>/holding-detail</t>
        </is>
      </c>
      <c r="B18" s="3" t="inlineStr">
        <is>
          <t>Cashflow · Home · Networth · Performance · Plan</t>
        </is>
      </c>
      <c r="C18" s="3" t="inlineStr">
        <is>
          <t>Yes — where a wrong gain is chased</t>
        </is>
      </c>
      <c r="D18" s="3" t="inlineStr"/>
    </row>
    <row r="19">
      <c r="A19" s="3" t="inlineStr">
        <is>
          <t>/home</t>
        </is>
      </c>
      <c r="B19" s="3" t="inlineStr">
        <is>
          <t>Home</t>
        </is>
      </c>
      <c r="C19" s="3" t="inlineStr">
        <is>
          <t>Yes — the first screen</t>
        </is>
      </c>
      <c r="D19" s="3" t="inlineStr"/>
    </row>
    <row r="20">
      <c r="A20" s="3" t="inlineStr">
        <is>
          <t>/import-holdings</t>
        </is>
      </c>
      <c r="B20" s="3" t="inlineStr">
        <is>
          <t>Cashflow · Home · Networth · Performance · Plan</t>
        </is>
      </c>
      <c r="C20" s="3" t="inlineStr">
        <is>
          <t>Yes — the way real data gets in</t>
        </is>
      </c>
      <c r="D20" s="3" t="inlineStr"/>
    </row>
    <row r="21">
      <c r="A21" s="3" t="inlineStr">
        <is>
          <t>/income</t>
        </is>
      </c>
      <c r="B21" s="3" t="inlineStr">
        <is>
          <t>Menu</t>
        </is>
      </c>
      <c r="C21" s="3" t="inlineStr">
        <is>
          <t>Yes</t>
        </is>
      </c>
      <c r="D21" s="3" t="inlineStr"/>
    </row>
    <row r="22">
      <c r="A22" s="3" t="inlineStr">
        <is>
          <t>/income-detail</t>
        </is>
      </c>
      <c r="B22" s="3" t="inlineStr">
        <is>
          <t>Menu</t>
        </is>
      </c>
      <c r="C22" s="3" t="inlineStr">
        <is>
          <t>Yes</t>
        </is>
      </c>
      <c r="D22" s="3" t="inlineStr"/>
    </row>
    <row r="23">
      <c r="A23" s="3" t="inlineStr">
        <is>
          <t>/income-manager</t>
        </is>
      </c>
      <c r="B23" s="3" t="inlineStr">
        <is>
          <t>Cashflow · Home</t>
        </is>
      </c>
      <c r="C23" s="3" t="inlineStr">
        <is>
          <t>Yes</t>
        </is>
      </c>
      <c r="D23" s="3" t="inlineStr"/>
    </row>
    <row r="24">
      <c r="A24" s="3" t="inlineStr">
        <is>
          <t>/insights</t>
        </is>
      </c>
      <c r="B24" s="3" t="inlineStr">
        <is>
          <t>Menu</t>
        </is>
      </c>
      <c r="C24" s="3" t="inlineStr">
        <is>
          <t>Yes — what needs you today</t>
        </is>
      </c>
      <c r="D24" s="3" t="inlineStr"/>
    </row>
    <row r="25">
      <c r="A25" s="3" t="inlineStr">
        <is>
          <t>/insurance</t>
        </is>
      </c>
      <c r="B25" s="3" t="inlineStr">
        <is>
          <t>Menu</t>
        </is>
      </c>
      <c r="C25" s="3" t="inlineStr">
        <is>
          <t>Borderline — matters at 55, less at 70</t>
        </is>
      </c>
      <c r="D25" s="3" t="inlineStr"/>
    </row>
    <row r="26">
      <c r="A26" s="3" t="inlineStr">
        <is>
          <t>/invest</t>
        </is>
      </c>
      <c r="B26" s="3" t="inlineStr">
        <is>
          <t>Performance</t>
        </is>
      </c>
      <c r="C26" s="3" t="inlineStr">
        <is>
          <t>Yes — Performance</t>
        </is>
      </c>
      <c r="D26" s="3" t="inlineStr"/>
    </row>
    <row r="27">
      <c r="A27" s="3" t="inlineStr">
        <is>
          <t>/itemize</t>
        </is>
      </c>
      <c r="B27" s="3" t="inlineStr">
        <is>
          <t>Networth</t>
        </is>
      </c>
      <c r="C27" s="3" t="inlineStr">
        <is>
          <t>Yes — splitting one lump into holdings</t>
        </is>
      </c>
      <c r="D27" s="3" t="inlineStr"/>
    </row>
    <row r="28">
      <c r="A28" s="3" t="inlineStr">
        <is>
          <t>/jobsafety</t>
        </is>
      </c>
      <c r="B28" s="3" t="inlineStr">
        <is>
          <t>Menu</t>
        </is>
      </c>
      <c r="C28" s="3" t="inlineStr">
        <is>
          <t>No — a working-age worry</t>
        </is>
      </c>
      <c r="D28" s="3" t="inlineStr"/>
    </row>
    <row r="29">
      <c r="A29" s="3" t="inlineStr">
        <is>
          <t>/look-back</t>
        </is>
      </c>
      <c r="B29" s="3" t="inlineStr">
        <is>
          <t>Cashflow · Home · Networth · Performance · Plan</t>
        </is>
      </c>
      <c r="C29" s="3" t="inlineStr">
        <is>
          <t>Borderline — interesting, not needed to trust a number</t>
        </is>
      </c>
      <c r="D29" s="3" t="inlineStr"/>
    </row>
    <row r="30">
      <c r="A30" s="3" t="inlineStr">
        <is>
          <t>/month-detail</t>
        </is>
      </c>
      <c r="B30" s="3" t="inlineStr">
        <is>
          <t>Cashflow · Home</t>
        </is>
      </c>
      <c r="C30" s="3" t="inlineStr">
        <is>
          <t>Yes</t>
        </is>
      </c>
      <c r="D30" s="3" t="inlineStr"/>
    </row>
    <row r="31">
      <c r="A31" s="3" t="inlineStr">
        <is>
          <t>/monthly-income</t>
        </is>
      </c>
      <c r="B31" s="3" t="inlineStr">
        <is>
          <t>Cashflow · Home · Plan</t>
        </is>
      </c>
      <c r="C31" s="3" t="inlineStr">
        <is>
          <t>Yes</t>
        </is>
      </c>
      <c r="D31" s="3" t="inlineStr"/>
    </row>
    <row r="32">
      <c r="A32" s="3" t="inlineStr">
        <is>
          <t>/multi-goal</t>
        </is>
      </c>
      <c r="B32" s="3" t="inlineStr">
        <is>
          <t>Plan</t>
        </is>
      </c>
      <c r="C32" s="3" t="inlineStr">
        <is>
          <t>Yes</t>
        </is>
      </c>
      <c r="D32" s="3" t="inlineStr"/>
    </row>
    <row r="33">
      <c r="A33" s="3" t="inlineStr">
        <is>
          <t>/onboarding</t>
        </is>
      </c>
      <c r="B33" s="3" t="inlineStr">
        <is>
          <t>Cashflow · Home</t>
        </is>
      </c>
      <c r="C33" s="3" t="inlineStr">
        <is>
          <t>Yes</t>
        </is>
      </c>
      <c r="D33" s="3" t="inlineStr"/>
    </row>
    <row r="34">
      <c r="A34" s="3" t="inlineStr">
        <is>
          <t>/other-investments</t>
        </is>
      </c>
      <c r="B34" s="3" t="inlineStr">
        <is>
          <t>Menu</t>
        </is>
      </c>
      <c r="C34" s="3" t="inlineStr">
        <is>
          <t>Yes — the things with no market price</t>
        </is>
      </c>
      <c r="D34" s="3" t="inlineStr"/>
    </row>
    <row r="35">
      <c r="A35" s="3" t="inlineStr">
        <is>
          <t>/paycheck-months</t>
        </is>
      </c>
      <c r="B35" s="3" t="inlineStr">
        <is>
          <t>Cashflow · Home · Plan</t>
        </is>
      </c>
      <c r="C35" s="3" t="inlineStr">
        <is>
          <t>Yes</t>
        </is>
      </c>
      <c r="D35" s="3" t="inlineStr"/>
    </row>
    <row r="36">
      <c r="A36" s="3" t="inlineStr">
        <is>
          <t>/performance</t>
        </is>
      </c>
      <c r="B36" s="3" t="inlineStr">
        <is>
          <t>Cashflow · Home · Plan</t>
        </is>
      </c>
      <c r="C36" s="3" t="inlineStr">
        <is>
          <t>Yes — a second route to Performance</t>
        </is>
      </c>
      <c r="D36" s="3" t="inlineStr"/>
    </row>
    <row r="37">
      <c r="A37" s="3" t="inlineStr">
        <is>
          <t>/plan</t>
        </is>
      </c>
      <c r="B37" s="3" t="inlineStr">
        <is>
          <t>Plan</t>
        </is>
      </c>
      <c r="C37" s="3" t="inlineStr">
        <is>
          <t>Yes — Plan</t>
        </is>
      </c>
      <c r="D37" s="3" t="inlineStr"/>
    </row>
    <row r="38">
      <c r="A38" s="3" t="inlineStr">
        <is>
          <t>/required-withdrawals</t>
        </is>
      </c>
      <c r="B38" s="3" t="inlineStr">
        <is>
          <t>Plan</t>
        </is>
      </c>
      <c r="C38" s="3" t="inlineStr">
        <is>
          <t>Yes — a 73+ obligation</t>
        </is>
      </c>
      <c r="D38" s="3" t="inlineStr"/>
    </row>
    <row r="39">
      <c r="A39" s="3" t="inlineStr">
        <is>
          <t>/retirement</t>
        </is>
      </c>
      <c r="B39" s="3" t="inlineStr">
        <is>
          <t>Cashflow · Home · Plan</t>
        </is>
      </c>
      <c r="C39" s="3" t="inlineStr">
        <is>
          <t>Yes — the cockpit</t>
        </is>
      </c>
      <c r="D39" s="3" t="inlineStr"/>
    </row>
    <row r="40">
      <c r="A40" s="3" t="inlineStr">
        <is>
          <t>/rewards</t>
        </is>
      </c>
      <c r="B40" s="3" t="inlineStr">
        <is>
          <t>Menu</t>
        </is>
      </c>
      <c r="C40" s="3" t="inlineStr">
        <is>
          <t>No — encouragement, not a number</t>
        </is>
      </c>
      <c r="D40" s="3" t="inlineStr"/>
    </row>
    <row r="41">
      <c r="A41" s="3" t="inlineStr">
        <is>
          <t>/roth</t>
        </is>
      </c>
      <c r="B41" s="3" t="inlineStr">
        <is>
          <t>Plan</t>
        </is>
      </c>
      <c r="C41" s="3" t="inlineStr">
        <is>
          <t>Yes — a 55-70 decision</t>
        </is>
      </c>
      <c r="D41" s="3" t="inlineStr"/>
    </row>
    <row r="42">
      <c r="A42" s="3" t="inlineStr">
        <is>
          <t>/settings</t>
        </is>
      </c>
      <c r="B42" s="3" t="inlineStr">
        <is>
          <t>Menu</t>
        </is>
      </c>
      <c r="C42" s="3" t="inlineStr">
        <is>
          <t>Yes — carries hide-balances and the lock</t>
        </is>
      </c>
      <c r="D42" s="3" t="inlineStr"/>
    </row>
    <row r="43">
      <c r="A43" s="3" t="inlineStr">
        <is>
          <t>/sharpen</t>
        </is>
      </c>
      <c r="B43" s="3" t="inlineStr">
        <is>
          <t>Plan</t>
        </is>
      </c>
      <c r="C43" s="3" t="inlineStr">
        <is>
          <t>Borderline — a way in, not a figure</t>
        </is>
      </c>
      <c r="D43" s="3" t="inlineStr"/>
    </row>
    <row r="44">
      <c r="A44" s="3" t="inlineStr">
        <is>
          <t>/ss-timing</t>
        </is>
      </c>
      <c r="B44" s="3" t="inlineStr">
        <is>
          <t>Plan</t>
        </is>
      </c>
      <c r="C44" s="3" t="inlineStr">
        <is>
          <t>Yes — a 55-70 decision</t>
        </is>
      </c>
      <c r="D44" s="3" t="inlineStr"/>
    </row>
    <row r="45">
      <c r="A45" s="3" t="inlineStr">
        <is>
          <t>/stress-test</t>
        </is>
      </c>
      <c r="B45" s="3" t="inlineStr">
        <is>
          <t>Menu</t>
        </is>
      </c>
      <c r="C45" s="3" t="inlineStr">
        <is>
          <t>Borderline</t>
        </is>
      </c>
      <c r="D45" s="3" t="inlineStr"/>
    </row>
    <row r="46">
      <c r="A46" s="3" t="inlineStr">
        <is>
          <t>/tax-organizer</t>
        </is>
      </c>
      <c r="B46" s="3" t="inlineStr">
        <is>
          <t>Menu</t>
        </is>
      </c>
      <c r="C46" s="3" t="inlineStr">
        <is>
          <t>Yes</t>
        </is>
      </c>
      <c r="D46" s="3" t="inlineStr"/>
    </row>
    <row r="47">
      <c r="A47" s="3" t="inlineStr">
        <is>
          <t>/tips</t>
        </is>
      </c>
      <c r="B47" s="3" t="inlineStr">
        <is>
          <t>Menu</t>
        </is>
      </c>
      <c r="C47" s="3" t="inlineStr">
        <is>
          <t>No — encouragement, not a number</t>
        </is>
      </c>
      <c r="D47" s="3" t="inlineStr"/>
    </row>
    <row r="48">
      <c r="A48" s="3" t="inlineStr">
        <is>
          <t>/what-if</t>
        </is>
      </c>
      <c r="B48" s="3" t="inlineStr">
        <is>
          <t>Cashflow · Home · Performance · Plan</t>
        </is>
      </c>
      <c r="C48" s="3" t="inlineStr">
        <is>
          <t>Yes</t>
        </is>
      </c>
      <c r="D48" s="3" t="inlineStr"/>
    </row>
    <row r="49">
      <c r="A49" s="3" t="inlineStr">
        <is>
          <t>/will-it-last</t>
        </is>
      </c>
      <c r="B49" s="3" t="inlineStr">
        <is>
          <t>Plan</t>
        </is>
      </c>
      <c r="C49" s="3" t="inlineStr">
        <is>
          <t>Yes — the question the whole plan answers</t>
        </is>
      </c>
      <c r="D49" s="3" t="inlineStr"/>
    </row>
    <row r="50">
      <c r="A50" s="3" t="inlineStr">
        <is>
          <t>/worth-a-look</t>
        </is>
      </c>
      <c r="B50" s="3" t="inlineStr">
        <is>
          <t>Menu</t>
        </is>
      </c>
      <c r="C50" s="3" t="inlineStr">
        <is>
          <t>Borderline</t>
        </is>
      </c>
      <c r="D50" s="3" t="inlineStr"/>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E96"/>
  <sheetViews>
    <sheetView workbookViewId="0">
      <pane ySplit="1" topLeftCell="A2" activePane="bottomLeft" state="frozen"/>
      <selection pane="bottomLeft" activeCell="A1" sqref="A1"/>
    </sheetView>
  </sheetViews>
  <sheetFormatPr baseColWidth="8" defaultRowHeight="15"/>
  <cols>
    <col width="15" customWidth="1" min="1" max="1"/>
    <col width="46" customWidth="1" min="2" max="2"/>
    <col width="44" customWidth="1" min="3" max="3"/>
    <col width="44" customWidth="1" min="4" max="4"/>
    <col width="70" customWidth="1" min="5" max="5"/>
  </cols>
  <sheetData>
    <row r="1">
      <c r="A1" s="1" t="inlineStr">
        <is>
          <t>Input ID</t>
        </is>
      </c>
      <c r="B1" s="1" t="inlineStr">
        <is>
          <t>Input</t>
        </is>
      </c>
      <c r="C1" s="1" t="inlineStr">
        <is>
          <t>Engines the inputs tab says use it</t>
        </is>
      </c>
      <c r="D1" s="1" t="inlineStr">
        <is>
          <t>Engines that actually name it in their own input list</t>
        </is>
      </c>
      <c r="E1" s="1" t="inlineStr">
        <is>
          <t>Verdict</t>
        </is>
      </c>
    </row>
    <row r="2">
      <c r="A2" s="3" t="inlineStr">
        <is>
          <t>MK-XS-I-001</t>
        </is>
      </c>
      <c r="B2" s="3" t="inlineStr">
        <is>
          <t>account balance</t>
        </is>
      </c>
      <c r="C2" s="3" t="inlineStr">
        <is>
          <t>NET_WORTH · REQUIRED_WITHDRAWAL · TOTAL_CASH · TOTAL_INVESTMENTS</t>
        </is>
      </c>
      <c r="D2" s="3" t="inlineStr">
        <is>
          <t>ACCOUNT_SHARE_OF_TOTAL · ACCOUNT_SPLIT · ALLOCATION_BY_CLASS · DEBT_PICTURE · NET_WORTH · PLANNED_SPENDING · TOTAL_CASH · TOTAL_INVESTABLE · TOTAL_INVESTMENTS</t>
        </is>
      </c>
      <c r="E2" s="3" t="inlineStr">
        <is>
          <t>PARTLY AGREES — declared but not naming it: REQUIRED_WITHDRAWAL  |  naming it but not declared: ACCOUNT_SHARE_OF_TOTAL, ACCOUNT_SPLIT, ALLOCATION_BY_CLASS, DEBT_PICTURE, PLANNED_SPENDING, TOTAL_INVESTABLE</t>
        </is>
      </c>
    </row>
    <row r="3">
      <c r="A3" s="3" t="inlineStr">
        <is>
          <t>MK-XS-I-002</t>
        </is>
      </c>
      <c r="B3" s="3" t="inlineStr">
        <is>
          <t>account type (taxable, pre-tax, Roth)</t>
        </is>
      </c>
      <c r="C3" s="3" t="inlineStr">
        <is>
          <t>REQUIRED_WITHDRAWAL · TAX_TREATMENT</t>
        </is>
      </c>
      <c r="D3" s="3" t="inlineStr">
        <is>
          <t>—</t>
        </is>
      </c>
      <c r="E3" s="3" t="inlineStr">
        <is>
          <t>DECLARED BUT NEVER NAMED — the inputs tab says these engines use it, but no engine names it in its own input list. Unproved in one direction.</t>
        </is>
      </c>
    </row>
    <row r="4">
      <c r="A4" s="3" t="inlineStr">
        <is>
          <t>MK-XS-I-003</t>
        </is>
      </c>
      <c r="B4" s="3" t="inlineStr">
        <is>
          <t>institution name</t>
        </is>
      </c>
      <c r="C4" s="3" t="inlineStr">
        <is>
          <t>ACCOUNT_SPLIT</t>
        </is>
      </c>
      <c r="D4" s="3" t="inlineStr">
        <is>
          <t>—</t>
        </is>
      </c>
      <c r="E4" s="3" t="inlineStr">
        <is>
          <t>DECLARED BUT NEVER NAMED — the inputs tab says these engines use it, but no engine names it in its own input list. Unproved in one direction.</t>
        </is>
      </c>
    </row>
    <row r="5">
      <c r="A5" s="3" t="inlineStr">
        <is>
          <t>MK-XS-I-004</t>
        </is>
      </c>
      <c r="B5" s="3" t="inlineStr">
        <is>
          <t>holding quantity (shares)</t>
        </is>
      </c>
      <c r="C5" s="3" t="inlineStr">
        <is>
          <t>HOLDING_MARKET_VALUE · HOLDING_SHARES</t>
        </is>
      </c>
      <c r="D5" s="3" t="inlineStr">
        <is>
          <t>HOLDING_COST_BASIS · HOLDING_MARKET_VALUE · HOLDING_SHARES</t>
        </is>
      </c>
      <c r="E5" s="3" t="inlineStr">
        <is>
          <t>PARTLY AGREES — naming it but not declared: HOLDING_COST_BASIS</t>
        </is>
      </c>
    </row>
    <row r="6">
      <c r="A6" s="3" t="inlineStr">
        <is>
          <t>MK-XS-I-005</t>
        </is>
      </c>
      <c r="B6" s="3" t="inlineStr">
        <is>
          <t>holding price</t>
        </is>
      </c>
      <c r="C6" s="3" t="inlineStr">
        <is>
          <t>HOLDING_MARKET_VALUE · PRICE_FRESHNESS</t>
        </is>
      </c>
      <c r="D6" s="3" t="inlineStr">
        <is>
          <t>HOLDING_CAP_GAINS · HOLDING_MARKET_VALUE · PERFORMANCE_TABLE</t>
        </is>
      </c>
      <c r="E6" s="3" t="inlineStr">
        <is>
          <t>PARTLY AGREES — declared but not naming it: PRICE_FRESHNESS  |  naming it but not declared: HOLDING_CAP_GAINS, PERFORMANCE_TABLE</t>
        </is>
      </c>
    </row>
    <row r="7">
      <c r="A7" s="3" t="inlineStr">
        <is>
          <t>MK-XS-I-006</t>
        </is>
      </c>
      <c r="B7" s="3" t="inlineStr">
        <is>
          <t>price fetched at</t>
        </is>
      </c>
      <c r="C7" s="3" t="inlineStr">
        <is>
          <t>PRICE_FRESHNESS</t>
        </is>
      </c>
      <c r="D7" s="3" t="inlineStr">
        <is>
          <t>PRICE_FRESHNESS</t>
        </is>
      </c>
      <c r="E7" s="3" t="inlineStr">
        <is>
          <t>AGREES — both directions name the same engines.</t>
        </is>
      </c>
    </row>
    <row r="8">
      <c r="A8" s="3" t="inlineStr">
        <is>
          <t>MK-XS-I-007</t>
        </is>
      </c>
      <c r="B8" s="3" t="inlineStr">
        <is>
          <t>purchase price and date (per lot)</t>
        </is>
      </c>
      <c r="C8" s="3" t="inlineStr">
        <is>
          <t>HOLDING_CAP_GAINS · HOLDING_COST_BASIS</t>
        </is>
      </c>
      <c r="D8" s="3" t="inlineStr">
        <is>
          <t>HOLDING_CAP_GAINS · HOLDING_COST_BASIS · HOLDING_SHARES</t>
        </is>
      </c>
      <c r="E8" s="3" t="inlineStr">
        <is>
          <t>PARTLY AGREES — naming it but not declared: HOLDING_SHARES</t>
        </is>
      </c>
    </row>
    <row r="9">
      <c r="A9" s="3" t="inlineStr">
        <is>
          <t>MK-XS-I-008</t>
        </is>
      </c>
      <c r="B9" s="3" t="inlineStr">
        <is>
          <t>transaction amount</t>
        </is>
      </c>
      <c r="C9" s="3" t="inlineStr">
        <is>
          <t>LEDGER · NW_CHANGE_WALK</t>
        </is>
      </c>
      <c r="D9" s="3" t="inlineStr">
        <is>
          <t>LOOK_BACK · RETIREMENT_INCOME_NOW · SS_BENEFIT_AT_AGE · SS_CLAIM_FACTOR</t>
        </is>
      </c>
      <c r="E9" s="3" t="inlineStr">
        <is>
          <t>PARTLY AGREES — declared but not naming it: LEDGER, NW_CHANGE_WALK  |  naming it but not declared: LOOK_BACK, RETIREMENT_INCOME_NOW, SS_BENEFIT_AT_AGE, SS_CLAIM_FACTOR</t>
        </is>
      </c>
    </row>
    <row r="10">
      <c r="A10" s="3" t="inlineStr">
        <is>
          <t>MK-XS-I-009</t>
        </is>
      </c>
      <c r="B10" s="3" t="inlineStr">
        <is>
          <t>transaction date</t>
        </is>
      </c>
      <c r="C10" s="3" t="inlineStr">
        <is>
          <t>LEDGER · NW_CHANGE_WALK</t>
        </is>
      </c>
      <c r="D10" s="3" t="inlineStr">
        <is>
          <t>—</t>
        </is>
      </c>
      <c r="E10" s="3" t="inlineStr">
        <is>
          <t>DECLARED BUT NEVER NAMED — the inputs tab says these engines use it, but no engine names it in its own input list. Unproved in one direction.</t>
        </is>
      </c>
    </row>
    <row r="11">
      <c r="A11" s="3" t="inlineStr">
        <is>
          <t>MK-XS-I-010</t>
        </is>
      </c>
      <c r="B11" s="3" t="inlineStr">
        <is>
          <t>transaction words (the institution's own wording)</t>
        </is>
      </c>
      <c r="C11" s="3" t="inlineStr">
        <is>
          <t>LEDGER · the institution-words table</t>
        </is>
      </c>
      <c r="D11" s="3" t="inlineStr">
        <is>
          <t>—</t>
        </is>
      </c>
      <c r="E11" s="3" t="inlineStr">
        <is>
          <t>DECLARED BUT NEVER NAMED — the inputs tab says these engines use it, but no engine names it in its own input list. Unproved in one direction.</t>
        </is>
      </c>
    </row>
    <row r="12">
      <c r="A12" s="3" t="inlineStr">
        <is>
          <t>MK-XS-I-011</t>
        </is>
      </c>
      <c r="B12" s="3" t="inlineStr">
        <is>
          <t>bond face value</t>
        </is>
      </c>
      <c r="C12" s="3" t="inlineStr">
        <is>
          <t>BOND_FACTS</t>
        </is>
      </c>
      <c r="D12" s="3" t="inlineStr">
        <is>
          <t>BOND_COUPON · BOND_FACTS · BOND_YIELD_TO_MATURITY</t>
        </is>
      </c>
      <c r="E12" s="3" t="inlineStr">
        <is>
          <t>PARTLY AGREES — naming it but not declared: BOND_COUPON, BOND_YIELD_TO_MATURITY</t>
        </is>
      </c>
    </row>
    <row r="13">
      <c r="A13" s="3" t="inlineStr">
        <is>
          <t>MK-XS-I-012</t>
        </is>
      </c>
      <c r="B13" s="3" t="inlineStr">
        <is>
          <t>bond coupon rate</t>
        </is>
      </c>
      <c r="C13" s="3" t="inlineStr">
        <is>
          <t>BOND_COUPON · BOND_CURRENT_YIELD</t>
        </is>
      </c>
      <c r="D13" s="3" t="inlineStr">
        <is>
          <t>BOND_COUPON · BOND_CURRENT_YIELD · BOND_FACTS · BOND_YIELD_TO_MATURITY</t>
        </is>
      </c>
      <c r="E13" s="3" t="inlineStr">
        <is>
          <t>PARTLY AGREES — naming it but not declared: BOND_FACTS, BOND_YIELD_TO_MATURITY</t>
        </is>
      </c>
    </row>
    <row r="14">
      <c r="A14" s="3" t="inlineStr">
        <is>
          <t>MK-XS-I-013</t>
        </is>
      </c>
      <c r="B14" s="3" t="inlineStr">
        <is>
          <t>bond maturity date</t>
        </is>
      </c>
      <c r="C14" s="3" t="inlineStr">
        <is>
          <t>BOND_YEARS_LEFT · BOND_YIELD_TO_MATURITY</t>
        </is>
      </c>
      <c r="D14" s="3" t="inlineStr">
        <is>
          <t>BOND_YEARS_LEFT · BOND_YIELD_TO_MATURITY</t>
        </is>
      </c>
      <c r="E14" s="3" t="inlineStr">
        <is>
          <t>AGREES — both directions name the same engines.</t>
        </is>
      </c>
    </row>
    <row r="15">
      <c r="A15" s="3" t="inlineStr">
        <is>
          <t>MK-XS-I-014</t>
        </is>
      </c>
      <c r="B15" s="3" t="inlineStr">
        <is>
          <t>debt balance</t>
        </is>
      </c>
      <c r="C15" s="3" t="inlineStr">
        <is>
          <t>DEBT_PICTURE</t>
        </is>
      </c>
      <c r="D15" s="3" t="inlineStr">
        <is>
          <t>DEBT_PICTURE · NET_WORTH</t>
        </is>
      </c>
      <c r="E15" s="3" t="inlineStr">
        <is>
          <t>PARTLY AGREES — naming it but not declared: NET_WORTH</t>
        </is>
      </c>
    </row>
    <row r="16">
      <c r="A16" s="3" t="inlineStr">
        <is>
          <t>MK-XS-I-015</t>
        </is>
      </c>
      <c r="B16" s="3" t="inlineStr">
        <is>
          <t>debt interest rate</t>
        </is>
      </c>
      <c r="C16" s="3" t="inlineStr">
        <is>
          <t>DEBT_PAYOFF</t>
        </is>
      </c>
      <c r="D16" s="3" t="inlineStr">
        <is>
          <t>DEBT_PICTURE · NET_WORTH</t>
        </is>
      </c>
      <c r="E16" s="3" t="inlineStr">
        <is>
          <t>PARTLY AGREES — declared but not naming it: DEBT_PAYOFF  |  naming it but not declared: DEBT_PICTURE, NET_WORTH</t>
        </is>
      </c>
    </row>
    <row r="17">
      <c r="A17" s="3" t="inlineStr">
        <is>
          <t>MK-XS-I-016</t>
        </is>
      </c>
      <c r="B17" s="3" t="inlineStr">
        <is>
          <t>debt minimum payment</t>
        </is>
      </c>
      <c r="C17" s="3" t="inlineStr">
        <is>
          <t>DEBT_REQUIRED_PAYMENT</t>
        </is>
      </c>
      <c r="D17" s="3" t="inlineStr">
        <is>
          <t>DEBT_PICTURE · DEBT_REQUIRED_PAYMENT · NET_WORTH · SPENDING_BY_KIND</t>
        </is>
      </c>
      <c r="E17" s="3" t="inlineStr">
        <is>
          <t>PARTLY AGREES — naming it but not declared: DEBT_PICTURE, NET_WORTH, SPENDING_BY_KIND</t>
        </is>
      </c>
    </row>
    <row r="18">
      <c r="A18" s="3" t="inlineStr">
        <is>
          <t>MK-XS-I-017</t>
        </is>
      </c>
      <c r="B18" s="3" t="inlineStr">
        <is>
          <t>birth year</t>
        </is>
      </c>
      <c r="C18" s="3" t="inlineStr">
        <is>
          <t>RMD_START_AGE · SS_BENEFIT_AT_AGE</t>
        </is>
      </c>
      <c r="D18" s="3" t="inlineStr">
        <is>
          <t>SS_BENEFIT_AT_AGE · SS_CLAIM_FACTOR · WHAT_THE_PLAN_STILL_NEEDS · WILL_IT_LAST_INPUTS</t>
        </is>
      </c>
      <c r="E18" s="3" t="inlineStr">
        <is>
          <t>PARTLY AGREES — declared but not naming it: RMD_START_AGE  |  naming it but not declared: SS_CLAIM_FACTOR, WHAT_THE_PLAN_STILL_NEEDS, WILL_IT_LAST_INPUTS</t>
        </is>
      </c>
    </row>
    <row r="19">
      <c r="A19" s="3" t="inlineStr">
        <is>
          <t>MK-XS-I-018</t>
        </is>
      </c>
      <c r="B19" s="3" t="inlineStr">
        <is>
          <t>retirement age</t>
        </is>
      </c>
      <c r="C19" s="3" t="inlineStr">
        <is>
          <t>POT_AT_RETIREMENT · WILL_IT_LAST_RESULT</t>
        </is>
      </c>
      <c r="D19" s="3" t="inlineStr">
        <is>
          <t>SS_BENEFIT_AT_AGE · SS_CLAIM_FACTOR</t>
        </is>
      </c>
      <c r="E19" s="3" t="inlineStr">
        <is>
          <t>PARTLY AGREES — declared but not naming it: POT_AT_RETIREMENT, WILL_IT_LAST_RESULT  |  naming it but not declared: SS_BENEFIT_AT_AGE, SS_CLAIM_FACTOR</t>
        </is>
      </c>
    </row>
    <row r="20">
      <c r="A20" s="3" t="inlineStr">
        <is>
          <t>MK-XS-I-019</t>
        </is>
      </c>
      <c r="B20" s="3" t="inlineStr">
        <is>
          <t>monthly spending in retirement</t>
        </is>
      </c>
      <c r="C20" s="3" t="inlineStr">
        <is>
          <t>WILL_IT_LAST_INPUTS</t>
        </is>
      </c>
      <c r="D20" s="3" t="inlineStr">
        <is>
          <t>—</t>
        </is>
      </c>
      <c r="E20" s="3" t="inlineStr">
        <is>
          <t>DECLARED BUT NEVER NAMED — the inputs tab says these engines use it, but no engine names it in its own input list. Unproved in one direction.</t>
        </is>
      </c>
    </row>
    <row r="21">
      <c r="A21" s="3" t="inlineStr">
        <is>
          <t>MK-XS-I-020</t>
        </is>
      </c>
      <c r="B21" s="3" t="inlineStr">
        <is>
          <t>Social Security monthly amount</t>
        </is>
      </c>
      <c r="C21" s="3" t="inlineStr">
        <is>
          <t>RETIREMENT_INCOME_NOW · SS_BENEFIT_AT_AGE</t>
        </is>
      </c>
      <c r="D21" s="3" t="inlineStr">
        <is>
          <t>SS_BENEFIT_AT_AGE · SS_CLAIM_FACTOR</t>
        </is>
      </c>
      <c r="E21" s="3" t="inlineStr">
        <is>
          <t>PARTLY AGREES — declared but not naming it: RETIREMENT_INCOME_NOW  |  naming it but not declared: SS_CLAIM_FACTOR</t>
        </is>
      </c>
    </row>
    <row r="22">
      <c r="A22" s="3" t="inlineStr">
        <is>
          <t>MK-XS-I-021</t>
        </is>
      </c>
      <c r="B22" s="3" t="inlineStr">
        <is>
          <t>Social Security claim age</t>
        </is>
      </c>
      <c r="C22" s="3" t="inlineStr">
        <is>
          <t>SS_CLAIM_FACTOR</t>
        </is>
      </c>
      <c r="D22" s="3" t="inlineStr">
        <is>
          <t>SS_BENEFIT_AT_AGE · SS_CLAIM_FACTOR</t>
        </is>
      </c>
      <c r="E22" s="3" t="inlineStr">
        <is>
          <t>PARTLY AGREES — naming it but not declared: SS_BENEFIT_AT_AGE</t>
        </is>
      </c>
    </row>
    <row r="23">
      <c r="A23" s="3" t="inlineStr">
        <is>
          <t>MK-XS-I-022</t>
        </is>
      </c>
      <c r="B23" s="3" t="inlineStr">
        <is>
          <t>pension monthly amount</t>
        </is>
      </c>
      <c r="C23" s="3" t="inlineStr">
        <is>
          <t>RETIREMENT_INCOME_NOW</t>
        </is>
      </c>
      <c r="D23" s="3" t="inlineStr">
        <is>
          <t>RETIREMENT_INCOME</t>
        </is>
      </c>
      <c r="E23" s="3" t="inlineStr">
        <is>
          <t>PARTLY AGREES — declared but not naming it: RETIREMENT_INCOME_NOW  |  naming it but not declared: RETIREMENT_INCOME</t>
        </is>
      </c>
    </row>
    <row r="24">
      <c r="A24" s="3" t="inlineStr">
        <is>
          <t>MK-XS-I-023</t>
        </is>
      </c>
      <c r="B24" s="3" t="inlineStr">
        <is>
          <t>salary and other income</t>
        </is>
      </c>
      <c r="C24" s="3" t="inlineStr">
        <is>
          <t>TOTAL_INCOME</t>
        </is>
      </c>
      <c r="D24" s="3" t="inlineStr">
        <is>
          <t>RENTAL_INCOME_A_YEAR</t>
        </is>
      </c>
      <c r="E24" s="3" t="inlineStr">
        <is>
          <t>PARTLY AGREES — declared but not naming it: TOTAL_INCOME  |  naming it but not declared: RENTAL_INCOME_A_YEAR</t>
        </is>
      </c>
    </row>
    <row r="25">
      <c r="A25" s="3" t="inlineStr">
        <is>
          <t>MK-XS-I-024</t>
        </is>
      </c>
      <c r="B25" s="3" t="inlineStr">
        <is>
          <t>logged spending</t>
        </is>
      </c>
      <c r="C25" s="3" t="inlineStr">
        <is>
          <t>PLANNED_SPENDING · SPENDING_BY_KIND</t>
        </is>
      </c>
      <c r="D25" s="3" t="inlineStr">
        <is>
          <t>PLANNED_SPENDING · RETIREMENT_SPENDING · TOTAL_CASH · WHAT_THE_PLAN_STILL_NEEDS · WILL_IT_LAST_INPUTS</t>
        </is>
      </c>
      <c r="E25" s="3" t="inlineStr">
        <is>
          <t>PARTLY AGREES — declared but not naming it: SPENDING_BY_KIND  |  naming it but not declared: RETIREMENT_SPENDING, TOTAL_CASH, WHAT_THE_PLAN_STILL_NEEDS, WILL_IT_LAST_INPUTS</t>
        </is>
      </c>
    </row>
    <row r="26">
      <c r="A26" s="3" t="inlineStr">
        <is>
          <t>MK-XS-I-025</t>
        </is>
      </c>
      <c r="B26" s="3" t="inlineStr">
        <is>
          <t>typical monthly essentials</t>
        </is>
      </c>
      <c r="C26" s="3" t="inlineStr">
        <is>
          <t>JOB_SAFETY_RUNWAY · PLANNED_SPENDING</t>
        </is>
      </c>
      <c r="D26" s="3" t="inlineStr">
        <is>
          <t>—</t>
        </is>
      </c>
      <c r="E26" s="3" t="inlineStr">
        <is>
          <t>DECLARED BUT NEVER NAMED — the inputs tab says these engines use it, but no engine names it in its own input list. Unproved in one direction.</t>
        </is>
      </c>
    </row>
    <row r="27">
      <c r="A27" s="3" t="inlineStr">
        <is>
          <t>MK-XS-I-026</t>
        </is>
      </c>
      <c r="B27" s="3" t="inlineStr">
        <is>
          <t>big costs (amount and year)</t>
        </is>
      </c>
      <c r="C27" s="3" t="inlineStr">
        <is>
          <t>BIG_COSTS</t>
        </is>
      </c>
      <c r="D27" s="3" t="inlineStr">
        <is>
          <t>—</t>
        </is>
      </c>
      <c r="E27" s="3" t="inlineStr">
        <is>
          <t>DECLARED BUT NEVER NAMED — the inputs tab says these engines use it, but no engine names it in its own input list. Unproved in one direction.</t>
        </is>
      </c>
    </row>
    <row r="28">
      <c r="A28" s="3" t="inlineStr">
        <is>
          <t>MK-XS-I-027</t>
        </is>
      </c>
      <c r="B28" s="3" t="inlineStr">
        <is>
          <t>goals (target, saved, date)</t>
        </is>
      </c>
      <c r="C28" s="3" t="inlineStr">
        <is>
          <t>GOAL_PROGRESS</t>
        </is>
      </c>
      <c r="D28" s="3" t="inlineStr">
        <is>
          <t>—</t>
        </is>
      </c>
      <c r="E28" s="3" t="inlineStr">
        <is>
          <t>DECLARED BUT NEVER NAMED — the inputs tab says these engines use it, but no engine names it in its own input list. Unproved in one direction.</t>
        </is>
      </c>
    </row>
    <row r="29">
      <c r="A29" s="3" t="inlineStr">
        <is>
          <t>MK-XS-I-028</t>
        </is>
      </c>
      <c r="B29" s="3" t="inlineStr">
        <is>
          <t>assumed return</t>
        </is>
      </c>
      <c r="C29" s="3" t="inlineStr">
        <is>
          <t>POT_AT_RETIREMENT · WILL_IT_LAST_RESULT</t>
        </is>
      </c>
      <c r="D29" s="3" t="inlineStr">
        <is>
          <t>ACCOUNT_SHARE_OF_TOTAL</t>
        </is>
      </c>
      <c r="E29" s="3" t="inlineStr">
        <is>
          <t>PARTLY AGREES — declared but not naming it: POT_AT_RETIREMENT, WILL_IT_LAST_RESULT  |  naming it but not declared: ACCOUNT_SHARE_OF_TOTAL</t>
        </is>
      </c>
    </row>
    <row r="30">
      <c r="A30" s="3" t="inlineStr">
        <is>
          <t>MK-XS-I-029</t>
        </is>
      </c>
      <c r="B30" s="3" t="inlineStr">
        <is>
          <t>inflation rate</t>
        </is>
      </c>
      <c r="C30" s="3" t="inlineStr">
        <is>
          <t>WILL_IT_LAST_INPUTS</t>
        </is>
      </c>
      <c r="D30" s="3" t="inlineStr">
        <is>
          <t>—</t>
        </is>
      </c>
      <c r="E30" s="3" t="inlineStr">
        <is>
          <t>DECLARED BUT NEVER NAMED — the inputs tab says these engines use it, but no engine names it in its own input list. Unproved in one direction.</t>
        </is>
      </c>
    </row>
    <row r="31">
      <c r="A31" s="3" t="inlineStr">
        <is>
          <t>MK-XS-I-030</t>
        </is>
      </c>
      <c r="B31" s="3" t="inlineStr">
        <is>
          <t>tax filing status and age</t>
        </is>
      </c>
      <c r="C31" s="3" t="inlineStr">
        <is>
          <t>TAXABLE_INCOME · TAX_ON_CONVERSION</t>
        </is>
      </c>
      <c r="D31" s="3" t="inlineStr">
        <is>
          <t>PLANNED_SPENDING · TOTAL_CASH</t>
        </is>
      </c>
      <c r="E31" s="3" t="inlineStr">
        <is>
          <t>PARTLY AGREES — declared but not naming it: TAXABLE_INCOME, TAX_ON_CONVERSION  |  naming it but not declared: PLANNED_SPENDING, TOTAL_CASH</t>
        </is>
      </c>
    </row>
    <row r="32">
      <c r="A32" s="3" t="inlineStr">
        <is>
          <t>MK-XS-I-031</t>
        </is>
      </c>
      <c r="B32" s="3" t="inlineStr">
        <is>
          <t>daily and monthly snapshots</t>
        </is>
      </c>
      <c r="C32" s="3" t="inlineStr">
        <is>
          <t>NW_CHANGE_WALK · TREND_SERIES</t>
        </is>
      </c>
      <c r="D32" s="3" t="inlineStr">
        <is>
          <t>NW_CHANGE_PCT · TREND_SERIES</t>
        </is>
      </c>
      <c r="E32" s="3" t="inlineStr">
        <is>
          <t>PARTLY AGREES — declared but not naming it: NW_CHANGE_WALK  |  naming it but not declared: NW_CHANGE_PCT</t>
        </is>
      </c>
    </row>
    <row r="33">
      <c r="A33" s="3" t="n"/>
      <c r="B33" s="3" t="n"/>
      <c r="C33" s="3" t="n"/>
      <c r="D33" s="3" t="n"/>
      <c r="E33" s="3" t="n"/>
    </row>
    <row r="34">
      <c r="A34" s="5" t="inlineStr">
        <is>
          <t>GAPS — inputs an engine names that are on NO row of the inputs tab.</t>
        </is>
      </c>
      <c r="B34" s="3" t="inlineStr">
        <is>
          <t>Each one is either a missing input, or the same input under another name.</t>
        </is>
      </c>
      <c r="C34" s="3" t="inlineStr"/>
      <c r="D34" s="3" t="inlineStr"/>
      <c r="E34" s="3" t="inlineStr"/>
    </row>
    <row r="35">
      <c r="A35" s="3" t="inlineStr">
        <is>
          <t>NO ID</t>
        </is>
      </c>
      <c r="B35" s="3" t="inlineStr">
        <is>
          <t>and how often each arrives → the matching frequency</t>
        </is>
      </c>
      <c r="C35" s="3" t="inlineStr">
        <is>
          <t>—</t>
        </is>
      </c>
      <c r="D35" s="3" t="inlineStr">
        <is>
          <t>RETIREMENT_INCOME</t>
        </is>
      </c>
      <c r="E35" s="3" t="inlineStr">
        <is>
          <t>MISSING FROM THE INPUTS TAB — add it, or point it at the input it already is.</t>
        </is>
      </c>
    </row>
    <row r="36">
      <c r="A36" s="3" t="inlineStr">
        <is>
          <t>NO ID</t>
        </is>
      </c>
      <c r="B36" s="3" t="inlineStr">
        <is>
          <t>any split → accountClassBreakdown</t>
        </is>
      </c>
      <c r="C36" s="3" t="inlineStr">
        <is>
          <t>—</t>
        </is>
      </c>
      <c r="D36" s="3" t="inlineStr">
        <is>
          <t>ALLOCATION_BY_CLASS</t>
        </is>
      </c>
      <c r="E36" s="3" t="inlineStr">
        <is>
          <t>MISSING FROM THE INPUTS TAB — add it, or point it at the input it already is.</t>
        </is>
      </c>
    </row>
    <row r="37">
      <c r="A37" s="3" t="inlineStr">
        <is>
          <t>NO ID</t>
        </is>
      </c>
      <c r="B37" s="3" t="inlineStr">
        <is>
          <t>baseline date → sinceKey</t>
        </is>
      </c>
      <c r="C37" s="3" t="inlineStr">
        <is>
          <t>—</t>
        </is>
      </c>
      <c r="D37" s="3" t="inlineStr">
        <is>
          <t>NW_CHANGE_PCT</t>
        </is>
      </c>
      <c r="E37" s="3" t="inlineStr">
        <is>
          <t>MISSING FROM THE INPUTS TAB — add it, or point it at the input it already is.</t>
        </is>
      </c>
    </row>
    <row r="38">
      <c r="A38" s="3" t="inlineStr">
        <is>
          <t>NO ID</t>
        </is>
      </c>
      <c r="B38" s="3" t="inlineStr">
        <is>
          <t>chosen → monthly_payment</t>
        </is>
      </c>
      <c r="C38" s="3" t="inlineStr">
        <is>
          <t>—</t>
        </is>
      </c>
      <c r="D38" s="3" t="inlineStr">
        <is>
          <t>DEBT_REQUIRED_PAYMENT · SPENDING_BY_KIND</t>
        </is>
      </c>
      <c r="E38" s="3" t="inlineStr">
        <is>
          <t>MISSING FROM THE INPUTS TAB — add it, or point it at the input it already is.</t>
        </is>
      </c>
    </row>
    <row r="39">
      <c r="A39" s="3" t="inlineStr">
        <is>
          <t>NO ID</t>
        </is>
      </c>
      <c r="B39" s="3" t="inlineStr">
        <is>
          <t>debt paid down → debtPrincipal</t>
        </is>
      </c>
      <c r="C39" s="3" t="inlineStr">
        <is>
          <t>—</t>
        </is>
      </c>
      <c r="D39" s="3" t="inlineStr">
        <is>
          <t>NW_CHANGE_WALK</t>
        </is>
      </c>
      <c r="E39" s="3" t="inlineStr">
        <is>
          <t>MISSING FROM THE INPUTS TAB — add it, or point it at the input it already is.</t>
        </is>
      </c>
    </row>
    <row r="40">
      <c r="A40" s="3" t="inlineStr">
        <is>
          <t>NO ID</t>
        </is>
      </c>
      <c r="B40" s="3" t="inlineStr">
        <is>
          <t>dividends → dividends</t>
        </is>
      </c>
      <c r="C40" s="3" t="inlineStr">
        <is>
          <t>—</t>
        </is>
      </c>
      <c r="D40" s="3" t="inlineStr">
        <is>
          <t>NW_CHANGE_WALK</t>
        </is>
      </c>
      <c r="E40" s="3" t="inlineStr">
        <is>
          <t>MISSING FROM THE INPUTS TAB — add it, or point it at the input it already is.</t>
        </is>
      </c>
    </row>
    <row r="41">
      <c r="A41" s="3" t="inlineStr">
        <is>
          <t>NO ID</t>
        </is>
      </c>
      <c r="B41" s="3" t="inlineStr">
        <is>
          <t>do they receive it now → incomeSources</t>
        </is>
      </c>
      <c r="C41" s="3" t="inlineStr">
        <is>
          <t>—</t>
        </is>
      </c>
      <c r="D41" s="3" t="inlineStr">
        <is>
          <t>RETIREMENT_INCOME_NOW</t>
        </is>
      </c>
      <c r="E41" s="3" t="inlineStr">
        <is>
          <t>MISSING FROM THE INPUTS TAB — add it, or point it at the input it already is.</t>
        </is>
      </c>
    </row>
    <row r="42">
      <c r="A42" s="3" t="inlineStr">
        <is>
          <t>NO ID</t>
        </is>
      </c>
      <c r="B42" s="3" t="inlineStr">
        <is>
          <t>each account's class → assetClassOf</t>
        </is>
      </c>
      <c r="C42" s="3" t="inlineStr">
        <is>
          <t>—</t>
        </is>
      </c>
      <c r="D42" s="3" t="inlineStr">
        <is>
          <t>ALLOCATION_BY_CLASS · PLANNED_SPENDING · TOTAL_CASH · TOTAL_INVESTABLE · TOTAL_INVESTMENTS</t>
        </is>
      </c>
      <c r="E42" s="3" t="inlineStr">
        <is>
          <t>MISSING FROM THE INPUTS TAB — add it, or point it at the input it already is.</t>
        </is>
      </c>
    </row>
    <row r="43">
      <c r="A43" s="3" t="inlineStr">
        <is>
          <t>NO ID</t>
        </is>
      </c>
      <c r="B43" s="3" t="inlineStr">
        <is>
          <t>each holding's benchmark return → rows[].benchReturn</t>
        </is>
      </c>
      <c r="C43" s="3" t="inlineStr">
        <is>
          <t>—</t>
        </is>
      </c>
      <c r="D43" s="3" t="inlineStr">
        <is>
          <t>BENCHMARK_RETURN_BLENDED</t>
        </is>
      </c>
      <c r="E43" s="3" t="inlineStr">
        <is>
          <t>MISSING FROM THE INPUTS TAB — add it, or point it at the input it already is.</t>
        </is>
      </c>
    </row>
    <row r="44">
      <c r="A44" s="3" t="inlineStr">
        <is>
          <t>NO ID</t>
        </is>
      </c>
      <c r="B44" s="3" t="inlineStr">
        <is>
          <t>each holding's return → rows[].periodReturn</t>
        </is>
      </c>
      <c r="C44" s="3" t="inlineStr">
        <is>
          <t>—</t>
        </is>
      </c>
      <c r="D44" s="3" t="inlineStr">
        <is>
          <t>VALUE_WEIGHTED_RETURN</t>
        </is>
      </c>
      <c r="E44" s="3" t="inlineStr">
        <is>
          <t>MISSING FROM THE INPUTS TAB — add it, or point it at the input it already is.</t>
        </is>
      </c>
    </row>
    <row r="45">
      <c r="A45" s="3" t="inlineStr">
        <is>
          <t>NO ID</t>
        </is>
      </c>
      <c r="B45" s="3" t="inlineStr">
        <is>
          <t>each part → its own engine above</t>
        </is>
      </c>
      <c r="C45" s="3" t="inlineStr">
        <is>
          <t>—</t>
        </is>
      </c>
      <c r="D45" s="3" t="inlineStr">
        <is>
          <t>TOTAL_INCOME</t>
        </is>
      </c>
      <c r="E45" s="3" t="inlineStr">
        <is>
          <t>MISSING FROM THE INPUTS TAB — add it, or point it at the input it already is.</t>
        </is>
      </c>
    </row>
    <row r="46">
      <c r="A46" s="3" t="inlineStr">
        <is>
          <t>NO ID</t>
        </is>
      </c>
      <c r="B46" s="3" t="inlineStr">
        <is>
          <t>each source → ri_ss</t>
        </is>
      </c>
      <c r="C46" s="3" t="inlineStr">
        <is>
          <t>—</t>
        </is>
      </c>
      <c r="D46" s="3" t="inlineStr">
        <is>
          <t>RETIREMENT_INCOME</t>
        </is>
      </c>
      <c r="E46" s="3" t="inlineStr">
        <is>
          <t>MISSING FROM THE INPUTS TAB — add it, or point it at the input it already is.</t>
        </is>
      </c>
    </row>
    <row r="47">
      <c r="A47" s="3" t="inlineStr">
        <is>
          <t>NO ID</t>
        </is>
      </c>
      <c r="B47" s="3" t="inlineStr">
        <is>
          <t>ending value → ending</t>
        </is>
      </c>
      <c r="C47" s="3" t="inlineStr">
        <is>
          <t>—</t>
        </is>
      </c>
      <c r="D47" s="3" t="inlineStr">
        <is>
          <t>NW_CHANGE_WALK</t>
        </is>
      </c>
      <c r="E47" s="3" t="inlineStr">
        <is>
          <t>MISSING FROM THE INPUTS TAB — add it, or point it at the input it already is.</t>
        </is>
      </c>
    </row>
    <row r="48">
      <c r="A48" s="3" t="inlineStr">
        <is>
          <t>NO ID</t>
        </is>
      </c>
      <c r="B48" s="3" t="inlineStr">
        <is>
          <t>every debt → debts</t>
        </is>
      </c>
      <c r="C48" s="3" t="inlineStr">
        <is>
          <t>—</t>
        </is>
      </c>
      <c r="D48" s="3" t="inlineStr">
        <is>
          <t>DEBT_PICTURE · NET_WORTH</t>
        </is>
      </c>
      <c r="E48" s="3" t="inlineStr">
        <is>
          <t>MISSING FROM THE INPUTS TAB — add it, or point it at the input it already is.</t>
        </is>
      </c>
    </row>
    <row r="49">
      <c r="A49" s="3" t="inlineStr">
        <is>
          <t>NO ID</t>
        </is>
      </c>
      <c r="B49" s="3" t="inlineStr">
        <is>
          <t>everything → WILL_IT_LAST_INPUTS</t>
        </is>
      </c>
      <c r="C49" s="3" t="inlineStr">
        <is>
          <t>—</t>
        </is>
      </c>
      <c r="D49" s="3" t="inlineStr">
        <is>
          <t>WILL_IT_LAST_RESULT</t>
        </is>
      </c>
      <c r="E49" s="3" t="inlineStr">
        <is>
          <t>MISSING FROM THE INPUTS TAB — add it, or point it at the input it already is.</t>
        </is>
      </c>
    </row>
    <row r="50">
      <c r="A50" s="3" t="inlineStr">
        <is>
          <t>NO ID</t>
        </is>
      </c>
      <c r="B50" s="3" t="inlineStr">
        <is>
          <t>gross → gross</t>
        </is>
      </c>
      <c r="C50" s="3" t="inlineStr">
        <is>
          <t>—</t>
        </is>
      </c>
      <c r="D50" s="3" t="inlineStr">
        <is>
          <t>TAXABLE_INCOME</t>
        </is>
      </c>
      <c r="E50" s="3" t="inlineStr">
        <is>
          <t>MISSING FROM THE INPUTS TAB — add it, or point it at the input it already is.</t>
        </is>
      </c>
    </row>
    <row r="51">
      <c r="A51" s="3" t="inlineStr">
        <is>
          <t>NO ID</t>
        </is>
      </c>
      <c r="B51" s="3" t="inlineStr">
        <is>
          <t>guaranteed income → RETIREMENT_INCOME, SS_BENEFIT_AT_AGE</t>
        </is>
      </c>
      <c r="C51" s="3" t="inlineStr">
        <is>
          <t>—</t>
        </is>
      </c>
      <c r="D51" s="3" t="inlineStr">
        <is>
          <t>WILL_IT_LAST_INPUTS</t>
        </is>
      </c>
      <c r="E51" s="3" t="inlineStr">
        <is>
          <t>MISSING FROM THE INPUTS TAB — add it, or point it at the input it already is.</t>
        </is>
      </c>
    </row>
    <row r="52">
      <c r="A52" s="3" t="inlineStr">
        <is>
          <t>NO ID</t>
        </is>
      </c>
      <c r="B52" s="3" t="inlineStr">
        <is>
          <t>holdings → positions[]</t>
        </is>
      </c>
      <c r="C52" s="3" t="inlineStr">
        <is>
          <t>—</t>
        </is>
      </c>
      <c r="D52" s="3" t="inlineStr">
        <is>
          <t>ACCOUNT_SPLIT</t>
        </is>
      </c>
      <c r="E52" s="3" t="inlineStr">
        <is>
          <t>MISSING FROM THE INPUTS TAB — add it, or point it at the input it already is.</t>
        </is>
      </c>
    </row>
    <row r="53">
      <c r="A53" s="3" t="inlineStr">
        <is>
          <t>NO ID</t>
        </is>
      </c>
      <c r="B53" s="3" t="inlineStr">
        <is>
          <t>how far back → months</t>
        </is>
      </c>
      <c r="C53" s="3" t="inlineStr">
        <is>
          <t>—</t>
        </is>
      </c>
      <c r="D53" s="3" t="inlineStr">
        <is>
          <t>LOOK_BACK</t>
        </is>
      </c>
      <c r="E53" s="3" t="inlineStr">
        <is>
          <t>MISSING FROM THE INPUTS TAB — add it, or point it at the input it already is.</t>
        </is>
      </c>
    </row>
    <row r="54">
      <c r="A54" s="3" t="inlineStr">
        <is>
          <t>NO ID</t>
        </is>
      </c>
      <c r="B54" s="3" t="inlineStr">
        <is>
          <t>how they file → status</t>
        </is>
      </c>
      <c r="C54" s="3" t="inlineStr">
        <is>
          <t>—</t>
        </is>
      </c>
      <c r="D54" s="3" t="inlineStr">
        <is>
          <t>TAXABLE_INCOME</t>
        </is>
      </c>
      <c r="E54" s="3" t="inlineStr">
        <is>
          <t>MISSING FROM THE INPUTS TAB — add it, or point it at the input it already is.</t>
        </is>
      </c>
    </row>
    <row r="55">
      <c r="A55" s="3" t="inlineStr">
        <is>
          <t>NO ID</t>
        </is>
      </c>
      <c r="B55" s="3" t="inlineStr">
        <is>
          <t>interest → interest</t>
        </is>
      </c>
      <c r="C55" s="3" t="inlineStr">
        <is>
          <t>—</t>
        </is>
      </c>
      <c r="D55" s="3" t="inlineStr">
        <is>
          <t>NW_CHANGE_WALK</t>
        </is>
      </c>
      <c r="E55" s="3" t="inlineStr">
        <is>
          <t>MISSING FROM THE INPUTS TAB — add it, or point it at the input it already is.</t>
        </is>
      </c>
    </row>
    <row r="56">
      <c r="A56" s="3" t="inlineStr">
        <is>
          <t>NO ID</t>
        </is>
      </c>
      <c r="B56" s="3" t="inlineStr">
        <is>
          <t>is a range wanted → withBand</t>
        </is>
      </c>
      <c r="C56" s="3" t="inlineStr">
        <is>
          <t>—</t>
        </is>
      </c>
      <c r="D56" s="3" t="inlineStr">
        <is>
          <t>WILL_IT_LAST_RESULT</t>
        </is>
      </c>
      <c r="E56" s="3" t="inlineStr">
        <is>
          <t>MISSING FROM THE INPUTS TAB — add it, or point it at the input it already is.</t>
        </is>
      </c>
    </row>
    <row r="57">
      <c r="A57" s="3" t="inlineStr">
        <is>
          <t>NO ID</t>
        </is>
      </c>
      <c r="B57" s="3" t="inlineStr">
        <is>
          <t>its value → rows[].marketValue</t>
        </is>
      </c>
      <c r="C57" s="3" t="inlineStr">
        <is>
          <t>—</t>
        </is>
      </c>
      <c r="D57" s="3" t="inlineStr">
        <is>
          <t>BENCHMARK_RETURN_BLENDED · VALUE_WEIGHTED_RETURN</t>
        </is>
      </c>
      <c r="E57" s="3" t="inlineStr">
        <is>
          <t>MISSING FROM THE INPUTS TAB — add it, or point it at the input it already is.</t>
        </is>
      </c>
    </row>
    <row r="58">
      <c r="A58" s="3" t="inlineStr">
        <is>
          <t>NO ID</t>
        </is>
      </c>
      <c r="B58" s="3" t="inlineStr">
        <is>
          <t>money in → contributions</t>
        </is>
      </c>
      <c r="C58" s="3" t="inlineStr">
        <is>
          <t>—</t>
        </is>
      </c>
      <c r="D58" s="3" t="inlineStr">
        <is>
          <t>NW_CHANGE_WALK</t>
        </is>
      </c>
      <c r="E58" s="3" t="inlineStr">
        <is>
          <t>MISSING FROM THE INPUTS TAB — add it, or point it at the input it already is.</t>
        </is>
      </c>
    </row>
    <row r="59">
      <c r="A59" s="3" t="inlineStr">
        <is>
          <t>NO ID</t>
        </is>
      </c>
      <c r="B59" s="3" t="inlineStr">
        <is>
          <t>money out → withdrawals</t>
        </is>
      </c>
      <c r="C59" s="3" t="inlineStr">
        <is>
          <t>—</t>
        </is>
      </c>
      <c r="D59" s="3" t="inlineStr">
        <is>
          <t>NW_CHANGE_WALK</t>
        </is>
      </c>
      <c r="E59" s="3" t="inlineStr">
        <is>
          <t>MISSING FROM THE INPUTS TAB — add it, or point it at the input it already is.</t>
        </is>
      </c>
    </row>
    <row r="60">
      <c r="A60" s="3" t="inlineStr">
        <is>
          <t>NO ID</t>
        </is>
      </c>
      <c r="B60" s="3" t="inlineStr">
        <is>
          <t>money that counts toward retirement → NEST_EGG</t>
        </is>
      </c>
      <c r="C60" s="3" t="inlineStr">
        <is>
          <t>—</t>
        </is>
      </c>
      <c r="D60" s="3" t="inlineStr">
        <is>
          <t>WHAT_THE_PLAN_STILL_NEEDS</t>
        </is>
      </c>
      <c r="E60" s="3" t="inlineStr">
        <is>
          <t>MISSING FROM THE INPUTS TAB — add it, or point it at the input it already is.</t>
        </is>
      </c>
    </row>
    <row r="61">
      <c r="A61" s="3" t="inlineStr">
        <is>
          <t>NO ID</t>
        </is>
      </c>
      <c r="B61" s="3" t="inlineStr">
        <is>
          <t>money to leave behind → legacyTarget</t>
        </is>
      </c>
      <c r="C61" s="3" t="inlineStr">
        <is>
          <t>—</t>
        </is>
      </c>
      <c r="D61" s="3" t="inlineStr">
        <is>
          <t>WILL_IT_LAST_INPUTS</t>
        </is>
      </c>
      <c r="E61" s="3" t="inlineStr">
        <is>
          <t>MISSING FROM THE INPUTS TAB — add it, or point it at the input it already is.</t>
        </is>
      </c>
    </row>
    <row r="62">
      <c r="A62" s="3" t="inlineStr">
        <is>
          <t>NO ID</t>
        </is>
      </c>
      <c r="B62" s="3" t="inlineStr">
        <is>
          <t>now → now</t>
        </is>
      </c>
      <c r="C62" s="3" t="inlineStr">
        <is>
          <t>—</t>
        </is>
      </c>
      <c r="D62" s="3" t="inlineStr">
        <is>
          <t>PRICE_FRESHNESS</t>
        </is>
      </c>
      <c r="E62" s="3" t="inlineStr">
        <is>
          <t>MISSING FROM THE INPUTS TAB — add it, or point it at the input it already is.</t>
        </is>
      </c>
    </row>
    <row r="63">
      <c r="A63" s="3" t="inlineStr">
        <is>
          <t>NO ID</t>
        </is>
      </c>
      <c r="B63" s="3" t="inlineStr">
        <is>
          <t>optionally one account → opts.accountId</t>
        </is>
      </c>
      <c r="C63" s="3" t="inlineStr">
        <is>
          <t>—</t>
        </is>
      </c>
      <c r="D63" s="3" t="inlineStr">
        <is>
          <t>REALISED_GAIN</t>
        </is>
      </c>
      <c r="E63" s="3" t="inlineStr">
        <is>
          <t>MISSING FROM THE INPUTS TAB — add it, or point it at the input it already is.</t>
        </is>
      </c>
    </row>
    <row r="64">
      <c r="A64" s="3" t="inlineStr">
        <is>
          <t>NO ID</t>
        </is>
      </c>
      <c r="B64" s="3" t="inlineStr">
        <is>
          <t>optionally one ticker → opts.ticker</t>
        </is>
      </c>
      <c r="C64" s="3" t="inlineStr">
        <is>
          <t>—</t>
        </is>
      </c>
      <c r="D64" s="3" t="inlineStr">
        <is>
          <t>REALISED_GAIN</t>
        </is>
      </c>
      <c r="E64" s="3" t="inlineStr">
        <is>
          <t>MISSING FROM THE INPUTS TAB — add it, or point it at the input it already is.</t>
        </is>
      </c>
    </row>
    <row r="65">
      <c r="A65" s="3" t="inlineStr">
        <is>
          <t>NO ID</t>
        </is>
      </c>
      <c r="B65" s="3" t="inlineStr">
        <is>
          <t>options → option_holdings[]</t>
        </is>
      </c>
      <c r="C65" s="3" t="inlineStr">
        <is>
          <t>—</t>
        </is>
      </c>
      <c r="D65" s="3" t="inlineStr">
        <is>
          <t>ACCOUNT_SPLIT</t>
        </is>
      </c>
      <c r="E65" s="3" t="inlineStr">
        <is>
          <t>MISSING FROM THE INPUTS TAB — add it, or point it at the input it already is.</t>
        </is>
      </c>
    </row>
    <row r="66">
      <c r="A66" s="3" t="inlineStr">
        <is>
          <t>NO ID</t>
        </is>
      </c>
      <c r="B66" s="3" t="inlineStr">
        <is>
          <t>or the three summary figures → b_fixed, b_nonmonthly, b_flexible</t>
        </is>
      </c>
      <c r="C66" s="3" t="inlineStr">
        <is>
          <t>—</t>
        </is>
      </c>
      <c r="D66" s="3" t="inlineStr">
        <is>
          <t>DEBT_REQUIRED_PAYMENT · SPENDING_BY_KIND</t>
        </is>
      </c>
      <c r="E66" s="3" t="inlineStr">
        <is>
          <t>MISSING FROM THE INPUTS TAB — add it, or point it at the input it already is.</t>
        </is>
      </c>
    </row>
    <row r="67">
      <c r="A67" s="3" t="inlineStr">
        <is>
          <t>NO ID</t>
        </is>
      </c>
      <c r="B67" s="3" t="inlineStr">
        <is>
          <t>percent or dollars → employerMatchMode</t>
        </is>
      </c>
      <c r="C67" s="3" t="inlineStr">
        <is>
          <t>—</t>
        </is>
      </c>
      <c r="D67" s="3" t="inlineStr">
        <is>
          <t>EMPLOYER_MATCH</t>
        </is>
      </c>
      <c r="E67" s="3" t="inlineStr">
        <is>
          <t>MISSING FROM THE INPUTS TAB — add it, or point it at the input it already is.</t>
        </is>
      </c>
    </row>
    <row r="68">
      <c r="A68" s="3" t="inlineStr">
        <is>
          <t>NO ID</t>
        </is>
      </c>
      <c r="B68" s="3" t="inlineStr">
        <is>
          <t>return and swing → EXPECTED_RETURN_BLENDED, EXPECTED_SWING_BLENDED</t>
        </is>
      </c>
      <c r="C68" s="3" t="inlineStr">
        <is>
          <t>—</t>
        </is>
      </c>
      <c r="D68" s="3" t="inlineStr">
        <is>
          <t>WILL_IT_LAST_INPUTS</t>
        </is>
      </c>
      <c r="E68" s="3" t="inlineStr">
        <is>
          <t>MISSING FROM THE INPUTS TAB — add it, or point it at the input it already is.</t>
        </is>
      </c>
    </row>
    <row r="69">
      <c r="A69" s="3" t="inlineStr">
        <is>
          <t>NO ID</t>
        </is>
      </c>
      <c r="B69" s="3" t="inlineStr">
        <is>
          <t>ri_annuities</t>
        </is>
      </c>
      <c r="C69" s="3" t="inlineStr">
        <is>
          <t>—</t>
        </is>
      </c>
      <c r="D69" s="3" t="inlineStr">
        <is>
          <t>RETIREMENT_INCOME</t>
        </is>
      </c>
      <c r="E69" s="3" t="inlineStr">
        <is>
          <t>MISSING FROM THE INPUTS TAB — add it, or point it at the input it already is.</t>
        </is>
      </c>
    </row>
    <row r="70">
      <c r="A70" s="3" t="inlineStr">
        <is>
          <t>NO ID</t>
        </is>
      </c>
      <c r="B70" s="3" t="inlineStr">
        <is>
          <t>ri_other</t>
        </is>
      </c>
      <c r="C70" s="3" t="inlineStr">
        <is>
          <t>—</t>
        </is>
      </c>
      <c r="D70" s="3" t="inlineStr">
        <is>
          <t>RETIREMENT_INCOME</t>
        </is>
      </c>
      <c r="E70" s="3" t="inlineStr">
        <is>
          <t>MISSING FROM THE INPUTS TAB — add it, or point it at the input it already is.</t>
        </is>
      </c>
    </row>
    <row r="71">
      <c r="A71" s="3" t="inlineStr">
        <is>
          <t>NO ID</t>
        </is>
      </c>
      <c r="B71" s="3" t="inlineStr">
        <is>
          <t>ri_rmd</t>
        </is>
      </c>
      <c r="C71" s="3" t="inlineStr">
        <is>
          <t>—</t>
        </is>
      </c>
      <c r="D71" s="3" t="inlineStr">
        <is>
          <t>RETIREMENT_INCOME</t>
        </is>
      </c>
      <c r="E71" s="3" t="inlineStr">
        <is>
          <t>MISSING FROM THE INPUTS TAB — add it, or point it at the input it already is.</t>
        </is>
      </c>
    </row>
    <row r="72">
      <c r="A72" s="3" t="inlineStr">
        <is>
          <t>NO ID</t>
        </is>
      </c>
      <c r="B72" s="3" t="inlineStr">
        <is>
          <t>ri_withdrawals</t>
        </is>
      </c>
      <c r="C72" s="3" t="inlineStr">
        <is>
          <t>—</t>
        </is>
      </c>
      <c r="D72" s="3" t="inlineStr">
        <is>
          <t>RETIREMENT_INCOME</t>
        </is>
      </c>
      <c r="E72" s="3" t="inlineStr">
        <is>
          <t>MISSING FROM THE INPUTS TAB — add it, or point it at the input it already is.</t>
        </is>
      </c>
    </row>
    <row r="73">
      <c r="A73" s="3" t="inlineStr">
        <is>
          <t>NO ID</t>
        </is>
      </c>
      <c r="B73" s="3" t="inlineStr">
        <is>
          <t>shape → paymentShape</t>
        </is>
      </c>
      <c r="C73" s="3" t="inlineStr">
        <is>
          <t>—</t>
        </is>
      </c>
      <c r="D73" s="3" t="inlineStr">
        <is>
          <t>DEBT_REQUIRED_PAYMENT · SPENDING_BY_KIND</t>
        </is>
      </c>
      <c r="E73" s="3" t="inlineStr">
        <is>
          <t>MISSING FROM THE INPUTS TAB — add it, or point it at the input it already is.</t>
        </is>
      </c>
    </row>
    <row r="74">
      <c r="A74" s="3" t="inlineStr">
        <is>
          <t>NO ID</t>
        </is>
      </c>
      <c r="B74" s="3" t="inlineStr">
        <is>
          <t>starting value → beginning</t>
        </is>
      </c>
      <c r="C74" s="3" t="inlineStr">
        <is>
          <t>—</t>
        </is>
      </c>
      <c r="D74" s="3" t="inlineStr">
        <is>
          <t>NW_CHANGE_WALK</t>
        </is>
      </c>
      <c r="E74" s="3" t="inlineStr">
        <is>
          <t>MISSING FROM THE INPUTS TAB — add it, or point it at the input it already is.</t>
        </is>
      </c>
    </row>
    <row r="75">
      <c r="A75" s="3" t="inlineStr">
        <is>
          <t>NO ID</t>
        </is>
      </c>
      <c r="B75" s="3" t="inlineStr">
        <is>
          <t>the account → a</t>
        </is>
      </c>
      <c r="C75" s="3" t="inlineStr">
        <is>
          <t>—</t>
        </is>
      </c>
      <c r="D75" s="3" t="inlineStr">
        <is>
          <t>ACCOUNT_SPLIT · HAND_VALUE_AGE</t>
        </is>
      </c>
      <c r="E75" s="3" t="inlineStr">
        <is>
          <t>MISSING FROM THE INPUTS TAB — add it, or point it at the input it already is.</t>
        </is>
      </c>
    </row>
    <row r="76">
      <c r="A76" s="3" t="inlineStr">
        <is>
          <t>NO ID</t>
        </is>
      </c>
      <c r="B76" s="3" t="inlineStr">
        <is>
          <t>the categories → spendCats</t>
        </is>
      </c>
      <c r="C76" s="3" t="inlineStr">
        <is>
          <t>—</t>
        </is>
      </c>
      <c r="D76" s="3" t="inlineStr">
        <is>
          <t>DEBT_REQUIRED_PAYMENT · SPENDING_BY_KIND</t>
        </is>
      </c>
      <c r="E76" s="3" t="inlineStr">
        <is>
          <t>MISSING FROM THE INPUTS TAB — add it, or point it at the input it already is.</t>
        </is>
      </c>
    </row>
    <row r="77">
      <c r="A77" s="3" t="inlineStr">
        <is>
          <t>NO ID</t>
        </is>
      </c>
      <c r="B77" s="3" t="inlineStr">
        <is>
          <t>the chosen chip → period</t>
        </is>
      </c>
      <c r="C77" s="3" t="inlineStr">
        <is>
          <t>—</t>
        </is>
      </c>
      <c r="D77" s="3" t="inlineStr">
        <is>
          <t>PERFORMANCE_TABLE</t>
        </is>
      </c>
      <c r="E77" s="3" t="inlineStr">
        <is>
          <t>MISSING FROM THE INPUTS TAB — add it, or point it at the input it already is.</t>
        </is>
      </c>
    </row>
    <row r="78">
      <c r="A78" s="3" t="inlineStr">
        <is>
          <t>NO ID</t>
        </is>
      </c>
      <c r="B78" s="3" t="inlineStr">
        <is>
          <t>the dates in this sync → activityDates</t>
        </is>
      </c>
      <c r="C78" s="3" t="inlineStr">
        <is>
          <t>—</t>
        </is>
      </c>
      <c r="D78" s="3" t="inlineStr">
        <is>
          <t>HISTORY_DEPTH</t>
        </is>
      </c>
      <c r="E78" s="3" t="inlineStr">
        <is>
          <t>MISSING FROM THE INPUTS TAB — add it, or point it at the input it already is.</t>
        </is>
      </c>
    </row>
    <row r="79">
      <c r="A79" s="3" t="inlineStr">
        <is>
          <t>NO ID</t>
        </is>
      </c>
      <c r="B79" s="3" t="inlineStr">
        <is>
          <t>the holding → position/account</t>
        </is>
      </c>
      <c r="C79" s="3" t="inlineStr">
        <is>
          <t>—</t>
        </is>
      </c>
      <c r="D79" s="3" t="inlineStr">
        <is>
          <t>BOND_COUPON · BOND_FACTS</t>
        </is>
      </c>
      <c r="E79" s="3" t="inlineStr">
        <is>
          <t>MISSING FROM THE INPUTS TAB — add it, or point it at the input it already is.</t>
        </is>
      </c>
    </row>
    <row r="80">
      <c r="A80" s="3" t="inlineStr">
        <is>
          <t>NO ID</t>
        </is>
      </c>
      <c r="B80" s="3" t="inlineStr">
        <is>
          <t>the holdings → positions</t>
        </is>
      </c>
      <c r="C80" s="3" t="inlineStr">
        <is>
          <t>—</t>
        </is>
      </c>
      <c r="D80" s="3" t="inlineStr">
        <is>
          <t>PERFORMANCE_TABLE</t>
        </is>
      </c>
      <c r="E80" s="3" t="inlineStr">
        <is>
          <t>MISSING FROM THE INPUTS TAB — add it, or point it at the input it already is.</t>
        </is>
      </c>
    </row>
    <row r="81">
      <c r="A81" s="3" t="inlineStr">
        <is>
          <t>NO ID</t>
        </is>
      </c>
      <c r="B81" s="3" t="inlineStr">
        <is>
          <t>the ledger → txns</t>
        </is>
      </c>
      <c r="C81" s="3" t="inlineStr">
        <is>
          <t>—</t>
        </is>
      </c>
      <c r="D81" s="3" t="inlineStr">
        <is>
          <t>REALISED_GAIN</t>
        </is>
      </c>
      <c r="E81" s="3" t="inlineStr">
        <is>
          <t>MISSING FROM THE INPUTS TAB — add it, or point it at the input it already is.</t>
        </is>
      </c>
    </row>
    <row r="82">
      <c r="A82" s="3" t="inlineStr">
        <is>
          <t>NO ID</t>
        </is>
      </c>
      <c r="B82" s="3" t="inlineStr">
        <is>
          <t>the match → employerMatchValue</t>
        </is>
      </c>
      <c r="C82" s="3" t="inlineStr">
        <is>
          <t>—</t>
        </is>
      </c>
      <c r="D82" s="3" t="inlineStr">
        <is>
          <t>EMPLOYER_MATCH</t>
        </is>
      </c>
      <c r="E82" s="3" t="inlineStr">
        <is>
          <t>MISSING FROM THE INPUTS TAB — add it, or point it at the input it already is.</t>
        </is>
      </c>
    </row>
    <row r="83">
      <c r="A83" s="3" t="inlineStr">
        <is>
          <t>NO ID</t>
        </is>
      </c>
      <c r="B83" s="3" t="inlineStr">
        <is>
          <t>the pot → NEST_EGG</t>
        </is>
      </c>
      <c r="C83" s="3" t="inlineStr">
        <is>
          <t>—</t>
        </is>
      </c>
      <c r="D83" s="3" t="inlineStr">
        <is>
          <t>WILL_IT_LAST_INPUTS</t>
        </is>
      </c>
      <c r="E83" s="3" t="inlineStr">
        <is>
          <t>MISSING FROM THE INPUTS TAB — add it, or point it at the input it already is.</t>
        </is>
      </c>
    </row>
    <row r="84">
      <c r="A84" s="3" t="inlineStr">
        <is>
          <t>NO ID</t>
        </is>
      </c>
      <c r="B84" s="3" t="inlineStr">
        <is>
          <t>the same inputs → inp</t>
        </is>
      </c>
      <c r="C84" s="3" t="inlineStr">
        <is>
          <t>—</t>
        </is>
      </c>
      <c r="D84" s="3" t="inlineStr">
        <is>
          <t>POT_AT_RETIREMENT</t>
        </is>
      </c>
      <c r="E84" s="3" t="inlineStr">
        <is>
          <t>MISSING FROM THE INPUTS TAB — add it, or point it at the input it already is.</t>
        </is>
      </c>
    </row>
    <row r="85">
      <c r="A85" s="3" t="inlineStr">
        <is>
          <t>NO ID</t>
        </is>
      </c>
      <c r="B85" s="3" t="inlineStr">
        <is>
          <t>their own contribution → c_401k</t>
        </is>
      </c>
      <c r="C85" s="3" t="inlineStr">
        <is>
          <t>—</t>
        </is>
      </c>
      <c r="D85" s="3" t="inlineStr">
        <is>
          <t>EMPLOYER_MATCH</t>
        </is>
      </c>
      <c r="E85" s="3" t="inlineStr">
        <is>
          <t>MISSING FROM THE INPUTS TAB — add it, or point it at the input it already is.</t>
        </is>
      </c>
    </row>
    <row r="86">
      <c r="A86" s="3" t="inlineStr">
        <is>
          <t>NO ID</t>
        </is>
      </c>
      <c r="B86" s="3" t="inlineStr">
        <is>
          <t>their own overrides → the Plan screen</t>
        </is>
      </c>
      <c r="C86" s="3" t="inlineStr">
        <is>
          <t>—</t>
        </is>
      </c>
      <c r="D86" s="3" t="inlineStr">
        <is>
          <t>WILL_IT_LAST_INPUTS</t>
        </is>
      </c>
      <c r="E86" s="3" t="inlineStr">
        <is>
          <t>MISSING FROM THE INPUTS TAB — add it, or point it at the input it already is.</t>
        </is>
      </c>
    </row>
    <row r="87">
      <c r="A87" s="3" t="inlineStr">
        <is>
          <t>NO ID</t>
        </is>
      </c>
      <c r="B87" s="3" t="inlineStr">
        <is>
          <t>today → now</t>
        </is>
      </c>
      <c r="C87" s="3" t="inlineStr">
        <is>
          <t>—</t>
        </is>
      </c>
      <c r="D87" s="3" t="inlineStr">
        <is>
          <t>BOND_YEARS_LEFT · HAND_VALUE_AGE · HOLDING_CAP_GAINS · PERFORMANCE_TABLE</t>
        </is>
      </c>
      <c r="E87" s="3" t="inlineStr">
        <is>
          <t>MISSING FROM THE INPUTS TAB — add it, or point it at the input it already is.</t>
        </is>
      </c>
    </row>
    <row r="88">
      <c r="A88" s="3" t="inlineStr">
        <is>
          <t>NO ID</t>
        </is>
      </c>
      <c r="B88" s="3" t="inlineStr">
        <is>
          <t>today → opts.now</t>
        </is>
      </c>
      <c r="C88" s="3" t="inlineStr">
        <is>
          <t>—</t>
        </is>
      </c>
      <c r="D88" s="3" t="inlineStr">
        <is>
          <t>REALISED_GAIN</t>
        </is>
      </c>
      <c r="E88" s="3" t="inlineStr">
        <is>
          <t>MISSING FROM THE INPUTS TAB — add it, or point it at the input it already is.</t>
        </is>
      </c>
    </row>
    <row r="89">
      <c r="A89" s="3" t="inlineStr">
        <is>
          <t>NO ID</t>
        </is>
      </c>
      <c r="B89" s="3" t="inlineStr">
        <is>
          <t>today's value → currentInvestable</t>
        </is>
      </c>
      <c r="C89" s="3" t="inlineStr">
        <is>
          <t>—</t>
        </is>
      </c>
      <c r="D89" s="3" t="inlineStr">
        <is>
          <t>NW_CHANGE_PCT</t>
        </is>
      </c>
      <c r="E89" s="3" t="inlineStr">
        <is>
          <t>MISSING FROM THE INPUTS TAB — add it, or point it at the input it already is.</t>
        </is>
      </c>
    </row>
    <row r="90">
      <c r="A90" s="3" t="inlineStr">
        <is>
          <t>NO ID</t>
        </is>
      </c>
      <c r="B90" s="3" t="inlineStr">
        <is>
          <t>value → value</t>
        </is>
      </c>
      <c r="C90" s="3" t="inlineStr">
        <is>
          <t>—</t>
        </is>
      </c>
      <c r="D90" s="3" t="inlineStr">
        <is>
          <t>BOND_YIELD_TO_MATURITY</t>
        </is>
      </c>
      <c r="E90" s="3" t="inlineStr">
        <is>
          <t>MISSING FROM THE INPUTS TAB — add it, or point it at the input it already is.</t>
        </is>
      </c>
    </row>
    <row r="91">
      <c r="A91" s="3" t="inlineStr">
        <is>
          <t>NO ID</t>
        </is>
      </c>
      <c r="B91" s="3" t="inlineStr">
        <is>
          <t>what it is worth → value</t>
        </is>
      </c>
      <c r="C91" s="3" t="inlineStr">
        <is>
          <t>—</t>
        </is>
      </c>
      <c r="D91" s="3" t="inlineStr">
        <is>
          <t>BOND_CURRENT_YIELD</t>
        </is>
      </c>
      <c r="E91" s="3" t="inlineStr">
        <is>
          <t>MISSING FROM THE INPUTS TAB — add it, or point it at the input it already is.</t>
        </is>
      </c>
    </row>
    <row r="92">
      <c r="A92" s="3" t="inlineStr">
        <is>
          <t>NO ID</t>
        </is>
      </c>
      <c r="B92" s="3" t="inlineStr">
        <is>
          <t>what we knew → existing</t>
        </is>
      </c>
      <c r="C92" s="3" t="inlineStr">
        <is>
          <t>—</t>
        </is>
      </c>
      <c r="D92" s="3" t="inlineStr">
        <is>
          <t>HISTORY_DEPTH</t>
        </is>
      </c>
      <c r="E92" s="3" t="inlineStr">
        <is>
          <t>MISSING FROM THE INPUTS TAB — add it, or point it at the input it already is.</t>
        </is>
      </c>
    </row>
    <row r="93">
      <c r="A93" s="3" t="inlineStr">
        <is>
          <t>NO ID</t>
        </is>
      </c>
      <c r="B93" s="3" t="inlineStr">
        <is>
          <t>when the value was set → value_as_of</t>
        </is>
      </c>
      <c r="C93" s="3" t="inlineStr">
        <is>
          <t>—</t>
        </is>
      </c>
      <c r="D93" s="3" t="inlineStr">
        <is>
          <t>HAND_VALUE_AGE</t>
        </is>
      </c>
      <c r="E93" s="3" t="inlineStr">
        <is>
          <t>MISSING FROM THE INPUTS TAB — add it, or point it at the input it already is.</t>
        </is>
      </c>
    </row>
    <row r="94">
      <c r="A94" s="3" t="inlineStr">
        <is>
          <t>NO ID</t>
        </is>
      </c>
      <c r="B94" s="3" t="inlineStr">
        <is>
          <t>where it might have gone → toSeries</t>
        </is>
      </c>
      <c r="C94" s="3" t="inlineStr">
        <is>
          <t>—</t>
        </is>
      </c>
      <c r="D94" s="3" t="inlineStr">
        <is>
          <t>LOOK_BACK</t>
        </is>
      </c>
      <c r="E94" s="3" t="inlineStr">
        <is>
          <t>MISSING FROM THE INPUTS TAB — add it, or point it at the input it already is.</t>
        </is>
      </c>
    </row>
    <row r="95">
      <c r="A95" s="3" t="inlineStr">
        <is>
          <t>NO ID</t>
        </is>
      </c>
      <c r="B95" s="3" t="inlineStr">
        <is>
          <t>where it sat → fromSeries</t>
        </is>
      </c>
      <c r="C95" s="3" t="inlineStr">
        <is>
          <t>—</t>
        </is>
      </c>
      <c r="D95" s="3" t="inlineStr">
        <is>
          <t>LOOK_BACK</t>
        </is>
      </c>
      <c r="E95" s="3" t="inlineStr">
        <is>
          <t>MISSING FROM THE INPUTS TAB — add it, or point it at the input it already is.</t>
        </is>
      </c>
    </row>
    <row r="96">
      <c r="A96" s="3" t="inlineStr">
        <is>
          <t>NO ID</t>
        </is>
      </c>
      <c r="B96" s="3" t="inlineStr">
        <is>
          <t>where they will live → the location answer</t>
        </is>
      </c>
      <c r="C96" s="3" t="inlineStr">
        <is>
          <t>—</t>
        </is>
      </c>
      <c r="D96" s="3" t="inlineStr">
        <is>
          <t>RETIREMENT_SPENDING</t>
        </is>
      </c>
      <c r="E96" s="3" t="inlineStr">
        <is>
          <t>MISSING FROM THE INPUTS TAB — add it, or point it at the input it already is.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2026-08-25T19:37:46Z</dcterms:created>
  <dcterms:modified xsi:type="dcterms:W3CDTF">2026-08-25T19:37:46Z</dcterms:modified>
</cp:coreProperties>
</file>