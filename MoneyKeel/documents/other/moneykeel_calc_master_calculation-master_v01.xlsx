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'home'!$A$1:$AO$16</definedName>
    <definedName name="_xlnm._FilterDatabase" localSheetId="5" hidden="1">'networth'!$A$1:$AO$54</definedName>
    <definedName name="_xlnm._FilterDatabase" localSheetId="6" hidden="1">'performance'!$A$1:$AO$16</definedName>
    <definedName name="_xlnm._FilterDatabase" localSheetId="7" hidden="1">'plan'!$A$1:$AO$45</definedName>
    <definedName name="_xlnm._FilterDatabase" localSheetId="8" hidden="1">'cashflow'!$A$1:$AO$63</definedName>
    <definedName name="_xlnm._FilterDatabase" localSheetId="9" hidden="1">'menu'!$A$1:$AO$45</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'functions_from_code'!$A$1:$Y$679</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2026-09-30</t>
        </is>
      </c>
    </row>
    <row r="5" ht="30" customHeight="1">
      <c r="A5" s="4" t="inlineStr">
        <is>
          <t>Date file last modified</t>
        </is>
      </c>
      <c r="B5" s="3" t="inlineStr">
        <is>
          <t>2026-09-30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181 of 181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677, read from the code on this build. PARTIAL for figures: 35 of 181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181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677 functions carry both forms on this build: 23 no arithmetic · 19 not read · 322 partly read · 90 read by hand 2026-08-26 · 223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40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39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2026-09-30</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2026-09-30</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2026-09-30</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None — it reads its inputs and answers</t>
        </is>
      </c>
      <c r="P2" s="3" t="inlineStr">
        <is>
          <t>No dependent function — it reads its inputs and answers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/look-back</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60" customHeight="1">
      <c r="A14" s="3" t="inlineStr"/>
      <c r="B14" s="3" t="inlineStr">
        <is>
          <t>Home</t>
        </is>
      </c>
      <c r="C14" s="3" t="inlineStr">
        <is>
          <t>/onboarding</t>
        </is>
      </c>
      <c r="D14" s="3" t="inlineStr">
        <is>
          <t>—</t>
        </is>
      </c>
      <c r="E14" s="3" t="inlineStr">
        <is>
          <t>—</t>
        </is>
      </c>
      <c r="F14" s="3" t="inlineStr">
        <is>
          <t>—</t>
        </is>
      </c>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DETERMINED</t>
        </is>
      </c>
      <c r="Y14" s="3" t="inlineStr">
        <is>
          <t>READ 2026-08-22 — no calculated figure on this screen</t>
        </is>
      </c>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/paycheck-months</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60" customHeight="1">
      <c r="A16" s="3" t="inlineStr"/>
      <c r="B16" s="3" t="inlineStr">
        <is>
          <t>Home</t>
        </is>
      </c>
      <c r="C16" s="3" t="inlineStr">
        <is>
          <t>/performance</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the same screen as /invest, reached by a second route</t>
        </is>
      </c>
      <c r="Z16" s="3" t="n"/>
      <c r="AA16" s="3" t="n"/>
      <c r="AB16" s="3" t="n"/>
      <c r="AC16" s="3" t="n"/>
      <c r="AD16" s="3" t="n"/>
      <c r="AE16" s="3" t="n"/>
      <c r="AF16" s="3" t="n"/>
      <c r="AG16" s="3" t="n"/>
      <c r="AH16" s="3" t="n"/>
      <c r="AI16" s="3" t="n"/>
      <c r="AJ16" s="3" t="n"/>
      <c r="AK16" s="3" t="n"/>
      <c r="AL16" s="3" t="n"/>
      <c r="AM16" s="3" t="n"/>
      <c r="AN16" s="3" t="n"/>
      <c r="AO16" s="3" t="n"/>
    </row>
  </sheetData>
  <autoFilter ref="A1:AO1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2026-09-30</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2026-09-30</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2026-09-30</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2026-09-30</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2026-09-30</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2026-09-30</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2026-09-30</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2026-09-30</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2026-09-30</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2026-09-30</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2026-09-30</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2026-09-30</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MK-CF-F-201,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2026-09-30</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2026-09-30</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2026-09-30</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2026-09-30</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2026-09-30</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MK-CF-F-132 (map) → NOT DECLARED — the code does not say what it gives back
3. MK-ST-F-013 (personalFlowTotals) → PersonalFlowTotals
4.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2026-09-30</t>
        </is>
      </c>
      <c r="AH25" s="3" t="inlineStr"/>
      <c r="AI25" s="3" t="inlineStr"/>
      <c r="AJ2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MK-CF-F-132 (map) → NOT DECLARED — the code does not say what it gives back
3. MK-ST-F-013 (personalFlowTotals) → PersonalFlowTotals
4.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2026-09-30</t>
        </is>
      </c>
      <c r="AH26" s="3" t="inlineStr"/>
      <c r="AI26" s="3" t="inlineStr"/>
      <c r="AJ2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MK-CF-F-132 (map) → NOT DECLARED — the code does not say what it gives back
3. MK-ST-F-013 (personalFlowTotals) → PersonalFlowTotals
4.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2026-09-30</t>
        </is>
      </c>
      <c r="AH27" s="3" t="inlineStr"/>
      <c r="AI27" s="3" t="inlineStr"/>
      <c r="AJ27"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2026-09-30</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2026-09-30</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2026-09-30</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2026-09-30</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2026-09-30</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2026-09-30</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2026-09-30</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MK-PF-F-004 (marketValue) → number
4. MK-PF-F-028 (realizedFromLedger) → NOT DECLARED — the code does not say what it gives back
5.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2026-09-30</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MK-PF-F-004 (marketValue) → number
4. MK-PF-F-028 (realizedFromLedger) → NOT DECLARED — the code does not say what it gives back
5.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2026-09-30</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MK-PF-F-004 (marketValue) → number
4. MK-PF-F-028 (realizedFromLedger) → NOT DECLARED — the code does not say what it gives back
5.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2026-09-30</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2026-09-30</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MK-PF-F-004 (marketValue) → number
4. MK-PF-F-028 (realizedFromLedger) → NOT DECLARED — the code does not say what it gives back
5.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2026-09-30</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MK-PF-F-004 (marketValue) → number
4. MK-PF-F-028 (realizedFromLedger) → NOT DECLARED — the code does not say what it gives back
5.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2026-09-30</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MK-PF-F-004 (marketValue) → number
4. MK-PF-F-028 (realizedFromLedger) → NOT DECLARED — the code does not say what it gives back
5.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2026-09-30</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MK-PF-F-004 (marketValue) → number
4. MK-PF-F-028 (realizedFromLedger) → NOT DECLARED — the code does not say what it gives back
5.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2026-09-30</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MK-PF-F-004 (marketValue) → number
4. MK-PF-F-028 (realizedFromLedger) → NOT DECLARED — the code does not say what it gives back
5.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2026-09-30</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MK-CF-F-132 (map) → NOT DECLARED — the code does not say what it gives back
3. MK-ST-F-013 (personalFlowTotals) → PersonalFlowTotals
4.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2026-09-30</t>
        </is>
      </c>
      <c r="AH44" s="3" t="inlineStr"/>
      <c r="AI44" s="3" t="inlineStr"/>
      <c r="AJ44"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MK-CF-F-132 (map) → NOT DECLARED — the code does not say what it gives back
3. MK-ST-F-013 (personalFlowTotals) → PersonalFlowTotals
4.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2026-09-30</t>
        </is>
      </c>
      <c r="AH45" s="3" t="inlineStr"/>
      <c r="AI45" s="3" t="inlineStr"/>
      <c r="AJ4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MK-CF-F-132 (map) → NOT DECLARED — the code does not say what it gives back
3. MK-ST-F-013 (personalFlowTotals) → PersonalFlowTotals
4.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2026-09-30</t>
        </is>
      </c>
      <c r="AH46" s="3" t="inlineStr"/>
      <c r="AI46" s="3" t="inlineStr"/>
      <c r="AJ4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2026-09-30</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2026-09-30</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2026-09-30</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2026-09-30</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2026-09-30</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N months at your planned spend</t>
        </is>
      </c>
      <c r="E52" s="3" t="inlineStr">
        <is>
          <t>n_months_at_your_planned_spend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one figure per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2026-09-30</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2026-09-30</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your planned spend, with the debt payments in it</t>
        </is>
      </c>
      <c r="E54" s="3" t="inlineStr">
        <is>
          <t>your_planned_spend_with_the_debt_payment</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one figure per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2026-09-30</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sheetData>
  <autoFilter ref="A1:A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/look-back</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60" customHeight="1">
      <c r="A6" s="3" t="inlineStr">
        <is>
          <t>MK-PF-M-001</t>
        </is>
      </c>
      <c r="B6" s="3" t="inlineStr">
        <is>
          <t>Performance</t>
        </is>
      </c>
      <c r="C6" s="3" t="inlineStr">
        <is>
          <t>/invest</t>
        </is>
      </c>
      <c r="D6" s="3" t="inlineStr">
        <is>
          <t>Ending value</t>
        </is>
      </c>
      <c r="E6" s="3" t="inlineStr">
        <is>
          <t>ending_value</t>
        </is>
      </c>
      <c r="F6" s="3" t="inlineStr">
        <is>
          <t>thePerformance</t>
        </is>
      </c>
      <c r="G6" s="3" t="inlineStr">
        <is>
          <t>MK-ST-F-031</t>
        </is>
      </c>
      <c r="H6" s="3" t="inlineStr">
        <is>
          <t>ending value = Σ over the accounts in scope of (snapshot value on the end date)</t>
        </is>
      </c>
      <c r="I6" s="3" t="inlineStr">
        <is>
          <t>the sum of every investment account’s value today</t>
        </is>
      </c>
      <c r="J6" s="3" t="inlineStr">
        <is>
          <t>MK-NW-I-001 your accounts
MK-NW-I-005 the price feed</t>
        </is>
      </c>
      <c r="K6" s="3" t="inlineStr">
        <is>
          <t>dollars, whole</t>
        </is>
      </c>
      <c r="L6" s="3" t="inlineStr">
        <is>
          <t>Nothing invested yet.</t>
        </is>
      </c>
      <c r="M6" s="3" t="inlineStr">
        <is>
          <t>one figure per household</t>
        </is>
      </c>
      <c r="N6" s="3" t="inlineStr">
        <is>
          <t>as of today</t>
        </is>
      </c>
      <c r="O6" s="3" t="inlineStr">
        <is>
          <t>1. MK-ST-F-027 (accountId) → string
2. MK-CF-F-155 (cash) → number
3. MK-ST-F-056 (has) → NOT DECLARED — the code does not say what it gives back
4. MK-ST-F-033 (onOrBefore) → T | null</t>
        </is>
      </c>
      <c r="P6" s="3" t="inlineStr">
        <is>
          <t>Declared by MK-NW-O-008 thePerformance</t>
        </is>
      </c>
      <c r="Q6" s="3" t="inlineStr">
        <is>
          <t>NONE RECORDED — the declaration names none.</t>
        </is>
      </c>
      <c r="R6" s="3" t="inlineStr">
        <is>
          <t>NONE RECORDED — the declaration names none.</t>
        </is>
      </c>
      <c r="S6" s="3" t="inlineStr"/>
      <c r="T6" s="3" t="inlineStr">
        <is>
          <t>NONE RECORDED — the declaration names none.</t>
        </is>
      </c>
      <c r="U6" s="3" t="inlineStr"/>
      <c r="V6" s="3" t="inlineStr"/>
      <c r="W6" s="3" t="inlineStr"/>
      <c r="X6" s="3" t="inlineStr"/>
      <c r="Y6" s="3" t="inlineStr"/>
      <c r="Z6" s="3" t="inlineStr">
        <is>
          <t>DECLARED IN THE CODE (rule 11) — printed from the door, not typed. RULED 2026-09-27</t>
        </is>
      </c>
      <c r="AA6" s="3" t="inlineStr"/>
      <c r="AB6" s="3" t="inlineStr"/>
      <c r="AC6" s="3" t="inlineStr"/>
      <c r="AD6" s="3" t="inlineStr"/>
      <c r="AE6" s="3" t="inlineStr"/>
      <c r="AF6" s="3" t="inlineStr">
        <is>
          <t>ACTIVE</t>
        </is>
      </c>
      <c r="AG6" s="3" t="inlineStr">
        <is>
          <t>2026-09-30</t>
        </is>
      </c>
      <c r="AH6" s="3" t="inlineStr"/>
      <c r="AI6" s="3" t="inlineStr"/>
      <c r="AJ6"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c r="AM6" s="3" t="inlineStr">
        <is>
          <t>TESTED, NOT VERIFIED — you ruled on this row 2026-09-27; the figure, its formula, inputs and refusal live in MK-NW-O-008 thePerformance</t>
        </is>
      </c>
      <c r="AN6" s="3" t="inlineStr">
        <is>
          <t>An account worth $30,000 on 31 Dec 2025 (100 VTI at $260 plus $4,000 cash) and $46,600 on 28 Sep 2026, with $6,000 paid in on 1 Apr and $825 of dividends received.
GIVES: $46,600
(the test re-runs this through MK-NW-O-008 thePerformance on every build)</t>
        </is>
      </c>
      <c r="AO6" s="7" t="inlineStr">
        <is>
          <t>RULED, NOT CODED (Q-PF-1 — one question, one function)</t>
        </is>
      </c>
    </row>
    <row r="7" ht="60" customHeight="1">
      <c r="A7" s="3" t="inlineStr">
        <is>
          <t>MK-PF-M-002</t>
        </is>
      </c>
      <c r="B7" s="3" t="inlineStr">
        <is>
          <t>Performance</t>
        </is>
      </c>
      <c r="C7" s="3" t="inlineStr">
        <is>
          <t>/invest</t>
        </is>
      </c>
      <c r="D7" s="3" t="inlineStr">
        <is>
          <t>Wealth generated</t>
        </is>
      </c>
      <c r="E7" s="3" t="inlineStr">
        <is>
          <t>wealth_generated</t>
        </is>
      </c>
      <c r="F7" s="3" t="inlineStr">
        <is>
          <t>thePerformance</t>
        </is>
      </c>
      <c r="G7" s="3" t="inlineStr">
        <is>
          <t>MK-NW-O-008</t>
        </is>
      </c>
      <c r="H7" s="3" t="inlineStr">
        <is>
          <t>wealth generated = ending value − beginning value − net money in  (money in = deposits and transfers in − withdrawals and transfers out over the window)</t>
        </is>
      </c>
      <c r="I7" s="3" t="inlineStr">
        <is>
          <t>ending − beginning − what you put in + what you took out</t>
        </is>
      </c>
      <c r="J7" s="3" t="inlineStr">
        <is>
          <t>MK-NW-I-001 your accounts
MK-NW-I-004 the activity records
MK-NW-I-003 the recorded history</t>
        </is>
      </c>
      <c r="K7" s="3" t="inlineStr">
        <is>
          <t>dollars, whole</t>
        </is>
      </c>
      <c r="L7" s="3" t="inlineStr">
        <is>
          <t>The record cannot reach the start of this window, so there is nothing honest to subtract from.</t>
        </is>
      </c>
      <c r="M7" s="3" t="inlineStr">
        <is>
          <t>one figure per household</t>
        </is>
      </c>
      <c r="N7" s="3" t="inlineStr">
        <is>
          <t>as of today</t>
        </is>
      </c>
      <c r="O7"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7" s="3" t="inlineStr">
        <is>
          <t>Declared by MK-NW-O-008 thePerformance</t>
        </is>
      </c>
      <c r="Q7" s="3" t="inlineStr">
        <is>
          <t>ONE MEANING OF RETURN (B-97, 2026-09-25): dividends and interest are part of this, so the return beside it counts them too.</t>
        </is>
      </c>
      <c r="R7" s="3" t="inlineStr">
        <is>
          <t>ONE MEANING OF RETURN (B-97, 2026-09-25): dividends and interest are part of this, so the return beside it counts them too.</t>
        </is>
      </c>
      <c r="S7" s="3" t="inlineStr"/>
      <c r="T7" s="3" t="inlineStr">
        <is>
          <t>ONE MEANING OF RETURN (B-97, 2026-09-25): dividends and interest are part of this, so the return beside it counts them too.</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2026-09-30</t>
        </is>
      </c>
      <c r="AH7" s="3" t="inlineStr"/>
      <c r="AI7" s="3" t="inlineStr"/>
      <c r="AJ7"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$10,600
(the test re-runs this through MK-NW-O-008 thePerformance on every build)</t>
        </is>
      </c>
      <c r="AO7" s="7" t="inlineStr">
        <is>
          <t>RULED, NOT CODED (Q-PF-1 — one question, one function)</t>
        </is>
      </c>
    </row>
    <row r="8" ht="60" customHeight="1">
      <c r="A8" s="3" t="inlineStr">
        <is>
          <t>MK-PF-M-003</t>
        </is>
      </c>
      <c r="B8" s="3" t="inlineStr">
        <is>
          <t>Performance</t>
        </is>
      </c>
      <c r="C8" s="3" t="inlineStr">
        <is>
          <t>/invest</t>
        </is>
      </c>
      <c r="D8" s="3" t="inlineStr">
        <is>
          <t>HOW $X BECAME $Y · ALL ACCOUNTS</t>
        </is>
      </c>
      <c r="E8" s="3" t="inlineStr">
        <is>
          <t>how_x_became_y__all_accounts</t>
        </is>
      </c>
      <c r="F8" s="3" t="inlineStr">
        <is>
          <t>thePerformance</t>
        </is>
      </c>
      <c r="G8" s="3" t="inlineStr">
        <is>
          <t>MK-NW-O-008</t>
        </is>
      </c>
      <c r="H8" s="3" t="inlineStr">
        <is>
          <t>beginning + contributions − withdrawals + wealth generated = ending, by construction</t>
        </is>
      </c>
      <c r="I8" s="3" t="inlineStr">
        <is>
          <t>beginning + contributions − withdrawals + wealth generated = ending, by construction</t>
        </is>
      </c>
      <c r="J8" s="3" t="inlineStr">
        <is>
          <t>MK-NW-I-003 the recorded history
MK-NW-I-004 the activity records</t>
        </is>
      </c>
      <c r="K8" s="3" t="inlineStr">
        <is>
          <t>a sentence</t>
        </is>
      </c>
      <c r="L8" s="3" t="inlineStr">
        <is>
          <t>No beginning to walk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Whatever the records cannot explain lands in the change-in-value line rather than being silently dropped.</t>
        </is>
      </c>
      <c r="R8" s="3" t="inlineStr">
        <is>
          <t>Whatever the records cannot explain lands in the change-in-value line rather than being silently dropped.</t>
        </is>
      </c>
      <c r="S8" s="3" t="inlineStr"/>
      <c r="T8" s="3" t="inlineStr">
        <is>
          <t>Whatever the records cannot explain lands in the change-in-value line rather than being silently dropped.</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2026-09-30</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8" s="7" t="inlineStr">
        <is>
          <t>RULED, NOT CODED (Q-PF-1 — one question, one function)</t>
        </is>
      </c>
    </row>
    <row r="9" ht="60" customHeight="1">
      <c r="A9" s="3" t="inlineStr">
        <is>
          <t>MK-PF-M-004</t>
        </is>
      </c>
      <c r="B9" s="3" t="inlineStr">
        <is>
          <t>Performance</t>
        </is>
      </c>
      <c r="C9" s="3" t="inlineStr">
        <is>
          <t>/invest</t>
        </is>
      </c>
      <c r="D9" s="3" t="inlineStr">
        <is>
          <t>Ending market value (per account)</t>
        </is>
      </c>
      <c r="E9" s="3" t="inlineStr">
        <is>
          <t>ending_market_value_per_account</t>
        </is>
      </c>
      <c r="F9" s="3" t="inlineStr">
        <is>
          <t>thePerformance</t>
        </is>
      </c>
      <c r="G9" s="3" t="inlineStr">
        <is>
          <t>MK-ST-F-031</t>
        </is>
      </c>
      <c r="H9" s="3" t="inlineStr">
        <is>
          <t>ending market value (this account) = snapshot value of the account on the end date</t>
        </is>
      </c>
      <c r="I9" s="3" t="inlineStr">
        <is>
          <t>the sum of that account’s holdings, at today’s prices, plus its cash</t>
        </is>
      </c>
      <c r="J9" s="3" t="inlineStr">
        <is>
          <t>MK-NW-I-001 your accounts
MK-NW-I-005 the price feed</t>
        </is>
      </c>
      <c r="K9" s="3" t="inlineStr">
        <is>
          <t>dollars, whole</t>
        </is>
      </c>
      <c r="L9" s="3" t="inlineStr">
        <is>
          <t>Nothing in it.</t>
        </is>
      </c>
      <c r="M9" s="3" t="inlineStr">
        <is>
          <t>one account</t>
        </is>
      </c>
      <c r="N9" s="3" t="inlineStr">
        <is>
          <t>as of today</t>
        </is>
      </c>
      <c r="O9" s="3" t="inlineStr">
        <is>
          <t>1. MK-ST-F-027 (accountId) → string
2. MK-CF-F-155 (cash) → number
3. MK-ST-F-056 (has) → NOT DECLARED — the code does not say what it gives back
4. MK-ST-F-033 (onOrBefore) → T | null</t>
        </is>
      </c>
      <c r="P9" s="3" t="inlineStr">
        <is>
          <t>Declared by MK-NW-O-008 thePerformance</t>
        </is>
      </c>
      <c r="Q9" s="3" t="inlineStr">
        <is>
          <t>NONE RECORDED — the declaration names none.</t>
        </is>
      </c>
      <c r="R9" s="3" t="inlineStr">
        <is>
          <t>NONE RECORDED — the declaration names none.</t>
        </is>
      </c>
      <c r="S9" s="3" t="inlineStr"/>
      <c r="T9" s="3" t="inlineStr">
        <is>
          <t>NONE RECORDED — the declaration names none.</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2026-09-30</t>
        </is>
      </c>
      <c r="AH9" s="3" t="inlineStr"/>
      <c r="AI9" s="3" t="inlineStr"/>
      <c r="AJ9"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9" s="7" t="inlineStr">
        <is>
          <t>RULED, NOT CODED (Q-PF-1 — one question, one function)</t>
        </is>
      </c>
    </row>
    <row r="10" ht="60" customHeight="1">
      <c r="A10" s="3" t="inlineStr">
        <is>
          <t>MK-PF-M-005</t>
        </is>
      </c>
      <c r="B10" s="3" t="inlineStr">
        <is>
          <t>Performance</t>
        </is>
      </c>
      <c r="C10" s="3" t="inlineStr">
        <is>
          <t>/invest</t>
        </is>
      </c>
      <c r="D10" s="3" t="inlineStr">
        <is>
          <t>each account and its ending value</t>
        </is>
      </c>
      <c r="E10" s="3" t="inlineStr">
        <is>
          <t>each_account_and_its_ending_value</t>
        </is>
      </c>
      <c r="F10" s="3" t="inlineStr">
        <is>
          <t>thePerformance</t>
        </is>
      </c>
      <c r="G10" s="3" t="inlineStr">
        <is>
          <t>MK-NW-O-008</t>
        </is>
      </c>
      <c r="H10" s="3" t="inlineStr">
        <is>
          <t>each investment account’s value, named by the account</t>
        </is>
      </c>
      <c r="I10" s="3" t="inlineStr">
        <is>
          <t>each investment account’s value, named by the account</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account</t>
        </is>
      </c>
      <c r="N10" s="3" t="inlineStr">
        <is>
          <t>as of today</t>
        </is>
      </c>
      <c r="O1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0" s="3" t="inlineStr">
        <is>
          <t>Declared by MK-NW-O-008 thePerformance</t>
        </is>
      </c>
      <c r="Q10" s="3" t="inlineStr">
        <is>
          <t>Named by ACCOUNT, not by institution — two accounts at one broker must be tellable apart (founder screenshot, 2026-08-17).</t>
        </is>
      </c>
      <c r="R10" s="3" t="inlineStr">
        <is>
          <t>Named by ACCOUNT, not by institution — two accounts at one broker must be tellable apart (founder screenshot, 2026-08-17).</t>
        </is>
      </c>
      <c r="S10" s="3" t="inlineStr"/>
      <c r="T10" s="3" t="inlineStr">
        <is>
          <t>Named by ACCOUNT, not by institution — two accounts at one broker must be tellable apart (founder screenshot, 2026-08-17).</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2026-09-30</t>
        </is>
      </c>
      <c r="AH10" s="3" t="inlineStr"/>
      <c r="AI10" s="3" t="inlineStr"/>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0" s="7" t="inlineStr">
        <is>
          <t>RULED, NOT CODED (Q-PF-1 — one question, one function)</t>
        </is>
      </c>
    </row>
    <row r="11" ht="60" customHeight="1">
      <c r="A11" s="3" t="inlineStr">
        <is>
          <t>MK-PF-M-006</t>
        </is>
      </c>
      <c r="B11" s="3" t="inlineStr">
        <is>
          <t>Performance</t>
        </is>
      </c>
      <c r="C11" s="3" t="inlineStr">
        <is>
          <t>/invest</t>
        </is>
      </c>
      <c r="D11" s="3" t="inlineStr">
        <is>
          <t>WHAT EACH CATEGORY EARNED — RETURN</t>
        </is>
      </c>
      <c r="E11" s="3" t="inlineStr">
        <is>
          <t>what_each_category_earned__return</t>
        </is>
      </c>
      <c r="F11" s="3" t="inlineStr">
        <is>
          <t>thePerformance</t>
        </is>
      </c>
      <c r="G11" s="3" t="inlineStr">
        <is>
          <t>MK-NW-O-008</t>
        </is>
      </c>
      <c r="H11" s="3" t="inlineStr">
        <is>
          <t>each class's own return, weighted by what each holding in it is worth</t>
        </is>
      </c>
      <c r="I11" s="3" t="inlineStr">
        <is>
          <t>each class's own return, weighted by what each holding in it is worth</t>
        </is>
      </c>
      <c r="J11" s="3" t="inlineStr">
        <is>
          <t>MK-NW-I-001 your accounts
MK-XS-I-006 the price fetched at</t>
        </is>
      </c>
      <c r="K11" s="3" t="inlineStr">
        <is>
          <t>a percentage, two decimals</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1" s="3" t="inlineStr"/>
      <c r="T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1" s="3" t="inlineStr"/>
      <c r="V11" s="3" t="inlineStr"/>
      <c r="W11" s="3" t="inlineStr"/>
      <c r="X11" s="3" t="inlineStr"/>
      <c r="Y11" s="3" t="inlineStr"/>
      <c r="Z11" s="3" t="inlineStr">
        <is>
          <t>DECLARED IN THE CODE (rule 11) — printed from the door, not typed. RULED 2026-09-03</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2026-09-30</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2026-09-03; the figure, its formula, inputs and refusal live in MK-NW-O-008 thePerformance</t>
        </is>
      </c>
      <c r="AN11"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1" s="7" t="inlineStr">
        <is>
          <t>RULED, NOT CODED (Q-PF-1 — one question, one function)</t>
        </is>
      </c>
    </row>
    <row r="12" ht="60" customHeight="1">
      <c r="A12" s="3" t="inlineStr">
        <is>
          <t>MK-PF-M-007</t>
        </is>
      </c>
      <c r="B12" s="3" t="inlineStr">
        <is>
          <t>Performance</t>
        </is>
      </c>
      <c r="C12" s="3" t="inlineStr">
        <is>
          <t>/invest</t>
        </is>
      </c>
      <c r="D12" s="3" t="inlineStr">
        <is>
          <t>All categories</t>
        </is>
      </c>
      <c r="E12" s="3" t="inlineStr">
        <is>
          <t>all_categories</t>
        </is>
      </c>
      <c r="F12" s="3" t="inlineStr">
        <is>
          <t>thePerformance</t>
        </is>
      </c>
      <c r="G12" s="3" t="inlineStr">
        <is>
          <t>MK-NW-O-008</t>
        </is>
      </c>
      <c r="H12" s="3" t="inlineStr">
        <is>
          <t>every dividend and interest record inside the window, added up by the class of the holding that paid it</t>
        </is>
      </c>
      <c r="I12" s="3" t="inlineStr">
        <is>
          <t>every dividend and interest record inside the window, added up by the class of the holding that paid it</t>
        </is>
      </c>
      <c r="J12" s="3" t="inlineStr">
        <is>
          <t>MK-XS-I-020 the records of money movements</t>
        </is>
      </c>
      <c r="K12" s="3" t="inlineStr">
        <is>
          <t>dollars, whole</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2" s="3" t="inlineStr"/>
      <c r="T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2026-09-30</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2" s="7" t="inlineStr">
        <is>
          <t>RULED, NOT CODED (Q-PF-1 — one question, one function)</t>
        </is>
      </c>
    </row>
    <row r="13" ht="60" customHeight="1">
      <c r="A13" s="3" t="inlineStr">
        <is>
          <t>MK-PF-M-008</t>
        </is>
      </c>
      <c r="B13" s="3" t="inlineStr">
        <is>
          <t>Performance</t>
        </is>
      </c>
      <c r="C13" s="3" t="inlineStr">
        <is>
          <t>/home</t>
        </is>
      </c>
      <c r="D13" s="3" t="inlineStr">
        <is>
          <t>market +X%</t>
        </is>
      </c>
      <c r="E13" s="3" t="inlineStr">
        <is>
          <t>market_x</t>
        </is>
      </c>
      <c r="F13" s="3" t="inlineStr">
        <is>
          <t>thePerformance</t>
        </is>
      </c>
      <c r="G13" s="3" t="inlineStr">
        <is>
          <t>MK-NW-O-008</t>
        </is>
      </c>
      <c r="H13" s="3" t="inlineStr">
        <is>
          <t>each holding's own benchmark return over the same dates, weighted by what that holding is worth</t>
        </is>
      </c>
      <c r="I13" s="3" t="inlineStr">
        <is>
          <t>each holding's own benchmark return over the same dates, weighted by what that holding is worth</t>
        </is>
      </c>
      <c r="J13" s="3" t="inlineStr">
        <is>
          <t>MK-NW-I-001 your accounts
MK-XS-I-006 the price fetched at</t>
        </is>
      </c>
      <c r="K13" s="3" t="inlineStr">
        <is>
          <t>a percentage,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3" s="3" t="inlineStr"/>
      <c r="T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3"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3"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3"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2026-09-30</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MK-NW-O-008 thePerformance until you do.</t>
        </is>
      </c>
      <c r="AN13" s="3" t="inlineStr">
        <is>
          <t>$40,000 of shares against a benchmark up 10% over the window, and $10,000 of bonds against one up 4% over the same days.
GIVES: 8.80%
(the test re-runs this through MK-NW-O-008 thePerformance on every build)</t>
        </is>
      </c>
      <c r="AO13" s="9" t="inlineStr">
        <is>
          <t>WAITING ON YOU — question Q33 · WAITING ON YOU — row to approve: say yes in YOUR ANSWER, or say what changes · RULED, NOT CODED (Q-PF-1 — one question, one function)</t>
        </is>
      </c>
    </row>
    <row r="14" ht="60" customHeight="1">
      <c r="A14" s="3" t="inlineStr">
        <is>
          <t>MK-PF-M-010</t>
        </is>
      </c>
      <c r="B14" s="3" t="inlineStr">
        <is>
          <t>Performance</t>
        </is>
      </c>
      <c r="C14" s="3" t="inlineStr">
        <is>
          <t>/look-back</t>
        </is>
      </c>
      <c r="D14" s="3" t="inlineStr">
        <is>
          <t>Left in &lt;fund&gt; it became $X (up/down $Y, Z%)</t>
        </is>
      </c>
      <c r="E14" s="3" t="inlineStr">
        <is>
          <t>left_in_fund_it_became_x_updown_y_z</t>
        </is>
      </c>
      <c r="F14" s="3" t="inlineStr">
        <is>
          <t>theLookBack</t>
        </is>
      </c>
      <c r="G14" s="3" t="inlineStr">
        <is>
          <t>MK-NW-O-007</t>
        </is>
      </c>
      <c r="H14" s="3" t="inlineStr">
        <is>
          <t>the amount × (the fund’s price today ÷ its price at the start of the window)</t>
        </is>
      </c>
      <c r="I14" s="3" t="inlineStr">
        <is>
          <t>the amount × (the fund’s price today ÷ its price at the start of the window)</t>
        </is>
      </c>
      <c r="J14" s="3" t="inlineStr">
        <is>
          <t>MK-NW-I-005 the price feed</t>
        </is>
      </c>
      <c r="K14" s="3" t="inlineStr">
        <is>
          <t>a sentence</t>
        </is>
      </c>
      <c r="L14" s="3" t="inlineStr">
        <is>
          <t>No price history over the whole window — the screen shows nothing rather than a shortened one.</t>
        </is>
      </c>
      <c r="M14" s="3" t="inlineStr">
        <is>
          <t>one figure per household</t>
        </is>
      </c>
      <c r="N14" s="3" t="inlineStr">
        <is>
          <t>as of today</t>
        </is>
      </c>
      <c r="O14" s="3" t="inlineStr">
        <is>
          <t>MK-PF-F-023 (lookBack) → LookBackResult | null</t>
        </is>
      </c>
      <c r="P14" s="3" t="inlineStr">
        <is>
          <t>Declared by MK-NW-O-007 theLookBack</t>
        </is>
      </c>
      <c r="Q14" s="3" t="inlineStr">
        <is>
          <t>Price changes only — dividends are not in it, and the screen says so.</t>
        </is>
      </c>
      <c r="R14" s="3" t="inlineStr">
        <is>
          <t>Price changes only — dividends are not in it, and the screen says so.</t>
        </is>
      </c>
      <c r="S14" s="3" t="inlineStr"/>
      <c r="T14" s="3" t="inlineStr">
        <is>
          <t>Price changes only — dividends are not in it, and the screen says so.</t>
        </is>
      </c>
      <c r="U14" s="3" t="inlineStr"/>
      <c r="V14" s="3" t="inlineStr"/>
      <c r="W14" s="3" t="inlineStr"/>
      <c r="X14" s="3" t="inlineStr"/>
      <c r="Y14" s="3" t="inlineStr"/>
      <c r="Z14" s="3" t="inlineStr">
        <is>
          <t>DECLARED IN THE CODE (rule 11) — printed from the door, not typed. RULED 2026-09-28</t>
        </is>
      </c>
      <c r="AA14" s="3" t="inlineStr"/>
      <c r="AB14" s="3" t="inlineStr"/>
      <c r="AC14" s="3" t="inlineStr"/>
      <c r="AD14" s="3" t="inlineStr"/>
      <c r="AE14" s="3" t="inlineStr"/>
      <c r="AF14" s="3" t="inlineStr">
        <is>
          <t>ACTIVE</t>
        </is>
      </c>
      <c r="AG14" s="3" t="inlineStr">
        <is>
          <t>2026-09-30</t>
        </is>
      </c>
      <c r="AH14" s="3" t="inlineStr"/>
      <c r="AI14" s="3" t="inlineStr"/>
      <c r="AJ14" s="3" t="inlineStr">
        <is>
          <t>MK-XS-I-005 holding price — read by MK-NW-O-007, MK-PF-F-022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2026-09-28; the figure, its formula, inputs and refusal live in MK-NW-O-007 theLookBack</t>
        </is>
      </c>
      <c r="AN14" s="3" t="inlineStr">
        <is>
          <t>$10,000 left in BND for 12 months, against moving it to VTI. BND closed $72.00 a year ago and $73.80 now; VTI closed $250.00 and $290.00.
GIVES: Left in BND it became $10,250 (up $250, 2.5%)
(the test re-runs this through MK-NW-O-007 theLookBack on every build)</t>
        </is>
      </c>
      <c r="AO14" s="3" t="inlineStr">
        <is>
          <t>NOTHING OPEN</t>
        </is>
      </c>
    </row>
    <row r="15" ht="60" customHeight="1">
      <c r="A15" s="3" t="inlineStr">
        <is>
          <t>MK-PF-M-011</t>
        </is>
      </c>
      <c r="B15" s="3" t="inlineStr">
        <is>
          <t>Performance</t>
        </is>
      </c>
      <c r="C15" s="3" t="inlineStr">
        <is>
          <t>/look-back</t>
        </is>
      </c>
      <c r="D15" s="3" t="inlineStr">
        <is>
          <t>Moved to &lt;fund&gt; it would be $X</t>
        </is>
      </c>
      <c r="E15" s="3" t="inlineStr">
        <is>
          <t>moved_to_fund_it_would_be_x</t>
        </is>
      </c>
      <c r="F15" s="3" t="inlineStr">
        <is>
          <t>theLookBack</t>
        </is>
      </c>
      <c r="G15" s="3" t="inlineStr">
        <is>
          <t>MK-NW-O-007</t>
        </is>
      </c>
      <c r="H15" s="3" t="inlineStr">
        <is>
          <t>the amount × (the other fund’s price today ÷ its price at the start of the window)</t>
        </is>
      </c>
      <c r="I15" s="3" t="inlineStr">
        <is>
          <t>the amount × (the other fund’s price today ÷ its price at the start of the window)</t>
        </is>
      </c>
      <c r="J15" s="3" t="inlineStr">
        <is>
          <t>MK-NW-I-005 the price feed</t>
        </is>
      </c>
      <c r="K15" s="3" t="inlineStr">
        <is>
          <t>dollars, whole</t>
        </is>
      </c>
      <c r="L15" s="3" t="inlineStr">
        <is>
          <t>No price history for the other fund over the whole window.</t>
        </is>
      </c>
      <c r="M15" s="3" t="inlineStr">
        <is>
          <t>one figure per household</t>
        </is>
      </c>
      <c r="N15" s="3" t="inlineStr">
        <is>
          <t>as of today</t>
        </is>
      </c>
      <c r="O15" s="3" t="inlineStr">
        <is>
          <t>MK-PF-F-023 (lookBack) → LookBackResult | null</t>
        </is>
      </c>
      <c r="P15" s="3" t="inlineStr">
        <is>
          <t>Declared by MK-NW-O-007 theLookBack</t>
        </is>
      </c>
      <c r="Q15" s="3" t="inlineStr">
        <is>
          <t>A road not taken, priced from real history — never a projection forward.</t>
        </is>
      </c>
      <c r="R15" s="3" t="inlineStr">
        <is>
          <t>A road not taken, priced from real history — never a projection forward.</t>
        </is>
      </c>
      <c r="S15" s="3" t="inlineStr"/>
      <c r="T15" s="3" t="inlineStr">
        <is>
          <t>A road not taken, priced from real history — never a projection forward.</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2026-09-30</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$11,600
(the test re-runs this through MK-NW-O-007 theLookBack on every build)</t>
        </is>
      </c>
      <c r="AO15" s="3" t="inlineStr">
        <is>
          <t>NOTHING OPEN</t>
        </is>
      </c>
    </row>
    <row r="16" ht="60" customHeight="1">
      <c r="A16" s="3" t="inlineStr">
        <is>
          <t>MK-PF-M-012</t>
        </is>
      </c>
      <c r="B16" s="3" t="inlineStr">
        <is>
          <t>Performance</t>
        </is>
      </c>
      <c r="C16" s="3" t="inlineStr">
        <is>
          <t>/look-back</t>
        </is>
      </c>
      <c r="D16" s="3" t="inlineStr">
        <is>
          <t>Difference: $X more/less if you had moved</t>
        </is>
      </c>
      <c r="E16" s="3" t="inlineStr">
        <is>
          <t>difference_x_moreless_if_you_had_moved</t>
        </is>
      </c>
      <c r="F16" s="3" t="inlineStr">
        <is>
          <t>theLookBack</t>
        </is>
      </c>
      <c r="G16" s="3" t="inlineStr">
        <is>
          <t>MK-NW-O-007</t>
        </is>
      </c>
      <c r="H16" s="3" t="inlineStr">
        <is>
          <t>what it would have become, less what it did become</t>
        </is>
      </c>
      <c r="I16" s="3" t="inlineStr">
        <is>
          <t>what it would have become, less what it did become</t>
        </is>
      </c>
      <c r="J16" s="3" t="inlineStr">
        <is>
          <t>MK-NW-I-005 the price feed</t>
        </is>
      </c>
      <c r="K16" s="3" t="inlineStr">
        <is>
          <t>dollars, whole</t>
        </is>
      </c>
      <c r="L16" s="3" t="inlineStr">
        <is>
          <t>Either fund missing its history means no difference is stated.</t>
        </is>
      </c>
      <c r="M16" s="3" t="inlineStr">
        <is>
          <t>one figure per household</t>
        </is>
      </c>
      <c r="N16" s="3" t="inlineStr">
        <is>
          <t>as of today</t>
        </is>
      </c>
      <c r="O16" s="3" t="inlineStr">
        <is>
          <t>MK-PF-F-023 (lookBack) → LookBackResult | null</t>
        </is>
      </c>
      <c r="P16" s="3" t="inlineStr">
        <is>
          <t>Declared by MK-NW-O-007 theLookBack</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2026-09-30</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$1,350
(the test re-runs this through MK-NW-O-007 theLookBack on every build)</t>
        </is>
      </c>
      <c r="AO16" s="3" t="inlineStr">
        <is>
          <t>NOTHING OPEN</t>
        </is>
      </c>
    </row>
  </sheetData>
  <autoFilter ref="A1:AO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/look-back</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/paycheck-months</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60" customHeight="1">
      <c r="A44" s="3" t="inlineStr"/>
      <c r="B44" s="3" t="inlineStr">
        <is>
          <t>Plan</t>
        </is>
      </c>
      <c r="C44" s="3" t="inlineStr">
        <is>
          <t>/performance</t>
        </is>
      </c>
      <c r="D44" s="3" t="inlineStr">
        <is>
          <t>—</t>
        </is>
      </c>
      <c r="E44" s="3" t="inlineStr">
        <is>
          <t>—</t>
        </is>
      </c>
      <c r="F44" s="3" t="inlineStr">
        <is>
          <t>—</t>
        </is>
      </c>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DETERMINED</t>
        </is>
      </c>
      <c r="Y44" s="3" t="inlineStr">
        <is>
          <t>READ 2026-08-22 — the same screen as /invest, reached by a second route</t>
        </is>
      </c>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/sharpen</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no calculated figure on this screen</t>
        </is>
      </c>
      <c r="Z45" s="3" t="n"/>
      <c r="AA45" s="3" t="n"/>
      <c r="AB45" s="3" t="n"/>
      <c r="AC45" s="3" t="n"/>
      <c r="AD45" s="3" t="n"/>
      <c r="AE45" s="3" t="n"/>
      <c r="AF45" s="3" t="n"/>
      <c r="AG45" s="3" t="n"/>
      <c r="AH45" s="3" t="n"/>
      <c r="AI45" s="3" t="n"/>
      <c r="AJ45" s="3" t="n"/>
      <c r="AK45" s="3" t="n"/>
      <c r="AL45" s="3" t="n"/>
      <c r="AM45" s="3" t="n"/>
      <c r="AN45" s="3" t="n"/>
      <c r="AO45" s="3" t="n"/>
    </row>
  </sheetData>
  <autoFilter ref="A1:AO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39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39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39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39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39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/look-back</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Cashflow</t>
        </is>
      </c>
      <c r="C27" s="3" t="inlineStr">
        <is>
          <t>/onboarding</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45" customHeight="1">
      <c r="A28" s="3" t="inlineStr"/>
      <c r="B28" s="3" t="inlineStr">
        <is>
          <t>Cashflow</t>
        </is>
      </c>
      <c r="C28" s="3" t="inlineStr">
        <is>
          <t>/paycheck-months</t>
        </is>
      </c>
      <c r="D28" s="3" t="inlineStr"/>
      <c r="E28" s="3" t="inlineStr"/>
      <c r="F28" s="3" t="inlineStr"/>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STARTED — screen not yet read</t>
        </is>
      </c>
      <c r="Y28" s="3" t="n"/>
      <c r="Z28" s="3" t="n"/>
      <c r="AA28" s="3" t="n"/>
      <c r="AB28" s="3" t="n"/>
      <c r="AC28" s="3" t="n"/>
      <c r="AD28" s="3" t="n"/>
      <c r="AE28" s="3" t="n"/>
      <c r="AF28" s="3" t="n"/>
      <c r="AG28" s="3" t="n"/>
      <c r="AH28" s="3" t="n"/>
      <c r="AI28" s="3" t="n"/>
      <c r="AJ28" s="3" t="n"/>
      <c r="AK28" s="3" t="n"/>
      <c r="AL28" s="3" t="n"/>
      <c r="AM28" s="3" t="n"/>
      <c r="AN28" s="3" t="n"/>
      <c r="AO28" s="3" t="n"/>
    </row>
    <row r="29" ht="60" customHeight="1">
      <c r="A29" s="3" t="inlineStr"/>
      <c r="B29" s="3" t="inlineStr">
        <is>
          <t>Cashflow</t>
        </is>
      </c>
      <c r="C29" s="3" t="inlineStr">
        <is>
          <t>/performance</t>
        </is>
      </c>
      <c r="D29" s="3" t="inlineStr">
        <is>
          <t>—</t>
        </is>
      </c>
      <c r="E29" s="3" t="inlineStr">
        <is>
          <t>—</t>
        </is>
      </c>
      <c r="F29" s="3" t="inlineStr">
        <is>
          <t>—</t>
        </is>
      </c>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DETERMINED</t>
        </is>
      </c>
      <c r="Y29" s="3" t="inlineStr">
        <is>
          <t>READ 2026-08-22 — the same screen as /invest, reached by a second route</t>
        </is>
      </c>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MK-CF-M-001</t>
        </is>
      </c>
      <c r="B30" s="3" t="inlineStr">
        <is>
          <t>Cashflow</t>
        </is>
      </c>
      <c r="C30" s="3" t="inlineStr">
        <is>
          <t>/cashflow</t>
        </is>
      </c>
      <c r="D30" s="3" t="inlineStr">
        <is>
          <t>Expenses</t>
        </is>
      </c>
      <c r="E30" s="3" t="inlineStr">
        <is>
          <t>expenses</t>
        </is>
      </c>
      <c r="F30" s="3" t="inlineStr">
        <is>
          <t>theMonth</t>
        </is>
      </c>
      <c r="G30" s="3" t="inlineStr">
        <is>
          <t>MK-CF-O-010</t>
        </is>
      </c>
      <c r="H30" s="3" t="inlineStr">
        <is>
          <t>your budget — the per-category plan added up</t>
        </is>
      </c>
      <c r="I30" s="3" t="inlineStr">
        <is>
          <t>your budget — the per-category plan added up</t>
        </is>
      </c>
      <c r="J30" s="3" t="inlineStr">
        <is>
          <t>MK-CF-I-001 your logged expenses</t>
        </is>
      </c>
      <c r="K30" s="3" t="inlineStr">
        <is>
          <t>dollars, whole a month</t>
        </is>
      </c>
      <c r="L30" s="3" t="inlineStr">
        <is>
          <t>$0, and under it the one line "Nothing entered yet. Add your income ›" (mock approved 2026-09-12). A real zero that was entered shows a plain $0 with no line.</t>
        </is>
      </c>
      <c r="M30" s="3" t="inlineStr">
        <is>
          <t>one figure per household</t>
        </is>
      </c>
      <c r="N30" s="3" t="inlineStr">
        <is>
          <t>a month</t>
        </is>
      </c>
      <c r="O30" s="3" t="inlineStr">
        <is>
          <t>1. MK-CF-F-203 (MONTH) → NOT DECLARED — the code does not say what it gives back
2. MK-CF-O-002 (expenses) → Expenses
3. MK-CF-O-003 (thisMonth) → ThisMonth</t>
        </is>
      </c>
      <c r="P30" s="3" t="inlineStr">
        <is>
          <t>Declared by MK-CF-O-010 theMonth</t>
        </is>
      </c>
      <c r="Q30" s="3" t="inlineStr">
        <is>
          <t>One line on This month, and the Expenses tab is its detail — not a second answer to the same question (his correction, 2026-09-28).</t>
        </is>
      </c>
      <c r="R30" s="3" t="inlineStr">
        <is>
          <t>One line on This month, and the Expenses tab is its detail — not a second answer to the same question (his correction, 2026-09-28).</t>
        </is>
      </c>
      <c r="S30" s="3" t="inlineStr"/>
      <c r="T30" s="3" t="inlineStr">
        <is>
          <t>One line on This month, and the Expenses tab is its detail — not a second answer to the same question (his correction, 2026-09-28).</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2026-09-30</t>
        </is>
      </c>
      <c r="AH30" s="3" t="inlineStr"/>
      <c r="AI30" s="3" t="inlineStr"/>
      <c r="AJ3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MK-CF-O-010 theMonth</t>
        </is>
      </c>
      <c r="AN30"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0" s="7" t="inlineStr">
        <is>
          <t>RULED, NOT CODED (Q-CF-2 — one question, one function)</t>
        </is>
      </c>
    </row>
    <row r="31" ht="60" customHeight="1">
      <c r="A31" s="3" t="inlineStr">
        <is>
          <t>MK-CF-M-002</t>
        </is>
      </c>
      <c r="B31" s="3" t="inlineStr">
        <is>
          <t>Cashflow</t>
        </is>
      </c>
      <c r="C31" s="3" t="inlineStr">
        <is>
          <t>/cashflow · /home</t>
        </is>
      </c>
      <c r="D31" s="3">
        <f> Planned surplus</f>
        <v/>
      </c>
      <c r="E31" s="3" t="inlineStr">
        <is>
          <t>planned_surplus</t>
        </is>
      </c>
      <c r="F31" s="3" t="inlineStr">
        <is>
          <t>theMonth</t>
        </is>
      </c>
      <c r="G31" s="3" t="inlineStr">
        <is>
          <t>MK-CF-O-010</t>
        </is>
      </c>
      <c r="H31" s="3" t="inlineStr">
        <is>
          <t>the inflow, less every debt payment due, less the budget, less each big-ticket item</t>
        </is>
      </c>
      <c r="I31" s="3" t="inlineStr">
        <is>
          <t>the inflow, less every debt payment due, less the budget, less each big-ticket item</t>
        </is>
      </c>
      <c r="J31" s="3" t="inlineStr">
        <is>
          <t>MK-XS-I-023 salary and other income
MK-NW-I-002 your debts
MK-CF-I-001 your logged expenses</t>
        </is>
      </c>
      <c r="K31" s="3" t="inlineStr">
        <is>
          <t>dollars, whole a month</t>
        </is>
      </c>
      <c r="L31" s="3" t="inlineStr">
        <is>
          <t>$0, and under it the one line "Nothing entered yet. Add your bills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MK-CF-O-002 (expenses) → Expenses
3. MK-CF-O-003 (thisMonth) → ThisMonth</t>
        </is>
      </c>
      <c r="P31" s="3" t="inlineStr">
        <is>
          <t>Declared by MK-CF-O-010 theMonth</t>
        </is>
      </c>
      <c r="Q31" s="3" t="inlineStr">
        <is>
          <t>EVERY ROW SHOWN IS A ROW DEDUCTED (his rule under the approved design): nothing appears on This month without being in the sum.</t>
        </is>
      </c>
      <c r="R31" s="3" t="inlineStr">
        <is>
          <t>EVERY ROW SHOWN IS A ROW DEDUCTED (his rule under the approved design): nothing appears on This month without being in the sum.</t>
        </is>
      </c>
      <c r="S31" s="3" t="inlineStr"/>
      <c r="T31"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bills ›'). File written; the screen follows the approved empty-state mock (one pattern, one screen), then every screen.</t>
        </is>
      </c>
      <c r="AF31" s="3" t="inlineStr">
        <is>
          <t>ACTIVE</t>
        </is>
      </c>
      <c r="AG31" s="3" t="inlineStr">
        <is>
          <t>2026-09-30</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1" s="7" t="inlineStr">
        <is>
          <t>RULED, NOT CODED (Q-CF-2 — one question, one function)</t>
        </is>
      </c>
    </row>
    <row r="32" ht="60" customHeight="1">
      <c r="A32" s="3" t="inlineStr">
        <is>
          <t>MK-CF-M-003</t>
        </is>
      </c>
      <c r="B32" s="3" t="inlineStr">
        <is>
          <t>Cashflow</t>
        </is>
      </c>
      <c r="C32" s="3" t="inlineStr">
        <is>
          <t>/cashflow · /month-detail</t>
        </is>
      </c>
      <c r="D32" s="3">
        <f> Actual surplus so far</f>
        <v/>
      </c>
      <c r="E32" s="3" t="inlineStr">
        <is>
          <t>actual_surplus_so_far</t>
        </is>
      </c>
      <c r="F32" s="3" t="inlineStr">
        <is>
          <t>theMonth</t>
        </is>
      </c>
      <c r="G32" s="3" t="inlineStr">
        <is>
          <t>MK-CF-O-010</t>
        </is>
      </c>
      <c r="H32" s="3" t="inlineStr">
        <is>
          <t>the inflow received, less each debt actually paid, less everything logged by hand and imported</t>
        </is>
      </c>
      <c r="I32" s="3" t="inlineStr">
        <is>
          <t>the inflow received, less each debt actually paid, less everything logged by hand and imported</t>
        </is>
      </c>
      <c r="J32" s="3" t="inlineStr">
        <is>
          <t>MK-NW-I-004 the activity records
MK-CF-I-001 your logged expenses</t>
        </is>
      </c>
      <c r="K32" s="3" t="inlineStr">
        <is>
          <t>dollars, whole a month</t>
        </is>
      </c>
      <c r="L32" s="3" t="inlineStr">
        <is>
          <t>Nothing logged and no card linked — it says so and offers the door.</t>
        </is>
      </c>
      <c r="M32" s="3" t="inlineStr">
        <is>
          <t>one figure per household</t>
        </is>
      </c>
      <c r="N32" s="3" t="inlineStr">
        <is>
          <t>a month</t>
        </is>
      </c>
      <c r="O32" s="3" t="inlineStr">
        <is>
          <t>1. MK-CF-F-203 (MONTH) → NOT DECLARED — the code does not say what it gives back
2. MK-CF-O-002 (expenses) → Expenses
3. MK-CF-O-003 (thisMonth) → ThisMonth</t>
        </is>
      </c>
      <c r="P32" s="3" t="inlineStr">
        <is>
          <t>Declared by MK-CF-O-010 theMonth</t>
        </is>
      </c>
      <c r="Q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2" s="3" t="inlineStr"/>
      <c r="T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2026-09-30</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2" s="7" t="inlineStr">
        <is>
          <t>RULED, NOT CODED (Q-CF-2 — one question, one function)</t>
        </is>
      </c>
    </row>
    <row r="33" ht="60" customHeight="1">
      <c r="A33" s="3" t="inlineStr">
        <is>
          <t>MK-CF-M-004</t>
        </is>
      </c>
      <c r="B33" s="3" t="inlineStr">
        <is>
          <t>Cashflow</t>
        </is>
      </c>
      <c r="C33" s="3" t="inlineStr">
        <is>
          <t>/cashflow</t>
        </is>
      </c>
      <c r="D33" s="3" t="inlineStr">
        <is>
          <t>each row of the month — what it is and what it costs</t>
        </is>
      </c>
      <c r="E33" s="3" t="inlineStr">
        <is>
          <t>each_row_of_the_month__what_it_is_and_wh</t>
        </is>
      </c>
      <c r="F33" s="3" t="inlineStr">
        <is>
          <t>theMonth</t>
        </is>
      </c>
      <c r="G33" s="3" t="inlineStr">
        <is>
          <t>MK-CF-F-194</t>
        </is>
      </c>
      <c r="H33" s="3" t="inlineStr">
        <is>
          <t>outflow = expenses this month + debt actually paid this month  (a month with a saved snapshot: its expenses + debt paid; a month without one: the expenses logged so far)</t>
        </is>
      </c>
      <c r="I33" s="3" t="inlineStr">
        <is>
          <t>This month's outflow: everything logged as an expense plus every debt payment actually made — from one function (MK-CF-F-194 monthOutflow), never added on the screen. The label says what is inside: "Outflow (expenses + debt)".</t>
        </is>
      </c>
      <c r="J33" s="3" t="inlineStr">
        <is>
          <t>MK-XS-I-023 salary and other income
MK-NW-I-002 your debts
MK-CF-I-001 your logged expenses</t>
        </is>
      </c>
      <c r="K33" s="3" t="inlineStr">
        <is>
          <t>dollars, whole</t>
        </is>
      </c>
      <c r="L33" s="3" t="inlineStr">
        <is>
          <t>$0, and under it the one line "Nothing entered yet. Log your expenses ›" (mock approved 2026-09-12). A real zero that was entered shows a plain $0 with no line.</t>
        </is>
      </c>
      <c r="M33" s="3" t="inlineStr">
        <is>
          <t>one row</t>
        </is>
      </c>
      <c r="N33" s="3" t="inlineStr">
        <is>
          <t>as of today</t>
        </is>
      </c>
      <c r="O33" s="3" t="inlineStr">
        <is>
          <t>None — it reads its inputs and answers</t>
        </is>
      </c>
      <c r="P33" s="3" t="inlineStr">
        <is>
          <t>Declared by MK-CF-O-010 theMonth</t>
        </is>
      </c>
      <c r="Q33" s="3" t="inlineStr">
        <is>
          <t>Drawn from the approved design (cash-flow_v01): the flow is SPELLED OUT, not summarised into three numbers.</t>
        </is>
      </c>
      <c r="R33" s="3" t="inlineStr">
        <is>
          <t>Drawn from the approved design (cash-flow_v01): the flow is SPELLED OUT, not summarised into three numbers.</t>
        </is>
      </c>
      <c r="S33" s="3" t="inlineStr"/>
      <c r="T33"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3" s="3" t="inlineStr"/>
      <c r="V33"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3" s="9" t="inlineStr">
        <is>
          <t>count them</t>
        </is>
      </c>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('Log your expenses ›'). File written; the screen follows the approved empty-state mock (one pattern, one screen), then every screen.</t>
        </is>
      </c>
      <c r="AF33" s="3" t="inlineStr">
        <is>
          <t>ACTIVE</t>
        </is>
      </c>
      <c r="AG33" s="3" t="inlineStr">
        <is>
          <t>2026-09-30</t>
        </is>
      </c>
      <c r="AH33" s="3" t="inlineStr"/>
      <c r="AI33" s="3" t="inlineStr"/>
      <c r="AJ33" s="3" t="inlineStr">
        <is>
          <t>NONE — no function in this chain reads a stored input the sweep knows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3" s="9" t="inlineStr">
        <is>
          <t>WAITING ON YOU — question Q50 · RULED, NOT CODED (Q-CF-2 — one question, one function)</t>
        </is>
      </c>
    </row>
    <row r="34" ht="60" customHeight="1">
      <c r="A34" s="3" t="inlineStr">
        <is>
          <t>MK-CF-M-012</t>
        </is>
      </c>
      <c r="B34" s="3" t="inlineStr">
        <is>
          <t>Cashflow</t>
        </is>
      </c>
      <c r="C34" s="3" t="inlineStr">
        <is>
          <t>/cashflow</t>
        </is>
      </c>
      <c r="D34" s="3" t="inlineStr">
        <is>
          <t>RECEIVED · &lt;month&gt; — each payment</t>
        </is>
      </c>
      <c r="E34" s="3" t="inlineStr">
        <is>
          <t>received__month__each_payment</t>
        </is>
      </c>
      <c r="F34" s="3" t="inlineStr">
        <is>
          <t>whatsComing</t>
        </is>
      </c>
      <c r="G34" s="3" t="inlineStr">
        <is>
          <t>MK-CF-O-008</t>
        </is>
      </c>
      <c r="H34" s="3" t="inlineStr">
        <is>
          <t>the income records dated inside the month</t>
        </is>
      </c>
      <c r="I34" s="3" t="inlineStr">
        <is>
          <t>the income records dated inside the month</t>
        </is>
      </c>
      <c r="J34" s="3" t="inlineStr">
        <is>
          <t>MK-NW-I-004 the activity records</t>
        </is>
      </c>
      <c r="K34" s="3" t="inlineStr">
        <is>
          <t>dollars, whole</t>
        </is>
      </c>
      <c r="L34" s="3" t="inlineStr">
        <is>
          <t>Nothing received yet this month.</t>
        </is>
      </c>
      <c r="M34" s="3" t="inlineStr">
        <is>
          <t>one payment</t>
        </is>
      </c>
      <c r="N34" s="3" t="inlineStr">
        <is>
          <t>as of today</t>
        </is>
      </c>
      <c r="O34" s="3" t="inlineStr">
        <is>
          <t>MK-CF-F-019 (upcomingBills) → NOT DECLARED — the code does not say what it gives back</t>
        </is>
      </c>
      <c r="P34" s="3" t="inlineStr">
        <is>
          <t>Declared by MK-CF-O-008 whatsComing</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2026-09-30</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NONE YET — no worked example is declared for this figure, so nothing re-runs it (step 6)</t>
        </is>
      </c>
      <c r="AO34" s="7" t="inlineStr">
        <is>
          <t>RULED, NOT CODED (Q-CF-3 — one question, one function)</t>
        </is>
      </c>
    </row>
    <row r="35" ht="60" customHeight="1">
      <c r="A35" s="3" t="inlineStr">
        <is>
          <t>MK-CF-M-016</t>
        </is>
      </c>
      <c r="B35" s="3" t="inlineStr">
        <is>
          <t>Cashflow</t>
        </is>
      </c>
      <c r="C35" s="3" t="inlineStr">
        <is>
          <t>/cashflow · /bill-calendar</t>
        </is>
      </c>
      <c r="D35" s="3" t="inlineStr">
        <is>
          <t>BIG-TICKET RADAR — &lt;bill&gt; · due &lt;month&gt;</t>
        </is>
      </c>
      <c r="E35" s="3" t="inlineStr">
        <is>
          <t>bigticket_radar__bill__due_month</t>
        </is>
      </c>
      <c r="F35" s="3" t="inlineStr">
        <is>
          <t>whatsComing</t>
        </is>
      </c>
      <c r="G35" s="3" t="inlineStr">
        <is>
          <t>MK-CF-O-008</t>
        </is>
      </c>
      <c r="H35" s="3" t="inlineStr">
        <is>
          <t>the dated bills above the everyday size, in date order</t>
        </is>
      </c>
      <c r="I35" s="3" t="inlineStr">
        <is>
          <t>the dated bills above the everyday size, in date order</t>
        </is>
      </c>
      <c r="J35" s="3" t="inlineStr">
        <is>
          <t>MK-CF-I-002 your bills</t>
        </is>
      </c>
      <c r="K35" s="3" t="inlineStr">
        <is>
          <t>dollars, whole</t>
        </is>
      </c>
      <c r="L35" s="3" t="inlineStr">
        <is>
          <t>Nothing unusual ahead — the section keeps its heading and says so.</t>
        </is>
      </c>
      <c r="M35" s="3" t="inlineStr">
        <is>
          <t>one bill</t>
        </is>
      </c>
      <c r="N35" s="3" t="inlineStr">
        <is>
          <t>as of today</t>
        </is>
      </c>
      <c r="O35" s="3" t="inlineStr">
        <is>
          <t>MK-CF-F-019 (upcomingBills) → NOT DECLARED — the code does not say what it gives back</t>
        </is>
      </c>
      <c r="P35" s="3" t="inlineStr">
        <is>
          <t>Declared by MK-CF-O-008 whatsComing</t>
        </is>
      </c>
      <c r="Q35" s="3" t="inlineStr">
        <is>
          <t>A regular monthly debt is never a radar item: a warning you see every month stops being a warning.</t>
        </is>
      </c>
      <c r="R35" s="3" t="inlineStr">
        <is>
          <t>A regular monthly debt is never a radar item: a warning you see every month stops being a warning.</t>
        </is>
      </c>
      <c r="S35" s="3" t="inlineStr"/>
      <c r="T35" s="3" t="inlineStr">
        <is>
          <t>A regular monthly debt is never a radar item: a warning you see every month stops being a warning.</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2026-09-30</t>
        </is>
      </c>
      <c r="AH35" s="3" t="inlineStr"/>
      <c r="AI35" s="3" t="inlineStr"/>
      <c r="AJ3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On 28 Sep 2026, with $8,000 in the account: car insurance of $1,400 due 15 Oct and property tax of $4,800 due 1 Nov. Nothing else is dated.
GIVES: $1,400
(the test re-runs this through MK-CF-O-008 whatsComing on every build)</t>
        </is>
      </c>
      <c r="AO35" s="7" t="inlineStr">
        <is>
          <t>RULED, NOT CODED (Q-CF-3 — one question, one function)</t>
        </is>
      </c>
    </row>
    <row r="36" ht="60" customHeight="1">
      <c r="A36" s="3" t="inlineStr">
        <is>
          <t>MK-CF-M-017</t>
        </is>
      </c>
      <c r="B36" s="3" t="inlineStr">
        <is>
          <t>Cashflow</t>
        </is>
      </c>
      <c r="C36" s="3" t="inlineStr">
        <is>
          <t>/worth-a-look</t>
        </is>
      </c>
      <c r="D36" s="3" t="inlineStr">
        <is>
          <t>well above your usual &lt;category&gt;</t>
        </is>
      </c>
      <c r="E36" s="3" t="inlineStr">
        <is>
          <t>well_above_your_usual_category</t>
        </is>
      </c>
      <c r="F36" s="3" t="inlineStr">
        <is>
          <t>whatsComing</t>
        </is>
      </c>
      <c r="G36" s="3" t="inlineStr">
        <is>
          <t>MK-CF-O-008</t>
        </is>
      </c>
      <c r="H36" s="3" t="inlineStr">
        <is>
          <t>this expense against the typical one in its category, over the months logged</t>
        </is>
      </c>
      <c r="I36" s="3" t="inlineStr">
        <is>
          <t>this expense against the typical one in its category, over the months logged</t>
        </is>
      </c>
      <c r="J36" s="3" t="inlineStr">
        <is>
          <t>MK-CF-I-001 your logged expenses</t>
        </is>
      </c>
      <c r="K36" s="3" t="inlineStr">
        <is>
          <t>a sentence</t>
        </is>
      </c>
      <c r="L36" s="3" t="inlineStr">
        <is>
          <t>Too little history to call anything unusual.</t>
        </is>
      </c>
      <c r="M36" s="3" t="inlineStr">
        <is>
          <t>one expense</t>
        </is>
      </c>
      <c r="N36" s="3" t="inlineStr">
        <is>
          <t>as of today</t>
        </is>
      </c>
      <c r="O36" s="3" t="inlineStr">
        <is>
          <t>MK-CF-F-019 (upcomingBills) → NOT DECLARED — the code does not say what it gives back</t>
        </is>
      </c>
      <c r="P36" s="3" t="inlineStr">
        <is>
          <t>Declared by MK-CF-O-008 whatsComing</t>
        </is>
      </c>
      <c r="Q36" s="3" t="inlineStr">
        <is>
          <t>There must BE a usual to compare against: with too little logged, nothing is flagged. A first month’s expenses are not unusual, they are all there is.</t>
        </is>
      </c>
      <c r="R36" s="3" t="inlineStr">
        <is>
          <t>There must BE a usual to compare against: with too little logged, nothing is flagged. A first month’s expenses are not unusual, they are all there is.</t>
        </is>
      </c>
      <c r="S36" s="3" t="inlineStr"/>
      <c r="T36" s="3" t="inlineStr">
        <is>
          <t>There must BE a usual to compare against: with too little logged, nothing is flagged. A first month’s expenses are not unusual, they are all there is.</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2026-09-30</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NONE YET — no worked example is declared for this figure, so nothing re-runs it (step 6)</t>
        </is>
      </c>
      <c r="AO36" s="7" t="inlineStr">
        <is>
          <t>RULED, NOT CODED (Q-CF-3 — one question, one function)</t>
        </is>
      </c>
    </row>
    <row r="37" ht="60" customHeight="1">
      <c r="A37" s="3" t="inlineStr">
        <is>
          <t>MK-CF-M-026</t>
        </is>
      </c>
      <c r="B37" s="3" t="inlineStr">
        <is>
          <t>Cashflow</t>
        </is>
      </c>
      <c r="C37" s="3" t="inlineStr">
        <is>
          <t>/paycheck-months</t>
        </is>
      </c>
      <c r="D37" s="3" t="inlineStr">
        <is>
          <t>the months a paycheck lands</t>
        </is>
      </c>
      <c r="E37" s="3" t="inlineStr">
        <is>
          <t>the_months_a_paycheck_lands</t>
        </is>
      </c>
      <c r="F37" s="3" t="inlineStr">
        <is>
          <t>whatsComing</t>
        </is>
      </c>
      <c r="G37" s="3" t="inlineStr">
        <is>
          <t>MK-CF-O-008</t>
        </is>
      </c>
      <c r="H37" s="3" t="inlineStr">
        <is>
          <t>the pay dates that fall in each month, counted</t>
        </is>
      </c>
      <c r="I37" s="3" t="inlineStr">
        <is>
          <t>the pay dates that fall in each month, counted</t>
        </is>
      </c>
      <c r="J37" s="3" t="inlineStr">
        <is>
          <t>MK-XS-I-023 salary and other income</t>
        </is>
      </c>
      <c r="K37" s="3" t="inlineStr">
        <is>
          <t>a sentence</t>
        </is>
      </c>
      <c r="L37" s="3" t="inlineStr">
        <is>
          <t>Paid monthly — every month carries one, so there is nothing to point out.</t>
        </is>
      </c>
      <c r="M37" s="3" t="inlineStr">
        <is>
          <t>one month</t>
        </is>
      </c>
      <c r="N37" s="3" t="inlineStr">
        <is>
          <t>as of today</t>
        </is>
      </c>
      <c r="O37" s="3" t="inlineStr">
        <is>
          <t>MK-CF-F-019 (upcomingBills) → NOT DECLARED — the code does not say what it gives back</t>
        </is>
      </c>
      <c r="P37" s="3" t="inlineStr">
        <is>
          <t>Declared by MK-CF-O-008 whatsComing</t>
        </is>
      </c>
      <c r="Q37" s="3" t="inlineStr">
        <is>
          <t>NONE RECORDED — the declaration names none.</t>
        </is>
      </c>
      <c r="R37" s="3" t="inlineStr">
        <is>
          <t>NONE RECORDED — the declaration names none.</t>
        </is>
      </c>
      <c r="S37" s="3" t="inlineStr"/>
      <c r="T37" s="3" t="inlineStr">
        <is>
          <t>NONE RECORDED — the declaration names none.</t>
        </is>
      </c>
      <c r="U37" s="3" t="inlineStr"/>
      <c r="V37" s="9" t="inlineStr">
        <is>
          <t>Q30 — The draw from savings is shown as one figure a month. Should it hold steady in today's dollars, or rise with inflation each year?</t>
        </is>
      </c>
      <c r="W37" s="9" t="inlineStr">
        <is>
          <t>rise with inflation each year</t>
        </is>
      </c>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2026-09-30</t>
        </is>
      </c>
      <c r="AH37" s="3" t="inlineStr"/>
      <c r="AI37" s="3" t="inlineStr"/>
      <c r="AJ3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9" t="inlineStr">
        <is>
          <t>WAITING ON YOU — question Q30 · RULED, NOT CODED (Q-CF-3 — one question, one function)</t>
        </is>
      </c>
    </row>
    <row r="38" ht="60" customHeight="1">
      <c r="A38" s="3" t="inlineStr">
        <is>
          <t>MK-CF-M-028</t>
        </is>
      </c>
      <c r="B38" s="3" t="inlineStr">
        <is>
          <t>Cashflow</t>
        </is>
      </c>
      <c r="C38" s="3" t="inlineStr">
        <is>
          <t>/bill-calendar</t>
        </is>
      </c>
      <c r="D38" s="3" t="inlineStr">
        <is>
          <t>each bill and the day it falls</t>
        </is>
      </c>
      <c r="E38" s="3" t="inlineStr">
        <is>
          <t>each_bill_and_the_day_it_falls</t>
        </is>
      </c>
      <c r="F38" s="3" t="inlineStr">
        <is>
          <t>whatsComing</t>
        </is>
      </c>
      <c r="G38" s="3" t="inlineStr">
        <is>
          <t>MK-CF-O-008</t>
        </is>
      </c>
      <c r="H38" s="3" t="inlineStr">
        <is>
          <t>each dated bill in the window, in date order, with the running balance after it</t>
        </is>
      </c>
      <c r="I38" s="3" t="inlineStr">
        <is>
          <t>each dated bill in the window, in date order, with the running balance after it</t>
        </is>
      </c>
      <c r="J38" s="3" t="inlineStr">
        <is>
          <t>MK-CF-I-002 your bills
MK-NW-I-001 your accounts</t>
        </is>
      </c>
      <c r="K38" s="3" t="inlineStr">
        <is>
          <t>dollars, whole</t>
        </is>
      </c>
      <c r="L38" s="3" t="inlineStr">
        <is>
          <t>$0, and under it the one line "Nothing entered yet. Add your bills ›" (mock approved 2026-09-12). A real zero that was entered shows a plain $0 with no line.</t>
        </is>
      </c>
      <c r="M38" s="3" t="inlineStr">
        <is>
          <t>one bill</t>
        </is>
      </c>
      <c r="N38" s="3" t="inlineStr">
        <is>
          <t>as of today</t>
        </is>
      </c>
      <c r="O38" s="3" t="inlineStr">
        <is>
          <t>MK-CF-F-019 (upcomingBills) → NOT DECLARED — the code does not say what it gives back</t>
        </is>
      </c>
      <c r="P38" s="3" t="inlineStr">
        <is>
          <t>Declared by MK-CF-O-008 whatsComing</t>
        </is>
      </c>
      <c r="Q38" s="3" t="inlineStr">
        <is>
          <t>A bill with NO date is not on the calendar — a date nobody gave would be read as one they did. It is still counted in the month’s total.</t>
        </is>
      </c>
      <c r="R38" s="3" t="inlineStr">
        <is>
          <t>A bill with NO date is not on the calendar — a date nobody gave would be read as one they did. It is still counted in the month’s total.</t>
        </is>
      </c>
      <c r="S38" s="3" t="inlineStr"/>
      <c r="T38" s="3" t="inlineStr">
        <is>
          <t>A bill with NO date is not on the calendar — a date nobody gave would be read as one they did. It is still counted in the month’s total.</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your bills ›'). File written; the screen follows the approved empty-state mock (one pattern, one screen), then every screen.</t>
        </is>
      </c>
      <c r="AF38" s="3" t="inlineStr">
        <is>
          <t>ACTIVE</t>
        </is>
      </c>
      <c r="AG38" s="3" t="inlineStr">
        <is>
          <t>2026-09-30</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On 28 Sep 2026, with $8,000 in the account: car insurance of $1,400 due 15 Oct and property tax of $4,800 due 1 Nov. Nothing else is dated.
GIVES: $4,800
(the test re-runs this through MK-CF-O-008 whatsComing on every build)</t>
        </is>
      </c>
      <c r="AO38" s="7" t="inlineStr">
        <is>
          <t>RULED, NOT CODED (Q-CF-3 — one question, one function)</t>
        </is>
      </c>
    </row>
    <row r="39" ht="60" customHeight="1">
      <c r="A39" s="3" t="inlineStr">
        <is>
          <t>MK-CF-M-030</t>
        </is>
      </c>
      <c r="B39" s="3" t="inlineStr">
        <is>
          <t>Cashflow</t>
        </is>
      </c>
      <c r="C39" s="3" t="inlineStr">
        <is>
          <t>/base-pay</t>
        </is>
      </c>
      <c r="D39" s="3" t="inlineStr">
        <is>
          <t>Each person’s pay</t>
        </is>
      </c>
      <c r="E39" s="3" t="inlineStr">
        <is>
          <t>each_persons_pay</t>
        </is>
      </c>
      <c r="F39" s="3" t="inlineStr">
        <is>
          <t>basePay</t>
        </is>
      </c>
      <c r="G39" s="3" t="inlineStr">
        <is>
          <t>MK-CF-O-001</t>
        </is>
      </c>
      <c r="H39" s="3" t="inlineStr">
        <is>
          <t>gross a year = the sum of every earner’s wage, each annualised from the rhythm they are paid in</t>
        </is>
      </c>
      <c r="I39" s="3" t="inlineStr">
        <is>
          <t>gross a year = the sum of every earner’s wage, each annualised from the rhythm they are paid in</t>
        </is>
      </c>
      <c r="J39" s="3" t="inlineStr">
        <is>
          <t>MK-CF-I-001 wage
MK-CF-I-002 how often it is paid
MK-XS-I-021 spouse wage</t>
        </is>
      </c>
      <c r="K39" s="3" t="inlineStr">
        <is>
          <t>dollars, whole a year</t>
        </is>
      </c>
      <c r="L39" s="3" t="inlineStr">
        <is>
          <t>Shows $0 until a wage is entered; the screen offers the door to enter one.</t>
        </is>
      </c>
      <c r="M39" s="3" t="inlineStr">
        <is>
          <t>one figure per household</t>
        </is>
      </c>
      <c r="N39" s="3" t="inlineStr">
        <is>
          <t>a year</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A wage entered for a rhythm is annualised by that rhythm, never by a flat twelve.</t>
        </is>
      </c>
      <c r="R39" s="3" t="inlineStr">
        <is>
          <t>A wage entered for a rhythm is annualised by that rhythm, never by a flat twelve.</t>
        </is>
      </c>
      <c r="S39" s="3" t="inlineStr"/>
      <c r="T39" s="3" t="inlineStr">
        <is>
          <t>A wage entered for a rhythm is annualised by that rhythm, never by a flat twelve.</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2026-09-30</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9" s="7" t="inlineStr">
        <is>
          <t>RULED, NOT CODED (Q-CF-1 — one question, one function)</t>
        </is>
      </c>
    </row>
    <row r="40" ht="60" customHeight="1">
      <c r="A40" s="3" t="inlineStr">
        <is>
          <t>MK-CF-M-031</t>
        </is>
      </c>
      <c r="B40" s="3" t="inlineStr">
        <is>
          <t>Cashflow</t>
        </is>
      </c>
      <c r="C40" s="3" t="inlineStr">
        <is>
          <t>/base-pay · /cashflow</t>
        </is>
      </c>
      <c r="D40" s="3" t="inlineStr">
        <is>
          <t>Take-home</t>
        </is>
      </c>
      <c r="E40" s="3" t="inlineStr">
        <is>
          <t>takehome</t>
        </is>
      </c>
      <c r="F40" s="3" t="inlineStr">
        <is>
          <t>basePay</t>
        </is>
      </c>
      <c r="G40" s="3" t="inlineStr">
        <is>
          <t>MK-CF-O-001</t>
        </is>
      </c>
      <c r="H40" s="3" t="inlineStr">
        <is>
          <t>for one earner: what they entered, or their gross less federal tax less their own 401(k). For the household: the sum of the earners’ figures, never a second calculation.</t>
        </is>
      </c>
      <c r="I40" s="3" t="inlineStr">
        <is>
          <t>for one earner: what they entered, or their gross less federal tax less their own 401(k). For the household: the sum of the earners’ figures, never a second calculation.</t>
        </is>
      </c>
      <c r="J40" s="3" t="inlineStr">
        <is>
          <t>MK-CF-I-001 wage
MK-CF-I-003 take-home as entered
MK-CF-I-004 401(k) contribution
MK-CF-I-005 tax rate as entered</t>
        </is>
      </c>
      <c r="K40" s="3" t="inlineStr">
        <is>
          <t>dollars, whole a month</t>
        </is>
      </c>
      <c r="L40" s="3" t="inlineStr">
        <is>
          <t>Shows $0 until a wage is entered.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Federal income tax only when it is calculated — no Social Security, Medicare or state tax (MK-CF-D-001).</t>
        </is>
      </c>
      <c r="R40" s="3" t="inlineStr">
        <is>
          <t>Federal income tax only when it is calculated — no Social Security, Medicare or state tax (MK-CF-D-001).</t>
        </is>
      </c>
      <c r="S40" s="3" t="inlineStr"/>
      <c r="T40" s="3" t="inlineStr">
        <is>
          <t>Federal income tax only when it is calculated — no Social Security, Medicare or state tax (MK-CF-D-001).</t>
        </is>
      </c>
      <c r="U40" s="3" t="inlineStr">
        <is>
          <t>ONE figure over two sets: one earner, and the household — so a total and its parts cannot disagree (rule 2). It wears ≈ whenever the figure was calculated rather than entered.</t>
        </is>
      </c>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2026-09-30</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0" s="7" t="inlineStr">
        <is>
          <t>RULED, NOT CODED (Q-CF-1 — one question, one function)</t>
        </is>
      </c>
    </row>
    <row r="41" ht="60" customHeight="1">
      <c r="A41" s="3" t="inlineStr">
        <is>
          <t>MK-CF-M-032</t>
        </is>
      </c>
      <c r="B41" s="3" t="inlineStr">
        <is>
          <t>Cashflow</t>
        </is>
      </c>
      <c r="C41" s="3" t="inlineStr">
        <is>
          <t>/base-pay</t>
        </is>
      </c>
      <c r="D41" s="3" t="inlineStr">
        <is>
          <t>Federal tax bracket</t>
        </is>
      </c>
      <c r="E41" s="3" t="inlineStr">
        <is>
          <t>federal_tax_bracket</t>
        </is>
      </c>
      <c r="F41" s="3" t="inlineStr">
        <is>
          <t>basePay</t>
        </is>
      </c>
      <c r="G41" s="3" t="inlineStr">
        <is>
          <t>MK-CF-O-001</t>
        </is>
      </c>
      <c r="H41" s="3" t="inlineStr">
        <is>
          <t>the published bracket the household’s gross falls in, for their filing status</t>
        </is>
      </c>
      <c r="I41" s="3" t="inlineStr">
        <is>
          <t>the published bracket the household’s gross falls in, for their filing status</t>
        </is>
      </c>
      <c r="J41" s="3" t="inlineStr">
        <is>
          <t>MK-CF-M-030 gross a year
MK-XS-I-024 filing status</t>
        </is>
      </c>
      <c r="K41" s="3" t="inlineStr">
        <is>
          <t>a percentage, whole</t>
        </is>
      </c>
      <c r="L41" s="3" t="inlineStr">
        <is>
          <t>The row is not shown until a wage is entered.</t>
        </is>
      </c>
      <c r="M41" s="3" t="inlineStr">
        <is>
          <t>one figure per household</t>
        </is>
      </c>
      <c r="N41" s="3" t="inlineStr">
        <is>
          <t>as of today</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Filing status is assumed to be jointly when two people earn and nobody has said (MK-CF-D-004).</t>
        </is>
      </c>
      <c r="R41" s="3" t="inlineStr">
        <is>
          <t>Filing status is assumed to be jointly when two people earn and nobody has said (MK-CF-D-004).</t>
        </is>
      </c>
      <c r="S41" s="3" t="inlineStr"/>
      <c r="T41" s="3" t="inlineStr">
        <is>
          <t>Filing status is assumed to be jointly when two people earn and nobody has said (MK-CF-D-004).</t>
        </is>
      </c>
      <c r="U41" s="3" t="inlineStr"/>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2026-09-30</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1" s="7" t="inlineStr">
        <is>
          <t>RULED, NOT CODED (Q-CF-1 — one question, one function)</t>
        </is>
      </c>
    </row>
    <row r="42" ht="60" customHeight="1">
      <c r="A42" s="3" t="inlineStr">
        <is>
          <t>MK-CF-M-033</t>
        </is>
      </c>
      <c r="B42" s="3" t="inlineStr">
        <is>
          <t>Cashflow</t>
        </is>
      </c>
      <c r="C42" s="3" t="inlineStr">
        <is>
          <t>/base-pay</t>
        </is>
      </c>
      <c r="D42" s="3" t="inlineStr">
        <is>
          <t>Calculated federal tax</t>
        </is>
      </c>
      <c r="E42" s="3" t="inlineStr">
        <is>
          <t>calculated_federal_tax</t>
        </is>
      </c>
      <c r="F42" s="3" t="inlineStr">
        <is>
          <t>basePay</t>
        </is>
      </c>
      <c r="G42" s="3" t="inlineStr">
        <is>
          <t>MK-CF-O-001</t>
        </is>
      </c>
      <c r="H42" s="3" t="inlineStr">
        <is>
          <t>tax a month = federal tax on (gross less the standard deduction, at the published bands) ÷ 12</t>
        </is>
      </c>
      <c r="I42" s="3" t="inlineStr">
        <is>
          <t>tax a month = federal tax on (gross less the standard deduction, at the published bands) ÷ 12</t>
        </is>
      </c>
      <c r="J42" s="3" t="inlineStr">
        <is>
          <t>MK-CF-M-030 gross a year
MK-XS-I-024 filing status
MK-XS-I-025 how many are over 65</t>
        </is>
      </c>
      <c r="K42" s="3" t="inlineStr">
        <is>
          <t>dollars, whole a month</t>
        </is>
      </c>
      <c r="L42" s="3" t="inlineStr">
        <is>
          <t>The row appears only when the figure is ours; an entered take-home already has tax inside it.</t>
        </is>
      </c>
      <c r="M42" s="3" t="inlineStr">
        <is>
          <t>one figure per household</t>
        </is>
      </c>
      <c r="N42" s="3" t="inlineStr">
        <is>
          <t>a month</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Assumes the standard deduction, never itemised (MK-CF-D-002).</t>
        </is>
      </c>
      <c r="R42" s="3" t="inlineStr">
        <is>
          <t>Assumes the standard deduction, never itemised (MK-CF-D-002).</t>
        </is>
      </c>
      <c r="S42" s="3" t="inlineStr"/>
      <c r="T42" s="3" t="inlineStr">
        <is>
          <t>Assumes the standard deduction, never itemised (MK-CF-D-002).</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2026-09-30</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2" s="7" t="inlineStr">
        <is>
          <t>RULED, NOT CODED (Q-CF-1 — one question, one function)</t>
        </is>
      </c>
    </row>
    <row r="43" ht="60" customHeight="1">
      <c r="A43" s="3" t="inlineStr">
        <is>
          <t>MK-CF-M-034</t>
        </is>
      </c>
      <c r="B43" s="3" t="inlineStr">
        <is>
          <t>Cashflow</t>
        </is>
      </c>
      <c r="C43" s="3" t="inlineStr">
        <is>
          <t>/base-pay</t>
        </is>
      </c>
      <c r="D43" s="3" t="inlineStr">
        <is>
          <t>Your 401(k)s</t>
        </is>
      </c>
      <c r="E43" s="3" t="inlineStr">
        <is>
          <t>your_401ks</t>
        </is>
      </c>
      <c r="F43" s="3" t="inlineStr">
        <is>
          <t>basePay</t>
        </is>
      </c>
      <c r="G43" s="3" t="inlineStr">
        <is>
          <t>MK-CF-O-001</t>
        </is>
      </c>
      <c r="H43" s="3" t="inlineStr">
        <is>
          <t>401(k) a month = the sum of every earner’s own contribution, the employer’s match excluded</t>
        </is>
      </c>
      <c r="I43" s="3" t="inlineStr">
        <is>
          <t>401(k) a month = the sum of every earner’s own contribution, the employer’s match excluded</t>
        </is>
      </c>
      <c r="J43" s="3" t="inlineStr">
        <is>
          <t>MK-CF-I-004 401(k) contribution</t>
        </is>
      </c>
      <c r="K43" s="3" t="inlineStr">
        <is>
          <t>dollars, whole a month</t>
        </is>
      </c>
      <c r="L43" s="3" t="inlineStr">
        <is>
          <t>The row is hidden when nobody contributes.</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The employer’s match is not counted here — it is not taken out of take-home (MK-CF-D-003).</t>
        </is>
      </c>
      <c r="R43" s="3" t="inlineStr">
        <is>
          <t>The employer’s match is not counted here — it is not taken out of take-home (MK-CF-D-003).</t>
        </is>
      </c>
      <c r="S43" s="3" t="inlineStr"/>
      <c r="T43" s="3" t="inlineStr">
        <is>
          <t>The employer’s match is not counted here — it is not taken out of take-home (MK-CF-D-003).</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2026-09-30</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3" s="7" t="inlineStr">
        <is>
          <t>RULED, NOT CODED (Q-CF-1 — one question, one function)</t>
        </is>
      </c>
    </row>
    <row r="44" ht="60" customHeight="1">
      <c r="A44" s="3" t="inlineStr">
        <is>
          <t>MK-CF-M-035</t>
        </is>
      </c>
      <c r="B44" s="3" t="inlineStr">
        <is>
          <t>Cashflow</t>
        </is>
      </c>
      <c r="C44" s="3" t="inlineStr">
        <is>
          <t>/base-pay</t>
        </is>
      </c>
      <c r="D44" s="3" t="inlineStr">
        <is>
          <t>The take-home above is higher than it will really be</t>
        </is>
      </c>
      <c r="E44" s="3" t="inlineStr">
        <is>
          <t>the_takehome_above_is_higher_than_it_wil</t>
        </is>
      </c>
      <c r="F44" s="3" t="inlineStr">
        <is>
          <t>basePay</t>
        </is>
      </c>
      <c r="G44" s="3" t="inlineStr">
        <is>
          <t>MK-CF-O-001</t>
        </is>
      </c>
      <c r="H44" s="3" t="inlineStr">
        <is>
          <t>overstated by = Σ over earners of (Social Security 6.2% of the wage up to the wage base + Medicare 1.45% of the whole wage + 0.9% of the wage above the additional-tax threshold) ÷ 12</t>
        </is>
      </c>
      <c r="I44" s="3" t="inlineStr">
        <is>
          <t>overstated by = Σ over earners of (Social Security 6.2% of the wage up to the wage base + Medicare 1.45% of the whole wage + 0.9% of the wage above the additional-tax threshold) ÷ 12</t>
        </is>
      </c>
      <c r="J44" s="3" t="inlineStr">
        <is>
          <t>MK-CF-I-001 wage
MK-ST-I-030 Social Security wage base
MK-ST-I-031 Medicare additional-tax threshold</t>
        </is>
      </c>
      <c r="K44" s="3" t="inlineStr">
        <is>
          <t>dollars, whole a month</t>
        </is>
      </c>
      <c r="L44" s="3" t="inlineStr">
        <is>
          <t>The warning appears only when the take-home is ours and estimated.</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State tax is not in this figure, because we do not know their state (MK-CF-D-005).</t>
        </is>
      </c>
      <c r="R44" s="3" t="inlineStr">
        <is>
          <t>State tax is not in this figure, because we do not know their state (MK-CF-D-005).</t>
        </is>
      </c>
      <c r="S44" s="3" t="inlineStr"/>
      <c r="T44" s="3" t="inlineStr">
        <is>
          <t>State tax is not in this figure, because we do not know their state (MK-CF-D-005).</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2026-09-30</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4" s="7" t="inlineStr">
        <is>
          <t>RULED, NOT CODED (Q-CF-1 — one question, one function)</t>
        </is>
      </c>
    </row>
    <row r="45" ht="60" customHeight="1">
      <c r="A45" s="3" t="inlineStr">
        <is>
          <t>MK-CF-M-036</t>
        </is>
      </c>
      <c r="B45" s="3" t="inlineStr">
        <is>
          <t>Cashflow</t>
        </is>
      </c>
      <c r="C45" s="3" t="inlineStr">
        <is>
          <t>/base-pay</t>
        </is>
      </c>
      <c r="D45" s="3" t="inlineStr">
        <is>
          <t>Everything else taken out</t>
        </is>
      </c>
      <c r="E45" s="3" t="inlineStr">
        <is>
          <t>everything_else_taken_out</t>
        </is>
      </c>
      <c r="F45" s="3" t="inlineStr">
        <is>
          <t>basePay</t>
        </is>
      </c>
      <c r="G45" s="3" t="inlineStr">
        <is>
          <t>MK-CF-O-001</t>
        </is>
      </c>
      <c r="H45" s="3" t="inlineStr">
        <is>
          <t>for one earner: everything else = (their gross a year − their 401(k) a year − their take-home /year) ÷ 12. For the household: the sum of the earners’ figures, never a second subtraction.</t>
        </is>
      </c>
      <c r="I45" s="3" t="inlineStr">
        <is>
          <t>for one earner: everything else = (their gross a year − their 401(k) a year − their take-home /year) ÷ 12. For the household: the sum of the earners’ figures, never a second subtraction.</t>
        </is>
      </c>
      <c r="J45" s="3" t="inlineStr">
        <is>
          <t>MK-CF-I-001 wage
MK-CF-I-003 take-home as entered
MK-CF-I-004 401(k) contribution</t>
        </is>
      </c>
      <c r="K45" s="3" t="inlineStr">
        <is>
          <t>dollars, whole a month</t>
        </is>
      </c>
      <c r="L45" s="3" t="inlineStr">
        <is>
          <t>The row is hidden for anyone whose take-home was calculated rather than entered; the household row is hidden unless every earner entered one.</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Shown only when the person entered their own take-home, so the difference is theirs and not ours.
The household figure is the sum of the earners’, so a total and its parts cannot disagree (rule 2).</t>
        </is>
      </c>
      <c r="R45" s="3" t="inlineStr">
        <is>
          <t>Shown only when the person entered their own take-home, so the difference is theirs and not ours.
The household figure is the sum of the earners’, so a total and its parts cannot disagree (rule 2).</t>
        </is>
      </c>
      <c r="S45" s="3" t="inlineStr"/>
      <c r="T45" s="3" t="inlineStr">
        <is>
          <t>Shown only when the person entered their own take-home, so the difference is theirs and not ours.
The household figure is the sum of the earners’, so a total and its parts cannot disagree (rule 2).</t>
        </is>
      </c>
      <c r="U45" s="3" t="inlineStr">
        <is>
          <t>ONE figure over two sets: one earner, and the household. Moved off the screen into this door on 2026-09-14 — the base-pay card used to do the subtraction itself (rule 5).</t>
        </is>
      </c>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2026-09-30</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5" s="7" t="inlineStr">
        <is>
          <t>RULED, NOT CODED (Q-CF-1 — one question, one function)</t>
        </is>
      </c>
    </row>
    <row r="46" ht="60" customHeight="1">
      <c r="A46" s="3" t="inlineStr">
        <is>
          <t>MK-CF-M-037</t>
        </is>
      </c>
      <c r="B46" s="3" t="inlineStr">
        <is>
          <t>Cashflow</t>
        </is>
      </c>
      <c r="C46" s="3" t="inlineStr">
        <is>
          <t>/income-summary</t>
        </is>
      </c>
      <c r="D46" s="3" t="inlineStr">
        <is>
          <t>Take-home each month</t>
        </is>
      </c>
      <c r="E46" s="3" t="inlineStr">
        <is>
          <t>takehome_each_month</t>
        </is>
      </c>
      <c r="F46" s="3" t="inlineStr">
        <is>
          <t>incomeSummary</t>
        </is>
      </c>
      <c r="G46" s="3" t="inlineStr">
        <is>
          <t>MK-CF-O-004</t>
        </is>
      </c>
      <c r="H46" s="3" t="inlineStr">
        <is>
          <t>take-home a usual month = Σ of every source’s take-home in a usual month; a source that lands in one month of the year is not spread across twelve</t>
        </is>
      </c>
      <c r="I46" s="3" t="inlineStr">
        <is>
          <t>take-home a usual month = Σ of every source’s take-home in a usual month; a source that lands in one month of the year is not spread across twelve</t>
        </is>
      </c>
      <c r="J46" s="3" t="inlineStr">
        <is>
          <t>MK-CF-M-031 household take-home
MK-CF-I-006 other income
MK-CF-I-007 rental income
MK-CF-I-008 retirement income</t>
        </is>
      </c>
      <c r="K46" s="3" t="inlineStr">
        <is>
          <t>dollars, whole a month</t>
        </is>
      </c>
      <c r="L46" s="3" t="inlineStr">
        <is>
          <t>Shows $0 on a fresh account, with the door to enter income — never a dash.</t>
        </is>
      </c>
      <c r="M46" s="3" t="inlineStr">
        <is>
          <t>one figure per household</t>
        </is>
      </c>
      <c r="N46" s="3" t="inlineStr">
        <is>
          <t>a month</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A once-a-year source keeps its own month and is shown separately, never averaged in.</t>
        </is>
      </c>
      <c r="R46" s="3" t="inlineStr">
        <is>
          <t>A once-a-year source keeps its own month and is shown separately, never averaged in.</t>
        </is>
      </c>
      <c r="S46" s="3" t="inlineStr"/>
      <c r="T46" s="3" t="inlineStr">
        <is>
          <t>A once-a-year source keeps its own month and is shown separately, never averaged in.</t>
        </is>
      </c>
      <c r="U46"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2026-09-30</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$9,398/month
(the test re-runs this through MK-CF-O-004 incomeSummary on every build)</t>
        </is>
      </c>
      <c r="AO46" s="7" t="inlineStr">
        <is>
          <t>RULED, NOT CODED (Q-CF-1 — one question, one function)</t>
        </is>
      </c>
    </row>
    <row r="47" ht="60" customHeight="1">
      <c r="A47" s="3" t="inlineStr">
        <is>
          <t>MK-CF-M-038</t>
        </is>
      </c>
      <c r="B47" s="3" t="inlineStr">
        <is>
          <t>Cashflow</t>
        </is>
      </c>
      <c r="C47" s="3" t="inlineStr">
        <is>
          <t>/income-summary</t>
        </is>
      </c>
      <c r="D47" s="3" t="inlineStr">
        <is>
          <t>each source of take-home</t>
        </is>
      </c>
      <c r="E47" s="3" t="inlineStr">
        <is>
          <t>each_source_of_takehome</t>
        </is>
      </c>
      <c r="F47" s="3" t="inlineStr">
        <is>
          <t>incomeSummary</t>
        </is>
      </c>
      <c r="G47" s="3" t="inlineStr">
        <is>
          <t>MK-CF-O-004</t>
        </is>
      </c>
      <c r="H47" s="3" t="inlineStr">
        <is>
          <t>one line per source: the earner’s take-home, or the source’s monthly amount</t>
        </is>
      </c>
      <c r="I47" s="3" t="inlineStr">
        <is>
          <t>one line per source: the earner’s take-home, or the source’s monthly amount</t>
        </is>
      </c>
      <c r="J47" s="3" t="inlineStr">
        <is>
          <t>MK-CF-M-031 household take-home
MK-CF-I-006 other income
MK-CF-I-007 rental income</t>
        </is>
      </c>
      <c r="K47" s="3" t="inlineStr">
        <is>
          <t>dollars, whole a month</t>
        </is>
      </c>
      <c r="L47" s="3" t="inlineStr">
        <is>
          <t>The list is replaced by the door to enter income when nothing is entered.</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2026-09-30</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$5,898/month
(the test re-runs this through MK-CF-O-004 incomeSummary on every build)</t>
        </is>
      </c>
      <c r="AO47" s="7" t="inlineStr">
        <is>
          <t>RULED, NOT CODED (Q-CF-1 — one question, one function)</t>
        </is>
      </c>
    </row>
    <row r="48" ht="60" customHeight="1">
      <c r="A48" s="3" t="inlineStr">
        <is>
          <t>MK-CF-M-039</t>
        </is>
      </c>
      <c r="B48" s="3" t="inlineStr">
        <is>
          <t>Cashflow</t>
        </is>
      </c>
      <c r="C48" s="3" t="inlineStr">
        <is>
          <t>/income-summary</t>
        </is>
      </c>
      <c r="D48" s="3" t="inlineStr">
        <is>
          <t>its own month, never spread</t>
        </is>
      </c>
      <c r="E48" s="3" t="inlineStr">
        <is>
          <t>its_own_month_never_spread</t>
        </is>
      </c>
      <c r="F48" s="3" t="inlineStr">
        <is>
          <t>incomeSummary</t>
        </is>
      </c>
      <c r="G48" s="3" t="inlineStr">
        <is>
          <t>MK-CF-O-004</t>
        </is>
      </c>
      <c r="H48" s="3" t="inlineStr">
        <is>
          <t>the standout month = the source whose whole year lands in a single month, with that amount and that month</t>
        </is>
      </c>
      <c r="I48" s="3" t="inlineStr">
        <is>
          <t>the standout month = the source whose whole year lands in a single month, with that amount and that month</t>
        </is>
      </c>
      <c r="J48" s="3" t="inlineStr">
        <is>
          <t>MK-CF-I-009 bonus
MK-CF-I-010 equity vesting</t>
        </is>
      </c>
      <c r="K48" s="3" t="inlineStr">
        <is>
          <t>dollars, whole</t>
        </is>
      </c>
      <c r="L48" s="3" t="inlineStr">
        <is>
          <t>The line is hidden when no source behaves this way.</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A lump that lands once is never averaged across the year (founder, 2026-08-28).</t>
        </is>
      </c>
      <c r="R48" s="3" t="inlineStr">
        <is>
          <t>A lump that lands once is never averaged across the year (founder, 2026-08-28).</t>
        </is>
      </c>
      <c r="S48" s="3" t="inlineStr"/>
      <c r="T48" s="3" t="inlineStr">
        <is>
          <t>A lump that lands once is never averaged across the year (founder, 2026-08-28).</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2026-09-30</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NONE YET — no worked example is declared for this figure, so nothing re-runs it (step 6)</t>
        </is>
      </c>
      <c r="AO48" s="7" t="inlineStr">
        <is>
          <t>RULED, NOT CODED (Q-CF-1 — one question, one function)</t>
        </is>
      </c>
    </row>
    <row r="49" ht="60" customHeight="1">
      <c r="A49" s="3" t="inlineStr">
        <is>
          <t>MK-CF-M-040</t>
        </is>
      </c>
      <c r="B49" s="3" t="inlineStr">
        <is>
          <t>Cashflow</t>
        </is>
      </c>
      <c r="C49" s="3" t="inlineStr">
        <is>
          <t>/income-summary</t>
        </is>
      </c>
      <c r="D49" s="3" t="inlineStr">
        <is>
          <t>is not here — it is reinvested where it is earned</t>
        </is>
      </c>
      <c r="E49" s="3" t="inlineStr">
        <is>
          <t>is_not_here__it_is_reinvested_where_it_i</t>
        </is>
      </c>
      <c r="F49" s="3" t="inlineStr">
        <is>
          <t>incomeSummary</t>
        </is>
      </c>
      <c r="G49" s="3" t="inlineStr">
        <is>
          <t>MK-CF-O-004</t>
        </is>
      </c>
      <c r="H49" s="3" t="inlineStr">
        <is>
          <t>taxed but not landed = interest and dividends earned inside accounts, which stay where they are earned</t>
        </is>
      </c>
      <c r="I49" s="3" t="inlineStr">
        <is>
          <t>taxed but not landed = interest and dividends earned inside accounts, which stay where they are earned</t>
        </is>
      </c>
      <c r="J49" s="3" t="inlineStr">
        <is>
          <t>MK-CF-I-011 interest and dividends</t>
        </is>
      </c>
      <c r="K49" s="3" t="inlineStr">
        <is>
          <t>dollars, whole a month</t>
        </is>
      </c>
      <c r="L49" s="3" t="inlineStr">
        <is>
          <t>The sentence is hidden when there is none.</t>
        </is>
      </c>
      <c r="M49" s="3" t="inlineStr">
        <is>
          <t>one figure per household</t>
        </is>
      </c>
      <c r="N49" s="3" t="inlineStr">
        <is>
          <t>a month</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2026-09-30</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MK-CF-M-041</t>
        </is>
      </c>
      <c r="B50" s="3" t="inlineStr">
        <is>
          <t>Cashflow</t>
        </is>
      </c>
      <c r="C50" s="3" t="inlineStr">
        <is>
          <t>/income-summary</t>
        </is>
      </c>
      <c r="D50" s="3" t="inlineStr">
        <is>
          <t>What it is taxed on</t>
        </is>
      </c>
      <c r="E50" s="3" t="inlineStr">
        <is>
          <t>what_it_is_taxed_on</t>
        </is>
      </c>
      <c r="F50" s="3" t="inlineStr">
        <is>
          <t>incomeSummary</t>
        </is>
      </c>
      <c r="G50" s="3" t="inlineStr">
        <is>
          <t>MK-CF-O-004</t>
        </is>
      </c>
      <c r="H50" s="3" t="inlineStr">
        <is>
          <t>gross a year = Σ of every taxable source over the year, wages included at gross</t>
        </is>
      </c>
      <c r="I50" s="3" t="inlineStr">
        <is>
          <t>gross a year = Σ of every taxable source over the year, wages included at gross</t>
        </is>
      </c>
      <c r="J50" s="3" t="inlineStr">
        <is>
          <t>MK-CF-M-030 gross a year
MK-CF-I-006 other income
MK-CF-I-007 rental income
MK-CF-I-011 interest and dividends</t>
        </is>
      </c>
      <c r="K50" s="3" t="inlineStr">
        <is>
          <t>dollars, whole a year</t>
        </is>
      </c>
      <c r="L50" s="3" t="inlineStr">
        <is>
          <t>Shows $0 on a fresh account, with the door to enter income.</t>
        </is>
      </c>
      <c r="M50" s="3" t="inlineStr">
        <is>
          <t>one figure per household</t>
        </is>
      </c>
      <c r="N50" s="3" t="inlineStr">
        <is>
          <t>a year</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2026-09-30</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Two earners filing jointly: $4,200 every two weeks ($109,200/year) and $5,000/month ($60,000), paying $1,200 and $400/month into their 401(k)s, with the tax rate typed at 22%.
GIVES: $169,200/year
(the test re-runs this through MK-CF-O-004 incomeSummary on every build)</t>
        </is>
      </c>
      <c r="AO50" s="7" t="inlineStr">
        <is>
          <t>RULED, NOT CODED (Q-CF-1 — one question, one function)</t>
        </is>
      </c>
    </row>
    <row r="51" ht="60" customHeight="1">
      <c r="A51" s="3" t="inlineStr">
        <is>
          <t>MK-CF-M-042</t>
        </is>
      </c>
      <c r="B51" s="3" t="inlineStr">
        <is>
          <t>Cashflow</t>
        </is>
      </c>
      <c r="C51" s="3" t="inlineStr">
        <is>
          <t>/income-summary</t>
        </is>
      </c>
      <c r="D51" s="3" t="inlineStr">
        <is>
          <t>each taxed source</t>
        </is>
      </c>
      <c r="E51" s="3" t="inlineStr">
        <is>
          <t>each_taxed_source</t>
        </is>
      </c>
      <c r="F51" s="3" t="inlineStr">
        <is>
          <t>incomeSummary</t>
        </is>
      </c>
      <c r="G51" s="3" t="inlineStr">
        <is>
          <t>MK-CF-O-004</t>
        </is>
      </c>
      <c r="H51" s="3" t="inlineStr">
        <is>
          <t>one line per taxable source, at its yearly amount</t>
        </is>
      </c>
      <c r="I51" s="3" t="inlineStr">
        <is>
          <t>one line per taxable source, at its yearly amount</t>
        </is>
      </c>
      <c r="J51" s="3" t="inlineStr">
        <is>
          <t>MK-CF-M-041 gross a year</t>
        </is>
      </c>
      <c r="K51" s="3" t="inlineStr">
        <is>
          <t>dollars, whole a year</t>
        </is>
      </c>
      <c r="L51" s="3" t="inlineStr">
        <is>
          <t>The list is replaced by the door to enter income when nothing is entered.</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2026-09-30</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$109,200/year
(the test re-runs this through MK-CF-O-004 incomeSummary on every build)</t>
        </is>
      </c>
      <c r="AO51" s="7" t="inlineStr">
        <is>
          <t>RULED, NOT CODED (Q-CF-1 — one question, one function)</t>
        </is>
      </c>
    </row>
    <row r="52" ht="60" customHeight="1">
      <c r="A52" s="3" t="inlineStr">
        <is>
          <t>MK-CF-M-043</t>
        </is>
      </c>
      <c r="B52" s="3" t="inlineStr">
        <is>
          <t>Cashflow</t>
        </is>
      </c>
      <c r="C52" s="3" t="inlineStr">
        <is>
          <t>/income-summary</t>
        </is>
      </c>
      <c r="D52" s="3" t="inlineStr">
        <is>
          <t>Federal tax bracket</t>
        </is>
      </c>
      <c r="E52" s="3" t="inlineStr">
        <is>
          <t>federal_tax_bracket</t>
        </is>
      </c>
      <c r="F52" s="3" t="inlineStr">
        <is>
          <t>incomeSummary</t>
        </is>
      </c>
      <c r="G52" s="3" t="inlineStr">
        <is>
          <t>MK-CF-O-004</t>
        </is>
      </c>
      <c r="H52" s="3" t="inlineStr">
        <is>
          <t>the published bracket that the whole year’s gross falls in, for their filing status</t>
        </is>
      </c>
      <c r="I52" s="3" t="inlineStr">
        <is>
          <t>the published bracket that the whole year’s gross falls in, for their filing status</t>
        </is>
      </c>
      <c r="J52" s="3" t="inlineStr">
        <is>
          <t>MK-CF-M-041 gross a year
MK-XS-I-024 filing status</t>
        </is>
      </c>
      <c r="K52" s="3" t="inlineStr">
        <is>
          <t>a percentage, whole</t>
        </is>
      </c>
      <c r="L52" s="3" t="inlineStr">
        <is>
          <t>The row is not shown until income is entered.</t>
        </is>
      </c>
      <c r="M52" s="3" t="inlineStr">
        <is>
          <t>one figure per household</t>
        </is>
      </c>
      <c r="N52" s="3" t="inlineStr">
        <is>
          <t>as of today</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is>
          <t>The same concept as MK-CF-M-032 on the base-pay screen, over a wider base: that one counts wages, this one counts every source. Conflict C-5 on the orchestrator map asks whether they stay two figures.</t>
        </is>
      </c>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2026-09-30</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22%
(the test re-runs this through MK-CF-O-004 incomeSummary on every build)</t>
        </is>
      </c>
      <c r="AO52" s="7" t="inlineStr">
        <is>
          <t>RULED, NOT CODED (Q-CF-1 — one question, one function)</t>
        </is>
      </c>
    </row>
    <row r="53" ht="60" customHeight="1">
      <c r="A53" s="3" t="inlineStr">
        <is>
          <t>MK-CF-M-044</t>
        </is>
      </c>
      <c r="B53" s="3" t="inlineStr">
        <is>
          <t>Cashflow</t>
        </is>
      </c>
      <c r="C53" s="3" t="inlineStr">
        <is>
          <t>/income-summary</t>
        </is>
      </c>
      <c r="D53" s="3" t="inlineStr">
        <is>
          <t>Calculated federal tax</t>
        </is>
      </c>
      <c r="E53" s="3" t="inlineStr">
        <is>
          <t>calculated_federal_tax</t>
        </is>
      </c>
      <c r="F53" s="3" t="inlineStr">
        <is>
          <t>incomeSummary</t>
        </is>
      </c>
      <c r="G53" s="3" t="inlineStr">
        <is>
          <t>MK-CF-O-004</t>
        </is>
      </c>
      <c r="H53" s="3" t="inlineStr">
        <is>
          <t>tax a year = the rate in force × the year’s gross; when it is ours, federal tax on gross less the standard deduction at the published bands</t>
        </is>
      </c>
      <c r="I53" s="3" t="inlineStr">
        <is>
          <t>tax a year = the rate in force × the year’s gross; when it is ours, federal tax on gross less the standard deduction at the published bands</t>
        </is>
      </c>
      <c r="J53" s="3" t="inlineStr">
        <is>
          <t>MK-CF-M-041 gross a year
MK-CF-I-005 tax rate as entered
MK-XS-I-024 filing status</t>
        </is>
      </c>
      <c r="K53" s="3" t="inlineStr">
        <is>
          <t>dollars, whole a year</t>
        </is>
      </c>
      <c r="L53" s="3" t="inlineStr">
        <is>
          <t>The row is not shown until income is entered.</t>
        </is>
      </c>
      <c r="M53" s="3" t="inlineStr">
        <is>
          <t>one figure per household</t>
        </is>
      </c>
      <c r="N53" s="3" t="inlineStr">
        <is>
          <t>a year</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When it is ours it assumes the standard deduction and is federal only (MK-CF-D-002).</t>
        </is>
      </c>
      <c r="R53" s="3" t="inlineStr">
        <is>
          <t>When it is ours it assumes the standard deduction and is federal only (MK-CF-D-002).</t>
        </is>
      </c>
      <c r="S53" s="3" t="inlineStr"/>
      <c r="T53" s="3" t="inlineStr">
        <is>
          <t>When it is ours it assumes the standard deduction and is federal only (MK-CF-D-002).</t>
        </is>
      </c>
      <c r="U53" s="3" t="inlineStr"/>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2026-09-30</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$37,224/year
(the test re-runs this through MK-CF-O-004 incomeSummary on every build)</t>
        </is>
      </c>
      <c r="AO53" s="7" t="inlineStr">
        <is>
          <t>RULED, NOT CODED (Q-CF-1 — one question, one function)</t>
        </is>
      </c>
    </row>
    <row r="54" ht="60" customHeight="1">
      <c r="A54" s="3" t="inlineStr">
        <is>
          <t>MK-CF-M-045</t>
        </is>
      </c>
      <c r="B54" s="3" t="inlineStr">
        <is>
          <t>Cashflow</t>
        </is>
      </c>
      <c r="C54" s="3" t="inlineStr">
        <is>
          <t>/base-pay</t>
        </is>
      </c>
      <c r="D54" s="3" t="inlineStr">
        <is>
          <t>Social Security takes 6.2% of a wage up to</t>
        </is>
      </c>
      <c r="E54" s="3" t="inlineStr">
        <is>
          <t>social_security_takes_62_of_a_wage_up_to</t>
        </is>
      </c>
      <c r="F54" s="3" t="inlineStr">
        <is>
          <t>basePay</t>
        </is>
      </c>
      <c r="G54" s="3" t="inlineStr">
        <is>
          <t>MK-CF-O-001</t>
        </is>
      </c>
      <c r="H54" s="3" t="inlineStr">
        <is>
          <t>the published wage base for the tax year</t>
        </is>
      </c>
      <c r="I54" s="3" t="inlineStr">
        <is>
          <t>the published wage base for the tax year</t>
        </is>
      </c>
      <c r="J54" s="3" t="inlineStr">
        <is>
          <t>MK-ST-I-030 Social Security wage base</t>
        </is>
      </c>
      <c r="K54" s="3" t="inlineStr">
        <is>
          <t>dollars, whole a year</t>
        </is>
      </c>
      <c r="L54" s="3" t="inlineStr">
        <is>
          <t>Never absent — it is a published figure, not a calculation.</t>
        </is>
      </c>
      <c r="M54" s="3" t="inlineStr">
        <is>
          <t>one figure per household</t>
        </is>
      </c>
      <c r="N54" s="3" t="inlineStr">
        <is>
          <t>a year</t>
        </is>
      </c>
      <c r="O5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4" s="3" t="inlineStr">
        <is>
          <t>Declared by MK-CF-O-001 basePay</t>
        </is>
      </c>
      <c r="Q54" s="3" t="inlineStr">
        <is>
          <t>Published figure — the source and the year it applies to are on the master file’s Reference tab (guard D4).</t>
        </is>
      </c>
      <c r="R54" s="3" t="inlineStr">
        <is>
          <t>Published figure — the source and the year it applies to are on the master file’s Reference tab (guard D4).</t>
        </is>
      </c>
      <c r="S54" s="3" t="inlineStr"/>
      <c r="T54" s="3" t="inlineStr">
        <is>
          <t>Published figure — the source and the year it applies to are on the master file’s Reference tab (guard D4).</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2026-09-30</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MK-CF-O-001 basePay</t>
        </is>
      </c>
      <c r="AN54"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4" s="7" t="inlineStr">
        <is>
          <t>RULED, NOT CODED (Q-CF-1 — one question, one function)</t>
        </is>
      </c>
    </row>
    <row r="55" ht="60" customHeight="1">
      <c r="A55" s="3" t="inlineStr">
        <is>
          <t>MK-CF-M-046</t>
        </is>
      </c>
      <c r="B55" s="3" t="inlineStr">
        <is>
          <t>Cashflow</t>
        </is>
      </c>
      <c r="C55" s="3" t="inlineStr">
        <is>
          <t>/base-pay</t>
        </is>
      </c>
      <c r="D55" s="3" t="inlineStr">
        <is>
          <t>Medicare 1.45% of everything, 0.9% more above</t>
        </is>
      </c>
      <c r="E55" s="3" t="inlineStr">
        <is>
          <t>medicare_145_of_everything_09_more_above</t>
        </is>
      </c>
      <c r="F55" s="3" t="inlineStr">
        <is>
          <t>basePay</t>
        </is>
      </c>
      <c r="G55" s="3" t="inlineStr">
        <is>
          <t>MK-CF-O-001</t>
        </is>
      </c>
      <c r="H55" s="3" t="inlineStr">
        <is>
          <t>the published additional-Medicare-tax threshold for the tax year</t>
        </is>
      </c>
      <c r="I55" s="3" t="inlineStr">
        <is>
          <t>the published additional-Medicare-tax threshold for the tax year</t>
        </is>
      </c>
      <c r="J55" s="3" t="inlineStr">
        <is>
          <t>MK-ST-I-031 Medicare additional-tax threshold</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2026-09-30</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5" s="7" t="inlineStr">
        <is>
          <t>RULED, NOT CODED (Q-CF-1 — one question, one function)</t>
        </is>
      </c>
    </row>
    <row r="56" ht="60" customHeight="1">
      <c r="A56" s="3" t="inlineStr">
        <is>
          <t>MK-CF-M-047</t>
        </is>
      </c>
      <c r="B56" s="3" t="inlineStr">
        <is>
          <t>Cashflow</t>
        </is>
      </c>
      <c r="C56" s="3" t="inlineStr">
        <is>
          <t>/cashflow · /month-detail</t>
        </is>
      </c>
      <c r="D56" s="3" t="inlineStr">
        <is>
          <t>Expected inflow</t>
        </is>
      </c>
      <c r="E56" s="3" t="inlineStr">
        <is>
          <t>expected_inflow</t>
        </is>
      </c>
      <c r="F56" s="3" t="inlineStr">
        <is>
          <t>thisMonth</t>
        </is>
      </c>
      <c r="G56" s="3" t="inlineStr">
        <is>
          <t>MK-CF-O-003</t>
        </is>
      </c>
      <c r="H56" s="3" t="inlineStr">
        <is>
          <t>expected inflow = Σ of every income source that lands in this month, at its take-home amount; a source that lands once a year counts only in the month it lands</t>
        </is>
      </c>
      <c r="I56" s="3" t="inlineStr">
        <is>
          <t>expected inflow = Σ of every income source that lands in this month, at its take-home amount; a source that lands once a year counts only in the month it lands</t>
        </is>
      </c>
      <c r="J56" s="3" t="inlineStr">
        <is>
          <t>MK-CF-M-037 take-home each month
MK-CF-I-006 other income
MK-CF-I-007 rental income
MK-CF-I-008 retirement income</t>
        </is>
      </c>
      <c r="K56" s="3" t="inlineStr">
        <is>
          <t>dollars, whole a month</t>
        </is>
      </c>
      <c r="L56" s="3" t="inlineStr">
        <is>
          <t>Shows $0 until income is entered, with the door to enter it.</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A month is a real calendar month, never a twelfth of a year (founder, 2026-08-28).</t>
        </is>
      </c>
      <c r="R56" s="3" t="inlineStr">
        <is>
          <t>A month is a real calendar month, never a twelfth of a year (founder, 2026-08-28).</t>
        </is>
      </c>
      <c r="S56" s="3" t="inlineStr"/>
      <c r="T56" s="3" t="inlineStr">
        <is>
          <t>A month is a real calendar month, never a twelfth of a year (founder, 2026-08-28).</t>
        </is>
      </c>
      <c r="U56" s="3" t="inlineStr"/>
      <c r="V56" s="3" t="inlineStr"/>
      <c r="W56" s="3" t="inlineStr">
        <is>
          <t>yes</t>
        </is>
      </c>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2026-09-30</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MK-CF-M-048</t>
        </is>
      </c>
      <c r="B57" s="3" t="inlineStr">
        <is>
          <t>Cashflow</t>
        </is>
      </c>
      <c r="C57" s="3" t="inlineStr">
        <is>
          <t>/cashflow · /month-detail</t>
        </is>
      </c>
      <c r="D57" s="3" t="inlineStr">
        <is>
          <t>Planned outflow (expenses + debt)</t>
        </is>
      </c>
      <c r="E57" s="3" t="inlineStr">
        <is>
          <t>planned_outflow_expenses__debt</t>
        </is>
      </c>
      <c r="F57" s="3" t="inlineStr">
        <is>
          <t>thisMonth</t>
        </is>
      </c>
      <c r="G57" s="3" t="inlineStr">
        <is>
          <t>MK-CF-O-003</t>
        </is>
      </c>
      <c r="H57" s="3" t="inlineStr">
        <is>
          <t>planned outflow = planned everyday expenses + Σ of the debt payments due this month + Σ of the big bills that fall in this month</t>
        </is>
      </c>
      <c r="I57" s="3" t="inlineStr">
        <is>
          <t>planned outflow = planned everyday expenses + Σ of the debt payments due this month + Σ of the big bills that fall in this month</t>
        </is>
      </c>
      <c r="J57" s="3" t="inlineStr">
        <is>
          <t>MK-CF-I-012 planned expenses
MK-CF-I-013 debt payment
MK-CF-I-014 big bill</t>
        </is>
      </c>
      <c r="K57" s="3" t="inlineStr">
        <is>
          <t>dollars, whole a month</t>
        </is>
      </c>
      <c r="L57" s="3" t="inlineStr">
        <is>
          <t>Shows $0 until expenses or debts are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debt payment is counted as an outflow, not as saving (founder, 2026-06-21).
A bill that falls once a year is shown in its own month, never spread.</t>
        </is>
      </c>
      <c r="R57" s="3" t="inlineStr">
        <is>
          <t>A debt payment is counted as an outflow, not as saving (founder, 2026-06-21).
A bill that falls once a year is shown in its own month, never spread.</t>
        </is>
      </c>
      <c r="S57" s="3" t="inlineStr"/>
      <c r="T57" s="3" t="inlineStr">
        <is>
          <t>A debt payment is counted as an outflow, not as saving (founder, 2026-06-21).
A bill that falls once a year is shown in its own month, never spread.</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2026-09-30</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-$6,050/month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MK-CF-M-049</t>
        </is>
      </c>
      <c r="B58" s="3" t="inlineStr">
        <is>
          <t>Cashflow</t>
        </is>
      </c>
      <c r="C58" s="3" t="inlineStr">
        <is>
          <t>/cashflow · /month-detail</t>
        </is>
      </c>
      <c r="D58" s="3">
        <f> Planned surplus</f>
        <v/>
      </c>
      <c r="E58" s="3" t="inlineStr">
        <is>
          <t>planned_surplus</t>
        </is>
      </c>
      <c r="F58" s="3" t="inlineStr">
        <is>
          <t>thisMonth</t>
        </is>
      </c>
      <c r="G58" s="3" t="inlineStr">
        <is>
          <t>MK-CF-O-003</t>
        </is>
      </c>
      <c r="H58" s="3" t="inlineStr">
        <is>
          <t>planned surplus = expected inflow − planned outflow</t>
        </is>
      </c>
      <c r="I58" s="3" t="inlineStr">
        <is>
          <t>planned surplus = expected inflow − planned outflow</t>
        </is>
      </c>
      <c r="J58" s="3" t="inlineStr">
        <is>
          <t>MK-CF-M-047 expected inflow
MK-CF-M-048 planned outflow</t>
        </is>
      </c>
      <c r="K58" s="3" t="inlineStr">
        <is>
          <t>dollars, whole a month</t>
        </is>
      </c>
      <c r="L58" s="3" t="inlineStr">
        <is>
          <t>Shows $0 until both sides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2026-09-30</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$1,150/month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MK-CF-M-050</t>
        </is>
      </c>
      <c r="B59" s="3" t="inlineStr">
        <is>
          <t>Cashflow</t>
        </is>
      </c>
      <c r="C59" s="3" t="inlineStr">
        <is>
          <t>/cashflow · /month-detail</t>
        </is>
      </c>
      <c r="D59" s="3" t="inlineStr">
        <is>
          <t>each planned line</t>
        </is>
      </c>
      <c r="E59" s="3" t="inlineStr">
        <is>
          <t>each_planned_line</t>
        </is>
      </c>
      <c r="F59" s="3" t="inlineStr">
        <is>
          <t>thisMonth</t>
        </is>
      </c>
      <c r="G59" s="3" t="inlineStr">
        <is>
          <t>MK-CF-O-003</t>
        </is>
      </c>
      <c r="H59" s="3" t="inlineStr">
        <is>
          <t>one line per source or commitment that falls in this month, at its amount for this month</t>
        </is>
      </c>
      <c r="I59" s="3" t="inlineStr">
        <is>
          <t>one line per source or commitment that falls in this month, at its amount for this month</t>
        </is>
      </c>
      <c r="J59" s="3" t="inlineStr">
        <is>
          <t>MK-CF-M-047 expected inflow
MK-CF-M-048 planned outflow</t>
        </is>
      </c>
      <c r="K59" s="3" t="inlineStr">
        <is>
          <t>dollars, whole a month</t>
        </is>
      </c>
      <c r="L59" s="3" t="inlineStr">
        <is>
          <t>The list is replaced by the door to enter income or expenses when nothing is entered.</t>
        </is>
      </c>
      <c r="M59" s="3" t="inlineStr">
        <is>
          <t>one figure per line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2026-09-30</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-$2,400/month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MK-CF-M-051</t>
        </is>
      </c>
      <c r="B60" s="3" t="inlineStr">
        <is>
          <t>Cashflow</t>
        </is>
      </c>
      <c r="C60" s="3" t="inlineStr">
        <is>
          <t>/cashflow · /month-detail · /home</t>
        </is>
      </c>
      <c r="D60" s="3" t="inlineStr">
        <is>
          <t>Inflow</t>
        </is>
      </c>
      <c r="E60" s="3" t="inlineStr">
        <is>
          <t>inflow</t>
        </is>
      </c>
      <c r="F60" s="3" t="inlineStr">
        <is>
          <t>thisMonth</t>
        </is>
      </c>
      <c r="G60" s="3" t="inlineStr">
        <is>
          <t>MK-CF-O-003</t>
        </is>
      </c>
      <c r="H60" s="3" t="inlineStr">
        <is>
          <t>inflow so far = Σ of the income recorded as received in this month up to today</t>
        </is>
      </c>
      <c r="I60" s="3" t="inlineStr">
        <is>
          <t>inflow so far = Σ of the income recorded as received in this month up to today</t>
        </is>
      </c>
      <c r="J60" s="3" t="inlineStr">
        <is>
          <t>MK-CF-I-015 income recorded as received</t>
        </is>
      </c>
      <c r="K60" s="3" t="inlineStr">
        <is>
          <t>dollars, whole a month</t>
        </is>
      </c>
      <c r="L60" s="3" t="inlineStr">
        <is>
          <t>Shows $0 until something is recorded as received.</t>
        </is>
      </c>
      <c r="M60" s="3" t="inlineStr">
        <is>
          <t>one figure per household per month</t>
        </is>
      </c>
      <c r="N60" s="3" t="inlineStr">
        <is>
          <t>a month</t>
        </is>
      </c>
      <c r="O60" s="3" t="inlineStr">
        <is>
          <t>1. MK-CF-F-005 (actualMonthFlow) → MonthBlock
2. MK-CF-F-156 (plannedMonthFlow) → MonthBlock</t>
        </is>
      </c>
      <c r="P60" s="3" t="inlineStr">
        <is>
          <t>Declared by MK-CF-O-003 thisMonth</t>
        </is>
      </c>
      <c r="Q60" s="3" t="inlineStr">
        <is>
          <t>Nothing is assumed to have arrived; a source counts only once it is recorded (founder, 2026-08-28).</t>
        </is>
      </c>
      <c r="R60" s="3" t="inlineStr">
        <is>
          <t>Nothing is assumed to have arrived; a source counts only once it is recorded (founder, 2026-08-28).</t>
        </is>
      </c>
      <c r="S60" s="3" t="inlineStr"/>
      <c r="T60" s="3" t="inlineStr">
        <is>
          <t>Nothing is assumed to have arrived; a source counts only once it is recorded (founder, 2026-08-28).</t>
        </is>
      </c>
      <c r="U60" s="3" t="inlineStr">
        <is>
          <t>The words beside it name what is inside it — "Inflow (income (take-home) + rent)" — his cluster 5 ruling of 2026-09-10.</t>
        </is>
      </c>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2026-09-30</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$7,200/month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MK-CF-M-052</t>
        </is>
      </c>
      <c r="B61" s="3" t="inlineStr">
        <is>
          <t>Cashflow</t>
        </is>
      </c>
      <c r="C61" s="3" t="inlineStr">
        <is>
          <t>/cashflow · /month-detail · /home</t>
        </is>
      </c>
      <c r="D61" s="3" t="inlineStr">
        <is>
          <t>Outflow (expenses + debt)</t>
        </is>
      </c>
      <c r="E61" s="3" t="inlineStr">
        <is>
          <t>outflow_expenses__debt</t>
        </is>
      </c>
      <c r="F61" s="3" t="inlineStr">
        <is>
          <t>thisMonth</t>
        </is>
      </c>
      <c r="G61" s="3" t="inlineStr">
        <is>
          <t>MK-CF-O-003</t>
        </is>
      </c>
      <c r="H61" s="3" t="inlineStr">
        <is>
          <t>outflow so far = expenses logged so far this month + Σ of the debt payments due this month</t>
        </is>
      </c>
      <c r="I61" s="3" t="inlineStr">
        <is>
          <t>outflow so far = expenses logged so far this month + Σ of the debt payments due this month</t>
        </is>
      </c>
      <c r="J61" s="3" t="inlineStr">
        <is>
          <t>MK-CF-I-016 logged expense
MK-CF-I-013 debt payment</t>
        </is>
      </c>
      <c r="K61" s="3" t="inlineStr">
        <is>
          <t>dollars, whole a month</t>
        </is>
      </c>
      <c r="L61" s="3" t="inlineStr">
        <is>
          <t>Shows $0 until an expense is logged or a debt is entered.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Debt payments are counted in full for the month, logged or not, because they are committed.</t>
        </is>
      </c>
      <c r="R61" s="3" t="inlineStr">
        <is>
          <t>Debt payments are counted in full for the month, logged or not, because they are committed.</t>
        </is>
      </c>
      <c r="S61" s="3" t="inlineStr"/>
      <c r="T61" s="3" t="inlineStr">
        <is>
          <t>Debt payments are counted in full for the month, logged or not, because they are committed.</t>
        </is>
      </c>
      <c r="U61" s="3" t="inlineStr"/>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2026-09-30</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-$3,248/month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MK-CF-M-053</t>
        </is>
      </c>
      <c r="B62" s="3" t="inlineStr">
        <is>
          <t>Cashflow</t>
        </is>
      </c>
      <c r="C62" s="3" t="inlineStr">
        <is>
          <t>/cashflow · /month-detail · /home</t>
        </is>
      </c>
      <c r="D62" s="3">
        <f> Surplus</f>
        <v/>
      </c>
      <c r="E62" s="3" t="inlineStr">
        <is>
          <t>surplus</t>
        </is>
      </c>
      <c r="F62" s="3" t="inlineStr">
        <is>
          <t>thisMonth</t>
        </is>
      </c>
      <c r="G62" s="3" t="inlineStr">
        <is>
          <t>MK-CF-O-003</t>
        </is>
      </c>
      <c r="H62" s="3" t="inlineStr">
        <is>
          <t>surplus so far = inflow so far − outflow so far</t>
        </is>
      </c>
      <c r="I62" s="3" t="inlineStr">
        <is>
          <t>surplus so far = inflow so far − outflow so far</t>
        </is>
      </c>
      <c r="J62" s="3" t="inlineStr">
        <is>
          <t>MK-CF-M-051 inflow so far
MK-CF-M-052 outflow so far</t>
        </is>
      </c>
      <c r="K62" s="3" t="inlineStr">
        <is>
          <t>dollars, whole a month</t>
        </is>
      </c>
      <c r="L62" s="3" t="inlineStr">
        <is>
          <t>Shows $0 until something is recorded.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NONE RECORDED — the declaration names none.</t>
        </is>
      </c>
      <c r="R62" s="3" t="inlineStr">
        <is>
          <t>NONE RECORDED — the declaration names none.</t>
        </is>
      </c>
      <c r="S62" s="3" t="inlineStr"/>
      <c r="T62" s="3" t="inlineStr">
        <is>
          <t>NONE RECORDED — the declaration names none.</t>
        </is>
      </c>
      <c r="U62" s="3" t="inlineStr">
        <is>
          <t>The Cash flow screen used to subtract this itself (rule 5). It is the door’s figure now.</t>
        </is>
      </c>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2026-09-30</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$3,952/month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MK-CF-M-054</t>
        </is>
      </c>
      <c r="B63" s="3" t="inlineStr">
        <is>
          <t>Cashflow</t>
        </is>
      </c>
      <c r="C63" s="3" t="inlineStr">
        <is>
          <t>/cashflow · /month-detail</t>
        </is>
      </c>
      <c r="D63" s="3" t="inlineStr">
        <is>
          <t>each received line</t>
        </is>
      </c>
      <c r="E63" s="3" t="inlineStr">
        <is>
          <t>each_received_line</t>
        </is>
      </c>
      <c r="F63" s="3" t="inlineStr">
        <is>
          <t>thisMonth</t>
        </is>
      </c>
      <c r="G63" s="3" t="inlineStr">
        <is>
          <t>MK-CF-O-003</t>
        </is>
      </c>
      <c r="H63" s="3" t="inlineStr">
        <is>
          <t>one line per payment recorded as received in this month, at its amount</t>
        </is>
      </c>
      <c r="I63" s="3" t="inlineStr">
        <is>
          <t>one line per payment recorded as received in this month, at its amount</t>
        </is>
      </c>
      <c r="J63" s="3" t="inlineStr">
        <is>
          <t>MK-CF-I-015 income recorded as received</t>
        </is>
      </c>
      <c r="K63" s="3" t="inlineStr">
        <is>
          <t>dollars, whole a month</t>
        </is>
      </c>
      <c r="L63" s="3" t="inlineStr">
        <is>
          <t>The list is replaced by the door to record income when nothing is recorded.</t>
        </is>
      </c>
      <c r="M63" s="3" t="inlineStr">
        <is>
          <t>one figure per payment</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2026-09-30</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-$250/month
(the test re-runs this through MK-CF-O-003 thisMonth on every build)</t>
        </is>
      </c>
      <c r="AO63" s="9" t="inlineStr">
        <is>
          <t>WAITING ON YOU — row to approve: say yes in YOUR ANSWER, or say what changes · RULED, NOT CODED (Q-CF-2 — one question, one function)</t>
        </is>
      </c>
    </row>
  </sheetData>
  <autoFilter ref="A1:AO6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39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2026-09-30</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in September,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2026-09-30</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in September,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2026-09-30</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in September,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2026-09-30</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2026-09-30</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2026-09-30</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2026-09-30</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MK-MN-M-022</t>
        </is>
      </c>
      <c r="B37" s="3" t="inlineStr">
        <is>
          <t>Menu</t>
        </is>
      </c>
      <c r="C37" s="3" t="inlineStr">
        <is>
          <t>/other-investments</t>
        </is>
      </c>
      <c r="D37" s="3" t="inlineStr">
        <is>
          <t>the total value of these investments</t>
        </is>
      </c>
      <c r="E37" s="3" t="inlineStr">
        <is>
          <t>the_total_value_of_these_investments</t>
        </is>
      </c>
      <c r="F37" s="3" t="inlineStr">
        <is>
          <t>theNetWorth</t>
        </is>
      </c>
      <c r="G37" s="3" t="inlineStr">
        <is>
          <t>MK-NW-O-003</t>
        </is>
      </c>
      <c r="H37" s="3" t="inlineStr">
        <is>
          <t>the sum of every account whose class is alternatives</t>
        </is>
      </c>
      <c r="I37" s="3" t="inlineStr">
        <is>
          <t>the sum of every account whose class is alternatives</t>
        </is>
      </c>
      <c r="J37" s="3" t="inlineStr">
        <is>
          <t>MK-NW-I-001 your accounts</t>
        </is>
      </c>
      <c r="K37" s="3" t="inlineStr">
        <is>
          <t>dollars, whole</t>
        </is>
      </c>
      <c r="L37" s="3" t="inlineStr">
        <is>
          <t>$0, and under it the one line "Nothing entered yet. Add an investment ›" (mock approved 2026-09-12). A real zero that was entered shows a plain $0 with no line.</t>
        </is>
      </c>
      <c r="M37" s="3" t="inlineStr">
        <is>
          <t>one figure per household</t>
        </is>
      </c>
      <c r="N37" s="3" t="inlineStr">
        <is>
          <t>as of today</t>
        </is>
      </c>
      <c r="O3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7" s="3" t="inlineStr">
        <is>
          <t>Declared by MK-NW-O-003 theNetWorth</t>
        </is>
      </c>
      <c r="Q37" s="3" t="inlineStr">
        <is>
          <t>It is the Alternatives SLICE of net worth and must equal what the Net worth tab shows for that class — which is why it sits behind this door (founder, 2026-09-27: "ok").</t>
        </is>
      </c>
      <c r="R37" s="3" t="inlineStr">
        <is>
          <t>It is the Alternatives SLICE of net worth and must equal what the Net worth tab shows for that class — which is why it sits behind this door (founder, 2026-09-27: "ok").</t>
        </is>
      </c>
      <c r="S37" s="3" t="inlineStr"/>
      <c r="T37" s="3" t="inlineStr">
        <is>
          <t>It is the Alternatives SLICE of net worth and must equal what the Net worth tab shows for that class — which is why it sits behind this door (founder, 2026-09-27: "ok").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G32 / Q48 — RULED 2026-09-09: $0 stays, with the sentence '$0 — nothing entered yet.' and this row's door ('Add an investment ›'). File written; the screen follows the approved empty-state mock (one pattern, one screen), then every screen.</t>
        </is>
      </c>
      <c r="AF37" s="3" t="inlineStr">
        <is>
          <t>ACTIVE</t>
        </is>
      </c>
      <c r="AG37" s="3" t="inlineStr">
        <is>
          <t>2026-09-30</t>
        </is>
      </c>
      <c r="AH37" s="3" t="inlineStr"/>
      <c r="AI37" s="3" t="inlineStr"/>
      <c r="AJ3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MK-NW-F-011, MK-NW-F-040,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MK-NW-O-003 theNetWorth</t>
        </is>
      </c>
      <c r="AN37"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37" s="7" t="inlineStr">
        <is>
          <t>RULED, NOT CODED (Q-NW-1 — one question, one function)</t>
        </is>
      </c>
    </row>
    <row r="38" ht="60" customHeight="1">
      <c r="A38" s="3" t="inlineStr">
        <is>
          <t>MK-MN-M-023</t>
        </is>
      </c>
      <c r="B38" s="3" t="inlineStr">
        <is>
          <t>Menu</t>
        </is>
      </c>
      <c r="C38" s="3" t="inlineStr">
        <is>
          <t>/other-investments</t>
        </is>
      </c>
      <c r="D38" s="3" t="inlineStr">
        <is>
          <t>EST. GROWTH</t>
        </is>
      </c>
      <c r="E38" s="3" t="inlineStr">
        <is>
          <t>est_growth</t>
        </is>
      </c>
      <c r="F38" s="3" t="inlineStr">
        <is>
          <t>theAlternativesOutlook</t>
        </is>
      </c>
      <c r="G38" s="3" t="inlineStr">
        <is>
          <t>MK-NW-O-005</t>
        </is>
      </c>
      <c r="H38" s="3" t="inlineStr">
        <is>
          <t>each holding’s value × the historical benchmark for its kind, added up</t>
        </is>
      </c>
      <c r="I38" s="3" t="inlineStr">
        <is>
          <t>each holding’s value × the historical benchmark for its kind, added up</t>
        </is>
      </c>
      <c r="J38" s="3" t="inlineStr">
        <is>
          <t>MK-NW-I-001 your accounts</t>
        </is>
      </c>
      <c r="K38" s="3" t="inlineStr">
        <is>
          <t>dollars, whole a year</t>
        </is>
      </c>
      <c r="L38" s="3" t="inlineStr">
        <is>
          <t>$0, and under it the one line "Nothing entered yet. Add an investment ›" (mock approved 2026-09-12). A real zero that was entered shows a plain $0 with no line.</t>
        </is>
      </c>
      <c r="M38" s="3" t="inlineStr">
        <is>
          <t>one figure per household</t>
        </is>
      </c>
      <c r="N38" s="3" t="inlineStr">
        <is>
          <t>a year</t>
        </is>
      </c>
      <c r="O38" s="3" t="inlineStr">
        <is>
          <t>1. MK-NW-F-002 (alternativesSummary) → AltSummary
2. MK-NW-F-037 (blendedReturn) → number</t>
        </is>
      </c>
      <c r="P38" s="3" t="inlineStr">
        <is>
          <t>Declared by MK-NW-O-005 theAlternativesOutlook</t>
        </is>
      </c>
      <c r="Q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38" s="3" t="inlineStr"/>
      <c r="T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an investment ›'). File written; the screen follows the approved empty-state mock (one pattern, one screen), then every screen.</t>
        </is>
      </c>
      <c r="AF38" s="3" t="inlineStr">
        <is>
          <t>ACTIVE</t>
        </is>
      </c>
      <c r="AG38" s="3" t="inlineStr">
        <is>
          <t>2026-09-30</t>
        </is>
      </c>
      <c r="AH38" s="3" t="inlineStr"/>
      <c r="AI38" s="3" t="inlineStr"/>
      <c r="AJ38" s="3" t="inlineStr">
        <is>
          <t>1. MK-XS-I-001 account balance — read by MK-NW-F-002, MK-NW-F-031, MK-NW-F-032, MK-NW-O-005, MK-ST-F-027
2. MK-XS-I-002 account type (taxable, pre-tax, Roth) — read by MK-NW-F-001, MK-NW-F-011, MK-NW-F-037, MK-NW-O-005
3. MK-XS-I-004 holding quantity (shares) — read by MK-ST-F-027
4. MK-XS-I-005 holding price — read by MK-ST-F-027
5. MK-XS-I-007 purchase price and date (per lot) — read by MK-ST-F-027
6. MK-XS-I-013 bond maturity date — read by MK-NW-F-001, MK-NW-F-011, MK-ST-F-010
7. MK-XS-I-028 assumed return — read by MK-NW-O-005
8. MK-XS-I-048 the person’s own asset-class answer — read by MK-NW-F-011, MK-NW-O-005, MK-ST-F-027
9. MK-XS-I-050 the share of an account earmarked for retirement — read by MK-NW-F-032
10.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MK-NW-O-005 theAlternativesOutlook</t>
        </is>
      </c>
      <c r="AN38" s="3" t="inlineStr">
        <is>
          <t>$9,000 of gold and $6,000 of bitcoin — $15,000 of other investments, at their kinds' own benchmark rates.
GIVES: $1,218/year
(the test re-runs this through MK-NW-O-005 theAlternativesOutlook on every build)</t>
        </is>
      </c>
      <c r="AO38" s="3" t="inlineStr">
        <is>
          <t>NOTHING OPEN</t>
        </is>
      </c>
    </row>
    <row r="39" ht="60" customHeight="1">
      <c r="A39" s="3" t="inlineStr">
        <is>
          <t>MK-MN-M-024</t>
        </is>
      </c>
      <c r="B39" s="3" t="inlineStr">
        <is>
          <t>Menu</t>
        </is>
      </c>
      <c r="C39" s="3" t="inlineStr">
        <is>
          <t>/stress-test</t>
        </is>
      </c>
      <c r="D39" s="3" t="inlineStr">
        <is>
          <t>You could cover a $X hit</t>
        </is>
      </c>
      <c r="E39" s="3" t="inlineStr">
        <is>
          <t>you_could_cover_a_x_hit</t>
        </is>
      </c>
      <c r="F39" s="3" t="inlineStr">
        <is>
          <t>emergencyTest (with the essentials figure from essentialsMonthly)</t>
        </is>
      </c>
      <c r="G39" s="3" t="inlineStr">
        <is>
          <t>MK-CF-F-010 (← MK-CF-F-190)</t>
        </is>
      </c>
      <c r="H39" s="3" t="inlineStr">
        <is>
          <t>cash after = cash − the shock; runway after = cash after ÷ essentials a month, where essentials a month = MK-CF-F-190 (logged average, else the typed categories)</t>
        </is>
      </c>
      <c r="I39" s="3" t="inlineStr">
        <is>
          <t>Takes a one-off hit out of the cash on hand and shows what would be left and how many months of essentials it would cover — dividing by the same essentials figure the other cards use, labelled with the months it stands on.</t>
        </is>
      </c>
      <c r="J39" s="3" t="inlineStr">
        <is>
          <t>1. every logged expense → expenses [MK-XS-I-024]
2. the typed fallback → typed monthly expenses / essentials [MK-XS-I-025]
3. cash on hand → the Cash class [MK-XS-I-001]</t>
        </is>
      </c>
      <c r="K39" s="3" t="inlineStr">
        <is>
          <t>dollars, whole</t>
        </is>
      </c>
      <c r="L39" s="3" t="inlineStr">
        <is>
          <t>$0, and under it the one line "Nothing entered yet. Add your accounts ›" (mock approved 2026-09-12). A real zero that was entered shows a plain $0 with no line.</t>
        </is>
      </c>
      <c r="M39" s="3" t="inlineStr">
        <is>
          <t>one figure per household</t>
        </is>
      </c>
      <c r="N39" s="3" t="inlineStr">
        <is>
          <t>as of today</t>
        </is>
      </c>
      <c r="O39" s="3" t="inlineStr">
        <is>
          <t>1. MK-CF-F-155 (cash) → number
2. MK-CF-F-009 (monthlyEssentials) → number
3. MK-CF-F-189 (essentialsFromLoggedSpending) → EssentialsAverage | null
4.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9" t="inlineStr">
        <is>
          <t>Q29 — What size of shock should the test use by default, and should it be a fixed dollar figure or a share of the person's expenses?</t>
        </is>
      </c>
      <c r="W39" s="9"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9" s="3" t="inlineStr">
        <is>
          <t>ACTIVE</t>
        </is>
      </c>
      <c r="AG39" s="3" t="inlineStr">
        <is>
          <t>2026-09-30</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9" s="9" t="inlineStr">
        <is>
          <t>WAITING ON YOU — question Q29 · RULED, NOT CODED (Q-NW-5 — one question, one function)</t>
        </is>
      </c>
    </row>
    <row r="40" ht="60" customHeight="1">
      <c r="A40" s="3" t="inlineStr">
        <is>
          <t>MK-MN-M-025</t>
        </is>
      </c>
      <c r="B40" s="3" t="inlineStr">
        <is>
          <t>Menu</t>
        </is>
      </c>
      <c r="C40" s="3" t="inlineStr">
        <is>
          <t>/stress-test</t>
        </is>
      </c>
      <c r="D40" s="3" t="inlineStr">
        <is>
          <t>You'd have $X left — about N months of essentials</t>
        </is>
      </c>
      <c r="E40" s="3" t="inlineStr">
        <is>
          <t>youd_have_x_left__about_n_months_of_esse</t>
        </is>
      </c>
      <c r="F40" s="3" t="inlineStr">
        <is>
          <t>emergencyTest (with the essentials figure from essentialsMonthly)</t>
        </is>
      </c>
      <c r="G40" s="3" t="inlineStr">
        <is>
          <t>MK-CF-F-010 (← MK-CF-F-190)</t>
        </is>
      </c>
      <c r="H40" s="3" t="inlineStr">
        <is>
          <t>runway after = max(0, cash − shock) ÷ essentials a month (MK-CF-F-190)</t>
        </is>
      </c>
      <c r="I40" s="3" t="inlineStr">
        <is>
          <t>'You'd have $X left — about N months of essentials ($Y/mo — 7 month average).'</t>
        </is>
      </c>
      <c r="J40" s="3" t="inlineStr">
        <is>
          <t>1. every logged expense → expenses [MK-XS-I-024]
2. the typed fallback → typed monthly expenses / essentials [MK-XS-I-025]
3. cash on hand → the Cash class [MK-XS-I-001]</t>
        </is>
      </c>
      <c r="K40" s="3" t="inlineStr">
        <is>
          <t>a sentence</t>
        </is>
      </c>
      <c r="L40" s="3" t="inlineStr">
        <is>
          <t>$0, and under it the one line "Nothing entered yet. Add your accounts ›" (mock approved 2026-09-12). A real zero that was entered shows a plain $0 with no line.</t>
        </is>
      </c>
      <c r="M40" s="3" t="inlineStr">
        <is>
          <t>one figure per household</t>
        </is>
      </c>
      <c r="N40" s="3" t="inlineStr">
        <is>
          <t>as of today</t>
        </is>
      </c>
      <c r="O40" s="3" t="inlineStr">
        <is>
          <t>1. MK-CF-F-155 (cash) → number
2. MK-CF-F-009 (monthlyEssentials) → number
3. MK-CF-F-189 (essentialsFromLoggedSpending) → EssentialsAverage | null
4. MK-CF-O-002 (expenses) → Expenses</t>
        </is>
      </c>
      <c r="P40" s="3" t="inlineStr">
        <is>
          <t>Declared by MK-NW-O-004 theEmergencyFund</t>
        </is>
      </c>
      <c r="Q40" s="3" t="inlineStr">
        <is>
          <t>NONE RECORDED — the declaration names none.</t>
        </is>
      </c>
      <c r="R40" s="3" t="inlineStr">
        <is>
          <t>NONE RECORDED — the declaration names none.</t>
        </is>
      </c>
      <c r="S40" s="3" t="inlineStr"/>
      <c r="T4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40" s="3" t="inlineStr">
        <is>
          <t>ACTIVE</t>
        </is>
      </c>
      <c r="AG40" s="3" t="inlineStr">
        <is>
          <t>2026-09-30</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MK-NW-O-004 theEmergencyFund</t>
        </is>
      </c>
      <c r="AN4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40" s="7" t="inlineStr">
        <is>
          <t>RULED, NOT CODED (Q-NW-5 — one question, one function)</t>
        </is>
      </c>
    </row>
    <row r="41" ht="60" customHeight="1">
      <c r="A41" s="3" t="inlineStr">
        <is>
          <t>MK-MN-M-026</t>
        </is>
      </c>
      <c r="B41" s="3" t="inlineStr">
        <is>
          <t>Menu</t>
        </is>
      </c>
      <c r="C41" s="3" t="inlineStr">
        <is>
          <t>/stress-test</t>
        </is>
      </c>
      <c r="D41" s="3" t="inlineStr">
        <is>
          <t>your $X/month of essentials</t>
        </is>
      </c>
      <c r="E41" s="3" t="inlineStr">
        <is>
          <t>your_xmonth_of_essentials</t>
        </is>
      </c>
      <c r="F41" s="3" t="inlineStr">
        <is>
          <t>essentialsMonthly</t>
        </is>
      </c>
      <c r="G41" s="3" t="inlineStr">
        <is>
          <t>MK-CF-F-190</t>
        </is>
      </c>
      <c r="H41" s="3" t="inlineStr">
        <is>
          <t>essentials a month = the logged average over the months logged (MK-CF-F-189), else the typed categories (monthlyEssentials)</t>
        </is>
      </c>
      <c r="I41" s="3" t="inlineStr">
        <is>
          <t>'Covering your $Y/mo of essentials (7 month average) with no paycheck coming in.' The larger-of rule (plannedMonthlySpend) no longer produces this figure.</t>
        </is>
      </c>
      <c r="J41" s="3" t="inlineStr">
        <is>
          <t>1. every logged expense → expenses [MK-XS-I-024]
2. the typed fallback → typed monthly expenses / essentials [MK-XS-I-025]
3. cash on hand → the Cash class [MK-XS-I-001]</t>
        </is>
      </c>
      <c r="K41" s="3" t="inlineStr">
        <is>
          <t>dollars, whole a month</t>
        </is>
      </c>
      <c r="L41" s="3" t="inlineStr">
        <is>
          <t>$0, and under it the one line "Nothing entered yet. Log your expenses ›" (mock approved 2026-09-12). A real zero that was entered shows a plain $0 with no line.</t>
        </is>
      </c>
      <c r="M41" s="3" t="inlineStr">
        <is>
          <t>one figure per household</t>
        </is>
      </c>
      <c r="N41" s="3" t="inlineStr">
        <is>
          <t>a month</t>
        </is>
      </c>
      <c r="O41" s="3" t="inlineStr">
        <is>
          <t>1. MK-CF-F-189 (essentialsFromLoggedSpending) → EssentialsAverage | null
2. MK-CF-O-002 (expenses) → Expenses</t>
        </is>
      </c>
      <c r="P41" s="3" t="inlineStr">
        <is>
          <t>Declared by MK-NW-O-004 theEmergencyFund</t>
        </is>
      </c>
      <c r="Q41" s="3" t="inlineStr">
        <is>
          <t>NONE RECORDED — the declaration names none.</t>
        </is>
      </c>
      <c r="R41" s="3" t="inlineStr">
        <is>
          <t>NONE RECORDED — the declaration names none.</t>
        </is>
      </c>
      <c r="S41" s="3" t="inlineStr"/>
      <c r="T41"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41" s="3" t="inlineStr">
        <is>
          <t>ACTIVE</t>
        </is>
      </c>
      <c r="AG41" s="3" t="inlineStr">
        <is>
          <t>2026-09-30</t>
        </is>
      </c>
      <c r="AH41" s="3" t="inlineStr"/>
      <c r="AI41" s="3" t="inlineStr"/>
      <c r="AJ41"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MK-NW-O-004 theEmergencyFund</t>
        </is>
      </c>
      <c r="AN41"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41" s="7" t="inlineStr">
        <is>
          <t>RULED, NOT CODED (Q-NW-5 — one question, one function)</t>
        </is>
      </c>
    </row>
    <row r="42" ht="60" customHeight="1">
      <c r="A42" s="3" t="inlineStr">
        <is>
          <t>MK-MN-M-027</t>
        </is>
      </c>
      <c r="B42" s="3" t="inlineStr">
        <is>
          <t>Menu</t>
        </is>
      </c>
      <c r="C42" s="3" t="inlineStr">
        <is>
          <t>/tax-organizer</t>
        </is>
      </c>
      <c r="D42" s="3" t="inlineStr">
        <is>
          <t>each taxable line and its amount</t>
        </is>
      </c>
      <c r="E42" s="3" t="inlineStr">
        <is>
          <t>each_taxable_line_and_its_amount</t>
        </is>
      </c>
      <c r="F42" s="3" t="inlineStr">
        <is>
          <t>1. taxOrganizer
2. taxableIncomeSteps</t>
        </is>
      </c>
      <c r="G42" s="3" t="inlineStr">
        <is>
          <t>1. MK-PL-F-031
2. MK-PL-F-082</t>
        </is>
      </c>
      <c r="H42"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2"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2" s="3" t="inlineStr">
        <is>
          <t>1. the organizer's income lines [MK-XS-I-023 and the other income inputs]
2. each earner's 401(k) contribution [MK-XS-I-043]
3. how they file and who is 65+ [MK-XS-I-030]</t>
        </is>
      </c>
      <c r="K42" s="3" t="inlineStr">
        <is>
          <t>dollars, whole</t>
        </is>
      </c>
      <c r="L42" s="3" t="inlineStr">
        <is>
          <t>A line with nothing behind it does not appear at all.</t>
        </is>
      </c>
      <c r="M42" s="3" t="inlineStr">
        <is>
          <t>one line</t>
        </is>
      </c>
      <c r="N42" s="3" t="inlineStr">
        <is>
          <t>as of today</t>
        </is>
      </c>
      <c r="O42"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2" s="3" t="inlineStr">
        <is>
          <t>Declared by MK-CF-O-007 theTaxOrganizer</t>
        </is>
      </c>
      <c r="Q42" s="3" t="inlineStr">
        <is>
          <t>Interest and dividends come from the RECORDS where they exist, not from an estimate — an estimate on a tax page reads as a figure to file.</t>
        </is>
      </c>
      <c r="R42" s="3" t="inlineStr">
        <is>
          <t>Interest and dividends come from the RECORDS where they exist, not from an estimate — an estimate on a tax page reads as a figure to file.</t>
        </is>
      </c>
      <c r="S42" s="3" t="inlineStr"/>
      <c r="T42"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2" s="3" t="inlineStr"/>
      <c r="V42"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2" s="3" t="inlineStr">
        <is>
          <t>Q46: Tax organizer should show — gross income, 401(k) contribution, standard deduction, and taxable income. (answered in chat, 2026-09-08)</t>
        </is>
      </c>
      <c r="X42" s="3" t="inlineStr"/>
      <c r="Y42" s="3" t="inlineStr"/>
      <c r="Z42" s="3" t="inlineStr">
        <is>
          <t>DECLARED IN THE CODE (rule 11) — printed from the door, not typed. RULED 2026-09-27</t>
        </is>
      </c>
      <c r="AA42" s="3" t="inlineStr"/>
      <c r="AB42" s="3" t="inlineStr"/>
      <c r="AC42" s="3" t="inlineStr"/>
      <c r="AD42" s="3" t="inlineStr"/>
      <c r="AE42"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2" s="3" t="inlineStr">
        <is>
          <t>ACTIVE</t>
        </is>
      </c>
      <c r="AG42" s="3" t="inlineStr">
        <is>
          <t>2026-09-30</t>
        </is>
      </c>
      <c r="AH42" s="3" t="inlineStr"/>
      <c r="AI42" s="3" t="inlineStr"/>
      <c r="AJ42"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MK-CF-O-007 theTaxOrganizer</t>
        </is>
      </c>
      <c r="AN42" s="3" t="inlineStr">
        <is>
          <t>Filing jointly for 2026 on $169,200 of wages, with $19,200 paid into 401(k)s between the two of them and the $32,200 standard deduction.
GIVES: $169,200
(the test re-runs this through MK-CF-O-007 theTaxOrganizer on every build)</t>
        </is>
      </c>
      <c r="AO42" s="8" t="inlineStr">
        <is>
          <t>VERIFIED — TESTED, NOT VERIFIED — you ruled on this row 2026-09-27; the</t>
        </is>
      </c>
    </row>
    <row r="43" ht="60" customHeight="1">
      <c r="A43" s="3" t="inlineStr">
        <is>
          <t>MK-MN-M-028</t>
        </is>
      </c>
      <c r="B43" s="3" t="inlineStr">
        <is>
          <t>Menu</t>
        </is>
      </c>
      <c r="C43" s="3" t="inlineStr">
        <is>
          <t>/tax-organizer</t>
        </is>
      </c>
      <c r="D43" s="3" t="inlineStr">
        <is>
          <t>Gross income · 401(k) contribution · Standard deduction · Taxable income · Non-taxable</t>
        </is>
      </c>
      <c r="E43" s="3" t="inlineStr">
        <is>
          <t>gross_income__401k_contribution__standar</t>
        </is>
      </c>
      <c r="F43" s="3" t="inlineStr">
        <is>
          <t>1. taxOrganizer
2. taxableIncomeSteps</t>
        </is>
      </c>
      <c r="G43" s="3" t="inlineStr">
        <is>
          <t>1. MK-PL-F-031
2. MK-PL-F-082</t>
        </is>
      </c>
      <c r="H43"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3"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3" s="3" t="inlineStr">
        <is>
          <t>1. the organizer's income lines [MK-XS-I-023 and the other income inputs]
2. each earner's 401(k) contribution [MK-XS-I-043]
3. how they file and who is 65+ [MK-XS-I-030]</t>
        </is>
      </c>
      <c r="K43" s="3" t="inlineStr">
        <is>
          <t>dollars, whole</t>
        </is>
      </c>
      <c r="L43" s="3" t="inlineStr">
        <is>
          <t>No income entered yet.</t>
        </is>
      </c>
      <c r="M43" s="3" t="inlineStr">
        <is>
          <t>one figure per household</t>
        </is>
      </c>
      <c r="N43" s="3" t="inlineStr">
        <is>
          <t>as of today</t>
        </is>
      </c>
      <c r="O43"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3" s="3" t="inlineStr">
        <is>
          <t>Declared by MK-CF-O-007 theTaxOrganizer</t>
        </is>
      </c>
      <c r="Q43" s="3" t="inlineStr">
        <is>
          <t>ONE tax function across the app (rule 2) — the same one that sets the band on your pay.</t>
        </is>
      </c>
      <c r="R43" s="3" t="inlineStr">
        <is>
          <t>ONE tax function across the app (rule 2) — the same one that sets the band on your pay.</t>
        </is>
      </c>
      <c r="S43" s="3" t="inlineStr"/>
      <c r="T43" s="3" t="inlineStr">
        <is>
          <t>ONE tax function across the app (rule 2) — the same one that sets the band on your pay.
[Founder] Q46, 2026-09-08: the tax organizer shows gross income, the 401(k) contribution, the standard deduction and taxable income.</t>
        </is>
      </c>
      <c r="U43" s="3" t="inlineStr"/>
      <c r="V43" s="9" t="inlineStr">
        <is>
          <t>Q24 — State tax is applied to taxable accounts only. Do you want a state rate captured per person, or to keep the single blended figure we use now?</t>
        </is>
      </c>
      <c r="W43" s="9" t="inlineStr">
        <is>
          <t>Q46: Tax organizer should show — gross income, 401(k) contribution, standard deduction, and taxable income. (answered in chat, 2026-09-08)</t>
        </is>
      </c>
      <c r="X43" s="3" t="inlineStr"/>
      <c r="Y43" s="3" t="inlineStr"/>
      <c r="Z43" s="3" t="inlineStr">
        <is>
          <t>DECLARED IN THE CODE (rule 11) — printed from the door, not typed. RULED 2026-09-27</t>
        </is>
      </c>
      <c r="AA43" s="3" t="inlineStr"/>
      <c r="AB43" s="3" t="inlineStr"/>
      <c r="AC43" s="3" t="inlineStr"/>
      <c r="AD43" s="3" t="inlineStr"/>
      <c r="AE43"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3" s="3" t="inlineStr">
        <is>
          <t>ACTIVE</t>
        </is>
      </c>
      <c r="AG43" s="3" t="inlineStr">
        <is>
          <t>2026-09-30</t>
        </is>
      </c>
      <c r="AH43" s="3" t="inlineStr"/>
      <c r="AI43" s="3" t="inlineStr"/>
      <c r="AJ43"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MK-CF-O-007 theTaxOrganizer</t>
        </is>
      </c>
      <c r="AN43" s="3" t="inlineStr">
        <is>
          <t>Filing jointly for 2026 on $169,200 of wages, with $19,200 paid into 401(k)s between the two of them and the $32,200 standard deduction.
GIVES: $117,800
(the test re-runs this through MK-CF-O-007 theTaxOrganizer on every build)</t>
        </is>
      </c>
      <c r="AO43" s="9" t="inlineStr">
        <is>
          <t>WAITING ON YOU — question Q24 · TESTED, NOT VERIFIED (G22 / Q46, G3)</t>
        </is>
      </c>
    </row>
    <row r="44" ht="60" customHeight="1">
      <c r="A44" s="3" t="inlineStr">
        <is>
          <t>MK-MN-M-029</t>
        </is>
      </c>
      <c r="B44" s="3" t="inlineStr">
        <is>
          <t>Menu</t>
        </is>
      </c>
      <c r="C44" s="3" t="inlineStr">
        <is>
          <t>/contribution-room</t>
        </is>
      </c>
      <c r="D44" s="3" t="inlineStr">
        <is>
          <t>each contribution and its amount</t>
        </is>
      </c>
      <c r="E44" s="3" t="inlineStr">
        <is>
          <t>each_contribution_and_its_amount</t>
        </is>
      </c>
      <c r="F44" s="3" t="inlineStr">
        <is>
          <t>theContributionRoom</t>
        </is>
      </c>
      <c r="G44" s="3" t="inlineStr">
        <is>
          <t xml:space="preserve">
4. MK-CF-F-196
5. MK-CF-F-195</t>
        </is>
      </c>
      <c r="H44" s="3" t="inlineStr">
        <is>
          <t>the monthly amount you entered for that account × 12</t>
        </is>
      </c>
      <c r="I4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4" s="3" t="inlineStr">
        <is>
          <t>MK-XS-I-023 salary and other income</t>
        </is>
      </c>
      <c r="K44" s="3" t="inlineStr">
        <is>
          <t>dollars, whole</t>
        </is>
      </c>
      <c r="L44" s="3" t="inlineStr">
        <is>
          <t>No contribution entered → the RETIREMENT CONTRIBUTIONS card is not shown; never a $0 line.</t>
        </is>
      </c>
      <c r="M44" s="3" t="inlineStr">
        <is>
          <t>one account</t>
        </is>
      </c>
      <c r="N44" s="3" t="inlineStr">
        <is>
          <t>as of today</t>
        </is>
      </c>
      <c r="O44" s="3" t="inlineStr">
        <is>
          <t>MK-CF-F-195 (monthsLeftInYear) → number</t>
        </is>
      </c>
      <c r="P44" s="3" t="inlineStr">
        <is>
          <t>Declared by MK-CF-O-005 theContributionRoom</t>
        </is>
      </c>
      <c r="Q44" s="3" t="inlineStr">
        <is>
          <t>Enrolled in Medicare means NO HSA contribution is allowed at all — not a smaller one (his ruling G10, 2026-09-08).</t>
        </is>
      </c>
      <c r="R44" s="3" t="inlineStr">
        <is>
          <t>Enrolled in Medicare means NO HSA contribution is allowed at all — not a smaller one (his ruling G10, 2026-09-08).</t>
        </is>
      </c>
      <c r="S44" s="3" t="inlineStr"/>
      <c r="T44" s="3" t="inlineStr">
        <is>
          <t>Enrolled in Medicare means NO HSA contribution is allowed at all — not a smaller one (his ruling G10, 2026-09-08).</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is>
          <t>G32 / Q48 — 2026-09-09: the 'division with nothing on the bottom' boilerplate is gone; this cell now states the row's real refusal. Where it says 'built', the screen already does it; the rest follow the empty-state mock.</t>
        </is>
      </c>
      <c r="AF44" s="3" t="inlineStr">
        <is>
          <t>ACTIVE</t>
        </is>
      </c>
      <c r="AG44" s="3" t="inlineStr">
        <is>
          <t>2026-09-30</t>
        </is>
      </c>
      <c r="AH44" s="3" t="inlineStr"/>
      <c r="AI44" s="3" t="inlineStr"/>
      <c r="AJ44" s="3" t="inlineStr">
        <is>
          <t>NONE — no function in this chain reads a stored input the sweep knows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MK-CF-O-005 theContributionRoom</t>
        </is>
      </c>
      <c r="AN44" s="3" t="inlineStr">
        <is>
          <t>Born 1965 — so 61 during 2026. Paying in $1,200/month to a 401(k), $300 to a Roth IRA and $150 to an HSA; not on Medicare. Read in September, so four months of the year are left.
GIVES: $5,000
(the test re-runs this through MK-CF-O-005 theContributionRoom on every build)</t>
        </is>
      </c>
      <c r="AO44" s="7" t="inlineStr">
        <is>
          <t>RULED, NOT CODED (Q-CF-4 — one question, one function)</t>
        </is>
      </c>
    </row>
    <row r="45" ht="60" customHeight="1">
      <c r="A45" s="3" t="inlineStr">
        <is>
          <t>MK-MN-M-030</t>
        </is>
      </c>
      <c r="B45" s="3" t="inlineStr">
        <is>
          <t>Menu</t>
        </is>
      </c>
      <c r="C45" s="3" t="inlineStr">
        <is>
          <t>/bill-calendar</t>
        </is>
      </c>
      <c r="D45" s="3" t="inlineStr">
        <is>
          <t>$X left &lt;account&gt; on &lt;date&gt;</t>
        </is>
      </c>
      <c r="E45" s="3" t="inlineStr">
        <is>
          <t>x_left_account_on_date</t>
        </is>
      </c>
      <c r="F45" s="3" t="inlineStr">
        <is>
          <t>whatsComing</t>
        </is>
      </c>
      <c r="G45" s="3" t="inlineStr">
        <is>
          <t>MK-CF-O-008</t>
        </is>
      </c>
      <c r="H45" s="3" t="inlineStr">
        <is>
          <t>the balance you start with, less each bill as its date passes</t>
        </is>
      </c>
      <c r="I45" s="3" t="inlineStr">
        <is>
          <t>the balance you start with, less each bill as its date passes</t>
        </is>
      </c>
      <c r="J45" s="3" t="inlineStr">
        <is>
          <t>MK-NW-I-001 your accounts
MK-CF-I-002 your bills</t>
        </is>
      </c>
      <c r="K45" s="3" t="inlineStr">
        <is>
          <t>dollars, whole</t>
        </is>
      </c>
      <c r="L45" s="3" t="inlineStr">
        <is>
          <t>No balance to start from.</t>
        </is>
      </c>
      <c r="M45" s="3" t="inlineStr">
        <is>
          <t>one date</t>
        </is>
      </c>
      <c r="N45" s="3" t="inlineStr">
        <is>
          <t>as of today</t>
        </is>
      </c>
      <c r="O45" s="3" t="inlineStr">
        <is>
          <t>MK-CF-F-019 (upcomingBills) → NOT DECLARED — the code does not say what it gives back</t>
        </is>
      </c>
      <c r="P45" s="3" t="inlineStr">
        <is>
          <t>Declared by MK-CF-O-008 whatsComing</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2026-09-30</t>
        </is>
      </c>
      <c r="AH45" s="3" t="inlineStr"/>
      <c r="AI45" s="3" t="inlineStr"/>
      <c r="AJ4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MK-CF-O-008 whatsComing</t>
        </is>
      </c>
      <c r="AN45" s="3" t="inlineStr">
        <is>
          <t>NONE YET — no worked example is declared for this figure, so nothing re-runs it (step 6)</t>
        </is>
      </c>
      <c r="AO45" s="7" t="inlineStr">
        <is>
          <t>RULED, NOT CODED (Q-CF-3 — one question, one function)</t>
        </is>
      </c>
    </row>
  </sheetData>
  <autoFilter ref="A1:AO4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MK-NW-F-088 BENCH
3. MK-CF-F-205 COMING
4. MK-CF-F-200 LINE
5. MK-NW-F-082 NW
6. MK-NW-F-078 ONE
7. MK-NW-F-101 PLAN
8. MK-NW-F-027 accountClassBreakdown
9. MK-ST-F-027 accountId
10. MK-NW-F-002 alternativesSummary
11. MK-CF-F-125 amortise
12. MK-CF-F-111 applyTransaction
13. MK-NW-F-029 assetAllocation
14. MK-NW-F-040 assetsFromOnboarding
… and 42 more — the full list is on functions_from_code</t>
        </is>
      </c>
      <c r="F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2" s="3" t="inlineStr">
        <is>
          <t>SWEPT FROM THE CODE 2026-08-26</t>
        </is>
      </c>
      <c r="H2" s="3" t="inlineStr">
        <is>
          <t>ACTIVE</t>
        </is>
      </c>
      <c r="I2" s="3" t="inlineStr">
        <is>
          <t>2026-09-30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7 more — the full list is on functions_from_code</t>
        </is>
      </c>
      <c r="F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G4" s="3" t="inlineStr">
        <is>
          <t>SWEPT FROM THE CODE 2026-08-26</t>
        </is>
      </c>
      <c r="H4" s="3" t="inlineStr">
        <is>
          <t>ACTIVE</t>
        </is>
      </c>
      <c r="I4" s="3" t="inlineStr">
        <is>
          <t>2026-09-30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 · MK-XS-M-005 · MK-XS-M-006</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MK-MN-M-022 · MK-NW-M-001 · MK-NW-M-002 · MK-NW-M-003 · MK-NW-M-004 · MK-NW-M-005 · MK-NW-M-006 · MK-NW-M-007 · MK-NW-M-008 · MK-NW-M-009 · MK-NW-M-011 · MK-NW-M-015 · MK-NW-M-016 · MK-NW-M-017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MK-NW-O-008 thePerformance
10. MK-ST-F-072 undo
11. MK-PF-F-024 userFlows</t>
        </is>
      </c>
      <c r="F9" s="3" t="inlineStr">
        <is>
          <t>MK-MN-M-016 · MK-MN-M-022 · MK-NW-M-001 · MK-NW-M-002 · MK-NW-M-003 · MK-NW-M-004 · MK-NW-M-005 · MK-NW-M-006 · MK-NW-M-007 · MK-NW-M-008 · MK-NW-M-009 · MK-NW-M-011 · MK-NW-M-015 · MK-NW-M-016 · MK-NW-M-017 · MK-PF-M-002 · MK-PF-M-003 · MK-PF-M-005 · MK-PF-M-006 · MK-PF-M-007 · MK-PF-M-008 · MK-XS-M-001 · MK-XS-M-003 · MK-XS-M-004</t>
        </is>
      </c>
      <c r="G9" s="3" t="inlineStr">
        <is>
          <t>SWEPT FROM THE CODE 2026-08-26</t>
        </is>
      </c>
      <c r="H9" s="3" t="inlineStr">
        <is>
          <t>ACTIVE</t>
        </is>
      </c>
      <c r="I9" s="3" t="inlineStr">
        <is>
          <t>2026-09-30</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MK-NW-O-006 theHolding
10. MK-NW-O-008 thePerformance
11. MK-PF-F-024 userFlows</t>
        </is>
      </c>
      <c r="F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G10" s="3" t="inlineStr">
        <is>
          <t>SWEPT FROM THE CODE 2026-08-26</t>
        </is>
      </c>
      <c r="H10" s="3" t="inlineStr">
        <is>
          <t>ACTIVE</t>
        </is>
      </c>
      <c r="I10" s="3" t="inlineStr">
        <is>
          <t>2026-09-30</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MK-MN-M-022 · MK-NW-M-001 · MK-NW-M-002 · MK-NW-M-003 · MK-NW-M-004 · MK-NW-M-005 · MK-NW-M-006 · MK-NW-M-007 · MK-NW-M-008 · MK-NW-M-009 · MK-NW-M-011 · MK-NW-M-015 · MK-NW-M-016 · MK-NW-M-017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MK-CF-F-075 retirementIncomeMonthly
4. MK-PL-F-049 retirementSpendMonthly
5.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23" s="3" t="inlineStr">
        <is>
          <t>SWEPT FROM THE CODE 2026-08-26</t>
        </is>
      </c>
      <c r="H23" s="3" t="inlineStr">
        <is>
          <t>ACTIVE</t>
        </is>
      </c>
      <c r="I23" s="3" t="inlineStr">
        <is>
          <t>2026-09-09</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MK-CF-O-004 incomeSummary
7. MK-CF-F-181 rateInForce
8. MK-CF-F-082 salaryAnnual
9. MK-CF-F-165 salaryMonths
10. MK-PL-F-031 taxOrganizer
11. MK-CF-F-084 taxableAnnual
12. MK-CF-F-088 taxableByCalendarMonth
13. MK-CF-F-074 tipsAnnual
14. MK-CF-F-083 totalGrossAnnual
… and 1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24" s="3" t="inlineStr">
        <is>
          <t>SWEPT FROM THE CODE 2026-08-26</t>
        </is>
      </c>
      <c r="H24" s="3" t="inlineStr">
        <is>
          <t>ACTIVE</t>
        </is>
      </c>
      <c r="I24" s="3" t="inlineStr">
        <is>
          <t>2026-08-28</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MK-NW-F-100 TREND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MK-MN-M-022 · MK-NW-M-001 · MK-NW-M-002 · MK-NW-M-003 · MK-NW-M-004 · MK-NW-M-005 · MK-NW-M-006 · MK-NW-M-007 · MK-NW-M-008 · MK-NW-M-009 · MK-NW-M-011 · MK-NW-M-015 · MK-NW-M-016 · MK-NW-M-017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MK-PL-M-008 · MK-PL-M-009 · MK-PL-M-011 · MK-PL-M-026 · MK-PL-M-029 · MK-PL-M-033 · MK-PL-M-034 · MK-XS-M-001 · MK-XS-M-002 · MK-XS-M-003 · MK-XS-M-004 · MK-XS-M-005 · MK-XS-M-006</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7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0" s="3" t="inlineStr">
        <is>
          <t>SWEPT FROM THE CODE 2026-08-26</t>
        </is>
      </c>
      <c r="H40" s="3" t="inlineStr">
        <is>
          <t>ACTIVE</t>
        </is>
      </c>
      <c r="I40" s="3" t="inlineStr">
        <is>
          <t>2026-09-28</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1" s="3" t="inlineStr">
        <is>
          <t>SWEPT FROM THE CODE 2026-08-26</t>
        </is>
      </c>
      <c r="H41" s="3" t="inlineStr">
        <is>
          <t>ACTIVE</t>
        </is>
      </c>
      <c r="I41" s="3" t="inlineStr">
        <is>
          <t>2026-08-27</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MK-MN-M-022 · MK-NW-M-001 · MK-NW-M-002 · MK-NW-M-003 · MK-NW-M-004 · MK-NW-M-005 · MK-NW-M-006 · MK-NW-M-007 · MK-NW-M-008 · MK-NW-M-009 · MK-NW-M-011 · MK-NW-M-015 · MK-NW-M-016 · MK-NW-M-017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MK-MN-M-023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53" s="3" t="inlineStr">
        <is>
          <t>SWEPT FROM THE CODE 2026-08-26</t>
        </is>
      </c>
      <c r="H53" s="3" t="inlineStr">
        <is>
          <t>ACTIVE</t>
        </is>
      </c>
      <c r="I53" s="3" t="inlineStr">
        <is>
          <t>2026-09-30</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MK-CF-F-202 TAX
7. MK-NW-F-005 accountAllowsTicker
8. MK-NW-F-025 accountDisplayName
9. MK-CF-F-005 actualMonthFlow
10. MK-CF-F-138 addLot
11. MK-PF-F-017 allocation
12. MK-NW-F-002 alternativesSummary
13. MK-NW-F-011 assetClassOf
14. MK-NW-F-040 assetsFromOnboarding
… and 47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MK-PF-M-002 · MK-PF-M-003 · MK-PF-M-005 · MK-PF-M-006 · MK-PF-M-007 · MK-PF-M-008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2026-09-30</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MK-MN-M-022 · MK-NW-M-001 · MK-NW-M-002 · MK-NW-M-003 · MK-NW-M-004 · MK-NW-M-005 · MK-NW-M-006 · MK-NW-M-007 · MK-NW-M-008 · MK-NW-M-009 · MK-NW-M-011 · MK-NW-M-015 · MK-NW-M-016 · MK-NW-M-017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60" s="3" t="inlineStr">
        <is>
          <t>SWEPT FROM THE CODE 2026-08-26</t>
        </is>
      </c>
      <c r="H60" s="3" t="inlineStr">
        <is>
          <t>ACTIVE</t>
        </is>
      </c>
      <c r="I60" s="3" t="inlineStr">
        <is>
          <t>2026-08-27</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MK-CF-F-185 needsTakeHomeConversion
5.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61" s="3" t="inlineStr">
        <is>
          <t>SWEPT FROM THE CODE 2026-08-26</t>
        </is>
      </c>
      <c r="H61" s="3" t="inlineStr">
        <is>
          <t>ACTIVE</t>
        </is>
      </c>
      <c r="I61" s="3" t="inlineStr">
        <is>
          <t>2026-09-28</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MK-PF-M-002 · MK-PF-M-003 · MK-PF-M-005 · MK-PF-M-006 · MK-PF-M-007 · MK-PF-M-008 · MK-XS-M-001 · MK-XS-M-003 · MK-XS-M-004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15" customHeight="1">
      <c r="A27" s="3" t="inlineStr">
        <is>
          <t>/itemize</t>
        </is>
      </c>
      <c r="B27" s="3" t="inlineStr">
        <is>
          <t>Networth</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MK-PL-M-016 · MK-PL-M-026 · MK-PL-M-033</t>
        </is>
      </c>
      <c r="D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MK-CF-M-012, MK-CF-M-013, MK-CF-M-014, MK-CF-M-015, MK-CF-M-016, MK-CF-M-017, MK-CF-M-018, MK-CF-M-019,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MK-PF-M-001, MK-PF-M-002, MK-PF-M-003, MK-PF-M-004, MK-PF-M-005, MK-PF-M-006, MK-PF-M-007, MK-PF-M-008,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t>
        </is>
      </c>
      <c r="D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E4"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MK-PF-M-002, MK-PF-M-003, MK-PF-M-005, MK-PF-M-006, MK-PF-M-007, MK-PF-M-008,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MK-PF-M-001, MK-PF-M-002, MK-PF-M-003, MK-PF-M-004, MK-PF-M-005, MK-PF-M-006, MK-PF-M-007, MK-PF-M-008, MK-PL-M-001, MK-PL-M-002, MK-PL-M-008, MK-PL-M-009, MK-PL-M-011, MK-PL-M-029, MK-PL-M-034, MK-XS-M-001, MK-XS-M-002, MK-XS-M-003, MK-XS-M-004, MK-XS-M-005, MK-XS-M-006</t>
        </is>
      </c>
    </row>
    <row r="6" ht="60" customHeight="1">
      <c r="A6" s="3" t="inlineStr">
        <is>
          <t>MK-XS-I-005</t>
        </is>
      </c>
      <c r="B6" s="3" t="inlineStr">
        <is>
          <t>holding price</t>
        </is>
      </c>
      <c r="C6" s="3" t="inlineStr">
        <is>
          <t>MK-NW-M-040</t>
        </is>
      </c>
      <c r="D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 · MK-XS-M-005 · MK-XS-M-006</t>
        </is>
      </c>
      <c r="E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MK-PF-M-001, MK-PF-M-002, MK-PF-M-003, MK-PF-M-004, MK-PF-M-005, MK-PF-M-006, MK-PF-M-007, MK-PF-M-008, MK-PF-M-010, MK-PF-M-011, MK-PF-M-012, MK-PL-M-001, MK-PL-M-002, MK-PL-M-008, MK-PL-M-009, MK-PL-M-011, MK-PL-M-029, MK-PL-M-034, MK-XS-M-001, MK-XS-M-002, MK-XS-M-003, MK-XS-M-004, MK-XS-M-005, MK-XS-M-006</t>
        </is>
      </c>
    </row>
    <row r="7" ht="60" customHeight="1">
      <c r="A7" s="3" t="inlineStr">
        <is>
          <t>MK-XS-I-006</t>
        </is>
      </c>
      <c r="B7" s="3" t="inlineStr">
        <is>
          <t>price fetched at</t>
        </is>
      </c>
      <c r="C7" s="3" t="inlineStr">
        <is>
          <t>MK-HM-M-001 · MK-PF-M-006 · MK-PF-M-008 · MK-XS-M-004</t>
        </is>
      </c>
      <c r="D7" s="3" t="inlineStr">
        <is>
          <t>MK-HM-M-001 · MK-MN-M-016 · MK-MN-M-022 · MK-NW-M-001 · MK-NW-M-002 · MK-NW-M-003 · MK-NW-M-004 · MK-NW-M-005 · MK-NW-M-006 · MK-NW-M-007 · MK-NW-M-008 · MK-NW-M-009 · MK-NW-M-011 · MK-NW-M-015 · MK-NW-M-016 · MK-NW-M-017 · MK-XS-M-001 · MK-XS-M-003</t>
        </is>
      </c>
      <c r="E7" s="3" t="inlineStr">
        <is>
          <t>PARTLY AGREES — declared but not reached: MK-PF-M-006, MK-PF-M-008, MK-XS-M-004  |  reached but not declared: MK-MN-M-016, MK-MN-M-022, MK-NW-M-001, MK-NW-M-002, MK-NW-M-003, MK-NW-M-004, MK-NW-M-005, MK-NW-M-006, MK-NW-M-007, MK-NW-M-008, MK-NW-M-009, MK-NW-M-011, MK-NW-M-015, MK-NW-M-016, MK-NW-M-017, MK-XS-M-001, MK-XS-M-003</t>
        </is>
      </c>
    </row>
    <row r="8" ht="60" customHeight="1">
      <c r="A8" s="3" t="inlineStr">
        <is>
          <t>MK-XS-I-007</t>
        </is>
      </c>
      <c r="B8" s="3" t="inlineStr">
        <is>
          <t>purchase price and date (per lot)</t>
        </is>
      </c>
      <c r="C8" s="3" t="inlineStr">
        <is>
          <t>—</t>
        </is>
      </c>
      <c r="D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MK-MN-M-022 · MK-NW-M-001 · MK-NW-M-002 · MK-NW-M-003 · MK-NW-M-004 · MK-NW-M-005 · MK-NW-M-006 · MK-NW-M-007 · MK-NW-M-008 · MK-NW-M-009 · MK-NW-M-011 · MK-NW-M-015 · MK-NW-M-016 · MK-NW-M-017 · MK-PF-M-002 · MK-PF-M-003 · MK-PF-M-005 · MK-PF-M-006 · MK-PF-M-007 · MK-PF-M-008 · MK-XS-M-001 · MK-XS-M-003 · MK-XS-M-004</t>
        </is>
      </c>
      <c r="E9" s="3" t="inlineStr">
        <is>
          <t>PARTLY AGREES — declared but not reached: MK-CF-M-011, MK-CF-M-024, MK-PL-M-017, MK-PL-M-018, MK-PL-M-019, MK-PL-M-032  |  reached but not declared: MK-MN-M-016, MK-MN-M-022, MK-NW-M-001, MK-NW-M-002, MK-NW-M-003, MK-NW-M-004, MK-NW-M-005, MK-NW-M-006, MK-NW-M-007, MK-NW-M-008, MK-NW-M-009, MK-NW-M-011, MK-NW-M-015, MK-NW-M-016, MK-NW-M-017, MK-PF-M-002, MK-PF-M-003, MK-PF-M-005, MK-PF-M-006, MK-PF-M-007, MK-PF-M-008, MK-XS-M-001, MK-XS-M-003, MK-XS-M-004</t>
        </is>
      </c>
    </row>
    <row r="10" ht="60" customHeight="1">
      <c r="A10" s="3" t="inlineStr">
        <is>
          <t>MK-XS-I-009</t>
        </is>
      </c>
      <c r="B10" s="3" t="inlineStr">
        <is>
          <t>transaction date</t>
        </is>
      </c>
      <c r="C10" s="3" t="inlineStr">
        <is>
          <t>—</t>
        </is>
      </c>
      <c r="D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MK-MN-M-030, MK-NW-M-001, MK-NW-M-002, MK-NW-M-003, MK-NW-M-004, MK-NW-M-005, MK-NW-M-006, MK-NW-M-007, MK-NW-M-008, MK-NW-M-009, MK-NW-M-011, MK-NW-M-012, MK-NW-M-015, MK-NW-M-017, MK-NW-M-046, MK-NW-M-047, MK-NW-M-048,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19" s="3" t="inlineStr">
        <is>
          <t>PARTLY AGREES — declared but not reached: MK-PL-M-017, MK-PL-M-019  |  reached but not declared: MK-CF-M-022, MK-MN-M-016, MK-MN-M-022, MK-NW-M-001, MK-NW-M-002, MK-NW-M-003, MK-NW-M-004, MK-NW-M-005, MK-NW-M-006, MK-NW-M-007, MK-NW-M-008, MK-NW-M-009, MK-NW-M-011, MK-NW-M-015, MK-NW-M-016, MK-NW-M-017,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MK-MN-M-022 · MK-NW-M-001 · MK-NW-M-002 · MK-NW-M-003 · MK-NW-M-004 · MK-NW-M-005 · MK-NW-M-006 · MK-NW-M-007 · MK-NW-M-008 · MK-NW-M-009 · MK-NW-M-011 · MK-NW-M-015 · MK-NW-M-016 · MK-NW-M-017 · MK-PL-M-008 · MK-PL-M-011 · MK-PL-M-017 · MK-PL-M-019 · MK-PL-M-029 · MK-PL-M-034 · MK-XS-M-001 · MK-XS-M-002 · MK-XS-M-003</t>
        </is>
      </c>
      <c r="E22" s="3" t="inlineStr">
        <is>
          <t>PARTLY AGREES — declared but not reached: MK-CF-M-030  |  reached but not declared: MK-MN-M-016, MK-MN-M-022, MK-NW-M-001, MK-NW-M-002, MK-NW-M-003, MK-NW-M-004, MK-NW-M-005, MK-NW-M-006, MK-NW-M-007, MK-NW-M-008, MK-NW-M-009, MK-NW-M-011, MK-NW-M-015, MK-NW-M-016, MK-NW-M-017,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MK-MN-M-022, MK-MN-M-024, MK-MN-M-025, MK-MN-M-030, MK-NW-M-001, MK-NW-M-002, MK-NW-M-003, MK-NW-M-004, MK-NW-M-005, MK-NW-M-006, MK-NW-M-007, MK-NW-M-008, MK-NW-M-009, MK-NW-M-011, MK-NW-M-012, MK-NW-M-015, MK-NW-M-016, MK-NW-M-017, MK-NW-M-046, MK-NW-M-047, MK-NW-M-048,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MK-MN-M-022,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MK-PF-M-002, MK-PF-M-003, MK-PF-M-005, MK-PF-M-006, MK-PF-M-007, MK-PF-M-008,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MK-MN-M-022 · MK-NW-M-001 · MK-NW-M-002 · MK-NW-M-003 · MK-NW-M-004 · MK-NW-M-005 · MK-NW-M-006 · MK-NW-M-007 · MK-NW-M-008 · MK-NW-M-009 · MK-NW-M-011 · MK-NW-M-015 · MK-NW-M-016 · MK-NW-M-017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MK-PL-M-008 · MK-PL-M-009 · MK-PL-M-011 · MK-PL-M-026 · MK-PL-M-029 · MK-PL-M-033 · MK-PL-M-034 · MK-XS-M-001 · MK-XS-M-002 · MK-XS-M-003 · MK-XS-M-004 · MK-XS-M-005 · MK-XS-M-006</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MK-MN-M-022, MK-MN-M-024, MK-MN-M-025, MK-MN-M-027, MK-MN-M-030, MK-NW-M-001, MK-NW-M-002, MK-NW-M-003, MK-NW-M-004, MK-NW-M-005, MK-NW-M-006, MK-NW-M-007, MK-NW-M-008, MK-NW-M-009, MK-NW-M-011, MK-NW-M-012, MK-NW-M-015, MK-NW-M-016, MK-NW-M-017, MK-NW-M-046, MK-NW-M-047, MK-NW-M-048,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MK-NW-M-006, MK-NW-M-007, MK-NW-M-008, MK-NW-M-009, MK-NW-M-011, MK-NW-M-012, MK-NW-M-015, MK-NW-M-016, MK-NW-M-017, MK-NW-M-046, MK-NW-M-047, MK-NW-M-048, MK-PF-M-001, MK-PF-M-002, MK-PF-M-003, MK-PF-M-004, MK-PF-M-005, MK-PF-M-006, MK-PF-M-007, MK-PF-M-008,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MK-MN-M-022, MK-MN-M-024, MK-MN-M-025, MK-MN-M-030, MK-NW-M-001, MK-NW-M-002, MK-NW-M-003, MK-NW-M-004, MK-NW-M-005, MK-NW-M-006, MK-NW-M-007, MK-NW-M-008, MK-NW-M-009, MK-NW-M-011, MK-NW-M-012, MK-NW-M-015, MK-NW-M-016, MK-NW-M-017, MK-NW-M-046, MK-NW-M-047, MK-NW-M-048,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MK-MN-M-022 · MK-NW-M-001 · MK-NW-M-002 · MK-NW-M-003 · MK-NW-M-004 · MK-NW-M-005 · MK-NW-M-006 · MK-NW-M-007 · MK-NW-M-008 · MK-NW-M-009 · MK-NW-M-011 · MK-NW-M-015 · MK-NW-M-016 · MK-NW-M-017 · MK-PL-M-008 · MK-PL-M-009 · MK-PL-M-011 · MK-PL-M-029 · MK-PL-M-034 · MK-XS-M-001 · MK-XS-M-002 · MK-XS-M-003</t>
        </is>
      </c>
      <c r="E45" s="3" t="inlineStr">
        <is>
          <t>PARTLY AGREES — reached but not declared: MK-MN-M-016, MK-MN-M-022, MK-NW-M-001, MK-NW-M-002, MK-NW-M-003, MK-NW-M-004, MK-NW-M-005, MK-NW-M-006, MK-NW-M-007, MK-NW-M-008, MK-NW-M-009, MK-NW-M-011, MK-NW-M-015, MK-NW-M-016, MK-NW-M-017,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MK-MN-M-023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MK-PF-M-002 · MK-PF-M-003 · MK-PF-M-005 · MK-PF-M-006 · MK-PF-M-007 · MK-PF-M-008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MK-MN-M-022 · MK-NW-M-001 · MK-NW-M-002 · MK-NW-M-003 · MK-NW-M-004 · MK-NW-M-005 · MK-NW-M-006 · MK-NW-M-007 · MK-NW-M-008 · MK-NW-M-009 · MK-NW-M-011 · MK-NW-M-015 · MK-NW-M-016 · MK-NW-M-017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MK-PF-M-002 · MK-PF-M-003 · MK-PF-M-005 · MK-PF-M-006 · MK-PF-M-007 · MK-PF-M-008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t>
        </is>
      </c>
      <c r="D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E66" s="3" t="inlineStr">
        <is>
          <t>REACHED BUT NOT DECLARED — functions reading this input serve these figures, but no figure lists it among its inputs.</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79"/>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MK-CF-F-155 cash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MK-CF-F-155 cash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MK-CF-F-155 cash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289</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MK-NW-O-001 theBonds
16. MK-XS-F-122 n
17. MK-CF-F-203 MONTH
18. MK-CF-F-132 map
19. MK-CF-F-193 inflowSourceWord
20. MK-CF-F-022 paymentShape
21. MK-CF-F-092 incomeMonthlyGrid
22. MK-CF-F-011 savingsByMonth
23. MK-NW-F-057 annualCoupon
24. MK-ST-F-048 currencySymbol
25. MK-ST-F-039 on
26. MK-ST-F-027 accountId
27. MK-NW-F-056 bondInfo
28. MK-NW-F-064 bondRateSensitivity
29. MK-NW-F-061 bondSummary
30. MK-NW-F-055 isBond
31. MK-NW-F-072 rowOf
32. MK-CF-O-010 theMonth
33. MK-CF-F-021 defaultPaymentType
34. MK-CF-F-069 benefitActiveMonths
35. MK-CF-F-072 currentRetirementIncomeMonthly
36. MK-CF-F-065 equityVestWeights
37. MK-CF-F-071 extraIncome
38. MK-ST-F-056 has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MK-CF-F-008 spendByMonth
50. MK-ST-F-047 activeCurrency
51. MK-NW-F-060 approxYTM
52. MK-NW-F-069 priceAtYield
53. MK-NW-F-011 assetClassOf
54. MK-NW-F-070 accruedInterestCaveat
55. MK-NW-F-071 isCertificateOfDeposit
56. MK-NW-F-058 yearsToMaturity
57. MK-CF-O-002 expenses
58. MK-CF-O-003 thisMonth
59. MK-CF-F-075 retirementIncomeMonthly
60. MK-CF-F-062 equityRowValue
61. MK-CF-F-070 benefitAnnual
62. MK-CF-F-176 sumMonthsOverEarners
63. MK-CF-F-177 wageGrossByMonth
64. MK-CF-F-090 effectiveRate
65. MK-CF-F-085 filingStatusOf
66. MK-CF-F-089 over65CountOf
67. MK-CF-F-098 progressiveMonthlyTax
68. MK-CF-F-086 stateRateOf
69. MK-CF-F-173 earnerWages
70. MK-CF-F-102 effectiveRateOnGrossFor
71. MK-CF-F-180 enteredLandsAnnual
72. MK-CF-F-082 salaryAnnual
73. MK-CF-F-084 taxableAnnual
74. MK-CF-F-067 rentalList
75. MK-CF-F-063 rowVestYear
76. MK-CF-F-120 pctBaseMonthly
77. MK-CF-F-004 spendBuckets
78. MK-NW-F-008 incomeBearingClassOf
79. MK-CF-F-151 actualSpending
80. MK-CF-F-150 debtPaymentsCountedAsExpenses
81. MK-CF-F-153 radar
82. MK-CF-F-149 recurringDebtPayments
83. MK-CF-F-156 plannedMonthFlow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MK-CF-F-155 cash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MK-CF-F-155 cash
75. MK-CF-F-157 debtPaymentsByDebt
76. MK-CF-F-192 inflowLabel
77. MK-NW-F-077 ALL
78. MK-NW-F-059 currentYield
79. MK-XS-F-180 declareFigures
80. MK-ST-F-049 formatMoney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465</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519</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MK-CF-F-155 cash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549</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MK-CF-F-155 cash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587</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641</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MK-CF-F-155 cash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679</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695</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712</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107</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MK-CF-O-003 thisMonth
76. MK-CF-F-005 actualMonthFlow
77. MK-CF-F-156 plannedMonthFlow
78. MK-NW-F-078 ONE
79. MK-CF-F-155 cash
80. MK-CF-F-157 debtPaymentsByDebt
81. MK-CF-F-192 inflowLabel
82. MK-NW-F-077 ALL
83. MK-NW-F-059 currentYield
84. MK-XS-F-180 declareFigures
85. MK-ST-F-049 formatMoney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MK-CF-O-003 thisMonth
72. MK-CF-F-005 actualMonthFlow
73. MK-CF-F-156 plannedMonthFlow
74. MK-NW-F-078 ONE
75. MK-CF-F-155 cash
76. MK-CF-F-157 debtPaymentsByDebt
77. MK-CF-F-192 inflowLabel
78. MK-NW-F-077 ALL
79. MK-NW-F-059 currentYield
80. MK-XS-F-180 declareFigures
81. MK-ST-F-049 formatMoney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169</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MK-NW-F-078 ONE
93. MK-CF-F-157 debtPaymentsByDebt
94. MK-CF-F-192 inflowLabel
95. MK-XS-F-027 takeHomeMonthly
96. MK-NW-F-077 ALL
97. MK-NW-F-059 currentYield
98. MK-NW-O-001 theBonds
99. MK-CF-F-193 inflowSourceWord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202</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228</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252</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293</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331</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399</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428</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468</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521</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596</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639</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178</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MK-NW-F-078 ONE
155. MK-CF-F-157 debtPaymentsByDebt
156. MK-CF-F-192 inflowLabel
157. MK-XS-F-027 takeHomeMonthly
158. MK-NW-F-077 ALL
159. MK-NW-F-059 currentYield
160. MK-NW-O-001 theBonds
161. MK-CF-F-193 inflowSourceWord
162. MK-CF-F-011 savingsByMonth
163. MK-NW-F-057 annualCoupon
164. MK-NW-F-056 bondInfo
165. MK-NW-F-064 bondRateSensitivity
166. MK-NW-F-061 bondSummary
167. MK-NW-F-055 isBond
168. MK-NW-F-072 rowOf
169. MK-CF-F-008 spendByMonth
170. MK-NW-F-060 approxYTM
171. MK-NW-F-069 priceAtYield
172. MK-NW-F-011 assetClassOf
173. MK-NW-F-070 accruedInterestCaveat
174. MK-NW-F-071 isCertificateOfDeposit
175. MK-NW-F-058 yearsToMaturity
176. MK-CF-F-120 pctBaseMonthly
177. MK-CF-F-004 spendBuckets
178.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688</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737</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772</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788</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805</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180</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729</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764</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803</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847</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889</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939</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981</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1050</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1122</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1156</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1193</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1226</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1268</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1313</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1359</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1403</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100</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MK-CF-O-002 expenses
29. MK-CF-O-003 thisMonth
30. MK-CF-F-099 deductionFor
31. MK-CF-F-172 hasWage
32. MK-CF-F-074 tipsAnnual
33. MK-CF-F-075 retirementIncomeMonthly
34. MK-CF-F-062 equityRowValue
35. MK-CF-F-070 benefitAnnual
36. MK-ST-F-039 on
37. MK-CF-F-176 sumMonthsOverEarners
38. MK-CF-F-177 wageGrossByMonth
39. MK-CF-F-067 rentalList
40. MK-CF-F-063 rowVestYear
41. MK-CF-F-151 actualSpending
42. MK-CF-F-150 debtPaymentsCountedAsExpenses
43. MK-CF-F-153 radar
44. MK-CF-F-149 recurringDebtPayments
45. MK-CF-F-005 actualMonthFlow
46. MK-CF-F-156 plannedMonthFlow
47. MK-CF-F-187 seniorDeductionFor
48. MK-ST-F-056 has
49. MK-CF-F-081 salaryActiveMonths
50. MK-CF-F-069 benefitActiveMonths
51. MK-CF-F-130 enteredMonthlyRaw
52. MK-CF-F-166 hasMonthlySalaryTable
53. MK-ST-F-036 reconcile
54. MK-CF-F-167 salaryCalendarYear
55. MK-CF-F-148 inMonth
56. MK-CF-F-191 ym
57. MK-CF-F-022 paymentShape
58. MK-CF-F-152 isRadarItem
59. MK-CF-F-023 requiredPayment
60. MK-NW-F-078 ONE
61. MK-CF-F-155 cash
62. MK-CF-F-157 debtPaymentsByDebt
63. MK-CF-F-192 inflowLabel
64. MK-XS-F-027 takeHomeMonthly
65. MK-CF-F-165 salaryMonths
66. MK-CF-F-021 defaultPaymentType
67. MK-NW-F-077 ALL
68. MK-NW-F-059 currentYield
69. MK-XS-F-180 declareFigures
70. MK-ST-F-049 formatMoney
71. MK-NW-O-001 theBonds
72. MK-CF-F-193 inflowSourceWord
73. MK-CF-F-092 incomeMonthlyGrid
74. MK-CF-F-011 savingsByMonth
75. MK-NW-F-057 annualCoupon
76. MK-ST-F-048 currencySymbol
77. MK-ST-F-027 accountId
78. MK-NW-F-056 bondInfo
79. MK-NW-F-064 bondRateSensitivity
80. MK-NW-F-061 bondSummary
81. MK-NW-F-055 isBond
82. MK-NW-F-072 rowOf
83. MK-CF-F-077 scholarshipByCalendarMonth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MK-CF-F-148 inMonth → MK-CF-F-151 actualSpending → MK-CF-O-002 expenses → MK-CF-O-010 theMonth → MK-CF-F-203 MONTH → MK-CF-F-087 monthlyTaxRates
3. MK-ST-F-052 toNum → MK-CF-F-151 actualSpending → MK-CF-O-002 expenses → MK-CF-O-010 theMonth → MK-CF-F-203 MONTH → MK-CF-F-087 monthlyTaxRates
4. MK-CF-F-191 ym → MK-CF-F-151 actualSpending → MK-CF-O-002 expenses → MK-CF-O-010 theMonth → MK-CF-F-203 MONTH → MK-CF-F-087 monthlyTaxRates
5. MK-ST-F-056 has → MK-CF-F-150 debtPaymentsCountedAsExpenses → MK-CF-O-002 expenses → MK-CF-O-010 theMonth → MK-CF-F-203 MONTH → MK-CF-F-087 monthlyTaxRates
6. MK-CF-F-148 inMonth → MK-CF-F-150 debtPaymentsCountedAsExpenses → MK-CF-O-002 expenses → MK-CF-O-010 theMonth → MK-CF-F-203 MONTH → MK-CF-F-087 monthlyTaxRates
7. MK-CF-F-022 paymentShape → MK-CF-F-150 debtPaymentsCountedAsExpenses → MK-CF-O-002 expenses → MK-CF-O-010 theMonth → MK-CF-F-203 MONTH → MK-CF-F-087 monthlyTaxRates
8. MK-ST-F-052 toNum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1530</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1604</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1647</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1681</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100</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MK-CF-F-155 cash
67. MK-CF-F-157 debtPaymentsByDebt
68. MK-CF-F-192 inflowLabel
69. MK-XS-F-027 takeHomeMonthly
70. MK-NW-F-077 ALL
71. MK-NW-F-059 currentYield
72. MK-XS-F-180 declareFigures
73. MK-ST-F-049 formatMoney
74. MK-NW-O-001 theBonds
75. MK-CF-F-193 inflowSourceWord
76. MK-CF-F-011 savingsByMonth
77. MK-NW-F-057 annualCoupon
78. MK-ST-F-048 currencySymbol
79. MK-ST-F-027 accountId
80. MK-NW-F-056 bondInfo
81. MK-NW-F-064 bondRateSensitivity
82. MK-NW-F-061 bondSummary
83. MK-NW-F-055 isBond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MK-CF-O-003 thisMonth
83. MK-ST-F-047 activeCurrency
84. MK-CF-F-099 deductionFor
85. MK-CF-F-172 hasWage
86. MK-CF-F-074 tipsAnnual
87. MK-CF-F-070 benefitAnnual
88. MK-CF-F-165 salaryMonths
89. MK-CF-F-077 scholarshipByCalendarMonth
90. MK-PL-F-012 waterfall
91. MK-XS-F-027 takeHomeMonthly
92. MK-CF-F-155 cash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544</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583</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616</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652</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694</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734</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799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MK-CF-F-155 cash
68. MK-CF-F-157 debtPaymentsByDebt
69. MK-CF-F-192 inflowLabel
70. MK-XS-F-027 takeHomeMonthly
71. MK-NW-F-077 ALL
72. MK-NW-F-059 currentYield
73. MK-XS-F-180 declareFigures
74. MK-ST-F-049 formatMoney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120</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153</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189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212</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252</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301</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349</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394</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209</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248</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188</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227</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MK-NW-O-001 theBonds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383</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MK-CF-O-002 expenses
9. MK-CF-O-003 thisMonth
10. MK-CF-F-151 actualSpending
11. MK-CF-F-150 debtPaymentsCountedAsExpenses
12. MK-CF-F-153 radar
13. MK-CF-F-149 recurringDebtPayments
14. MK-CF-F-005 actualMonthFlow
15. MK-CF-F-156 plannedMonthFlow
16. MK-ST-F-056 has
17. MK-CF-F-022 paymentShape
18. MK-CF-F-152 isRadarItem
19. MK-CF-F-023 requiredPayment
20. MK-NW-F-078 ONE
21. MK-CF-F-155 cash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MK-CF-F-148 inMonth → MK-CF-F-151 actualSpending → MK-CF-O-002 expenses → MK-CF-O-010 theMonth → MK-CF-F-203 MONTH → MK-CF-F-157 debtPaymentsByDebt
3. MK-ST-F-052 toNum → MK-CF-F-151 actualSpending → MK-CF-O-002 expenses → MK-CF-O-010 theMonth → MK-CF-F-203 MONTH → MK-CF-F-157 debtPaymentsByDebt
4. MK-CF-F-191 ym → MK-CF-F-151 actualSpending → MK-CF-O-002 expenses → MK-CF-O-010 theMonth → MK-CF-F-203 MONTH → MK-CF-F-157 debtPaymentsByDebt
5. MK-ST-F-056 has → MK-CF-F-150 debtPaymentsCountedAsExpenses → MK-CF-O-002 expenses → MK-CF-O-010 theMonth → MK-CF-F-203 MONTH → MK-CF-F-157 debtPaymentsByDebt
6. MK-CF-F-148 inMonth → MK-CF-F-150 debtPaymentsCountedAsExpenses → MK-CF-O-002 expenses → MK-CF-O-010 theMonth → MK-CF-F-203 MONTH → MK-CF-F-157 debtPaymentsByDebt
7. MK-CF-F-022 paymentShape → MK-CF-F-150 debtPaymentsCountedAsExpenses → MK-CF-O-002 expenses → MK-CF-O-010 theMonth → MK-CF-F-203 MONTH → MK-CF-F-157 debtPaymentsByDebt
8. MK-ST-F-052 toNum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642</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527</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104</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136</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165</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201</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1059</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233</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136</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93</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136</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56</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1018</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161</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MK-CF-O-002 expenses
8. MK-CF-O-003 thisMonth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MK-CF-F-155 cash
25. MK-CF-F-157 debtPaymentsByDebt
26. MK-CF-F-192 inflowLabel
27. MK-XS-F-027 takeHomeMonthly
28. MK-XS-F-122 n
29. MK-CF-F-021 defaultPaymentType
30. MK-NW-F-077 ALL
31. MK-NW-F-059 currentYield
32. MK-ST-F-049 formatMoney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MK-CF-O-002 expenses → MK-CF-O-010 theMonth → MK-CF-F-203 MONTH → MK-CF-F-204 line → MK-CF-O-006 theCreditLine → MK-CF-F-200 LINE
5. MK-CF-O-003 thisMonth → MK-CF-O-010 theMonth → MK-CF-F-203 MONTH → MK-CF-F-204 line → MK-CF-O-006 theCreditLine → MK-CF-F-200 LINE
6.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92</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121</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MK-NW-F-078 ONE
92. MK-CF-F-157 debtPaymentsByDebt
93. MK-CF-F-192 inflowLabel
94. MK-XS-F-027 takeHomeMonthly
95. MK-NW-F-077 ALL
96. MK-NW-F-059 currentYield
97. MK-NW-O-001 theBonds
98. MK-CF-F-193 inflowSourceWord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165</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MK-CF-O-002 expenses
3. MK-CF-O-003 thisMonth
4. MK-CF-F-151 actualSpending
5. MK-CF-F-150 debtPaymentsCountedAsExpenses
6. MK-CF-F-153 radar
7. MK-CF-F-149 recurringDebtPayments
8. MK-CF-F-005 actualMonthFlow
9. MK-CF-F-156 plannedMonthFlow
10. MK-CF-F-148 inMonth
11. MK-ST-F-052 toNum
12. MK-CF-F-191 ym
13. MK-ST-F-056 has
14. MK-CF-F-022 paymentShape
15. MK-CF-F-152 isRadarItem
16. MK-CF-F-023 requiredPayment
17. MK-CF-F-132 map
18. MK-NW-F-078 ONE
19. MK-CF-F-155 cash
20. MK-CF-F-157 debtPaymentsByDebt
21. MK-CF-F-192 inflowLabel
22. MK-XS-F-027 takeHomeMonthly
23. MK-XS-F-122 n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196" s="3" t="inlineStr">
        <is>
          <t>1. MONTH (already above — a loop) → MK-CF-O-010 theMonth → MK-CF-F-203 MONTH
2. MK-CF-F-191 ym → MK-CF-F-148 inMonth → MK-CF-F-151 actualSpending → MK-CF-O-002 expenses → MK-CF-O-010 theMonth → MK-CF-F-203 MONTH
3. MK-XS-F-122 n → MK-ST-F-052 toNum → MK-CF-F-151 actualSpending → MK-CF-O-002 expenses → MK-CF-O-010 theMonth → MK-CF-F-203 MONTH
4. MK-CF-F-191 ym → MK-CF-F-151 actualSpending → MK-CF-O-002 expenses → MK-CF-O-010 theMonth → MK-CF-F-203 MONTH
5. MK-ST-F-056 has → MK-CF-F-150 debtPaymentsCountedAsExpenses → MK-CF-O-002 expenses → MK-CF-O-010 theMonth → MK-CF-F-203 MONTH
6. MK-CF-F-191 ym → MK-CF-F-148 inMonth → MK-CF-F-150 debtPaymentsCountedAsExpenses → MK-CF-O-002 expenses → MK-CF-O-010 theMonth → MK-CF-F-203 MONTH
7. MK-CF-F-021 defaultPaymentType → MK-CF-F-022 paymentShape → MK-CF-F-150 debtPaymentsCountedAsExpenses → MK-CF-O-002 expenses → MK-CF-O-010 theMonth → MK-CF-F-203 MONTH
8. MK-XS-F-122 n → MK-ST-F-052 toNum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199</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MK-CF-O-002 expenses
5. MK-CF-O-003 thisMonth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MK-CF-F-155 cash
22. MK-CF-F-157 debtPaymentsByDebt
23. MK-CF-F-192 inflowLabel
24. MK-XS-F-027 takeHomeMonthly
25. MK-XS-F-122 n
26. MK-CF-F-021 defaultPaymentType
27. MK-NW-F-077 ALL
28. MK-NW-F-059 currentYield
29. MK-ST-F-049 formatMoney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7" s="3" t="inlineStr">
        <is>
          <t>1. MONTH (already above — a loop) → MK-CF-O-010 theMonth → MK-CF-F-203 MONTH → MK-CF-F-204 line
2. MK-CF-F-148 inMonth → MK-CF-F-151 actualSpending → MK-CF-O-002 expenses → MK-CF-O-010 theMonth → MK-CF-F-203 MONTH → MK-CF-F-204 line
3. MK-ST-F-052 toNum → MK-CF-F-151 actualSpending → MK-CF-O-002 expenses → MK-CF-O-010 theMonth → MK-CF-F-203 MONTH → MK-CF-F-204 line
4. MK-CF-F-191 ym → MK-CF-F-151 actualSpending → MK-CF-O-002 expenses → MK-CF-O-010 theMonth → MK-CF-F-203 MONTH → MK-CF-F-204 line
5. MK-ST-F-056 has → MK-CF-F-150 debtPaymentsCountedAsExpenses → MK-CF-O-002 expenses → MK-CF-O-010 theMonth → MK-CF-F-203 MONTH → MK-CF-F-204 line
6. MK-CF-F-148 inMonth → MK-CF-F-150 debtPaymentsCountedAsExpenses → MK-CF-O-002 expenses → MK-CF-O-010 theMonth → MK-CF-F-203 MONTH → MK-CF-F-204 line
7. MK-CF-F-022 paymentShape → MK-CF-F-150 debtPaymentsCountedAsExpenses → MK-CF-O-002 expenses → MK-CF-O-010 theMonth → MK-CF-F-203 MONTH → MK-CF-F-204 line
8. MK-ST-F-052 toNum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135</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109</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MK-CF-O-003 thisMonth
79. MK-CF-F-005 actualMonthFlow
80. MK-CF-F-156 plannedMonthFlow
81. MK-NW-F-078 ONE
82. MK-CF-F-155 cash
83. MK-CF-F-157 debtPaymentsByDebt
84. MK-CF-F-192 inflowLabel
85. MK-NW-F-077 ALL
86. MK-NW-F-059 currentYield
87. MK-ST-F-049 formatMoney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1476</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881</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118</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323</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620</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100</v>
      </c>
      <c r="Q202"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MK-NW-O-001 theBonds
18. MK-XS-F-122 n
19. MK-CF-F-203 MONTH
20. MK-CF-F-132 map
21. MK-CF-F-193 inflowSourceWord
22. MK-CF-F-022 paymentShape
23. MK-CF-F-092 incomeMonthlyGrid
24. MK-CF-F-011 savingsByMonth
25. MK-NW-F-057 annualCoupon
26. MK-ST-F-048 currencySymbol
27. MK-ST-F-039 on
28. MK-ST-F-027 accountId
29. MK-NW-F-056 bondInfo
30. MK-NW-F-064 bondRateSensitivity
31. MK-NW-F-061 bondSummary
32. MK-NW-F-055 isBond
33. MK-NW-F-072 rowOf
34. MK-CF-O-010 theMonth
35. MK-CF-F-021 defaultPaymentType
36. MK-CF-F-069 benefitActiveMonths
37. MK-CF-F-072 currentRetirementIncomeMonthly
38. MK-CF-F-065 equityVestWeights
39. MK-CF-F-071 extraIncome
40. MK-ST-F-056 has
41. MK-CF-F-206 householdK401ByMonth
42. MK-CF-F-087 monthlyTaxRates
43. MK-CF-F-073 otherIncomeMonth
44. MK-CF-F-181 rateInForce
45. MK-CF-F-068 rentalNetAnnual
46. MK-CF-F-066 rsuAnnual
47. MK-CF-F-060 salaryGrossByMonth
48. MK-CF-F-077 scholarshipByCalendarMonth
49. MK-CF-F-088 taxableByCalendarMonth
50. MK-PL-F-012 waterfall
51. MK-CF-F-008 spendByMonth
52. MK-ST-F-047 activeCurrency
53. MK-NW-F-060 approxYTM
54. MK-NW-F-069 priceAtYield
55. MK-NW-F-011 assetClassOf
56. MK-NW-F-070 accruedInterestCaveat
57. MK-NW-F-071 isCertificateOfDeposit
58. MK-NW-F-058 yearsToMaturity
59. MK-CF-O-002 expenses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202"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243</v>
      </c>
      <c r="E203" s="3" t="inlineStr">
        <is>
          <t>2 · DISPLAYED</t>
        </is>
      </c>
      <c r="F203" s="3" t="inlineStr">
        <is>
          <t>── ORCHESTRATOR ──────────────────────────────────────────────────────────────────────────── WHAT IS THIS HOUSEHOLD'S INCOME?</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120</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input: { profile: any }</t>
        </is>
      </c>
      <c r="K204" s="3" t="inlineStr">
        <is>
          <t>ContributionRoom</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90</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103</v>
      </c>
      <c r="Q205" s="3" t="inlineStr">
        <is>
          <t>1. MK-CF-F-031 creditUtilization
2. MK-CF-F-204 line
3. MK-CF-F-203 MONTH
4. MK-XS-F-180 declareFigures
5. MK-CF-O-010 theMonth
6. MK-CF-O-002 expenses
7. MK-CF-O-003 thisMonth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MK-CF-F-155 cash
24. MK-CF-F-157 debtPaymentsByDebt
25. MK-CF-F-192 inflowLabel
26. MK-XS-F-027 takeHomeMonthly
27. MK-XS-F-122 n
28. MK-CF-F-021 defaultPaymentType
29. MK-NW-F-077 ALL
30. MK-NW-F-059 currentYield
31. MK-ST-F-049 formatMoney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05" s="3" t="inlineStr">
        <is>
          <t>1. MK-CF-F-031 creditUtilization → MK-CF-O-006 theCreditLine
2. MONTH (already above — a loop) → MK-CF-O-010 theMonth → MK-CF-F-203 MONTH → MK-CF-F-204 line → MK-CF-O-006 theCreditLine
3. MK-CF-F-151 actualSpending → MK-CF-O-002 expenses → MK-CF-O-010 theMonth → MK-CF-F-203 MONTH → MK-CF-F-204 line → MK-CF-O-006 theCreditLine
4. MK-CF-F-150 debtPaymentsCountedAsExpenses → MK-CF-O-002 expenses → MK-CF-O-010 theMonth → MK-CF-F-203 MONTH → MK-CF-F-204 line → MK-CF-O-006 theCreditLine
5. MK-CF-F-153 radar → MK-CF-O-002 expenses → MK-CF-O-010 theMonth → MK-CF-F-203 MONTH → MK-CF-F-204 line → MK-CF-O-006 theCreditLine
6. MK-CF-F-149 recurringDebtPayments → MK-CF-O-002 expenses → MK-CF-O-010 theMonth → MK-CF-F-203 MONTH → MK-CF-F-204 line → MK-CF-O-006 theCreditLine
7. MK-CF-F-005 actualMonthFlow → MK-CF-O-003 thisMonth → MK-CF-O-010 theMonth → MK-CF-F-203 MONTH → MK-CF-F-204 line → MK-CF-O-006 theCreditLine
8. MK-CF-F-156 plannedMonthFlow → MK-CF-O-003 thisMonth → MK-CF-O-010 theMonth → MK-CF-F-203 MONTH → MK-CF-F-204 line → MK-CF-O-006 theCreditLine
9. … and 1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77</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108</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MK-CF-O-003 thisMonth
77. MK-CF-F-005 actualMonthFlow
78. MK-CF-F-156 plannedMonthFlow
79. MK-NW-F-078 ONE
80. MK-CF-F-155 cash
81. MK-CF-F-157 debtPaymentsByDebt
82. MK-CF-F-192 inflowLabel
83. MK-NW-F-077 ALL
84. MK-NW-F-059 currentYield
85. MK-XS-F-180 declareFigures
86. MK-ST-F-049 formatMoney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97</v>
      </c>
      <c r="E208" s="3" t="inlineStr">
        <is>
          <t>2 · DISPLAYED</t>
        </is>
      </c>
      <c r="F208" s="3" t="inlineStr">
        <is>
          <t>── ORCHESTRATOR ───────────────────────────────────────────────────────────────────── The one function a screen calls for this question.</t>
        </is>
      </c>
      <c r="G208" s="11" t="inlineStr">
        <is>
          <t>flow = this month(input)
the answer:
planned = flow.planned
actual = flow.actual
expenses = expenses(input)</t>
        </is>
      </c>
      <c r="H208" s="3" t="inlineStr">
        <is>
          <t>Flow is this month(input). The answer is planned = flow.planned; actual = flow.actual; expenses = expenses(input).</t>
        </is>
      </c>
      <c r="I208" s="3" t="inlineStr">
        <is>
          <t>READ FROM THE CODE — rendered from the expressions the function runs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None found in this function — anything it assumes comes from the functions it depends on.</t>
        </is>
      </c>
      <c r="N208" s="3" t="inlineStr">
        <is>
          <t>Yes</t>
        </is>
      </c>
      <c r="O208" s="3" t="inlineStr">
        <is>
          <t>1. MK-CF-F-203 MONTH
2. MK-CF-O-002 expenses
3. MK-CF-O-003 thisMonth</t>
        </is>
      </c>
      <c r="P208" s="3" t="n">
        <v>100</v>
      </c>
      <c r="Q208" s="3" t="inlineStr">
        <is>
          <t>1. MK-CF-F-203 MONTH
2. MK-CF-O-002 expenses
3. MK-CF-O-003 thisMonth
4. MK-CF-F-151 actualSpending
5. MK-CF-F-150 debtPaymentsCountedAsExpenses
6. MK-CF-F-153 radar
7. MK-CF-F-149 recurringDebtPayments
8. MK-CF-F-005 actualMonthFlow
9. MK-CF-F-156 plannedMonthFlow
10. MK-CF-F-148 inMonth
11. MK-ST-F-052 toNum
12. MK-CF-F-191 ym
13. MK-ST-F-056 has
14. MK-CF-F-022 paymentShape
15. MK-CF-F-152 isRadarItem
16. MK-CF-F-023 requiredPayment
17. MK-CF-F-132 map
18. MK-NW-F-078 ONE
19. MK-CF-F-155 cash
20. MK-CF-F-157 debtPaymentsByDebt
21. MK-CF-F-192 inflowLabel
22. MK-XS-F-027 takeHomeMonthly
23. MK-XS-F-122 n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208" s="3" t="inlineStr">
        <is>
          <t>1. theMonth (already above — a loop) → MK-CF-F-203 MONTH → MK-CF-O-010 theMonth
2. MK-CF-F-191 ym → MK-CF-F-148 inMonth → MK-CF-F-151 actualSpending → MK-CF-O-002 expenses → MK-CF-O-010 theMonth
3. MK-XS-F-122 n → MK-ST-F-052 toNum → MK-CF-F-151 actualSpending → MK-CF-O-002 expenses → MK-CF-O-010 theMonth
4. MK-CF-F-191 ym → MK-CF-F-151 actualSpending → MK-CF-O-002 expenses → MK-CF-O-010 theMonth
5. MK-ST-F-056 has → MK-CF-F-150 debtPaymentsCountedAsExpenses → MK-CF-O-002 expenses → MK-CF-O-010 theMonth
6. MK-CF-F-191 ym → MK-CF-F-148 inMonth → MK-CF-F-150 debtPaymentsCountedAsExpenses → MK-CF-O-002 expenses → MK-CF-O-010 theMonth
7. MK-CF-F-021 defaultPaymentType → MK-CF-F-022 paymentShape → MK-CF-F-150 debtPaymentsCountedAsExpenses → MK-CF-O-002 expenses → MK-CF-O-010 theMonth
8. MK-XS-F-122 n → MK-ST-F-052 toNum → MK-CF-F-150 debtPaymentsCountedAsExpenses → MK-CF-O-002 expenses → MK-CF-O-010 theMonth
9. … and 5 more paths</t>
        </is>
      </c>
      <c r="S208" s="3" t="inlineStr">
        <is>
          <t>MK-CF-M-001 · MK-CF-M-002 · MK-CF-M-003</t>
        </is>
      </c>
      <c r="T208" s="3" t="inlineStr">
        <is>
          <t>—</t>
        </is>
      </c>
      <c r="U208" s="3" t="inlineStr">
        <is>
          <t>ACTIVE</t>
        </is>
      </c>
      <c r="V208" s="3" t="inlineStr">
        <is>
          <t>2026-09-28</t>
        </is>
      </c>
      <c r="W208" s="3" t="n"/>
      <c r="X208" s="3" t="n"/>
      <c r="Y208" s="3" t="inlineStr">
        <is>
          <t>NOTHING OPEN</t>
        </is>
      </c>
    </row>
    <row r="209" ht="60" customHeight="1">
      <c r="A209" s="3" t="inlineStr">
        <is>
          <t>MK-CF-O-011</t>
        </is>
      </c>
      <c r="B209" s="3" t="inlineStr">
        <is>
          <t>PAY</t>
        </is>
      </c>
      <c r="C209" s="3" t="inlineStr">
        <is>
          <t>MoneyKeel/functions/cashflow/base-pay.ts</t>
        </is>
      </c>
      <c r="D209" s="3" t="n">
        <v>662</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119</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683</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119</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701</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121</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448</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101</v>
      </c>
      <c r="Q212"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2"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MK-ST-F-027 accountId → MK-NW-O-001 theBonds → MK-NW-F-078 ONE → MK-CF-F-005 actualMonthFlow → MK-CF-O-003 thisMonth → MK-CF-O-014 M
8. MK-NW-F-057 annualCoupon → MK-NW-O-001 theBonds → MK-NW-F-078 ONE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466</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102</v>
      </c>
      <c r="Q213"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3"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MK-NW-O-001 theBonds → MK-NW-F-078 ONE → MK-CF-F-005 actualMonthFlow → MK-CF-O-003 thisMonth → MK-CF-O-014 M → MK-CF-O-015 workedLineAmount
6. MK-XS-F-122 n → MK-CF-F-155 cash → MK-CF-F-005 actualMonthFlow → MK-CF-O-003 thisMonth → MK-CF-O-014 M → MK-CF-O-015 workedLineAmount
7. MK-CF-F-203 MONTH → MK-CF-F-157 debtPaymentsByDebt → MK-CF-F-005 actualMonthFlow → MK-CF-O-003 thisMonth → MK-CF-O-014 M → MK-CF-O-015 workedLineAmount
8. MK-CF-F-148 inMonth → MK-CF-F-157 debtPaymentsByDebt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45" customHeight="1">
      <c r="A214" s="3" t="inlineStr">
        <is>
          <t>MK-HM-F-001</t>
        </is>
      </c>
      <c r="B214" s="3" t="inlineStr">
        <is>
          <t>buildInsights</t>
        </is>
      </c>
      <c r="C214" s="3" t="inlineStr">
        <is>
          <t>src/domain/insights/index.ts</t>
        </is>
      </c>
      <c r="D214" s="3" t="n">
        <v>180</v>
      </c>
      <c r="E214" s="3" t="inlineStr">
        <is>
          <t>2 · DISPLAYED</t>
        </is>
      </c>
      <c r="F214" s="3" t="inlineStr">
        <is>
          <t>Ranked insights (highest priority first).</t>
        </is>
      </c>
      <c r="G214" s="11" t="inlineStr">
        <is>
          <t>the first limit of out   if limit ≠ nothing
out   otherwise</t>
        </is>
      </c>
      <c r="H214" s="3" t="inlineStr">
        <is>
          <t>the first limit of out — when limit is not no answer; out — otherwise.</t>
        </is>
      </c>
      <c r="I214" s="3" t="inlineStr">
        <is>
          <t>READ FROM THE CODE — rendered from the expressions the function runs</t>
        </is>
      </c>
      <c r="J214" s="3" t="inlineStr">
        <is>
          <t>1. input: InsightInput
2. limit?: number</t>
        </is>
      </c>
      <c r="K214" s="3" t="inlineStr">
        <is>
          <t>Insight[]</t>
        </is>
      </c>
      <c r="L214" s="3" t="inlineStr">
        <is>
          <t>NOT FOUND — a screen calls it, but the words printed beside its answer could not be traced automatically. Needs reading.</t>
        </is>
      </c>
      <c r="M214" s="3" t="inlineStr">
        <is>
          <t>None found in this function — anything it assumes comes from the functions it depends on.</t>
        </is>
      </c>
      <c r="N214" s="3" t="inlineStr">
        <is>
          <t>Yes</t>
        </is>
      </c>
      <c r="O214" s="3" t="inlineStr">
        <is>
          <t>MK-CF-F-132 map</t>
        </is>
      </c>
      <c r="P214" s="3" t="n">
        <v>1</v>
      </c>
      <c r="Q214" s="3" t="inlineStr">
        <is>
          <t>MK-CF-F-132 map</t>
        </is>
      </c>
      <c r="R214" s="3" t="inlineStr">
        <is>
          <t>MK-CF-F-132 map → MK-HM-F-001 buildInsights</t>
        </is>
      </c>
      <c r="S214" s="3" t="inlineStr">
        <is>
          <t>—</t>
        </is>
      </c>
      <c r="T214" s="3" t="inlineStr">
        <is>
          <t>—</t>
        </is>
      </c>
      <c r="U214" s="3" t="inlineStr">
        <is>
          <t>ACTIVE</t>
        </is>
      </c>
      <c r="V214" s="3" t="inlineStr">
        <is>
          <t>2026-08-27</t>
        </is>
      </c>
      <c r="W214" s="3" t="n"/>
      <c r="X214" s="3" t="n"/>
      <c r="Y214" s="3" t="inlineStr">
        <is>
          <t>NOTHING OPEN</t>
        </is>
      </c>
    </row>
    <row r="215" ht="45" customHeight="1">
      <c r="A215" s="3" t="inlineStr">
        <is>
          <t>MK-HM-F-002</t>
        </is>
      </c>
      <c r="B215" s="3" t="inlineStr">
        <is>
          <t>milestoneLabel</t>
        </is>
      </c>
      <c r="C215" s="3" t="inlineStr">
        <is>
          <t>src/domain/milestones.ts</t>
        </is>
      </c>
      <c r="D215" s="3" t="n">
        <v>34</v>
      </c>
      <c r="E215" s="3" t="inlineStr">
        <is>
          <t>2 · DISPLAYED</t>
        </is>
      </c>
      <c r="F215" s="3" t="inlineStr">
        <is>
          <t>'$500k' / '$1M' — the label the celebration line uses.</t>
        </is>
      </c>
      <c r="G215" s="11" t="inlineStr">
        <is>
          <t>m = threshold ÷ 1000000
the answer = `$${number.is integer(m) ? m : to fixed(1)}M`</t>
        </is>
      </c>
      <c r="H215" s="3" t="inlineStr">
        <is>
          <t>M is threshold divided by 1000000. The answer is `$${number.is integer(m) ? m : to fixed(1)}M`.</t>
        </is>
      </c>
      <c r="I215" s="3" t="inlineStr">
        <is>
          <t>PARTLY READ — some of the code is still showing through; needs a hand pass</t>
        </is>
      </c>
      <c r="J215" s="3" t="inlineStr">
        <is>
          <t>threshold: number</t>
        </is>
      </c>
      <c r="K215" s="3" t="inlineStr">
        <is>
          <t>string</t>
        </is>
      </c>
      <c r="L215" s="3" t="inlineStr">
        <is>
          <t>NOT FOUND — a screen calls it, but the words printed beside its answer could not be traced automatically. Needs reading.</t>
        </is>
      </c>
      <c r="M215" s="3" t="inlineStr">
        <is>
          <t>1. Rounds the answer to a whole number.
2. Shows 1 decimal place.</t>
        </is>
      </c>
      <c r="N215" s="3" t="inlineStr">
        <is>
          <t>Yes</t>
        </is>
      </c>
      <c r="O215" s="3" t="inlineStr">
        <is>
          <t>—</t>
        </is>
      </c>
      <c r="P215" s="3" t="n">
        <v>0</v>
      </c>
      <c r="Q215" s="3" t="inlineStr">
        <is>
          <t>None — no dependent function stands behind it</t>
        </is>
      </c>
      <c r="R215" s="3" t="inlineStr">
        <is>
          <t>No dependent function — it reads its inputs and answers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MK-HM-F-003</t>
        </is>
      </c>
      <c r="B216" s="3" t="inlineStr">
        <is>
          <t>milestoneFloor</t>
        </is>
      </c>
      <c r="C216" s="3" t="inlineStr">
        <is>
          <t>src/domain/milestones.ts</t>
        </is>
      </c>
      <c r="D216" s="3" t="n">
        <v>65</v>
      </c>
      <c r="E216" s="3" t="inlineStr">
        <is>
          <t>2 · DISPLAYED</t>
        </is>
      </c>
      <c r="F216" s="3" t="inlineStr">
        <is>
          <t>The highest ladder rung at or below `netWorth` (0 when below the first rung).</t>
        </is>
      </c>
      <c r="G216" s="11" t="inlineStr">
        <is>
          <t>floor = 0
the answer = floor</t>
        </is>
      </c>
      <c r="H216" s="3" t="inlineStr">
        <is>
          <t>Floor is 0. The answer is floor.</t>
        </is>
      </c>
      <c r="I216" s="3" t="inlineStr">
        <is>
          <t>READ FROM THE CODE — rendered from the expressions the function runs</t>
        </is>
      </c>
      <c r="J216" s="3" t="inlineStr">
        <is>
          <t>netWorth: number</t>
        </is>
      </c>
      <c r="K216" s="3" t="inlineStr">
        <is>
          <t>number</t>
        </is>
      </c>
      <c r="L216" s="3" t="inlineStr">
        <is>
          <t>NOT FOUND — a screen calls it, but the words printed beside its answer could not be traced automatically. Needs reading.</t>
        </is>
      </c>
      <c r="M216" s="3" t="inlineStr">
        <is>
          <t>· Uses a built-in floor of 0.</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60" customHeight="1">
      <c r="A217" s="3" t="inlineStr">
        <is>
          <t>MK-HM-F-004</t>
        </is>
      </c>
      <c r="B217" s="3" t="inlineStr">
        <is>
          <t>milestoneCrossed</t>
        </is>
      </c>
      <c r="C217" s="3" t="inlineStr">
        <is>
          <t>src/domain/milestones.ts</t>
        </is>
      </c>
      <c r="D217" s="3" t="n">
        <v>95</v>
      </c>
      <c r="E217" s="3" t="inlineStr">
        <is>
          <t>2 · DISPLAYED</t>
        </is>
      </c>
      <c r="F217" s="3" t="inlineStr">
        <is>
          <t>The one decision rule.</t>
        </is>
      </c>
      <c r="G217" s="11" t="inlineStr">
        <is>
          <t>nothing   when high seen = nothing
floor = milestone floor(net worth)
the answer:
floor   if floor &gt; high seen
nothing   otherwise</t>
        </is>
      </c>
      <c r="H217" s="3" t="inlineStr">
        <is>
          <t>When high seen is missing, it answers no answer. Floor is milestone floor(net worth). The answer is floor — when floor &gt; high seen; no answer — otherwise.</t>
        </is>
      </c>
      <c r="I217" s="3" t="inlineStr">
        <is>
          <t>READ FROM THE CODE — rendered from the expressions the function runs</t>
        </is>
      </c>
      <c r="J217" s="3" t="inlineStr">
        <is>
          <t>1. netWorth: number
2. highSeen: number | null</t>
        </is>
      </c>
      <c r="K217" s="3" t="inlineStr">
        <is>
          <t>number | null</t>
        </is>
      </c>
      <c r="L217" s="3" t="inlineStr">
        <is>
          <t>NOT FOUND — a screen calls it, but the words printed beside its answer could not be traced automatically. Needs reading.</t>
        </is>
      </c>
      <c r="M217" s="3" t="inlineStr">
        <is>
          <t>None found in this function — anything it assumes comes from the functions it depends on.</t>
        </is>
      </c>
      <c r="N217" s="3" t="inlineStr">
        <is>
          <t>Yes</t>
        </is>
      </c>
      <c r="O217" s="3" t="inlineStr">
        <is>
          <t>MK-HM-F-003 milestoneFloor</t>
        </is>
      </c>
      <c r="P217" s="3" t="n">
        <v>1</v>
      </c>
      <c r="Q217" s="3" t="inlineStr">
        <is>
          <t>MK-HM-F-003 milestoneFloor</t>
        </is>
      </c>
      <c r="R217" s="3" t="inlineStr">
        <is>
          <t>MK-HM-F-003 milestoneFloor → MK-HM-F-004 milestoneCrossed</t>
        </is>
      </c>
      <c r="S217" s="3" t="inlineStr">
        <is>
          <t>MK-HM-M-002</t>
        </is>
      </c>
      <c r="T217" s="3" t="inlineStr">
        <is>
          <t>—</t>
        </is>
      </c>
      <c r="U217" s="3" t="inlineStr">
        <is>
          <t>ACTIVE</t>
        </is>
      </c>
      <c r="V217" s="3" t="inlineStr">
        <is>
          <t>2026-08-27</t>
        </is>
      </c>
      <c r="W217" s="3" t="n"/>
      <c r="X217" s="3" t="n"/>
      <c r="Y217" s="3" t="inlineStr">
        <is>
          <t>NOTHING OPEN</t>
        </is>
      </c>
    </row>
    <row r="218" ht="60" customHeight="1">
      <c r="A218" s="3" t="inlineStr">
        <is>
          <t>MK-HM-F-005</t>
        </is>
      </c>
      <c r="B218" s="3" t="inlineStr">
        <is>
          <t>pctTxt</t>
        </is>
      </c>
      <c r="C218" s="3" t="inlineStr">
        <is>
          <t>src/domain/insights/index.ts</t>
        </is>
      </c>
      <c r="D218" s="3" t="n">
        <v>69</v>
      </c>
      <c r="E218" s="3" t="inlineStr">
        <is>
          <t>1 · ACTION</t>
        </is>
      </c>
      <c r="F218" s="3" t="inlineStr">
        <is>
          <t>NOT DETERMINED — the code carries no note saying what this is for, and it has no row in the old inventory. Needs reading.</t>
        </is>
      </c>
      <c r="G218" s="11" t="inlineStr">
        <is>
          <t>the answer = round(d × 100) followed by '%'</t>
        </is>
      </c>
      <c r="H218" s="3" t="inlineStr">
        <is>
          <t>A share written as a whole percent — 0.234 becomes 23%. Display only.</t>
        </is>
      </c>
      <c r="I218" s="3" t="inlineStr">
        <is>
          <t>READ BY HAND 2026-08-26 — checked line by line against the code</t>
        </is>
      </c>
      <c r="J218" s="3" t="inlineStr">
        <is>
          <t>d: number</t>
        </is>
      </c>
      <c r="K218" s="3" t="inlineStr">
        <is>
          <t>NOT DECLARED — the code does not say what it gives back</t>
        </is>
      </c>
      <c r="L218" s="3" t="inlineStr">
        <is>
          <t>—</t>
        </is>
      </c>
      <c r="M218" s="3" t="inlineStr">
        <is>
          <t>· Rounds the answer to a whole number.</t>
        </is>
      </c>
      <c r="N218" s="3" t="inlineStr">
        <is>
          <t>Yes</t>
        </is>
      </c>
      <c r="O218" s="3" t="inlineStr">
        <is>
          <t>—</t>
        </is>
      </c>
      <c r="P218" s="3" t="n">
        <v>0</v>
      </c>
      <c r="Q218" s="3" t="inlineStr">
        <is>
          <t>None — no dependent function stands behind it</t>
        </is>
      </c>
      <c r="R218" s="3" t="inlineStr">
        <is>
          <t>No dependent function — it reads its inputs and answers</t>
        </is>
      </c>
      <c r="S218" s="3" t="inlineStr">
        <is>
          <t>—</t>
        </is>
      </c>
      <c r="T218" s="3" t="inlineStr">
        <is>
          <t>—</t>
        </is>
      </c>
      <c r="U218" s="3" t="inlineStr">
        <is>
          <t>ACTIVE</t>
        </is>
      </c>
      <c r="V218" s="3" t="inlineStr">
        <is>
          <t>2026-09-12</t>
        </is>
      </c>
      <c r="W218" s="3" t="n"/>
      <c r="X218" s="3" t="n"/>
      <c r="Y218" s="3" t="inlineStr">
        <is>
          <t>NOTHING OPEN</t>
        </is>
      </c>
    </row>
    <row r="219" ht="60" customHeight="1">
      <c r="A219" s="3" t="inlineStr">
        <is>
          <t>MK-HM-F-006</t>
        </is>
      </c>
      <c r="B219" s="3" t="inlineStr">
        <is>
          <t>money0</t>
        </is>
      </c>
      <c r="C219" s="3" t="inlineStr">
        <is>
          <t>src/domain/insights/index.ts</t>
        </is>
      </c>
      <c r="D219" s="3" t="n">
        <v>102</v>
      </c>
      <c r="E219" s="3" t="inlineStr">
        <is>
          <t>3 · DEPENDENT</t>
        </is>
      </c>
      <c r="F219" s="3" t="inlineStr">
        <is>
          <t>NOT DETERMINED — the code carries no note saying what this is for, and it has no row in the old inventory. Needs reading.</t>
        </is>
      </c>
      <c r="G219" s="11" t="inlineStr">
        <is>
          <t>the answer = '$' + round(n) with thousands separators</t>
        </is>
      </c>
      <c r="H219" s="3" t="inlineStr">
        <is>
          <t>A dollar amount to the whole dollar with thousands separators, for the insight sentences. Display only.</t>
        </is>
      </c>
      <c r="I219" s="3" t="inlineStr">
        <is>
          <t>READ BY HAND 2026-08-26 — checked line by line against the code</t>
        </is>
      </c>
      <c r="J219" s="3" t="inlineStr">
        <is>
          <t>n: number</t>
        </is>
      </c>
      <c r="K219" s="3" t="inlineStr">
        <is>
          <t>NOT DECLARED — the code does not say what it gives back</t>
        </is>
      </c>
      <c r="L219" s="3" t="inlineStr">
        <is>
          <t>—</t>
        </is>
      </c>
      <c r="M219" s="3" t="inlineStr">
        <is>
          <t>1. Rounds the answer to a whole number.
2. Shows 1 decimal place.</t>
        </is>
      </c>
      <c r="N219" s="3" t="inlineStr">
        <is>
          <t>Yes</t>
        </is>
      </c>
      <c r="O219" s="3" t="inlineStr">
        <is>
          <t>1. MK-CF-F-155 cash
2. MK-XS-F-122 n
3. MK-HM-F-005 pctTxt</t>
        </is>
      </c>
      <c r="P219" s="3" t="n">
        <v>3</v>
      </c>
      <c r="Q219" s="3" t="inlineStr">
        <is>
          <t>1. MK-CF-F-155 cash
2. MK-XS-F-122 n
3. MK-HM-F-005 pctTxt</t>
        </is>
      </c>
      <c r="R219" s="3" t="inlineStr">
        <is>
          <t>1. MK-XS-F-122 n → MK-CF-F-155 cash → MK-HM-F-006 money0
2. MK-XS-F-122 n → MK-HM-F-006 money0
3. MK-HM-F-005 pctTxt → MK-HM-F-006 money0</t>
        </is>
      </c>
      <c r="S219" s="3" t="inlineStr">
        <is>
          <t>—</t>
        </is>
      </c>
      <c r="T219" s="3" t="inlineStr">
        <is>
          <t>—</t>
        </is>
      </c>
      <c r="U219" s="3" t="inlineStr">
        <is>
          <t>ACTIVE</t>
        </is>
      </c>
      <c r="V219" s="3" t="inlineStr">
        <is>
          <t>2026-09-12</t>
        </is>
      </c>
      <c r="W219" s="3" t="n"/>
      <c r="X219" s="3" t="n"/>
      <c r="Y219" s="3" t="inlineStr">
        <is>
          <t>NOTHING OPEN</t>
        </is>
      </c>
    </row>
    <row r="220" ht="45" customHeight="1">
      <c r="A220" s="3" t="inlineStr">
        <is>
          <t>MK-NW-F-001</t>
        </is>
      </c>
      <c r="B220" s="3" t="inlineStr">
        <is>
          <t>isAlternative</t>
        </is>
      </c>
      <c r="C220" s="3" t="inlineStr">
        <is>
          <t>src/domain/alternatives/index.ts</t>
        </is>
      </c>
      <c r="D220" s="3" t="n">
        <v>36</v>
      </c>
      <c r="E220" s="3" t="inlineStr">
        <is>
          <t>2 · DISPLAYED</t>
        </is>
      </c>
      <c r="F220" s="3" t="inlineStr">
        <is>
          <t>Is this account an "other investment" — an alternative held at a manual value (not a bond, not cash/property)?</t>
        </is>
      </c>
      <c r="G220" s="11" t="inlineStr">
        <is>
          <t>ALT_KINDS.includes((kind ?? '') as alt kind) and !maturity date and tax bucket ! = 'PROPERTY'</t>
        </is>
      </c>
      <c r="H220" s="3" t="inlineStr">
        <is>
          <t>ALT_KINDS.includes((kind ?? '') as alt kind) and !maturity date and tax bucket ! = 'PROPERTY'.</t>
        </is>
      </c>
      <c r="I220" s="3" t="inlineStr">
        <is>
          <t>PARTLY READ — some of the code is still showing through; needs a hand pass</t>
        </is>
      </c>
      <c r="J220" s="3" t="inlineStr">
        <is>
          <t>a: AssetAccount</t>
        </is>
      </c>
      <c r="K220" s="3" t="inlineStr">
        <is>
          <t>boolean</t>
        </is>
      </c>
      <c r="L220" s="3" t="inlineStr">
        <is>
          <t>NOT FOUND — a screen calls it, but the words printed beside its answer could not be traced automatically. Needs reading.</t>
        </is>
      </c>
      <c r="M220" s="3" t="inlineStr">
        <is>
          <t>None found in this function — anything it assumes comes from the functions it depends on.</t>
        </is>
      </c>
      <c r="N220" s="3" t="inlineStr">
        <is>
          <t>Yes</t>
        </is>
      </c>
      <c r="O220" s="3" t="inlineStr">
        <is>
          <t>—</t>
        </is>
      </c>
      <c r="P220" s="3" t="n">
        <v>0</v>
      </c>
      <c r="Q220" s="3" t="inlineStr">
        <is>
          <t>None — no dependent function stands behind it</t>
        </is>
      </c>
      <c r="R220" s="3" t="inlineStr">
        <is>
          <t>No dependent function — it reads its inputs and answers</t>
        </is>
      </c>
      <c r="S220" s="3" t="inlineStr">
        <is>
          <t>—</t>
        </is>
      </c>
      <c r="T220" s="3" t="inlineStr">
        <is>
          <t>IS_ALTERNATIVE</t>
        </is>
      </c>
      <c r="U220" s="3" t="inlineStr">
        <is>
          <t>ACTIVE</t>
        </is>
      </c>
      <c r="V220" s="3" t="inlineStr">
        <is>
          <t>2026-08-27</t>
        </is>
      </c>
      <c r="W220" s="3" t="n"/>
      <c r="X220" s="3" t="n"/>
      <c r="Y220" s="3" t="inlineStr">
        <is>
          <t>NOTHING OPEN</t>
        </is>
      </c>
    </row>
    <row r="221" ht="60" customHeight="1">
      <c r="A221" s="3" t="inlineStr">
        <is>
          <t>MK-NW-F-002</t>
        </is>
      </c>
      <c r="B221" s="3" t="inlineStr">
        <is>
          <t>alternativesSummary</t>
        </is>
      </c>
      <c r="C221" s="3" t="inlineStr">
        <is>
          <t>src/domain/alternatives/index.ts</t>
        </is>
      </c>
      <c r="D221" s="3" t="n">
        <v>66</v>
      </c>
      <c r="E221" s="3" t="inlineStr">
        <is>
          <t>2 · DISPLAYED</t>
        </is>
      </c>
      <c r="F221" s="3" t="inlineStr">
        <is>
          <t>NOT DETERMINED — the code carries no note saying what this is for, and it has no row in the old inventory. Needs reading.</t>
        </is>
      </c>
      <c r="G221" s="11" t="inlineStr">
        <is>
          <t>alts = accounts (or none when missing) where is alternative
total = Σ over alts of (balance (or 0 when missing or zero))
weighted = Σ over total &gt; 0 ? alts of ((balance or 0) × benchmark return(kind))÷ total : 0</t>
        </is>
      </c>
      <c r="H221" s="3" t="inlineStr">
        <is>
          <t>Alts is accounts (or none — when missing) where is alternative. Total: the balance (or 0 — when missing or zero) added up across alts. Weighted: the (balance or 0 added up across total &gt; 0 ? alts times benchmark return(kind))÷ total : 0.</t>
        </is>
      </c>
      <c r="I221" s="3" t="inlineStr">
        <is>
          <t>READ FROM THE CODE — rendered from the expressions the function runs</t>
        </is>
      </c>
      <c r="J221" s="3" t="inlineStr">
        <is>
          <t>accounts: AssetAccount[]</t>
        </is>
      </c>
      <c r="K221" s="3" t="inlineStr">
        <is>
          <t>AltSummary</t>
        </is>
      </c>
      <c r="L221" s="3" t="inlineStr">
        <is>
          <t>"EXP. RETURN" — on the Other investments screen, under "ALTERNATIVES"</t>
        </is>
      </c>
      <c r="M221" s="3" t="inlineStr">
        <is>
          <t>· If balance is missing it counts as zero, so nothing recorded and a real zero look the same.</t>
        </is>
      </c>
      <c r="N221" s="3" t="inlineStr">
        <is>
          <t>Yes</t>
        </is>
      </c>
      <c r="O221" s="3" t="inlineStr">
        <is>
          <t>1. MK-NW-F-034 benchmarkReturn
2. MK-NW-F-001 isAlternative</t>
        </is>
      </c>
      <c r="P221" s="3" t="n">
        <v>14</v>
      </c>
      <c r="Q221"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1"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1" s="3" t="inlineStr">
        <is>
          <t>—</t>
        </is>
      </c>
      <c r="T221" s="3" t="inlineStr">
        <is>
          <t>—</t>
        </is>
      </c>
      <c r="U221" s="3" t="inlineStr">
        <is>
          <t>ACTIVE</t>
        </is>
      </c>
      <c r="V221" s="3" t="inlineStr">
        <is>
          <t>2026-08-27</t>
        </is>
      </c>
      <c r="W221" s="3" t="n"/>
      <c r="X221" s="3" t="n"/>
      <c r="Y221" s="3" t="inlineStr">
        <is>
          <t>NOTHING OPEN</t>
        </is>
      </c>
    </row>
    <row r="222" ht="60" customHeight="1">
      <c r="A222" s="3" t="inlineStr">
        <is>
          <t>MK-NW-F-003</t>
        </is>
      </c>
      <c r="B222" s="3" t="inlineStr">
        <is>
          <t>valueFreshness</t>
        </is>
      </c>
      <c r="C222" s="3" t="inlineStr">
        <is>
          <t>src/domain/assets/index.ts</t>
        </is>
      </c>
      <c r="D222" s="3" t="n">
        <v>126</v>
      </c>
      <c r="E222" s="3" t="inlineStr">
        <is>
          <t>2 · DISPLAYED</t>
        </is>
      </c>
      <c r="F222" s="3" t="inlineStr">
        <is>
          <t>Manual-value freshness (FCC): how old a hand-entered value is, and whether it needs a nudge.</t>
        </is>
      </c>
      <c r="G222"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2"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2" s="3" t="inlineStr">
        <is>
          <t>PARTLY READ — some of the code is still showing through; needs a hand pass</t>
        </is>
      </c>
      <c r="J222" s="3" t="inlineStr">
        <is>
          <t>1. a: AssetAccount
2. now: Date = new Date()</t>
        </is>
      </c>
      <c r="K222" s="3" t="inlineStr">
        <is>
          <t>NOT DECLARED — the code does not say what it gives back</t>
        </is>
      </c>
      <c r="L222" s="3" t="inlineStr">
        <is>
          <t>NOT FOUND — a screen calls it, but the words printed beside its answer could not be traced automatically. Needs reading.</t>
        </is>
      </c>
      <c r="M222" s="3" t="inlineStr">
        <is>
          <t>1. Turns a monthly figure into a year by multiplying by twelve.
2. Uses today's date from the device clock, so the answer changes by itself overnight.</t>
        </is>
      </c>
      <c r="N222" s="3" t="inlineStr">
        <is>
          <t>Yes</t>
        </is>
      </c>
      <c r="O222" s="3" t="inlineStr">
        <is>
          <t>—</t>
        </is>
      </c>
      <c r="P222" s="3" t="n">
        <v>0</v>
      </c>
      <c r="Q222" s="3" t="inlineStr">
        <is>
          <t>None — no dependent function stands behind it</t>
        </is>
      </c>
      <c r="R222" s="3" t="inlineStr">
        <is>
          <t>No dependent function — it reads its inputs and answers</t>
        </is>
      </c>
      <c r="S222" s="3" t="inlineStr">
        <is>
          <t>—</t>
        </is>
      </c>
      <c r="T222" s="3" t="inlineStr">
        <is>
          <t>HAND_VALUE_AGE</t>
        </is>
      </c>
      <c r="U222" s="3" t="inlineStr">
        <is>
          <t>ACTIVE</t>
        </is>
      </c>
      <c r="V222" s="3" t="inlineStr">
        <is>
          <t>2026-08-27</t>
        </is>
      </c>
      <c r="W222" s="3" t="n"/>
      <c r="X222" s="3" t="n"/>
      <c r="Y222" s="3" t="inlineStr">
        <is>
          <t>NOTHING OPEN</t>
        </is>
      </c>
    </row>
    <row r="223" ht="60" customHeight="1">
      <c r="A223" s="3" t="inlineStr">
        <is>
          <t>MK-NW-F-004</t>
        </is>
      </c>
      <c r="B223" s="3" t="inlineStr">
        <is>
          <t>portfolioActualReturn</t>
        </is>
      </c>
      <c r="C223" s="3" t="inlineStr">
        <is>
          <t>src/domain/assets/index.ts</t>
        </is>
      </c>
      <c r="D223" s="3" t="n">
        <v>161</v>
      </c>
      <c r="E223" s="3" t="inlineStr">
        <is>
          <t>2 · DISPLAYED</t>
        </is>
      </c>
      <c r="F223" s="3" t="inlineStr">
        <is>
          <t>Value-weighted ACTUAL trailing-12mo return across holdings that have one reported.</t>
        </is>
      </c>
      <c r="G223"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3"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3" s="3" t="inlineStr">
        <is>
          <t>READ FROM THE CODE — rendered from the expressions the function runs</t>
        </is>
      </c>
      <c r="J223" s="3" t="inlineStr">
        <is>
          <t>accounts: AssetAccount[]</t>
        </is>
      </c>
      <c r="K223" s="3" t="inlineStr">
        <is>
          <t>number | null</t>
        </is>
      </c>
      <c r="L223" s="3" t="inlineStr">
        <is>
          <t>"Expected return" — on the Retirement cockpit screen, under "scRetired ?"</t>
        </is>
      </c>
      <c r="M223" s="3" t="inlineStr">
        <is>
          <t>None found in this function — anything it assumes comes from the functions it depends on.</t>
        </is>
      </c>
      <c r="N223" s="3" t="inlineStr">
        <is>
          <t>Yes</t>
        </is>
      </c>
      <c r="O223" s="3" t="inlineStr">
        <is>
          <t>1. MK-CF-F-155 cash
2. MK-NW-F-032 earmarkedAmount</t>
        </is>
      </c>
      <c r="P223" s="3" t="n">
        <v>14</v>
      </c>
      <c r="Q223"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3"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3" s="3" t="inlineStr">
        <is>
          <t>—</t>
        </is>
      </c>
      <c r="T223" s="3" t="inlineStr">
        <is>
          <t>REPORTED_RETURN</t>
        </is>
      </c>
      <c r="U223" s="3" t="inlineStr">
        <is>
          <t>ACTIVE</t>
        </is>
      </c>
      <c r="V223" s="3" t="inlineStr">
        <is>
          <t>2026-09-09</t>
        </is>
      </c>
      <c r="W223" s="3" t="n"/>
      <c r="X223" s="3" t="n"/>
      <c r="Y223" s="3" t="inlineStr">
        <is>
          <t>NOTHING OPEN</t>
        </is>
      </c>
    </row>
    <row r="224" ht="60" customHeight="1">
      <c r="A224" s="3" t="inlineStr">
        <is>
          <t>MK-NW-F-005</t>
        </is>
      </c>
      <c r="B224" s="3" t="inlineStr">
        <is>
          <t>accountAllowsTicker</t>
        </is>
      </c>
      <c r="C224" s="3" t="inlineStr">
        <is>
          <t>src/domain/assets/index.ts</t>
        </is>
      </c>
      <c r="D224" s="3" t="n">
        <v>193</v>
      </c>
      <c r="E224" s="3" t="inlineStr">
        <is>
          <t>2 · DISPLAYED</t>
        </is>
      </c>
      <c r="F224" s="3" t="inlineStr">
        <is>
          <t>Can this account hold individual ticker securities?</t>
        </is>
      </c>
      <c r="G224"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4"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4" s="3" t="inlineStr">
        <is>
          <t>READ FROM THE CODE — rendered from the expressions the function runs</t>
        </is>
      </c>
      <c r="J224" s="3" t="inlineStr">
        <is>
          <t>a: AssetAccount</t>
        </is>
      </c>
      <c r="K224" s="3" t="inlineStr">
        <is>
          <t>boolean</t>
        </is>
      </c>
      <c r="L224" s="3" t="inlineStr">
        <is>
          <t>NOT FOUND — a screen calls it, but the words printed beside its answer could not be traced automatically. Needs reading.</t>
        </is>
      </c>
      <c r="M224" s="3" t="inlineStr">
        <is>
          <t>None found in this function — anything it assumes comes from the functions it depends on.</t>
        </is>
      </c>
      <c r="N224" s="3" t="inlineStr">
        <is>
          <t>Yes</t>
        </is>
      </c>
      <c r="O224" s="3" t="inlineStr">
        <is>
          <t>1. MK-NW-F-011 assetClassOf
2. MK-CF-F-155 cash</t>
        </is>
      </c>
      <c r="P224" s="3" t="n">
        <v>11</v>
      </c>
      <c r="Q224" s="3" t="inlineStr">
        <is>
          <t>1. MK-NW-F-011 assetClassOf
2. MK-CF-F-155 cash
3. MK-NW-F-008 incomeBearingClassOf
4. MK-XS-F-122 n
5. MK-ST-F-010 nameEvidence
6. MK-XS-F-147 call
7. MK-ST-F-056 has
8. MK-CF-F-132 map
9. MK-ST-F-027 accountId
10. MK-XS-F-064 currentIdToken
11. MK-XS-F-112 relayUrl</t>
        </is>
      </c>
      <c r="R224"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4" s="3" t="inlineStr">
        <is>
          <t>—</t>
        </is>
      </c>
      <c r="T224" s="3" t="inlineStr">
        <is>
          <t>CAN_HOLD_TICKERS</t>
        </is>
      </c>
      <c r="U224" s="3" t="inlineStr">
        <is>
          <t>ACTIVE</t>
        </is>
      </c>
      <c r="V224" s="3" t="inlineStr">
        <is>
          <t>2026-08-27</t>
        </is>
      </c>
      <c r="W224" s="3" t="n"/>
      <c r="X224" s="3" t="n"/>
      <c r="Y224" s="3" t="inlineStr">
        <is>
          <t>NOTHING OPEN</t>
        </is>
      </c>
    </row>
    <row r="225" ht="60" customHeight="1">
      <c r="A225" s="3" t="inlineStr">
        <is>
          <t>MK-NW-F-006</t>
        </is>
      </c>
      <c r="B225" s="3" t="inlineStr">
        <is>
          <t>isCashKind</t>
        </is>
      </c>
      <c r="C225" s="3" t="inlineStr">
        <is>
          <t>src/domain/assets/index.ts</t>
        </is>
      </c>
      <c r="D225" s="3" t="n">
        <v>260</v>
      </c>
      <c r="E225" s="3" t="inlineStr">
        <is>
          <t>1 · ACTION</t>
        </is>
      </c>
      <c r="F225" s="3" t="inlineStr">
        <is>
          <t>Does this account type sit under the Cash heading on screen?</t>
        </is>
      </c>
      <c r="G225" s="11" t="inlineStr">
        <is>
          <t>asset kind(kind).bucket = 'CASH'</t>
        </is>
      </c>
      <c r="H225" s="3" t="inlineStr">
        <is>
          <t>asset kind(kind).bucket = 'CASH'</t>
        </is>
      </c>
      <c r="I225" s="3" t="inlineStr">
        <is>
          <t>PARTLY READ — some of the code is still showing through; needs a hand pass</t>
        </is>
      </c>
      <c r="J225" s="3" t="inlineStr">
        <is>
          <t>kind?: string</t>
        </is>
      </c>
      <c r="K225" s="3" t="inlineStr">
        <is>
          <t>NOT DECLARED — the code does not say what it gives back</t>
        </is>
      </c>
      <c r="L225" s="3" t="inlineStr">
        <is>
          <t>—</t>
        </is>
      </c>
      <c r="M225" s="3" t="inlineStr">
        <is>
          <t>None found in this function — anything it assumes comes from the functions it depends on.</t>
        </is>
      </c>
      <c r="N225" s="3" t="inlineStr">
        <is>
          <t>No</t>
        </is>
      </c>
      <c r="O225" s="3" t="inlineStr">
        <is>
          <t>MK-NW-F-007 assetKind</t>
        </is>
      </c>
      <c r="P225" s="3" t="n">
        <v>12</v>
      </c>
      <c r="Q225" s="3" t="inlineStr">
        <is>
          <t>1. MK-NW-F-007 assetKind
2. MK-NW-F-011 assetClassOf
3. MK-CF-F-155 cash
4. MK-NW-F-008 incomeBearingClassOf
5. MK-XS-F-122 n
6. MK-ST-F-010 nameEvidence
7. MK-XS-F-147 call
8. MK-ST-F-056 has
9. MK-CF-F-132 map
10. MK-ST-F-027 accountId
11. MK-XS-F-064 currentIdToken
12. MK-XS-F-112 relayUrl</t>
        </is>
      </c>
      <c r="R225"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5" s="3" t="inlineStr">
        <is>
          <t>—</t>
        </is>
      </c>
      <c r="T225" s="3" t="inlineStr">
        <is>
          <t>KIND_IS_CASH</t>
        </is>
      </c>
      <c r="U225" s="3" t="inlineStr">
        <is>
          <t>ACTIVE</t>
        </is>
      </c>
      <c r="V225" s="3" t="inlineStr">
        <is>
          <t>2026-08-27</t>
        </is>
      </c>
      <c r="W225" s="3" t="n"/>
      <c r="X225" s="3" t="n"/>
      <c r="Y225" s="3" t="inlineStr">
        <is>
          <t>NOTHING OPEN</t>
        </is>
      </c>
    </row>
    <row r="226" ht="60" customHeight="1">
      <c r="A226" s="3" t="inlineStr">
        <is>
          <t>MK-NW-F-007</t>
        </is>
      </c>
      <c r="B226" s="3" t="inlineStr">
        <is>
          <t>assetKind</t>
        </is>
      </c>
      <c r="C226" s="3" t="inlineStr">
        <is>
          <t>src/domain/assets/index.ts</t>
        </is>
      </c>
      <c r="D226" s="3" t="n">
        <v>284</v>
      </c>
      <c r="E226" s="3" t="inlineStr">
        <is>
          <t>2 · DISPLAYED</t>
        </is>
      </c>
      <c r="F226" s="3" t="inlineStr">
        <is>
          <t>What do we know about this kind of account?</t>
        </is>
      </c>
      <c r="G226" s="11" t="inlineStr">
        <is>
          <t>id = id); }</t>
        </is>
      </c>
      <c r="H226" s="3" t="inlineStr">
        <is>
          <t>id = id); }</t>
        </is>
      </c>
      <c r="I226" s="3" t="inlineStr">
        <is>
          <t>READ FROM THE CODE — rendered from the expressions the function runs</t>
        </is>
      </c>
      <c r="J226" s="3" t="inlineStr">
        <is>
          <t>id?: string</t>
        </is>
      </c>
      <c r="K226" s="3" t="inlineStr">
        <is>
          <t>NOT DECLARED — the code does not say what it gives back</t>
        </is>
      </c>
      <c r="L226" s="3" t="inlineStr">
        <is>
          <t>1. "ACCOUNTS / INVESTING" — on a card used on more than one screen (MoneySheets)
2. "EST. GROWTH /year" — on the Other investments screen, under "ALTERNATIVES"
3. "Type" — on the Account detail screen, under "IF INTEREST RATES MOVE"
4. "Type" — on the Other investments screen</t>
        </is>
      </c>
      <c r="M226" s="3" t="inlineStr">
        <is>
          <t>None found in this function — anything it assumes comes from the functions it depends on.</t>
        </is>
      </c>
      <c r="N226" s="3" t="inlineStr">
        <is>
          <t>Yes</t>
        </is>
      </c>
      <c r="O226" s="3" t="inlineStr">
        <is>
          <t>1. MK-NW-F-011 assetClassOf
2. MK-CF-F-155 cash</t>
        </is>
      </c>
      <c r="P226" s="3" t="n">
        <v>11</v>
      </c>
      <c r="Q226" s="3" t="inlineStr">
        <is>
          <t>1. MK-NW-F-011 assetClassOf
2. MK-CF-F-155 cash
3. MK-NW-F-008 incomeBearingClassOf
4. MK-XS-F-122 n
5. MK-ST-F-010 nameEvidence
6. MK-XS-F-147 call
7. MK-ST-F-056 has
8. MK-CF-F-132 map
9. MK-ST-F-027 accountId
10. MK-XS-F-064 currentIdToken
11. MK-XS-F-112 relayUrl</t>
        </is>
      </c>
      <c r="R226"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6" s="3" t="inlineStr">
        <is>
          <t>—</t>
        </is>
      </c>
      <c r="T226" s="3" t="inlineStr">
        <is>
          <t>ACCOUNT_TYPE_FACTS</t>
        </is>
      </c>
      <c r="U226" s="3" t="inlineStr">
        <is>
          <t>ACTIVE</t>
        </is>
      </c>
      <c r="V226" s="3" t="inlineStr">
        <is>
          <t>2026-08-27</t>
        </is>
      </c>
      <c r="W226" s="3" t="n"/>
      <c r="X226" s="3" t="n"/>
      <c r="Y226" s="3" t="inlineStr">
        <is>
          <t>NOTHING OPEN</t>
        </is>
      </c>
    </row>
    <row r="227" ht="60" customHeight="1">
      <c r="A227" s="3" t="inlineStr">
        <is>
          <t>MK-NW-F-008</t>
        </is>
      </c>
      <c r="B227" s="3" t="inlineStr">
        <is>
          <t>incomeBearingClassOf</t>
        </is>
      </c>
      <c r="C227" s="3" t="inlineStr">
        <is>
          <t>src/domain/assets/index.ts</t>
        </is>
      </c>
      <c r="D227" s="3" t="n">
        <v>339</v>
      </c>
      <c r="E227" s="3" t="inlineStr">
        <is>
          <t>3 · DEPENDENT</t>
        </is>
      </c>
      <c r="F227" s="3" t="inlineStr">
        <is>
          <t>FOUNDER RULE 2026-08-04 (supersedes the money-market=cash rule and the 12-month CD split): CASH means cash only — a sweep/settlement balance.</t>
        </is>
      </c>
      <c r="G227" s="11" t="inlineStr">
        <is>
          <t>name evidence(label)</t>
        </is>
      </c>
      <c r="H227" s="3" t="inlineStr">
        <is>
          <t>name evidence(label).</t>
        </is>
      </c>
      <c r="I227" s="3" t="inlineStr">
        <is>
          <t>READ FROM THE CODE — rendered from the expressions the function runs</t>
        </is>
      </c>
      <c r="J227" s="3" t="inlineStr">
        <is>
          <t>label?: string</t>
        </is>
      </c>
      <c r="K227" s="3" t="inlineStr">
        <is>
          <t>AssetClass | null</t>
        </is>
      </c>
      <c r="L227" s="3" t="inlineStr">
        <is>
          <t>—</t>
        </is>
      </c>
      <c r="M227" s="3" t="inlineStr">
        <is>
          <t>None found in this function — anything it assumes comes from the functions it depends on.</t>
        </is>
      </c>
      <c r="N227" s="3" t="inlineStr">
        <is>
          <t>Yes</t>
        </is>
      </c>
      <c r="O227" s="3" t="inlineStr">
        <is>
          <t>1. MK-CF-F-155 cash
2. MK-ST-F-010 nameEvidence</t>
        </is>
      </c>
      <c r="P227" s="3" t="n">
        <v>9</v>
      </c>
      <c r="Q227" s="3" t="inlineStr">
        <is>
          <t>1. MK-CF-F-155 cash
2. MK-ST-F-010 nameEvidence
3. MK-XS-F-122 n
4. MK-XS-F-147 call
5. MK-ST-F-056 has
6. MK-CF-F-132 map
7. MK-ST-F-027 accountId
8. MK-XS-F-064 currentIdToken
9. MK-XS-F-112 relayUrl</t>
        </is>
      </c>
      <c r="R227"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7" s="3" t="inlineStr">
        <is>
          <t>—</t>
        </is>
      </c>
      <c r="T227" s="3" t="inlineStr">
        <is>
          <t>CLASS_FROM_NAME_TEXT</t>
        </is>
      </c>
      <c r="U227" s="3" t="inlineStr">
        <is>
          <t>ACTIVE</t>
        </is>
      </c>
      <c r="V227" s="3" t="inlineStr">
        <is>
          <t>2026-08-27</t>
        </is>
      </c>
      <c r="W227" s="3" t="n"/>
      <c r="X227" s="3" t="n"/>
      <c r="Y227" s="3" t="inlineStr">
        <is>
          <t>NOTHING OPEN</t>
        </is>
      </c>
    </row>
    <row r="228" ht="60" customHeight="1">
      <c r="A228" s="3" t="inlineStr">
        <is>
          <t>MK-NW-F-009</t>
        </is>
      </c>
      <c r="B228" s="3" t="inlineStr">
        <is>
          <t>maturityClass</t>
        </is>
      </c>
      <c r="C228" s="3" t="inlineStr">
        <is>
          <t>src/domain/assets/index.ts</t>
        </is>
      </c>
      <c r="D228" s="3" t="n">
        <v>374</v>
      </c>
      <c r="E228" s="3" t="inlineStr">
        <is>
          <t>2 · DISPLAYED</t>
        </is>
      </c>
      <c r="F228" s="3" t="inlineStr">
        <is>
          <t>FOUNDER RULE 2026-08-04 (supersedes build-34 #8's 12-month split): ANY maturity-dated instrument is a BOND — it pays interest, so it must sit in the measured bucket regardless of how soon it matures.</t>
        </is>
      </c>
      <c r="G228" s="11" t="inlineStr">
        <is>
          <t>'bonds'   if maturity date and string(maturity date).trim()
'cash'   otherwise</t>
        </is>
      </c>
      <c r="H228" s="3" t="inlineStr">
        <is>
          <t>'bonds' — when maturity date and string(maturity date).trim(); 'cash' — otherwise.</t>
        </is>
      </c>
      <c r="I228" s="3" t="inlineStr">
        <is>
          <t>PARTLY READ — some of the code is still showing through; needs a hand pass</t>
        </is>
      </c>
      <c r="J228" s="3" t="inlineStr">
        <is>
          <t>maturityDate?: string | null</t>
        </is>
      </c>
      <c r="K228" s="3" t="inlineStr">
        <is>
          <t>'cash' | 'bonds'</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MATURITY_MEANS_BOND</t>
        </is>
      </c>
      <c r="U228" s="3" t="inlineStr">
        <is>
          <t>ACTIVE</t>
        </is>
      </c>
      <c r="V228" s="3" t="inlineStr">
        <is>
          <t>2026-08-27</t>
        </is>
      </c>
      <c r="W228" s="3" t="n"/>
      <c r="X228" s="3" t="n"/>
      <c r="Y228" s="3" t="inlineStr">
        <is>
          <t>NOTHING OPEN</t>
        </is>
      </c>
    </row>
    <row r="229" ht="60" customHeight="1">
      <c r="A229" s="3" t="inlineStr">
        <is>
          <t>MK-NW-F-010</t>
        </is>
      </c>
      <c r="B229" s="3" t="inlineStr">
        <is>
          <t>wrapperAccount</t>
        </is>
      </c>
      <c r="C229" s="3" t="inlineStr">
        <is>
          <t>src/domain/assets/index.ts</t>
        </is>
      </c>
      <c r="D229" s="3" t="n">
        <v>403</v>
      </c>
      <c r="E229" s="3" t="inlineStr">
        <is>
          <t>2 · DISPLAYED</t>
        </is>
      </c>
      <c r="F229" s="3" t="inlineStr">
        <is>
          <t>The person picked how this account is taxed — what does that make it?</t>
        </is>
      </c>
      <c r="G229" s="11" t="inlineStr">
        <is>
          <t>401k → kind '401k', bucket PRE_TAX
trad_ira → 'trad_ira', PRE_TAX
roth → 'roth_ira', ROTH
hsa → 'hsa', PRE_TAX
anything else → 'brokerage', TAXABLE</t>
        </is>
      </c>
      <c r="H229" s="3" t="inlineStr">
        <is>
          <t>The account kind and tax bucket for the wrapper a person picked when adding an account — a 401(k), traditional IRA and HSA are pre-tax, a Roth is tax-free, anything else (or nothing) is a taxable brokerage. No arithmetic.</t>
        </is>
      </c>
      <c r="I229" s="3" t="inlineStr">
        <is>
          <t>READ BY HAND 2026-08-26 — checked line by line against the code</t>
        </is>
      </c>
      <c r="J229" s="3" t="inlineStr">
        <is>
          <t>w?: AddWrapper | null</t>
        </is>
      </c>
      <c r="K229" s="3" t="inlineStr">
        <is>
          <t>NOT DECLARED — the code does not say what it gives back</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MK-CF-F-155 cash</t>
        </is>
      </c>
      <c r="P229" s="3" t="n">
        <v>2</v>
      </c>
      <c r="Q229" s="3" t="inlineStr">
        <is>
          <t>1. MK-CF-F-155 cash
2. MK-XS-F-122 n</t>
        </is>
      </c>
      <c r="R229" s="3" t="inlineStr">
        <is>
          <t>MK-XS-F-122 n → MK-CF-F-155 cash → MK-NW-F-010 wrapperAccount</t>
        </is>
      </c>
      <c r="S229" s="3" t="inlineStr">
        <is>
          <t>—</t>
        </is>
      </c>
      <c r="T229" s="3" t="inlineStr">
        <is>
          <t>TAX_TYPE_TO_ACCOUNT</t>
        </is>
      </c>
      <c r="U229" s="3" t="inlineStr">
        <is>
          <t>ACTIVE</t>
        </is>
      </c>
      <c r="V229" s="3" t="inlineStr">
        <is>
          <t>2026-09-12</t>
        </is>
      </c>
      <c r="W229" s="3" t="n"/>
      <c r="X229" s="3" t="n"/>
      <c r="Y229" s="3" t="inlineStr">
        <is>
          <t>NOTHING OPEN</t>
        </is>
      </c>
    </row>
    <row r="230" ht="60" customHeight="1">
      <c r="A230" s="3" t="inlineStr">
        <is>
          <t>MK-NW-F-011</t>
        </is>
      </c>
      <c r="B230" s="3" t="inlineStr">
        <is>
          <t>assetClassOf</t>
        </is>
      </c>
      <c r="C230" s="3" t="inlineStr">
        <is>
          <t>src/domain/assets/index.ts</t>
        </is>
      </c>
      <c r="D230" s="3" t="n">
        <v>464</v>
      </c>
      <c r="E230" s="3" t="inlineStr">
        <is>
          <t>2 · DISPLAYED</t>
        </is>
      </c>
      <c r="F230" s="3" t="inlineStr">
        <is>
          <t>WHAT the account is (asset class).</t>
        </is>
      </c>
      <c r="G230"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0"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0" s="3" t="inlineStr">
        <is>
          <t>PARTLY READ — some of the code is still showing through; needs a hand pass</t>
        </is>
      </c>
      <c r="J230" s="3" t="inlineStr">
        <is>
          <t>a: AssetAccount</t>
        </is>
      </c>
      <c r="K230" s="3" t="inlineStr">
        <is>
          <t>AssetClass</t>
        </is>
      </c>
      <c r="L230" s="3" t="inlineStr">
        <is>
          <t>1. "Bonds &amp; alternatives — recorded on their own pages" — on the Performance screen
2. "Nothing entered yet." — on the Net worth screen, under "DEBTS"</t>
        </is>
      </c>
      <c r="M230" s="3" t="inlineStr">
        <is>
          <t>None found in this function — anything it assumes comes from the functions it depends on.</t>
        </is>
      </c>
      <c r="N230" s="3" t="inlineStr">
        <is>
          <t>Yes</t>
        </is>
      </c>
      <c r="O230" s="3" t="inlineStr">
        <is>
          <t>MK-NW-F-008 incomeBearingClassOf</t>
        </is>
      </c>
      <c r="P230" s="3" t="n">
        <v>10</v>
      </c>
      <c r="Q230" s="3" t="inlineStr">
        <is>
          <t>1. MK-NW-F-008 incomeBearingClassOf
2. MK-CF-F-155 cash
3. MK-ST-F-010 nameEvidence
4. MK-XS-F-122 n
5. MK-XS-F-147 call
6. MK-ST-F-056 has
7. MK-CF-F-132 map
8. MK-ST-F-027 accountId
9. MK-XS-F-064 currentIdToken
10. MK-XS-F-112 relayUrl</t>
        </is>
      </c>
      <c r="R230"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0" s="3" t="inlineStr">
        <is>
          <t>—</t>
        </is>
      </c>
      <c r="T230" s="3" t="inlineStr">
        <is>
          <t>ASSET_CLASS_OF_ACCOUNT</t>
        </is>
      </c>
      <c r="U230" s="3" t="inlineStr">
        <is>
          <t>ACTIVE</t>
        </is>
      </c>
      <c r="V230" s="3" t="inlineStr">
        <is>
          <t>2026-08-27</t>
        </is>
      </c>
      <c r="W230" s="3" t="n"/>
      <c r="X230" s="3" t="n"/>
      <c r="Y230" s="3" t="inlineStr">
        <is>
          <t>NOTHING OPEN</t>
        </is>
      </c>
    </row>
    <row r="231" ht="60" customHeight="1">
      <c r="A231" s="3" t="inlineStr">
        <is>
          <t>MK-NW-F-012</t>
        </is>
      </c>
      <c r="B231" s="3" t="inlineStr">
        <is>
          <t>taxTreatmentOf</t>
        </is>
      </c>
      <c r="C231" s="3" t="inlineStr">
        <is>
          <t>src/domain/assets/index.ts</t>
        </is>
      </c>
      <c r="D231" s="3" t="n">
        <v>505</v>
      </c>
      <c r="E231" s="3" t="inlineStr">
        <is>
          <t>2 · DISPLAYED</t>
        </is>
      </c>
      <c r="F231" s="3" t="inlineStr">
        <is>
          <t>HOW the account is taxed (wrapper).</t>
        </is>
      </c>
      <c r="G231" s="11" t="inlineStr">
        <is>
          <t>tax treatment   when tax treatment
'tax_deferred'   when tax bucket = 'PRE_TAX'
'tax_free'   when tax bucket = 'ROTH'
'taxable'</t>
        </is>
      </c>
      <c r="H231" s="3" t="inlineStr">
        <is>
          <t>When tax treatment, it answers tax treatment. When tax bucket = 'PRE_TAX', it answers 'tax_deferred'. When tax bucket = 'ROTH', it answers 'tax_free'. 'taxable'.</t>
        </is>
      </c>
      <c r="I231" s="3" t="inlineStr">
        <is>
          <t>READ FROM THE CODE — rendered from the expressions the function runs</t>
        </is>
      </c>
      <c r="J231" s="3" t="inlineStr">
        <is>
          <t>a: AssetAccount</t>
        </is>
      </c>
      <c r="K231" s="3" t="inlineStr">
        <is>
          <t>TaxTreatment</t>
        </is>
      </c>
      <c r="L231" s="3" t="inlineStr">
        <is>
          <t>NOT FOUND — a screen calls it, but the words printed beside its answer could not be traced automatically. Needs reading.</t>
        </is>
      </c>
      <c r="M231" s="3" t="inlineStr">
        <is>
          <t>None found in this function — anything it assumes comes from the functions it depends on.</t>
        </is>
      </c>
      <c r="N231" s="3" t="inlineStr">
        <is>
          <t>Yes</t>
        </is>
      </c>
      <c r="O231" s="3" t="inlineStr">
        <is>
          <t>—</t>
        </is>
      </c>
      <c r="P231" s="3" t="n">
        <v>0</v>
      </c>
      <c r="Q231" s="3" t="inlineStr">
        <is>
          <t>None — no dependent function stands behind it</t>
        </is>
      </c>
      <c r="R231" s="3" t="inlineStr">
        <is>
          <t>No dependent function — it reads its inputs and answers</t>
        </is>
      </c>
      <c r="S231" s="3" t="inlineStr">
        <is>
          <t>—</t>
        </is>
      </c>
      <c r="T231" s="3" t="inlineStr">
        <is>
          <t>TAX_TREATMENT</t>
        </is>
      </c>
      <c r="U231" s="3" t="inlineStr">
        <is>
          <t>ACTIVE</t>
        </is>
      </c>
      <c r="V231" s="3" t="inlineStr">
        <is>
          <t>2026-08-27</t>
        </is>
      </c>
      <c r="W231" s="3" t="n"/>
      <c r="X231" s="3" t="n"/>
      <c r="Y231" s="3" t="inlineStr">
        <is>
          <t>NOTHING OPEN</t>
        </is>
      </c>
    </row>
    <row r="232" ht="45" customHeight="1">
      <c r="A232" s="3" t="inlineStr">
        <is>
          <t>MK-NW-F-013</t>
        </is>
      </c>
      <c r="B232" s="3" t="inlineStr">
        <is>
          <t>realEstateUseOf</t>
        </is>
      </c>
      <c r="C232" s="3" t="inlineStr">
        <is>
          <t>src/domain/assets/index.ts</t>
        </is>
      </c>
      <c r="D232" s="3" t="n">
        <v>541</v>
      </c>
      <c r="E232" s="3" t="inlineStr">
        <is>
          <t>3 · DEPENDENT</t>
        </is>
      </c>
      <c r="F232" s="3" t="inlineStr">
        <is>
          <t>Real-estate use (primary/rental/secondary/land); only meaningful when assetClassOf === 'real_estate'.</t>
        </is>
      </c>
      <c r="G232" s="11" t="inlineStr">
        <is>
          <t>re use (or 'primary' when missing)</t>
        </is>
      </c>
      <c r="H232" s="3" t="inlineStr">
        <is>
          <t>re use (or 'primary' — when missing).</t>
        </is>
      </c>
      <c r="I232" s="3" t="inlineStr">
        <is>
          <t>READ FROM THE CODE — rendered from the expressions the function runs</t>
        </is>
      </c>
      <c r="J232" s="3" t="inlineStr">
        <is>
          <t>a: AssetAccount</t>
        </is>
      </c>
      <c r="K232" s="3" t="inlineStr">
        <is>
          <t>RealEstateUse</t>
        </is>
      </c>
      <c r="L232" s="3" t="inlineStr">
        <is>
          <t>—</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HOW_A_HOME_IS_USED</t>
        </is>
      </c>
      <c r="U232" s="3" t="inlineStr">
        <is>
          <t>ACTIVE</t>
        </is>
      </c>
      <c r="V232" s="3" t="inlineStr">
        <is>
          <t>2026-08-27</t>
        </is>
      </c>
      <c r="W232" s="3" t="n"/>
      <c r="X232" s="3" t="n"/>
      <c r="Y232" s="3" t="inlineStr">
        <is>
          <t>NOTHING OPEN</t>
        </is>
      </c>
    </row>
    <row r="233" ht="60" customHeight="1">
      <c r="A233" s="3" t="inlineStr">
        <is>
          <t>MK-NW-F-014</t>
        </is>
      </c>
      <c r="B233" s="3" t="inlineStr">
        <is>
          <t>isRealAsset</t>
        </is>
      </c>
      <c r="C233" s="3" t="inlineStr">
        <is>
          <t>src/domain/assets/index.ts</t>
        </is>
      </c>
      <c r="D233" s="3" t="n">
        <v>568</v>
      </c>
      <c r="E233" s="3" t="inlineStr">
        <is>
          <t>3 · DEPENDENT</t>
        </is>
      </c>
      <c r="F233" s="3" t="inlineStr">
        <is>
          <t>True when the asset is a real/physical asset (real estate or personal property) — excluded from investable assets and the nest egg (Term #4/#7).</t>
        </is>
      </c>
      <c r="G233" s="11" t="inlineStr">
        <is>
          <t>c = asset class of(a)
the answer = c = 'real_estate' (or c = 'personal_property' when missing or zero)</t>
        </is>
      </c>
      <c r="H233" s="3" t="inlineStr">
        <is>
          <t>C is asset class of(a). The answer is c = 'real_estate' (or c = 'personal_property' — when missing or zero).</t>
        </is>
      </c>
      <c r="I233" s="3" t="inlineStr">
        <is>
          <t>READ FROM THE CODE — rendered from the expressions the function runs</t>
        </is>
      </c>
      <c r="J233" s="3" t="inlineStr">
        <is>
          <t>a: AssetAccount</t>
        </is>
      </c>
      <c r="K233" s="3" t="inlineStr">
        <is>
          <t>boolean</t>
        </is>
      </c>
      <c r="L233" s="3" t="inlineStr">
        <is>
          <t>—</t>
        </is>
      </c>
      <c r="M233" s="3" t="inlineStr">
        <is>
          <t>None found in this function — anything it assumes comes from the functions it depends on.</t>
        </is>
      </c>
      <c r="N233" s="3" t="inlineStr">
        <is>
          <t>Yes</t>
        </is>
      </c>
      <c r="O233" s="3" t="inlineStr">
        <is>
          <t>MK-NW-F-011 assetClassOf</t>
        </is>
      </c>
      <c r="P233" s="3" t="n">
        <v>11</v>
      </c>
      <c r="Q233" s="3" t="inlineStr">
        <is>
          <t>1. MK-NW-F-011 assetClassOf
2. MK-NW-F-008 incomeBearingClassOf
3. MK-CF-F-155 cash
4. MK-ST-F-010 nameEvidence
5. MK-XS-F-122 n
6. MK-XS-F-147 call
7. MK-ST-F-056 has
8. MK-CF-F-132 map
9. MK-ST-F-027 accountId
10. MK-XS-F-064 currentIdToken
11. MK-XS-F-112 relayUrl</t>
        </is>
      </c>
      <c r="R233"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3" s="3" t="inlineStr">
        <is>
          <t>—</t>
        </is>
      </c>
      <c r="T233" s="3" t="inlineStr">
        <is>
          <t>IS_PHYSICAL_ASSET</t>
        </is>
      </c>
      <c r="U233" s="3" t="inlineStr">
        <is>
          <t>ACTIVE</t>
        </is>
      </c>
      <c r="V233" s="3" t="inlineStr">
        <is>
          <t>2026-08-27</t>
        </is>
      </c>
      <c r="W233" s="3" t="n"/>
      <c r="X233" s="3" t="n"/>
      <c r="Y233" s="3" t="inlineStr">
        <is>
          <t>NOTHING OPEN</t>
        </is>
      </c>
    </row>
    <row r="234" ht="60" customHeight="1">
      <c r="A234" s="3" t="inlineStr">
        <is>
          <t>MK-NW-F-015</t>
        </is>
      </c>
      <c r="B234" s="3" t="inlineStr">
        <is>
          <t>totalAssets</t>
        </is>
      </c>
      <c r="C234" s="3" t="inlineStr">
        <is>
          <t>src/domain/assets/index.ts</t>
        </is>
      </c>
      <c r="D234" s="3" t="n">
        <v>631</v>
      </c>
      <c r="E234" s="3" t="inlineStr">
        <is>
          <t>3 · DEPENDENT</t>
        </is>
      </c>
      <c r="F234" s="3" t="inlineStr">
        <is>
          <t>NOT DETERMINED — the code carries no note saying what this is for, and it has no row in the old inventory. Needs reading.</t>
        </is>
      </c>
      <c r="G234" s="11" t="inlineStr">
        <is>
          <t>Σ over accounts (or none when missing) of (balance (or 0 when missing or zero))</t>
        </is>
      </c>
      <c r="H234" s="3" t="inlineStr">
        <is>
          <t>the balance (or 0 — when missing or zero) added up across accounts (or none — when missing).</t>
        </is>
      </c>
      <c r="I234" s="3" t="inlineStr">
        <is>
          <t>READ FROM THE CODE — rendered from the expressions the function runs</t>
        </is>
      </c>
      <c r="J234" s="3" t="inlineStr">
        <is>
          <t>accounts: AssetAccount[]</t>
        </is>
      </c>
      <c r="K234" s="3" t="inlineStr">
        <is>
          <t>number</t>
        </is>
      </c>
      <c r="L234" s="3" t="inlineStr">
        <is>
          <t>—</t>
        </is>
      </c>
      <c r="M234" s="3" t="inlineStr">
        <is>
          <t>· If balance is missing it counts as zero, so nothing recorded and a real zero look the same.</t>
        </is>
      </c>
      <c r="N234" s="3" t="inlineStr">
        <is>
          <t>Yes</t>
        </is>
      </c>
      <c r="O234" s="3" t="inlineStr">
        <is>
          <t>—</t>
        </is>
      </c>
      <c r="P234" s="3" t="n">
        <v>0</v>
      </c>
      <c r="Q234" s="3" t="inlineStr">
        <is>
          <t>None — no dependent function stands behind it</t>
        </is>
      </c>
      <c r="R234" s="3" t="inlineStr">
        <is>
          <t>No dependent function — it reads its inputs and answers</t>
        </is>
      </c>
      <c r="S234" s="3" t="inlineStr">
        <is>
          <t>—</t>
        </is>
      </c>
      <c r="T234" s="3" t="inlineStr">
        <is>
          <t>—</t>
        </is>
      </c>
      <c r="U234" s="3" t="inlineStr">
        <is>
          <t>ACTIVE</t>
        </is>
      </c>
      <c r="V234" s="3" t="inlineStr">
        <is>
          <t>2026-09-09</t>
        </is>
      </c>
      <c r="W234" s="3" t="n"/>
      <c r="X234" s="3" t="n"/>
      <c r="Y234" s="3" t="inlineStr">
        <is>
          <t>NOTHING OPEN</t>
        </is>
      </c>
    </row>
    <row r="235" ht="60" customHeight="1">
      <c r="A235" s="3" t="inlineStr">
        <is>
          <t>MK-NW-F-016</t>
        </is>
      </c>
      <c r="B235" s="3" t="inlineStr">
        <is>
          <t>cashTotal</t>
        </is>
      </c>
      <c r="C235" s="3" t="inlineStr">
        <is>
          <t>src/domain/assets/index.ts</t>
        </is>
      </c>
      <c r="D235" s="3" t="n">
        <v>663</v>
      </c>
      <c r="E235" s="3" t="inlineStr">
        <is>
          <t>2 · DISPLAYED</t>
        </is>
      </c>
      <c r="F235" s="3" t="inlineStr">
        <is>
          <t>Cash &amp; cash equivalents (Term #3) — THE cash number, and the same one the Net Worth CASH group shows.</t>
        </is>
      </c>
      <c r="G235" s="11" t="inlineStr">
        <is>
          <t>b = account class breakdown(a)
the answer = t + (b ? cash : asset class of(a) = 'cash' ? (balance or 0) : 0)</t>
        </is>
      </c>
      <c r="H235" s="3" t="inlineStr">
        <is>
          <t>B is account class breakdown(a). The answer is t plus (b ? cash : asset class of(a) = 'cash' ? (balance or 0) : 0).</t>
        </is>
      </c>
      <c r="I235" s="3" t="inlineStr">
        <is>
          <t>READ FROM THE CODE — rendered from the expressions the function runs</t>
        </is>
      </c>
      <c r="J235" s="3" t="inlineStr">
        <is>
          <t>accounts: AssetAccount[]</t>
        </is>
      </c>
      <c r="K235" s="3" t="inlineStr">
        <is>
          <t>number</t>
        </is>
      </c>
      <c r="L235" s="3" t="inlineStr">
        <is>
          <t>"Cash on hand now" — on the Bill calendar screen</t>
        </is>
      </c>
      <c r="M235" s="3" t="inlineStr">
        <is>
          <t>· If balance is missing it counts as zero, so nothing recorded and a real zero look the same.</t>
        </is>
      </c>
      <c r="N235" s="3" t="inlineStr">
        <is>
          <t>Yes</t>
        </is>
      </c>
      <c r="O235" s="3" t="inlineStr">
        <is>
          <t>1. MK-NW-F-027 accountClassBreakdown
2. MK-NW-F-011 assetClassOf</t>
        </is>
      </c>
      <c r="P235" s="3" t="n">
        <v>12</v>
      </c>
      <c r="Q235"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5"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5" s="3" t="inlineStr">
        <is>
          <t>MK-NW-M-014</t>
        </is>
      </c>
      <c r="T235" s="3" t="inlineStr">
        <is>
          <t>TOTAL_CASH</t>
        </is>
      </c>
      <c r="U235" s="3" t="inlineStr">
        <is>
          <t>ACTIVE</t>
        </is>
      </c>
      <c r="V235" s="3" t="inlineStr">
        <is>
          <t>2026-08-27</t>
        </is>
      </c>
      <c r="W235" s="3" t="n"/>
      <c r="X235" s="3" t="n"/>
      <c r="Y235" s="3" t="inlineStr">
        <is>
          <t>NOTHING OPEN</t>
        </is>
      </c>
    </row>
    <row r="236" ht="60" customHeight="1">
      <c r="A236" s="3" t="inlineStr">
        <is>
          <t>MK-NW-F-017</t>
        </is>
      </c>
      <c r="B236" s="3" t="inlineStr">
        <is>
          <t>equitiesTotal</t>
        </is>
      </c>
      <c r="C236" s="3" t="inlineStr">
        <is>
          <t>src/domain/assets/index.ts</t>
        </is>
      </c>
      <c r="D236" s="3" t="n">
        <v>684</v>
      </c>
      <c r="E236" s="3" t="inlineStr">
        <is>
          <t>3 · DEPENDENT (feeds an action only)</t>
        </is>
      </c>
      <c r="F236" s="3" t="inlineStr">
        <is>
          <t>NOT DETERMINED — the code carries no note saying what this is for, and it has no row in the old inventory. Needs reading.</t>
        </is>
      </c>
      <c r="G236" s="11" t="inlineStr">
        <is>
          <t>sum where(accounts, (a) =&gt; asset class of(a) = 'stocks_etf')</t>
        </is>
      </c>
      <c r="H236" s="3" t="inlineStr">
        <is>
          <t>sum where(accounts, (a) =&gt; asset class of(a) = 'stocks_etf').</t>
        </is>
      </c>
      <c r="I236" s="3" t="inlineStr">
        <is>
          <t>PARTLY READ — some of the code is still showing through; needs a hand pass</t>
        </is>
      </c>
      <c r="J236" s="3" t="inlineStr">
        <is>
          <t>accounts: AssetAccount[]</t>
        </is>
      </c>
      <c r="K236" s="3" t="inlineStr">
        <is>
          <t>number</t>
        </is>
      </c>
      <c r="L236" s="3" t="inlineStr">
        <is>
          <t>—</t>
        </is>
      </c>
      <c r="M236" s="3" t="inlineStr">
        <is>
          <t>None found in this function — anything it assumes comes from the functions it depends on.</t>
        </is>
      </c>
      <c r="N236" s="3" t="inlineStr">
        <is>
          <t>No</t>
        </is>
      </c>
      <c r="O236" s="3" t="inlineStr">
        <is>
          <t>1. MK-NW-F-011 assetClassOf
2. MK-NW-F-066 sumWhere</t>
        </is>
      </c>
      <c r="P236" s="3" t="n">
        <v>12</v>
      </c>
      <c r="Q236" s="3" t="inlineStr">
        <is>
          <t>1. MK-NW-F-011 assetClassOf
2. MK-NW-F-066 sumWhere
3. MK-NW-F-008 incomeBearingClassOf
4. MK-CF-F-155 cash
5. MK-ST-F-010 nameEvidence
6. MK-XS-F-122 n
7. MK-XS-F-147 call
8. MK-ST-F-056 has
9. MK-CF-F-132 map
10. MK-ST-F-027 accountId
11. MK-XS-F-064 currentIdToken
12. MK-XS-F-112 relayUrl</t>
        </is>
      </c>
      <c r="R236"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6" s="3" t="inlineStr">
        <is>
          <t>—</t>
        </is>
      </c>
      <c r="T236" s="3" t="inlineStr">
        <is>
          <t>—</t>
        </is>
      </c>
      <c r="U236" s="3" t="inlineStr">
        <is>
          <t>ACTIVE</t>
        </is>
      </c>
      <c r="V236" s="3" t="inlineStr">
        <is>
          <t>2026-08-27</t>
        </is>
      </c>
      <c r="W236" s="3" t="n"/>
      <c r="X236" s="3" t="n"/>
      <c r="Y236" s="3" t="inlineStr">
        <is>
          <t>NOTHING OPEN</t>
        </is>
      </c>
    </row>
    <row r="237" ht="60" customHeight="1">
      <c r="A237" s="3" t="inlineStr">
        <is>
          <t>MK-NW-F-018</t>
        </is>
      </c>
      <c r="B237" s="3" t="inlineStr">
        <is>
          <t>fixedIncomeTotal</t>
        </is>
      </c>
      <c r="C237" s="3" t="inlineStr">
        <is>
          <t>src/domain/assets/index.ts</t>
        </is>
      </c>
      <c r="D237" s="3" t="n">
        <v>702</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'bonds')</t>
        </is>
      </c>
      <c r="H237" s="3" t="inlineStr">
        <is>
          <t>sum where(accounts, (a) =&gt; asset class of(a) = 'bonds').</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MK-NW-F-019</t>
        </is>
      </c>
      <c r="B238" s="3" t="inlineStr">
        <is>
          <t>alternativesTotal</t>
        </is>
      </c>
      <c r="C238" s="3" t="inlineStr">
        <is>
          <t>src/domain/assets/index.ts</t>
        </is>
      </c>
      <c r="D238" s="3" t="n">
        <v>720</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'alternatives')</t>
        </is>
      </c>
      <c r="H238" s="3" t="inlineStr">
        <is>
          <t>sum where(accounts, (a) =&gt; asset class of(a) = 'alternatives').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MK-NW-F-020</t>
        </is>
      </c>
      <c r="B239" s="3" t="inlineStr">
        <is>
          <t>realEstateTotal</t>
        </is>
      </c>
      <c r="C239" s="3" t="inlineStr">
        <is>
          <t>src/domain/assets/index.ts</t>
        </is>
      </c>
      <c r="D239" s="3" t="n">
        <v>738</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'real_estate')</t>
        </is>
      </c>
      <c r="H239" s="3" t="inlineStr">
        <is>
          <t>sum where(accounts, (a) =&gt; asset class of(a) = 'real_estate').</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MK-NW-F-021</t>
        </is>
      </c>
      <c r="B240" s="3" t="inlineStr">
        <is>
          <t>investmentsTotal</t>
        </is>
      </c>
      <c r="C240" s="3" t="inlineStr">
        <is>
          <t>src/domain/assets/index.ts</t>
        </is>
      </c>
      <c r="D240" s="3" t="n">
        <v>762</v>
      </c>
      <c r="E240" s="3" t="inlineStr">
        <is>
          <t>2 · DISPLAYED</t>
        </is>
      </c>
      <c r="F240" s="3" t="inlineStr">
        <is>
          <t>Investments / holdings (allocation view, Term #4) = equities + fixed income + alternatives, ACROSS all wrappers (so a 401(k)'s stocks count).</t>
        </is>
      </c>
      <c r="G240" s="11" t="inlineStr">
        <is>
          <t>sum where(accounts, (a) =&gt; { const c = asset class of(a); return c = 'stocks_etf' or c = 'bonds' or c = 'alternatives' or c = 'mixed'; })</t>
        </is>
      </c>
      <c r="H240" s="3" t="inlineStr">
        <is>
          <t>sum where(accounts, (a) =&gt; { const c = asset class of(a); return c = 'stocks_etf' or c = 'bonds' or c = 'alternatives' or c = 'mixed'; }).</t>
        </is>
      </c>
      <c r="I240" s="3" t="inlineStr">
        <is>
          <t>PARTLY READ — some of the code is still showing through; needs a hand pass</t>
        </is>
      </c>
      <c r="J240" s="3" t="inlineStr">
        <is>
          <t>accounts: AssetAccount[]</t>
        </is>
      </c>
      <c r="K240" s="3" t="inlineStr">
        <is>
          <t>number</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0" s="3" t="inlineStr">
        <is>
          <t>—</t>
        </is>
      </c>
      <c r="T240" s="3" t="inlineStr">
        <is>
          <t>TOTAL_INVESTMENTS</t>
        </is>
      </c>
      <c r="U240" s="3" t="inlineStr">
        <is>
          <t>ACTIVE</t>
        </is>
      </c>
      <c r="V240" s="3" t="inlineStr">
        <is>
          <t>2026-08-27</t>
        </is>
      </c>
      <c r="W240" s="3" t="n"/>
      <c r="X240" s="3" t="n"/>
      <c r="Y240" s="6" t="inlineStr">
        <is>
          <t>TESTED, NOT VERIFIED (C3)</t>
        </is>
      </c>
    </row>
    <row r="241" ht="60" customHeight="1">
      <c r="A241" s="3" t="inlineStr">
        <is>
          <t>MK-NW-F-022</t>
        </is>
      </c>
      <c r="B241" s="3" t="inlineStr">
        <is>
          <t>investableAssets</t>
        </is>
      </c>
      <c r="C241" s="3" t="inlineStr">
        <is>
          <t>src/domain/assets/index.ts</t>
        </is>
      </c>
      <c r="D241" s="3" t="n">
        <v>786</v>
      </c>
      <c r="E241" s="3" t="inlineStr">
        <is>
          <t>2 · DISPLAYED</t>
        </is>
      </c>
      <c r="F241" s="3" t="inlineStr">
        <is>
          <t>Investable assets (Term #4) = all financial assets (cash + investments + retirement balances), EXCLUDING real estate + personal property.</t>
        </is>
      </c>
      <c r="G241" s="11" t="inlineStr">
        <is>
          <t>sum where(accounts, (a) =&gt; !is real asset(a))</t>
        </is>
      </c>
      <c r="H241" s="3" t="inlineStr">
        <is>
          <t>sum where(accounts, (a) =&gt; !is real asset(a)).</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MK-NW-F-014 isRealAsset
2. MK-NW-F-066 sumWhere
3. MK-NW-F-015 totalAssets</t>
        </is>
      </c>
      <c r="P241" s="3" t="n">
        <v>14</v>
      </c>
      <c r="Q241"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1"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1" s="3" t="inlineStr">
        <is>
          <t>—</t>
        </is>
      </c>
      <c r="T241" s="3" t="inlineStr">
        <is>
          <t>TOTAL_INVESTABLE</t>
        </is>
      </c>
      <c r="U241" s="3" t="inlineStr">
        <is>
          <t>ACTIVE</t>
        </is>
      </c>
      <c r="V241" s="3" t="inlineStr">
        <is>
          <t>2026-08-27</t>
        </is>
      </c>
      <c r="W241" s="3" t="n"/>
      <c r="X241" s="3" t="n"/>
      <c r="Y241" s="3" t="inlineStr">
        <is>
          <t>NOTHING OPEN</t>
        </is>
      </c>
    </row>
    <row r="242" ht="60" customHeight="1">
      <c r="A242" s="3" t="inlineStr">
        <is>
          <t>MK-NW-F-023</t>
        </is>
      </c>
      <c r="B242" s="3" t="inlineStr">
        <is>
          <t>wrapperWord</t>
        </is>
      </c>
      <c r="C242" s="3" t="inlineStr">
        <is>
          <t>src/domain/assets/index.ts</t>
        </is>
      </c>
      <c r="D242" s="3" t="n">
        <v>827</v>
      </c>
      <c r="E242" s="3" t="inlineStr">
        <is>
          <t>1 · ACTION</t>
        </is>
      </c>
      <c r="F242" s="3" t="inlineStr">
        <is>
          <t>NOT DETERMINED — the code carries no note saying what this is for, and it has no row in the old inventory. Needs reading.</t>
        </is>
      </c>
      <c r="G242" s="11" t="inlineStr">
        <is>
          <t>KIND_TO_WRAPPER[kind] (or '' when missing)   if kind
''   otherwise</t>
        </is>
      </c>
      <c r="H242" s="3" t="inlineStr">
        <is>
          <t>KIND_TO_WRAPPER[kind] (or '' when missing) — when kind; '' — otherwise</t>
        </is>
      </c>
      <c r="I242" s="3" t="inlineStr">
        <is>
          <t>READ FROM THE CODE — rendered from the expressions the function runs</t>
        </is>
      </c>
      <c r="J242" s="3" t="inlineStr">
        <is>
          <t>kind?: string</t>
        </is>
      </c>
      <c r="K242" s="3" t="inlineStr">
        <is>
          <t>string</t>
        </is>
      </c>
      <c r="L242" s="3" t="inlineStr">
        <is>
          <t>—</t>
        </is>
      </c>
      <c r="M242" s="3" t="inlineStr">
        <is>
          <t>None found in this function — anything it assumes comes from the functions it depends on.</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2026-08-27</t>
        </is>
      </c>
      <c r="W242" s="3" t="n"/>
      <c r="X242" s="3" t="n"/>
      <c r="Y242" s="3" t="inlineStr">
        <is>
          <t>NOTHING OPEN</t>
        </is>
      </c>
    </row>
    <row r="243" ht="60" customHeight="1">
      <c r="A243" s="3" t="inlineStr">
        <is>
          <t>MK-NW-F-024</t>
        </is>
      </c>
      <c r="B243" s="3" t="inlineStr">
        <is>
          <t>accountLastFour</t>
        </is>
      </c>
      <c r="C243" s="3" t="inlineStr">
        <is>
          <t>src/domain/assets/index.ts</t>
        </is>
      </c>
      <c r="D243" s="3" t="n">
        <v>855</v>
      </c>
      <c r="E243" s="3" t="inlineStr">
        <is>
          <t>3 · DEPENDENT</t>
        </is>
      </c>
      <c r="F243" s="3" t="inlineStr">
        <is>
          <t>The last four digits of an account, or null when we genuinely don't have them.</t>
        </is>
      </c>
      <c r="G243" s="11" t="inlineStr">
        <is>
          <t>digits = string(raw ?? '').replace( ÷ \D ÷ g, '')
digits.slice(-4)   when digits.length ≥ 4
[LOOP — the answer is found inside a loop the extractor cannot render; the steps above are the ones before it. Read by hand.]</t>
        </is>
      </c>
      <c r="H243" s="3" t="inlineStr">
        <is>
          <t>Digits is string(raw ?? '').replace( divided by \D divided by g, ''). When digits.length is at least 4, it answers digits.slice(-4). The answer is no answer. The answer is found inside a loop that cannot be rendered here; read the code by hand.</t>
        </is>
      </c>
      <c r="I243" s="3" t="inlineStr">
        <is>
          <t>PARTLY READ — the body has a loop the extractor cannot render; the steps shown are the ones before it. Needs a hand pass (G23).</t>
        </is>
      </c>
      <c r="J243" s="3" t="inlineStr">
        <is>
          <t>a: { mask?: string; account_number?: string }</t>
        </is>
      </c>
      <c r="K243" s="3" t="inlineStr">
        <is>
          <t>string | null</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2026-09-08</t>
        </is>
      </c>
      <c r="W243" s="3" t="n"/>
      <c r="X243" s="3" t="n"/>
      <c r="Y243" s="3" t="inlineStr">
        <is>
          <t>NOTHING OPEN</t>
        </is>
      </c>
    </row>
    <row r="244" ht="60" customHeight="1">
      <c r="A244" s="3" t="inlineStr">
        <is>
          <t>MK-NW-F-025</t>
        </is>
      </c>
      <c r="B244" s="3" t="inlineStr">
        <is>
          <t>accountDisplayName</t>
        </is>
      </c>
      <c r="C244" s="3" t="inlineStr">
        <is>
          <t>src/domain/assets/index.ts</t>
        </is>
      </c>
      <c r="D244" s="3" t="n">
        <v>902</v>
      </c>
      <c r="E244" s="3" t="inlineStr">
        <is>
          <t>3 · DEPENDENT</t>
        </is>
      </c>
      <c r="F244"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4"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4"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4" s="3" t="inlineStr">
        <is>
          <t>PARTLY READ — some of the code is still showing through; needs a hand pass</t>
        </is>
      </c>
      <c r="J244" s="3" t="inlineStr">
        <is>
          <t>a: Pick&lt;AssetAccount, 'label' | 'institution' | 'mask'&gt; &amp; { positions?: unknown[]; kind?: string; tax_bucket?: TaxBucket; tax_treatment?: TaxTreatment }</t>
        </is>
      </c>
      <c r="K244" s="3" t="inlineStr">
        <is>
          <t>string</t>
        </is>
      </c>
      <c r="L244" s="3" t="inlineStr">
        <is>
          <t>—</t>
        </is>
      </c>
      <c r="M244" s="3" t="inlineStr">
        <is>
          <t>None found in this function — anything it assumes comes from the functions it depends on.</t>
        </is>
      </c>
      <c r="N244" s="3" t="inlineStr">
        <is>
          <t>Yes</t>
        </is>
      </c>
      <c r="O244" s="3" t="inlineStr">
        <is>
          <t>1. MK-NW-F-026 accountDisplayNames
2. MK-NW-F-024 accountLastFour
3. MK-NW-F-012 taxTreatmentOf
4. MK-NW-F-023 wrapperWord</t>
        </is>
      </c>
      <c r="P244" s="3" t="n">
        <v>7</v>
      </c>
      <c r="Q244" s="3" t="inlineStr">
        <is>
          <t>1. MK-NW-F-026 accountDisplayNames
2. MK-NW-F-024 accountLastFour
3. MK-NW-F-012 taxTreatmentOf
4. MK-NW-F-023 wrapperWord
5. MK-CF-F-155 cash
6. MK-CF-F-132 map
7. MK-XS-F-122 n</t>
        </is>
      </c>
      <c r="R244"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MK-NW-F-026</t>
        </is>
      </c>
      <c r="B245" s="3" t="inlineStr">
        <is>
          <t>accountDisplayNames</t>
        </is>
      </c>
      <c r="C245" s="3" t="inlineStr">
        <is>
          <t>src/domain/assets/index.ts</t>
        </is>
      </c>
      <c r="D245" s="3" t="n">
        <v>976</v>
      </c>
      <c r="E245" s="3" t="inlineStr">
        <is>
          <t>2 · DISPLAYED</t>
        </is>
      </c>
      <c r="F245" s="3" t="inlineStr">
        <is>
          <t>Display names for a whole LIST of accounts.</t>
        </is>
      </c>
      <c r="G245" s="11" t="inlineStr">
        <is>
          <t>base = a lookup of for each of accounts: [asset id, account display name(each)]
counts = new map&lt;string, number&gt;()
seen = new map&lt;string, number&gt;()
out = new map&lt;string, string&gt;()
n = base.get(asset id)!
i = (seen.get(n) ?? 0) + 1
the answer = out</t>
        </is>
      </c>
      <c r="H245" s="3" t="inlineStr">
        <is>
          <t>Base is a lookup of for each of accounts: [asset id, account display name(each)]. Counts is new map&lt;string, number&gt;(). Seen is new map&lt;string, number&gt;(). Out is new map&lt;string, string&gt;(). N is base.get(asset id)!. I is (seen.get(n) ?? 0) plus 1. The answer is out.</t>
        </is>
      </c>
      <c r="I245" s="3" t="inlineStr">
        <is>
          <t>PARTLY READ — some of the code is still showing through; needs a hand pass</t>
        </is>
      </c>
      <c r="J245" s="3" t="inlineStr">
        <is>
          <t>accounts: (Pick&lt;AssetAccount, 'asset_id' | 'label' | 'institution' | 'mask'&gt; &amp; { positions?: unknown[] })[]</t>
        </is>
      </c>
      <c r="K245" s="3" t="inlineStr">
        <is>
          <t>Map&lt;string, string&gt;</t>
        </is>
      </c>
      <c r="L245" s="3" t="inlineStr">
        <is>
          <t>"Bonds &amp; alternatives — recorded on their own pages" — on the Performance screen</t>
        </is>
      </c>
      <c r="M245" s="3" t="inlineStr">
        <is>
          <t>None found in this function — anything it assumes comes from the functions it depends on.</t>
        </is>
      </c>
      <c r="N245" s="3" t="inlineStr">
        <is>
          <t>Yes</t>
        </is>
      </c>
      <c r="O245" s="3" t="inlineStr">
        <is>
          <t>1. MK-NW-F-025 accountDisplayName
2. MK-CF-F-155 cash
3. MK-CF-F-132 map
4. MK-XS-F-122 n</t>
        </is>
      </c>
      <c r="P245" s="3" t="n">
        <v>7</v>
      </c>
      <c r="Q245" s="3" t="inlineStr">
        <is>
          <t>1. MK-NW-F-025 accountDisplayName
2. MK-CF-F-155 cash
3. MK-CF-F-132 map
4. MK-XS-F-122 n
5. MK-NW-F-024 accountLastFour
6. MK-NW-F-012 taxTreatmentOf
7. MK-NW-F-023 wrapperWord</t>
        </is>
      </c>
      <c r="R245"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5" s="3" t="inlineStr">
        <is>
          <t>—</t>
        </is>
      </c>
      <c r="T245" s="3" t="inlineStr">
        <is>
          <t>ACCOUNT_NAMES</t>
        </is>
      </c>
      <c r="U245" s="3" t="inlineStr">
        <is>
          <t>ACTIVE</t>
        </is>
      </c>
      <c r="V245" s="3" t="inlineStr">
        <is>
          <t>2026-08-27</t>
        </is>
      </c>
      <c r="W245" s="3" t="n"/>
      <c r="X245" s="3" t="n"/>
      <c r="Y245" s="3" t="inlineStr">
        <is>
          <t>NOTHING OPEN</t>
        </is>
      </c>
    </row>
    <row r="246" ht="60" customHeight="1">
      <c r="A246" s="3" t="inlineStr">
        <is>
          <t>MK-NW-F-027</t>
        </is>
      </c>
      <c r="B246" s="3" t="inlineStr">
        <is>
          <t>accountClassBreakdown</t>
        </is>
      </c>
      <c r="C246" s="3" t="inlineStr">
        <is>
          <t>src/domain/assets/index.ts</t>
        </is>
      </c>
      <c r="D246" s="3" t="n">
        <v>1050</v>
      </c>
      <c r="E246" s="3" t="inlineStr">
        <is>
          <t>2 · DISPLAYED</t>
        </is>
      </c>
      <c r="F246"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6"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6"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6" s="3" t="inlineStr">
        <is>
          <t>PARTLY READ — some of the code is still showing through; needs a hand pass</t>
        </is>
      </c>
      <c r="J246" s="3" t="inlineStr">
        <is>
          <t>a: AssetAccount</t>
        </is>
      </c>
      <c r="K246" s="3" t="inlineStr">
        <is>
          <t>Record&lt;AssetClass, number&gt; | null</t>
        </is>
      </c>
      <c r="L246" s="3" t="inlineStr">
        <is>
          <t>NOT FOUND — a screen calls it, but the words printed beside its answer could not be traced automatically. Needs reading.</t>
        </is>
      </c>
      <c r="M246"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6" s="3" t="inlineStr">
        <is>
          <t>Yes</t>
        </is>
      </c>
      <c r="O246" s="3" t="inlineStr">
        <is>
          <t>1. MK-NW-F-011 assetClassOf
2. MK-CF-F-155 cash
3. MK-NW-F-008 incomeBearingClassOf</t>
        </is>
      </c>
      <c r="P246" s="3" t="n">
        <v>11</v>
      </c>
      <c r="Q246" s="3" t="inlineStr">
        <is>
          <t>1. MK-NW-F-011 assetClassOf
2. MK-CF-F-155 cash
3. MK-NW-F-008 incomeBearingClassOf
4. MK-XS-F-122 n
5. MK-ST-F-010 nameEvidence
6. MK-XS-F-147 call
7. MK-ST-F-056 has
8. MK-CF-F-132 map
9. MK-ST-F-027 accountId
10. MK-XS-F-064 currentIdToken
11. MK-XS-F-112 relayUrl</t>
        </is>
      </c>
      <c r="R246"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6" s="3" t="inlineStr">
        <is>
          <t>—</t>
        </is>
      </c>
      <c r="T246" s="3" t="inlineStr">
        <is>
          <t>ACCOUNT_SPLIT</t>
        </is>
      </c>
      <c r="U246" s="3" t="inlineStr">
        <is>
          <t>ACTIVE</t>
        </is>
      </c>
      <c r="V246" s="3" t="inlineStr">
        <is>
          <t>2026-09-09</t>
        </is>
      </c>
      <c r="W246" s="3" t="n"/>
      <c r="X246" s="3" t="n"/>
      <c r="Y246" s="3" t="inlineStr">
        <is>
          <t>NOTHING OPEN</t>
        </is>
      </c>
    </row>
    <row r="247" ht="60" customHeight="1">
      <c r="A247" s="3" t="inlineStr">
        <is>
          <t>MK-NW-F-028</t>
        </is>
      </c>
      <c r="B247" s="3" t="inlineStr">
        <is>
          <t>classPortionLabel</t>
        </is>
      </c>
      <c r="C247" s="3" t="inlineStr">
        <is>
          <t>src/domain/assets/index.ts</t>
        </is>
      </c>
      <c r="D247" s="3" t="n">
        <v>1160</v>
      </c>
      <c r="E247" s="3" t="inlineStr">
        <is>
          <t>2 · DISPLAYED</t>
        </is>
      </c>
      <c r="F247" s="3" t="inlineStr">
        <is>
          <t>Plain words for an account's slice inside a class row.</t>
        </is>
      </c>
      <c r="G247"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7"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7" s="3" t="inlineStr">
        <is>
          <t>PARTLY READ — some of the code is still showing through; needs a hand pass</t>
        </is>
      </c>
      <c r="J247" s="3" t="inlineStr">
        <is>
          <t>1. a: AssetAccount
2. cls: AssetClass</t>
        </is>
      </c>
      <c r="K247" s="3" t="inlineStr">
        <is>
          <t>string</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MK-CF-F-204 line
2. MK-XS-F-120 nameOf
3. MK-NW-F-067 plural</t>
        </is>
      </c>
      <c r="P247" s="3" t="n">
        <v>104</v>
      </c>
      <c r="Q247" s="3" t="inlineStr">
        <is>
          <t>1. MK-CF-F-204 line
2. MK-XS-F-120 nameOf
3. MK-NW-F-067 plural
4. MK-CF-F-203 MONTH
5. MK-XS-F-180 declareFigures
6. MK-CF-O-010 theMonth
7. MK-CF-O-002 expenses
8. MK-CF-O-003 thisMonth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MK-CF-F-155 cash
25. MK-CF-F-157 debtPaymentsByDebt
26. MK-CF-F-192 inflowLabel
27. MK-XS-F-027 takeHomeMonthly
28. MK-XS-F-122 n
29. MK-CF-F-021 defaultPaymentType
30. MK-NW-F-077 ALL
31. MK-NW-F-059 currentYield
32. MK-ST-F-049 formatMoney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47" s="3" t="inlineStr">
        <is>
          <t>1. MONTH (already above — a loop) → MK-CF-O-010 theMonth → MK-CF-F-203 MONTH → MK-CF-F-204 line → MK-NW-F-028 classPortionLabel
2. MK-CF-F-151 actualSpending → MK-CF-O-002 expenses → MK-CF-O-010 theMonth → MK-CF-F-203 MONTH → MK-CF-F-204 line → MK-NW-F-028 classPortionLabel
3. MK-CF-F-150 debtPaymentsCountedAsExpenses → MK-CF-O-002 expenses → MK-CF-O-010 theMonth → MK-CF-F-203 MONTH → MK-CF-F-204 line → MK-NW-F-028 classPortionLabel
4. MK-CF-F-153 radar → MK-CF-O-002 expenses → MK-CF-O-010 theMonth → MK-CF-F-203 MONTH → MK-CF-F-204 line → MK-NW-F-028 classPortionLabel
5. MK-CF-F-149 recurringDebtPayments → MK-CF-O-002 expenses → MK-CF-O-010 theMonth → MK-CF-F-203 MONTH → MK-CF-F-204 line → MK-NW-F-028 classPortionLabel
6. MK-CF-F-005 actualMonthFlow → MK-CF-O-003 thisMonth → MK-CF-O-010 theMonth → MK-CF-F-203 MONTH → MK-CF-F-204 line → MK-NW-F-028 classPortionLabel
7. MK-CF-F-156 plannedMonthFlow → MK-CF-O-003 thisMonth → MK-CF-O-010 theMonth → MK-CF-F-203 MONTH → MK-CF-F-204 line → MK-NW-F-028 classPortionLabel
8. MK-XS-F-180 declareFigures → MK-CF-F-204 line → MK-NW-F-028 classPortionLabel
9. … and 2 more paths</t>
        </is>
      </c>
      <c r="S247" s="3" t="inlineStr">
        <is>
          <t>—</t>
        </is>
      </c>
      <c r="T247" s="3" t="inlineStr">
        <is>
          <t>SLICE_WORDING</t>
        </is>
      </c>
      <c r="U247" s="3" t="inlineStr">
        <is>
          <t>ACTIVE</t>
        </is>
      </c>
      <c r="V247" s="3" t="inlineStr">
        <is>
          <t>2026-08-27</t>
        </is>
      </c>
      <c r="W247" s="3" t="n"/>
      <c r="X247" s="3" t="n"/>
      <c r="Y247" s="3" t="inlineStr">
        <is>
          <t>NOTHING OPEN</t>
        </is>
      </c>
    </row>
    <row r="248" ht="60" customHeight="1">
      <c r="A248" s="3" t="inlineStr">
        <is>
          <t>MK-NW-F-029</t>
        </is>
      </c>
      <c r="B248" s="3" t="inlineStr">
        <is>
          <t>assetAllocation</t>
        </is>
      </c>
      <c r="C248" s="3" t="inlineStr">
        <is>
          <t>src/domain/assets/index.ts</t>
        </is>
      </c>
      <c r="D248" s="3" t="n">
        <v>1228</v>
      </c>
      <c r="E248" s="3" t="inlineStr">
        <is>
          <t>2 · DISPLAYED</t>
        </is>
      </c>
      <c r="F248" s="3" t="inlineStr">
        <is>
          <t>How much money sits in each of the seven classes?</t>
        </is>
      </c>
      <c r="G248" s="11" t="inlineStr">
        <is>
          <t>out = cash = 0
bonds = 0
stocks etf = 0
alternatives = 0
real estate = 0
personal property = 0
mixed = 0
b = account class breakdown(a)
the answer = out</t>
        </is>
      </c>
      <c r="H248" s="3" t="inlineStr">
        <is>
          <t>Out is cash = 0; bonds = 0; stocks etf = 0; alternatives = 0; real estate = 0; personal property = 0; mixed = 0. B is account class breakdown(a). The answer is out.</t>
        </is>
      </c>
      <c r="I248" s="3" t="inlineStr">
        <is>
          <t>READ FROM THE CODE — rendered from the expressions the function runs</t>
        </is>
      </c>
      <c r="J248" s="3" t="inlineStr">
        <is>
          <t>accounts: AssetAccount[]</t>
        </is>
      </c>
      <c r="K248" s="3" t="inlineStr">
        <is>
          <t>Record&lt;AssetClass, number&gt;</t>
        </is>
      </c>
      <c r="L248" s="3" t="inlineStr">
        <is>
          <t>NOT FOUND — a screen calls it, but the words printed beside its answer could not be traced automatically. Needs reading.</t>
        </is>
      </c>
      <c r="M248" s="3" t="inlineStr">
        <is>
          <t>· If balance is missing it counts as zero, so nothing recorded and a real zero look the same.</t>
        </is>
      </c>
      <c r="N248" s="3" t="inlineStr">
        <is>
          <t>Yes</t>
        </is>
      </c>
      <c r="O248" s="3" t="inlineStr">
        <is>
          <t>1. MK-NW-F-027 accountClassBreakdown
2. MK-NW-F-011 assetClassOf</t>
        </is>
      </c>
      <c r="P248" s="3" t="n">
        <v>12</v>
      </c>
      <c r="Q248"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8"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8" s="3" t="inlineStr">
        <is>
          <t>—</t>
        </is>
      </c>
      <c r="T248" s="3" t="inlineStr">
        <is>
          <t>ALLOCATION_BY_CLASS</t>
        </is>
      </c>
      <c r="U248" s="3" t="inlineStr">
        <is>
          <t>ACTIVE</t>
        </is>
      </c>
      <c r="V248" s="3" t="inlineStr">
        <is>
          <t>2026-08-27</t>
        </is>
      </c>
      <c r="W248" s="3" t="n"/>
      <c r="X248" s="3" t="n"/>
      <c r="Y248" s="3" t="inlineStr">
        <is>
          <t>NOTHING OPEN</t>
        </is>
      </c>
    </row>
    <row r="249" ht="60" customHeight="1">
      <c r="A249" s="3" t="inlineStr">
        <is>
          <t>MK-NW-F-030</t>
        </is>
      </c>
      <c r="B249" s="3" t="inlineStr">
        <is>
          <t>earmarkDefault</t>
        </is>
      </c>
      <c r="C249" s="3" t="inlineStr">
        <is>
          <t>src/domain/assets/index.ts</t>
        </is>
      </c>
      <c r="D249" s="3" t="n">
        <v>1285</v>
      </c>
      <c r="E249" s="3" t="inlineStr">
        <is>
          <t>2 · DISPLAYED</t>
        </is>
      </c>
      <c r="F249" s="3" t="inlineStr">
        <is>
          <t>Default % of an account that's earmarked for retirement (rest funds other goals).</t>
        </is>
      </c>
      <c r="G249" s="11" t="inlineStr">
        <is>
          <t>0   when kind = 'college_529'
0   when asset class of(a) = 'real_estate' and real estate use of(a) = 'primary'
0   when asset id = primary car id
100</t>
        </is>
      </c>
      <c r="H249" s="3" t="inlineStr">
        <is>
          <t>When kind = 'college_529', it answers 0. When asset class of(a) = 'real_estate' and real estate use of(a) = 'primary', it answers 0. When asset id = primary car id, it answers 0. 100.</t>
        </is>
      </c>
      <c r="I249" s="3" t="inlineStr">
        <is>
          <t>READ FROM THE CODE — rendered from the expressions the function runs</t>
        </is>
      </c>
      <c r="J249" s="3" t="inlineStr">
        <is>
          <t>1. a: AssetAccount
2. primaryCarId?: string</t>
        </is>
      </c>
      <c r="K249" s="3" t="inlineStr">
        <is>
          <t>number</t>
        </is>
      </c>
      <c r="L24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49" s="3" t="inlineStr">
        <is>
          <t>None found in this function — anything it assumes comes from the functions it depends on.</t>
        </is>
      </c>
      <c r="N249" s="3" t="inlineStr">
        <is>
          <t>Yes</t>
        </is>
      </c>
      <c r="O249" s="3" t="inlineStr">
        <is>
          <t>1. MK-NW-F-011 assetClassOf
2. MK-NW-F-013 realEstateUseOf</t>
        </is>
      </c>
      <c r="P249" s="3" t="n">
        <v>12</v>
      </c>
      <c r="Q249"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49"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49" s="3" t="inlineStr">
        <is>
          <t>—</t>
        </is>
      </c>
      <c r="T249" s="3" t="inlineStr">
        <is>
          <t>RETIREMENT_SHARE_DEFAULT</t>
        </is>
      </c>
      <c r="U249" s="3" t="inlineStr">
        <is>
          <t>ACTIVE</t>
        </is>
      </c>
      <c r="V249" s="3" t="inlineStr">
        <is>
          <t>2026-08-27</t>
        </is>
      </c>
      <c r="W249" s="3" t="n"/>
      <c r="X249" s="3" t="n"/>
      <c r="Y249" s="3" t="inlineStr">
        <is>
          <t>NOTHING OPEN</t>
        </is>
      </c>
    </row>
    <row r="250" ht="60" customHeight="1">
      <c r="A250" s="3" t="inlineStr">
        <is>
          <t>MK-NW-F-031</t>
        </is>
      </c>
      <c r="B250" s="3" t="inlineStr">
        <is>
          <t>primaryCarIdOf</t>
        </is>
      </c>
      <c r="C250" s="3" t="inlineStr">
        <is>
          <t>src/domain/assets/index.ts</t>
        </is>
      </c>
      <c r="D250" s="3" t="n">
        <v>1326</v>
      </c>
      <c r="E250" s="3" t="inlineStr">
        <is>
          <t>2 · DISPLAYED</t>
        </is>
      </c>
      <c r="F250" s="3" t="inlineStr">
        <is>
          <t>The vehicle treated as "the car you drive" — the most valuable one, so a second car stays a real asset.</t>
        </is>
      </c>
      <c r="G250"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0"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0" s="3" t="inlineStr">
        <is>
          <t>PARTLY READ — some of the code is still showing through; needs a hand pass</t>
        </is>
      </c>
      <c r="J250" s="3" t="inlineStr">
        <is>
          <t>accounts: AssetAccount[]</t>
        </is>
      </c>
      <c r="K250" s="3" t="inlineStr">
        <is>
          <t>string | undefined</t>
        </is>
      </c>
      <c r="L250" s="3" t="inlineStr">
        <is>
          <t>"WHAT COUNTS TOWARD RETIREMENT" — on a card used on more than one screen (PlanInputs), under "WHAT COUNTS TOWARD RETIREMENT"</t>
        </is>
      </c>
      <c r="M250" s="3" t="inlineStr">
        <is>
          <t>· If balance is missing it counts as zero, so nothing recorded and a real zero look the same.</t>
        </is>
      </c>
      <c r="N250" s="3" t="inlineStr">
        <is>
          <t>Yes</t>
        </is>
      </c>
      <c r="O250" s="3" t="inlineStr">
        <is>
          <t>MK-NW-F-011 assetClassOf</t>
        </is>
      </c>
      <c r="P250" s="3" t="n">
        <v>11</v>
      </c>
      <c r="Q250" s="3" t="inlineStr">
        <is>
          <t>1. MK-NW-F-011 assetClassOf
2. MK-NW-F-008 incomeBearingClassOf
3. MK-CF-F-155 cash
4. MK-ST-F-010 nameEvidence
5. MK-XS-F-122 n
6. MK-XS-F-147 call
7. MK-ST-F-056 has
8. MK-CF-F-132 map
9. MK-ST-F-027 accountId
10. MK-XS-F-064 currentIdToken
11. MK-XS-F-112 relayUrl</t>
        </is>
      </c>
      <c r="R250"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0" s="3" t="inlineStr">
        <is>
          <t>—</t>
        </is>
      </c>
      <c r="T250" s="3" t="inlineStr">
        <is>
          <t>PRIMARY_CAR</t>
        </is>
      </c>
      <c r="U250" s="3" t="inlineStr">
        <is>
          <t>ACTIVE</t>
        </is>
      </c>
      <c r="V250" s="3" t="inlineStr">
        <is>
          <t>2026-08-27</t>
        </is>
      </c>
      <c r="W250" s="3" t="n"/>
      <c r="X250" s="3" t="n"/>
      <c r="Y250" s="3" t="inlineStr">
        <is>
          <t>NOTHING OPEN</t>
        </is>
      </c>
    </row>
    <row r="251" ht="60" customHeight="1">
      <c r="A251" s="3" t="inlineStr">
        <is>
          <t>MK-NW-F-032</t>
        </is>
      </c>
      <c r="B251" s="3" t="inlineStr">
        <is>
          <t>earmarkedAmount</t>
        </is>
      </c>
      <c r="C251" s="3" t="inlineStr">
        <is>
          <t>src/domain/assets/index.ts</t>
        </is>
      </c>
      <c r="D251" s="3" t="n">
        <v>1368</v>
      </c>
      <c r="E251" s="3" t="inlineStr">
        <is>
          <t>2 · DISPLAYED</t>
        </is>
      </c>
      <c r="F251" s="3" t="inlineStr">
        <is>
          <t>The retirement-earmarked $ for one account (uses the saved % or the smart default).</t>
        </is>
      </c>
      <c r="G251" s="11" t="inlineStr">
        <is>
          <t>pct = earmark default(a, primary car id)   if retirement pct = nothing
retirement pct   otherwise
the answer = (balance or 0) × max(0, min(100, pct)) ÷ 100</t>
        </is>
      </c>
      <c r="H251" s="3" t="inlineStr">
        <is>
          <t>Pct is earmark default(a, primary car id) — when retirement pct is missing; retirement pct — otherwise. The answer is (balance or 0) times the smaller of 100 and pct, never below zero divided by 100.</t>
        </is>
      </c>
      <c r="I251" s="3" t="inlineStr">
        <is>
          <t>READ FROM THE CODE — rendered from the expressions the function runs</t>
        </is>
      </c>
      <c r="J251" s="3" t="inlineStr">
        <is>
          <t>1. a: AssetAccount
2. primaryCarId?: string</t>
        </is>
      </c>
      <c r="K251" s="3" t="inlineStr">
        <is>
          <t>number</t>
        </is>
      </c>
      <c r="L251" s="3" t="inlineStr">
        <is>
          <t>"WHAT COUNTS TOWARD RETIREMENT" — on a card used on more than one screen (PlanInputs), under "WHAT COUNTS TOWARD RETIREMENT"</t>
        </is>
      </c>
      <c r="M251" s="3" t="inlineStr">
        <is>
          <t>1. If balance is missing it counts as zero, so nothing recorded and a real zero look the same.
2. Caps percent at 100.</t>
        </is>
      </c>
      <c r="N251" s="3" t="inlineStr">
        <is>
          <t>Yes</t>
        </is>
      </c>
      <c r="O251" s="3" t="inlineStr">
        <is>
          <t>MK-NW-F-030 earmarkDefault</t>
        </is>
      </c>
      <c r="P251" s="3" t="n">
        <v>13</v>
      </c>
      <c r="Q251"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1"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1" s="3" t="inlineStr">
        <is>
          <t>—</t>
        </is>
      </c>
      <c r="T251" s="3" t="inlineStr">
        <is>
          <t>RETIREMENT_SHARE_AMOUNT</t>
        </is>
      </c>
      <c r="U251" s="3" t="inlineStr">
        <is>
          <t>ACTIVE</t>
        </is>
      </c>
      <c r="V251" s="3" t="inlineStr">
        <is>
          <t>2026-09-09</t>
        </is>
      </c>
      <c r="W251" s="3" t="n"/>
      <c r="X251" s="3" t="n"/>
      <c r="Y251" s="3" t="inlineStr">
        <is>
          <t>NOTHING OPEN</t>
        </is>
      </c>
    </row>
    <row r="252" ht="60" customHeight="1">
      <c r="A252" s="3" t="inlineStr">
        <is>
          <t>MK-NW-F-033</t>
        </is>
      </c>
      <c r="B252" s="3" t="inlineStr">
        <is>
          <t>retirementEarmarkedValue</t>
        </is>
      </c>
      <c r="C252" s="3" t="inlineStr">
        <is>
          <t>src/domain/assets/index.ts</t>
        </is>
      </c>
      <c r="D252" s="3" t="n">
        <v>1396</v>
      </c>
      <c r="E252" s="3" t="inlineStr">
        <is>
          <t>2 · DISPLAYED</t>
        </is>
      </c>
      <c r="F252" s="3" t="inlineStr">
        <is>
          <t>Total nest egg = sum of each account's retirement-earmarked portion.</t>
        </is>
      </c>
      <c r="G252" s="11" t="inlineStr">
        <is>
          <t>car = primary car id of(accounts)
the answer = Σ over accounts (or none when missing) of (earmarked amount(each, car))</t>
        </is>
      </c>
      <c r="H252" s="3" t="inlineStr">
        <is>
          <t>Car is primary car id of(accounts). The answer: the earmarked amount(each, car) added up across accounts (or none — when missing).</t>
        </is>
      </c>
      <c r="I252" s="3" t="inlineStr">
        <is>
          <t>READ FROM THE CODE — rendered from the expressions the function runs</t>
        </is>
      </c>
      <c r="J252" s="3" t="inlineStr">
        <is>
          <t>accounts: AssetAccount[]</t>
        </is>
      </c>
      <c r="K252" s="3" t="inlineStr">
        <is>
          <t>number</t>
        </is>
      </c>
      <c r="L252"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2" s="3" t="inlineStr">
        <is>
          <t>None found in this function — anything it assumes comes from the functions it depends on.</t>
        </is>
      </c>
      <c r="N252" s="3" t="inlineStr">
        <is>
          <t>Yes</t>
        </is>
      </c>
      <c r="O252" s="3" t="inlineStr">
        <is>
          <t>1. MK-NW-F-032 earmarkedAmount
2. MK-NW-F-031 primaryCarIdOf</t>
        </is>
      </c>
      <c r="P252" s="3" t="n">
        <v>15</v>
      </c>
      <c r="Q252"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2"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2" s="3" t="inlineStr">
        <is>
          <t>—</t>
        </is>
      </c>
      <c r="T252" s="3" t="inlineStr">
        <is>
          <t>NEST_EGG</t>
        </is>
      </c>
      <c r="U252" s="3" t="inlineStr">
        <is>
          <t>ACTIVE</t>
        </is>
      </c>
      <c r="V252" s="3" t="inlineStr">
        <is>
          <t>2026-09-09</t>
        </is>
      </c>
      <c r="W252" s="3" t="n"/>
      <c r="X252" s="3" t="n"/>
      <c r="Y252" s="3" t="inlineStr">
        <is>
          <t>NOTHING OPEN</t>
        </is>
      </c>
    </row>
    <row r="253" ht="60" customHeight="1">
      <c r="A253" s="3" t="inlineStr">
        <is>
          <t>MK-NW-F-034</t>
        </is>
      </c>
      <c r="B253" s="3" t="inlineStr">
        <is>
          <t>benchmarkReturn</t>
        </is>
      </c>
      <c r="C253" s="3" t="inlineStr">
        <is>
          <t>src/domain/assets/index.ts</t>
        </is>
      </c>
      <c r="D253" s="3" t="n">
        <v>1430</v>
      </c>
      <c r="E253" s="3" t="inlineStr">
        <is>
          <t>2 · DISPLAYED</t>
        </is>
      </c>
      <c r="F253" s="3" t="inlineStr">
        <is>
          <t>Benchmark expected annual return for an asset kind — user override if set, else the ASSET_KINDS default.</t>
        </is>
      </c>
      <c r="G253" s="11" t="inlineStr">
        <is>
          <t>overrides[kind]   when kind and overrides and overrides[kind] ≠ nothing
asset kind(kind).ret (or 0.06 when missing)</t>
        </is>
      </c>
      <c r="H253" s="3" t="inlineStr">
        <is>
          <t>When kind and overrides and overrides[kind] is not no answer, it answers overrides[kind]. asset kind(kind).ret (or 0.06 — when missing).</t>
        </is>
      </c>
      <c r="I253" s="3" t="inlineStr">
        <is>
          <t>PARTLY READ — some of the code is still showing through; needs a hand pass</t>
        </is>
      </c>
      <c r="J253" s="3" t="inlineStr">
        <is>
          <t>1. kind: string | undefined
2. overrides?: Record&lt;string, number&gt;</t>
        </is>
      </c>
      <c r="K253" s="3" t="inlineStr">
        <is>
          <t>number</t>
        </is>
      </c>
      <c r="L253" s="3" t="inlineStr">
        <is>
          <t>1. "EST. GROWTH /year" — on the Other investments screen, under "ALTERNATIVES"
2. "Type" — on the Other investments screen
3. "Typical yearly return for this type" — on the Account detail screen, under "IF INTEREST RATES MOVE"</t>
        </is>
      </c>
      <c r="M253" s="3" t="inlineStr">
        <is>
          <t>· If return is missing it uses 6%.</t>
        </is>
      </c>
      <c r="N253" s="3" t="inlineStr">
        <is>
          <t>Yes</t>
        </is>
      </c>
      <c r="O253" s="3" t="inlineStr">
        <is>
          <t>MK-NW-F-007 assetKind</t>
        </is>
      </c>
      <c r="P253" s="3" t="n">
        <v>12</v>
      </c>
      <c r="Q253" s="3" t="inlineStr">
        <is>
          <t>1. MK-NW-F-007 assetKind
2. MK-NW-F-011 assetClassOf
3. MK-CF-F-155 cash
4. MK-NW-F-008 incomeBearingClassOf
5. MK-XS-F-122 n
6. MK-ST-F-010 nameEvidence
7. MK-XS-F-147 call
8. MK-ST-F-056 has
9. MK-CF-F-132 map
10. MK-ST-F-027 accountId
11. MK-XS-F-064 currentIdToken
12. MK-XS-F-112 relayUrl</t>
        </is>
      </c>
      <c r="R253"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3" s="3" t="inlineStr">
        <is>
          <t>—</t>
        </is>
      </c>
      <c r="T253" s="3" t="inlineStr">
        <is>
          <t>EXPECTED_RETURN_BY_KIND</t>
        </is>
      </c>
      <c r="U253" s="3" t="inlineStr">
        <is>
          <t>ACTIVE</t>
        </is>
      </c>
      <c r="V253" s="3" t="inlineStr">
        <is>
          <t>2026-08-27</t>
        </is>
      </c>
      <c r="W253" s="3" t="n"/>
      <c r="X253" s="3" t="n"/>
      <c r="Y253" s="3" t="inlineStr">
        <is>
          <t>NOTHING OPEN</t>
        </is>
      </c>
    </row>
    <row r="254" ht="60" customHeight="1">
      <c r="A254" s="3" t="inlineStr">
        <is>
          <t>MK-NW-F-035</t>
        </is>
      </c>
      <c r="B254" s="3" t="inlineStr">
        <is>
          <t>blendedVolatility</t>
        </is>
      </c>
      <c r="C254" s="3" t="inlineStr">
        <is>
          <t>src/domain/assets/index.ts</t>
        </is>
      </c>
      <c r="D254" s="3" t="n">
        <v>1506</v>
      </c>
      <c r="E254" s="3" t="inlineStr">
        <is>
          <t>3 · DEPENDENT</t>
        </is>
      </c>
      <c r="F254" s="3" t="inlineStr">
        <is>
          <t>The volatility of THIS portfolio — each account's own class volatility, weighted the way the money actually is (the same weighting `blendedReturn` uses, so the pair always describes one portfolio).</t>
        </is>
      </c>
      <c r="G254"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4"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4" s="3" t="inlineStr">
        <is>
          <t>PARTLY READ — some of the code is still showing through; needs a hand pass</t>
        </is>
      </c>
      <c r="J254" s="3" t="inlineStr">
        <is>
          <t>1. accounts: AssetAccount[]
2. overrides?: Record&lt;string, number&gt;</t>
        </is>
      </c>
      <c r="K254" s="3" t="inlineStr">
        <is>
          <t>number</t>
        </is>
      </c>
      <c r="L254" s="3" t="inlineStr">
        <is>
          <t>—</t>
        </is>
      </c>
      <c r="M254" s="3" t="inlineStr">
        <is>
          <t>· If v is missing it uses 12%.</t>
        </is>
      </c>
      <c r="N254" s="3" t="inlineStr">
        <is>
          <t>Yes</t>
        </is>
      </c>
      <c r="O254" s="3" t="inlineStr">
        <is>
          <t>1. MK-CF-F-155 cash
2. MK-NW-F-032 earmarkedAmount
3. MK-NW-F-031 primaryCarIdOf</t>
        </is>
      </c>
      <c r="P254" s="3" t="n">
        <v>15</v>
      </c>
      <c r="Q254"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4"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4" s="3" t="inlineStr">
        <is>
          <t>—</t>
        </is>
      </c>
      <c r="T254" s="3" t="inlineStr">
        <is>
          <t>EXPECTED_SWING_BLENDED</t>
        </is>
      </c>
      <c r="U254" s="3" t="inlineStr">
        <is>
          <t>ACTIVE</t>
        </is>
      </c>
      <c r="V254" s="3" t="inlineStr">
        <is>
          <t>2026-08-27</t>
        </is>
      </c>
      <c r="W254" s="3" t="n"/>
      <c r="X254" s="3" t="n"/>
      <c r="Y254" s="6" t="inlineStr">
        <is>
          <t>TESTED, NOT VERIFIED (G24)</t>
        </is>
      </c>
    </row>
    <row r="255" ht="60" customHeight="1">
      <c r="A255" s="3" t="inlineStr">
        <is>
          <t>MK-NW-F-036</t>
        </is>
      </c>
      <c r="B255" s="3" t="inlineStr">
        <is>
          <t>benchmarkInfo</t>
        </is>
      </c>
      <c r="C255" s="3" t="inlineStr">
        <is>
          <t>src/domain/assets/index.ts</t>
        </is>
      </c>
      <c r="D255" s="3" t="n">
        <v>1566</v>
      </c>
      <c r="E255" s="3" t="inlineStr">
        <is>
          <t>2 · DISPLAYED</t>
        </is>
      </c>
      <c r="F255" s="3" t="inlineStr">
        <is>
          <t>Benchmark return + its source/period for an asset kind.</t>
        </is>
      </c>
      <c r="G255"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5"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5" s="3" t="inlineStr">
        <is>
          <t>PARTLY READ — some of the code is still showing through; needs a hand pass</t>
        </is>
      </c>
      <c r="J255" s="3" t="inlineStr">
        <is>
          <t>1. kind: string | undefined
2. overrides?: Record&lt;string, number&gt;</t>
        </is>
      </c>
      <c r="K255" s="3" t="inlineStr">
        <is>
          <t>NOT DECLARED — the code does not say what it gives back</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MK-NW-F-034 benchmarkReturn</t>
        </is>
      </c>
      <c r="P255" s="3" t="n">
        <v>13</v>
      </c>
      <c r="Q255"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5"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5" s="3" t="inlineStr">
        <is>
          <t>—</t>
        </is>
      </c>
      <c r="T255" s="3" t="inlineStr">
        <is>
          <t>—</t>
        </is>
      </c>
      <c r="U255" s="3" t="inlineStr">
        <is>
          <t>ACTIVE</t>
        </is>
      </c>
      <c r="V255" s="3" t="inlineStr">
        <is>
          <t>2026-08-27</t>
        </is>
      </c>
      <c r="W255" s="3" t="n"/>
      <c r="X255" s="3" t="n"/>
      <c r="Y255" s="3" t="inlineStr">
        <is>
          <t>NOTHING OPEN</t>
        </is>
      </c>
    </row>
    <row r="256" ht="60" customHeight="1">
      <c r="A256" s="3" t="inlineStr">
        <is>
          <t>MK-NW-F-037</t>
        </is>
      </c>
      <c r="B256" s="3" t="inlineStr">
        <is>
          <t>blendedReturn</t>
        </is>
      </c>
      <c r="C256" s="3" t="inlineStr">
        <is>
          <t>src/domain/assets/index.ts</t>
        </is>
      </c>
      <c r="D256" s="3" t="n">
        <v>1602</v>
      </c>
      <c r="E256" s="3" t="inlineStr">
        <is>
          <t>2 · DISPLAYED</t>
        </is>
      </c>
      <c r="F256" s="3" t="inlineStr">
        <is>
          <t>Blended expected return across the EARMARKED nest egg, weighted by each holding's share.</t>
        </is>
      </c>
      <c r="G256"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6"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6" s="3" t="inlineStr">
        <is>
          <t>READ FROM THE CODE — rendered from the expressions the function runs</t>
        </is>
      </c>
      <c r="J256" s="3" t="inlineStr">
        <is>
          <t>1. accounts: AssetAccount[]
2. overrides?: Record&lt;string, number&gt;</t>
        </is>
      </c>
      <c r="K256" s="3" t="inlineStr">
        <is>
          <t>number</t>
        </is>
      </c>
      <c r="L256" s="3" t="inlineStr">
        <is>
          <t>1. "Expected return" — on the Retirement cockpit screen, under "scRetired ?"
2. "Weighted average" — on the Retirement cockpit screen</t>
        </is>
      </c>
      <c r="M256" s="3" t="inlineStr">
        <is>
          <t>None found in this function — anything it assumes comes from the functions it depends on.</t>
        </is>
      </c>
      <c r="N256" s="3" t="inlineStr">
        <is>
          <t>Yes</t>
        </is>
      </c>
      <c r="O256" s="3" t="inlineStr">
        <is>
          <t>1. MK-NW-F-034 benchmarkReturn
2. MK-NW-F-032 earmarkedAmount
3. MK-NW-F-031 primaryCarIdOf</t>
        </is>
      </c>
      <c r="P256" s="3" t="n">
        <v>17</v>
      </c>
      <c r="Q256"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6"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6" s="3" t="inlineStr">
        <is>
          <t>—</t>
        </is>
      </c>
      <c r="T256" s="3" t="inlineStr">
        <is>
          <t>EXPECTED_RETURN_BLENDED</t>
        </is>
      </c>
      <c r="U256" s="3" t="inlineStr">
        <is>
          <t>ACTIVE</t>
        </is>
      </c>
      <c r="V256" s="3" t="inlineStr">
        <is>
          <t>2026-09-09</t>
        </is>
      </c>
      <c r="W256" s="3" t="n"/>
      <c r="X256" s="3" t="n"/>
      <c r="Y256" s="6" t="inlineStr">
        <is>
          <t>TESTED, NOT VERIFIED (G24)</t>
        </is>
      </c>
    </row>
    <row r="257" ht="60" customHeight="1">
      <c r="A257" s="3" t="inlineStr">
        <is>
          <t>MK-NW-F-038</t>
        </is>
      </c>
      <c r="B257" s="3" t="inlineStr">
        <is>
          <t>earmarkedKinds</t>
        </is>
      </c>
      <c r="C257" s="3" t="inlineStr">
        <is>
          <t>src/domain/assets/index.ts</t>
        </is>
      </c>
      <c r="D257" s="3" t="n">
        <v>1633</v>
      </c>
      <c r="E257" s="3" t="inlineStr">
        <is>
          <t>3 · DEPENDENT (feeds an action only)</t>
        </is>
      </c>
      <c r="F257" s="3" t="inlineStr">
        <is>
          <t>Distinct investment kinds present in the earmarked nest egg (for the benchmark editor).</t>
        </is>
      </c>
      <c r="G257" s="11" t="inlineStr">
        <is>
          <t>seen = new set&lt;string&gt;()
the answer = array.from(seen)</t>
        </is>
      </c>
      <c r="H257" s="3" t="inlineStr">
        <is>
          <t>Seen is new set&lt;string&gt;(). The answer is array.from(seen).</t>
        </is>
      </c>
      <c r="I257" s="3" t="inlineStr">
        <is>
          <t>PARTLY READ — some of the code is still showing through; needs a hand pass</t>
        </is>
      </c>
      <c r="J257" s="3" t="inlineStr">
        <is>
          <t>accounts: AssetAccount[]</t>
        </is>
      </c>
      <c r="K257" s="3" t="inlineStr">
        <is>
          <t>string[]</t>
        </is>
      </c>
      <c r="L257" s="3" t="inlineStr">
        <is>
          <t>—</t>
        </is>
      </c>
      <c r="M257" s="3" t="inlineStr">
        <is>
          <t>· Uses a built-in d e f a u l t r e t u r n of 7%.</t>
        </is>
      </c>
      <c r="N257" s="3" t="inlineStr">
        <is>
          <t>No</t>
        </is>
      </c>
      <c r="O257" s="3" t="inlineStr">
        <is>
          <t>MK-NW-F-032 earmarkedAmount</t>
        </is>
      </c>
      <c r="P257" s="3" t="n">
        <v>14</v>
      </c>
      <c r="Q257"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7"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7" s="3" t="inlineStr">
        <is>
          <t>—</t>
        </is>
      </c>
      <c r="T257" s="3" t="inlineStr">
        <is>
          <t>—</t>
        </is>
      </c>
      <c r="U257" s="3" t="inlineStr">
        <is>
          <t>ACTIVE</t>
        </is>
      </c>
      <c r="V257" s="3" t="inlineStr">
        <is>
          <t>2026-08-27</t>
        </is>
      </c>
      <c r="W257" s="3" t="n"/>
      <c r="X257" s="3" t="n"/>
      <c r="Y257" s="3" t="inlineStr">
        <is>
          <t>NOTHING OPEN</t>
        </is>
      </c>
    </row>
    <row r="258" ht="60" customHeight="1">
      <c r="A258" s="3" t="inlineStr">
        <is>
          <t>MK-NW-F-039</t>
        </is>
      </c>
      <c r="B258" s="3" t="inlineStr">
        <is>
          <t>buildAssetsState</t>
        </is>
      </c>
      <c r="C258" s="3" t="inlineStr">
        <is>
          <t>src/domain/assets/index.ts</t>
        </is>
      </c>
      <c r="D258" s="3" t="n">
        <v>1675</v>
      </c>
      <c r="E258" s="3" t="inlineStr">
        <is>
          <t>2 · DISPLAYED</t>
        </is>
      </c>
      <c r="F258" s="3" t="inlineStr">
        <is>
          <t>How much of everything sits in each account, and what return do they blend to?</t>
        </is>
      </c>
      <c r="G258" s="11" t="inlineStr">
        <is>
          <t>total asset value      = round(Σ over every account of (balance), 2 dp)
share of portfolio (a) = round(balance of a ÷ total × 100, 2 dp)
average target return  = round(Σ(target return × balance) ÷ total, 4 dp)</t>
        </is>
      </c>
      <c r="H258"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8" s="3" t="inlineStr">
        <is>
          <t>READ BY HAND 2026-08-26 — checked line by line against the code</t>
        </is>
      </c>
      <c r="J258" s="3" t="inlineStr">
        <is>
          <t>1. uid: UserId
2. accounts: AssetAccount[]</t>
        </is>
      </c>
      <c r="K258" s="3" t="inlineStr">
        <is>
          <t>AssetsState</t>
        </is>
      </c>
      <c r="L258" s="3" t="inlineStr">
        <is>
          <t>NOT FOUND — a screen calls it, but the words printed beside its answer could not be traced automatically. Needs reading.</t>
        </is>
      </c>
      <c r="M258" s="3" t="inlineStr">
        <is>
          <t>None found in this function — anything it assumes comes from the functions it depends on.</t>
        </is>
      </c>
      <c r="N258" s="3" t="inlineStr">
        <is>
          <t>Yes</t>
        </is>
      </c>
      <c r="O258" s="3" t="inlineStr">
        <is>
          <t>1. MK-CF-F-132 map
2. MK-XS-F-175 uid</t>
        </is>
      </c>
      <c r="P258" s="3" t="n">
        <v>80</v>
      </c>
      <c r="Q258"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8"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8" s="3" t="inlineStr">
        <is>
          <t>—</t>
        </is>
      </c>
      <c r="T258" s="3" t="inlineStr">
        <is>
          <t>ACCOUNT_SHARE_OF_TOTAL</t>
        </is>
      </c>
      <c r="U258" s="3" t="inlineStr">
        <is>
          <t>ACTIVE</t>
        </is>
      </c>
      <c r="V258" s="3" t="inlineStr">
        <is>
          <t>2026-08-27</t>
        </is>
      </c>
      <c r="W258" s="3" t="n"/>
      <c r="X258" s="3" t="n"/>
      <c r="Y258" s="3" t="inlineStr">
        <is>
          <t>NOTHING OPEN</t>
        </is>
      </c>
    </row>
    <row r="259" ht="60" customHeight="1">
      <c r="A259" s="3" t="inlineStr">
        <is>
          <t>MK-NW-F-040</t>
        </is>
      </c>
      <c r="B259" s="3" t="inlineStr">
        <is>
          <t>assetsFromOnboarding</t>
        </is>
      </c>
      <c r="C259" s="3" t="inlineStr">
        <is>
          <t>src/domain/assets/index.ts</t>
        </is>
      </c>
      <c r="D259" s="3" t="n">
        <v>1724</v>
      </c>
      <c r="E259" s="3" t="inlineStr">
        <is>
          <t>3 · DEPENDENT</t>
        </is>
      </c>
      <c r="F259" s="3" t="inlineStr">
        <is>
          <t>Build asset accounts from onboarding answers (accumulation: retirement savings + holdings).</t>
        </is>
      </c>
      <c r="G259" s="11" t="inlineStr">
        <is>
          <t>a = op (or none when missing)
accounts = []
bal = raw read as a number (0 when it is not one)
the answer:
user id = uid
accounts = accounts</t>
        </is>
      </c>
      <c r="H259" s="3" t="inlineStr">
        <is>
          <t>A is op (or none — when missing). Accounts is []. Bal is raw read as a number (0 — when it is one is missing). The answer is user id = uid; accounts = accounts.</t>
        </is>
      </c>
      <c r="I259" s="3" t="inlineStr">
        <is>
          <t>READ FROM THE CODE — rendered from the expressions the function runs</t>
        </is>
      </c>
      <c r="J259" s="3" t="inlineStr">
        <is>
          <t>1. uid: UserId
2. op: Record&lt;string, any&gt; | null</t>
        </is>
      </c>
      <c r="K259" s="3" t="inlineStr">
        <is>
          <t>AssetsDoc</t>
        </is>
      </c>
      <c r="L259" s="3" t="inlineStr">
        <is>
          <t>—</t>
        </is>
      </c>
      <c r="M259" s="3" t="inlineStr">
        <is>
          <t>None found in this function — anything it assumes comes from the functions it depends on.</t>
        </is>
      </c>
      <c r="N259" s="3" t="inlineStr">
        <is>
          <t>Yes</t>
        </is>
      </c>
      <c r="O259" s="3" t="inlineStr">
        <is>
          <t>1. MK-ST-F-043 newEntityId
2. MK-ST-F-052 toNum
3. MK-XS-F-175 uid</t>
        </is>
      </c>
      <c r="P259" s="3" t="n">
        <v>79</v>
      </c>
      <c r="Q259"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59"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59" s="3" t="inlineStr">
        <is>
          <t>—</t>
        </is>
      </c>
      <c r="T259" s="3" t="inlineStr">
        <is>
          <t>ACCOUNTS_FROM_SETUP</t>
        </is>
      </c>
      <c r="U259" s="3" t="inlineStr">
        <is>
          <t>ACTIVE</t>
        </is>
      </c>
      <c r="V259" s="3" t="inlineStr">
        <is>
          <t>2026-08-27</t>
        </is>
      </c>
      <c r="W259" s="3" t="n"/>
      <c r="X259" s="3" t="n"/>
      <c r="Y259" s="3" t="inlineStr">
        <is>
          <t>NOTHING OPEN</t>
        </is>
      </c>
    </row>
    <row r="260" ht="60" customHeight="1">
      <c r="A260" s="3" t="inlineStr">
        <is>
          <t>MK-NW-F-041</t>
        </is>
      </c>
      <c r="B260" s="3" t="inlineStr">
        <is>
          <t>monthlyContributionsFromOnboarding</t>
        </is>
      </c>
      <c r="C260" s="3" t="inlineStr">
        <is>
          <t>src/domain/assets/index.ts</t>
        </is>
      </c>
      <c r="D260" s="3" t="n">
        <v>1766</v>
      </c>
      <c r="E260" s="3" t="inlineStr">
        <is>
          <t>2 · DISPLAYED</t>
        </is>
      </c>
      <c r="F260" s="3" t="inlineStr">
        <is>
          <t>Total monthly contributions across types + employer match (feeds the retirement projection).</t>
        </is>
      </c>
      <c r="G260" s="11" t="inlineStr">
        <is>
          <t>a = op (or none when missing)
the answer = Σ over ['c_401k', 'c_roth', 'c_invest', 'c_property'] of (a[each] read as a number (0 when it is not one))+ employer match monthly(op)</t>
        </is>
      </c>
      <c r="H260" s="3" t="inlineStr">
        <is>
          <t>A is op (or none — when missing). The answer: the a[each] read as a number (0 — when it is one is missing))+ employer match monthly(op added up across ['c_401k', 'c_roth', 'c_invest', 'c_property'].</t>
        </is>
      </c>
      <c r="I260" s="3" t="inlineStr">
        <is>
          <t>PARTLY READ — some of the code is still showing through; needs a hand pass</t>
        </is>
      </c>
      <c r="J260" s="3" t="inlineStr">
        <is>
          <t>op: Record&lt;string, any&gt; | null</t>
        </is>
      </c>
      <c r="K260" s="3" t="inlineStr">
        <is>
          <t>number</t>
        </is>
      </c>
      <c r="L260" s="3" t="inlineStr">
        <is>
          <t>NOT FOUND — a screen calls it, but the words printed beside its answer could not be traced automatically. Needs reading.</t>
        </is>
      </c>
      <c r="M260" s="3" t="inlineStr">
        <is>
          <t>None found in this function — anything it assumes comes from the functions it depends on.</t>
        </is>
      </c>
      <c r="N260" s="3" t="inlineStr">
        <is>
          <t>Yes</t>
        </is>
      </c>
      <c r="O260" s="3" t="inlineStr">
        <is>
          <t>1. MK-CF-F-078 employerMatchMonthly
2. MK-ST-F-052 toNum</t>
        </is>
      </c>
      <c r="P260" s="3" t="n">
        <v>8</v>
      </c>
      <c r="Q260" s="3" t="inlineStr">
        <is>
          <t>1. MK-CF-F-078 employerMatchMonthly
2. MK-ST-F-052 toNum
3. MK-CF-F-175 sumOverEarners
4. MK-CF-F-178 wageMatchMonthly
5. MK-XS-F-122 n
6. MK-CF-F-173 earnerWages
7. MK-CF-F-172 hasWage
8. MK-ST-F-056 has</t>
        </is>
      </c>
      <c r="R260"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0" s="3" t="inlineStr">
        <is>
          <t>—</t>
        </is>
      </c>
      <c r="T260" s="3" t="inlineStr">
        <is>
          <t>MONTHLY_SAVING</t>
        </is>
      </c>
      <c r="U260" s="3" t="inlineStr">
        <is>
          <t>ACTIVE</t>
        </is>
      </c>
      <c r="V260" s="3" t="inlineStr">
        <is>
          <t>2026-08-27</t>
        </is>
      </c>
      <c r="W260" s="3" t="n"/>
      <c r="X260" s="3" t="n"/>
      <c r="Y260" s="3" t="inlineStr">
        <is>
          <t>NOTHING OPEN</t>
        </is>
      </c>
    </row>
    <row r="261" ht="60" customHeight="1">
      <c r="A261" s="3" t="inlineStr">
        <is>
          <t>MK-NW-F-042</t>
        </is>
      </c>
      <c r="B261" s="3" t="inlineStr">
        <is>
          <t>loadAssets</t>
        </is>
      </c>
      <c r="C261" s="3" t="inlineStr">
        <is>
          <t>src/domain/assets/index.ts</t>
        </is>
      </c>
      <c r="D261" s="3" t="n">
        <v>1791</v>
      </c>
      <c r="E261" s="3" t="inlineStr">
        <is>
          <t>3 · DEPENDENT (feeds an action only)</t>
        </is>
      </c>
      <c r="F261" s="3" t="inlineStr">
        <is>
          <t>NOT DETERMINED — the code carries no note saying what this is for, and it has no row in the old inventory. Needs reading.</t>
        </is>
      </c>
      <c r="G261" s="11" t="inlineStr">
        <is>
          <t>It reaches outside the app for data and hands back what came back — no arithmetic of its own.</t>
        </is>
      </c>
      <c r="H261" s="3" t="inlineStr">
        <is>
          <t>It reaches outside the app for data and hands back what came back — no arithmetic of its own.</t>
        </is>
      </c>
      <c r="I261" s="3" t="inlineStr">
        <is>
          <t>NO ARITHMETIC — there is no formula to state</t>
        </is>
      </c>
      <c r="J261" s="3" t="inlineStr">
        <is>
          <t>uid: UserId</t>
        </is>
      </c>
      <c r="K261" s="3" t="inlineStr">
        <is>
          <t>NOT DECLARED — the code does not say what it gives back</t>
        </is>
      </c>
      <c r="L261" s="3" t="inlineStr">
        <is>
          <t>—</t>
        </is>
      </c>
      <c r="M261" s="3" t="inlineStr">
        <is>
          <t>None found in this function — anything it assumes comes from the functions it depends on.</t>
        </is>
      </c>
      <c r="N261" s="3" t="inlineStr">
        <is>
          <t>No</t>
        </is>
      </c>
      <c r="O261" s="3" t="inlineStr">
        <is>
          <t>MK-XS-F-175 uid</t>
        </is>
      </c>
      <c r="P261" s="3" t="n">
        <v>80</v>
      </c>
      <c r="Q26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1"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1" s="3" t="inlineStr">
        <is>
          <t>—</t>
        </is>
      </c>
      <c r="T261" s="3" t="inlineStr">
        <is>
          <t>—</t>
        </is>
      </c>
      <c r="U261" s="3" t="inlineStr">
        <is>
          <t>ACTIVE</t>
        </is>
      </c>
      <c r="V261" s="3" t="inlineStr">
        <is>
          <t>2026-08-27</t>
        </is>
      </c>
      <c r="W261" s="3" t="n"/>
      <c r="X261" s="3" t="n"/>
      <c r="Y261" s="3" t="inlineStr">
        <is>
          <t>NOTHING OPEN</t>
        </is>
      </c>
    </row>
    <row r="262" ht="60" customHeight="1">
      <c r="A262" s="3" t="inlineStr">
        <is>
          <t>MK-NW-F-043</t>
        </is>
      </c>
      <c r="B262" s="3" t="inlineStr">
        <is>
          <t>saveAssets</t>
        </is>
      </c>
      <c r="C262" s="3" t="inlineStr">
        <is>
          <t>src/domain/assets/index.ts</t>
        </is>
      </c>
      <c r="D262" s="3" t="n">
        <v>1807</v>
      </c>
      <c r="E262" s="3" t="inlineStr">
        <is>
          <t>1 · ACTION</t>
        </is>
      </c>
      <c r="F262" s="3" t="inlineStr">
        <is>
          <t>NOT DETERMINED — the code carries no note saying what this is for, and it has no row in the old inventory. Needs reading.</t>
        </is>
      </c>
      <c r="G262" s="11" t="inlineStr">
        <is>
          <t>It records or announces something and returns no figure — no arithmetic of its own.</t>
        </is>
      </c>
      <c r="H262" s="3" t="inlineStr">
        <is>
          <t>It records or announces something and returns no figure — no arithmetic of its own.</t>
        </is>
      </c>
      <c r="I262" s="3" t="inlineStr">
        <is>
          <t>NO ARITHMETIC — there is no formula to state</t>
        </is>
      </c>
      <c r="J262" s="3" t="inlineStr">
        <is>
          <t>d: AssetsDoc</t>
        </is>
      </c>
      <c r="K262" s="3" t="inlineStr">
        <is>
          <t>d.user_id }); }</t>
        </is>
      </c>
      <c r="L262" s="3" t="inlineStr">
        <is>
          <t>—</t>
        </is>
      </c>
      <c r="M262" s="3" t="inlineStr">
        <is>
          <t>None found in this function — anything it assumes comes from the functions it depends on.</t>
        </is>
      </c>
      <c r="N262" s="3" t="inlineStr">
        <is>
          <t>No</t>
        </is>
      </c>
      <c r="O262" s="3" t="inlineStr">
        <is>
          <t>1. MK-ST-F-040 emit
2. MK-ST-F-042 setUserDoc</t>
        </is>
      </c>
      <c r="P262" s="3" t="n">
        <v>82</v>
      </c>
      <c r="Q26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2"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MK-NW-F-044</t>
        </is>
      </c>
      <c r="B263" s="3" t="inlineStr">
        <is>
          <t>getAssetsState</t>
        </is>
      </c>
      <c r="C263" s="3" t="inlineStr">
        <is>
          <t>src/domain/assets/index.ts</t>
        </is>
      </c>
      <c r="D263" s="3" t="n">
        <v>1824</v>
      </c>
      <c r="E263" s="3" t="inlineStr">
        <is>
          <t>3 · DEPENDENT (feeds an action only)</t>
        </is>
      </c>
      <c r="F263" s="3" t="inlineStr">
        <is>
          <t>NOT DETERMINED — the code carries no note saying what this is for, and it has no row in the old inventory. Needs reading.</t>
        </is>
      </c>
      <c r="G263" s="11" t="inlineStr">
        <is>
          <t>d = build assets state(uid, accounts ?? [])   if await load assets(uid); return d
nothing   otherwise</t>
        </is>
      </c>
      <c r="H263" s="3" t="inlineStr">
        <is>
          <t>D is build assets state(uid, accounts ?? []) — when await load assets(uid); return d; no answer — otherwise.</t>
        </is>
      </c>
      <c r="I263" s="3" t="inlineStr">
        <is>
          <t>PARTLY READ — some of the code is still showing through; needs a hand pass</t>
        </is>
      </c>
      <c r="J263" s="3" t="inlineStr">
        <is>
          <t>uid: UserId</t>
        </is>
      </c>
      <c r="K263" s="3" t="inlineStr">
        <is>
          <t>NOT DECLARED — the code does not say what it gives back</t>
        </is>
      </c>
      <c r="L263" s="3" t="inlineStr">
        <is>
          <t>—</t>
        </is>
      </c>
      <c r="M263" s="3" t="inlineStr">
        <is>
          <t>None found in this function — anything it assumes comes from the functions it depends on.</t>
        </is>
      </c>
      <c r="N263" s="3" t="inlineStr">
        <is>
          <t>No</t>
        </is>
      </c>
      <c r="O263" s="3" t="inlineStr">
        <is>
          <t>1. MK-NW-F-039 buildAssetsState
2. MK-NW-F-042 loadAssets
3. MK-XS-F-175 uid</t>
        </is>
      </c>
      <c r="P263" s="3" t="n">
        <v>82</v>
      </c>
      <c r="Q263"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MK-NW-F-045</t>
        </is>
      </c>
      <c r="B264" s="3" t="inlineStr">
        <is>
          <t>sourceWording</t>
        </is>
      </c>
      <c r="C264" s="3" t="inlineStr">
        <is>
          <t>src/domain/assets/index.ts</t>
        </is>
      </c>
      <c r="D264" s="3" t="n">
        <v>1853</v>
      </c>
      <c r="E264" s="3" t="inlineStr">
        <is>
          <t>2 · DISPLAYED</t>
        </is>
      </c>
      <c r="F264" s="3" t="inlineStr">
        <is>
          <t>THE source wording (Build-47 walk row 8, audit Strategy #9): one sentence per source, used by every screen that names where an account's numbers come from.</t>
        </is>
      </c>
      <c r="G264" s="11" t="inlineStr">
        <is>
          <t>day = the first 10 of string(last synced)   if last synced
''   otherwise
`linked · ${day}`   if day
'Linked'   otherwise   when source = 'connected'
`imported · ${day or '—'}`   when source = 'imported'
the answer = 'by hand · you update it'</t>
        </is>
      </c>
      <c r="H264" s="3" t="inlineStr">
        <is>
          <t>Day: the first 10 of string(last synced) — when last synced; '' — otherwise. When source = 'connected', it answers `linked · ${day}` — when day; 'Linked' — otherwise. When source = 'imported', it answers `imported · ${day or '—'}`. The answer is 'by hand · you update it'.</t>
        </is>
      </c>
      <c r="I264" s="3" t="inlineStr">
        <is>
          <t>PARTLY READ — some of the code is still showing through; needs a hand pass</t>
        </is>
      </c>
      <c r="J264" s="3" t="inlineStr">
        <is>
          <t>a: AssetAccount</t>
        </is>
      </c>
      <c r="K264" s="3" t="inlineStr">
        <is>
          <t>string</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t>
        </is>
      </c>
      <c r="P264" s="3" t="n">
        <v>0</v>
      </c>
      <c r="Q264" s="3" t="inlineStr">
        <is>
          <t>None — no dependent function stands behind it</t>
        </is>
      </c>
      <c r="R264" s="3" t="inlineStr">
        <is>
          <t>No dependent function — it reads its inputs and answers</t>
        </is>
      </c>
      <c r="S264" s="3" t="inlineStr">
        <is>
          <t>—</t>
        </is>
      </c>
      <c r="T264" s="3" t="inlineStr">
        <is>
          <t>WHERE_THE_VALUE_CAME_FROM</t>
        </is>
      </c>
      <c r="U264" s="3" t="inlineStr">
        <is>
          <t>ACTIVE</t>
        </is>
      </c>
      <c r="V264" s="3" t="inlineStr">
        <is>
          <t>2026-09-14</t>
        </is>
      </c>
      <c r="W264" s="3" t="n"/>
      <c r="X264" s="3" t="n"/>
      <c r="Y264" s="3" t="inlineStr">
        <is>
          <t>NOTHING OPEN</t>
        </is>
      </c>
    </row>
    <row r="265" ht="60" customHeight="1">
      <c r="A265" s="3" t="inlineStr">
        <is>
          <t>MK-NW-F-046</t>
        </is>
      </c>
      <c r="B265" s="3" t="inlineStr">
        <is>
          <t>historyCoverage</t>
        </is>
      </c>
      <c r="C265" s="3" t="inlineStr">
        <is>
          <t>src/domain/assets/index.ts</t>
        </is>
      </c>
      <c r="D265" s="3" t="n">
        <v>1901</v>
      </c>
      <c r="E265" s="3" t="inlineStr">
        <is>
          <t>2 · DISPLAYED</t>
        </is>
      </c>
      <c r="F265" s="3" t="inlineStr">
        <is>
          <t>NOT DETERMINED — the code carries no note saying what this is for, and it has no row in the old inventory. Needs reading.</t>
        </is>
      </c>
      <c r="G265"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5"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5" s="3" t="inlineStr">
        <is>
          <t>PARTLY READ — some of the code is still showing through; needs a hand pass</t>
        </is>
      </c>
      <c r="J265" s="3" t="inlineStr">
        <is>
          <t>Nothing is handed to it</t>
        </is>
      </c>
      <c r="K265" s="3" t="inlineStr">
        <is>
          <t>NOT DECLARED — the code does not say what it gives back</t>
        </is>
      </c>
      <c r="L265" s="3" t="inlineStr">
        <is>
          <t>NOT FOUND — a screen calls it, but the words printed beside its answer could not be traced automatically. Needs reading.</t>
        </is>
      </c>
      <c r="M265" s="3" t="inlineStr">
        <is>
          <t>1. Turns a monthly figure into a year by multiplying by twelve.
2. Uses today's date from the device clock, so the answer changes by itself overnight.
3. Rounds the answer to 1 decimal place.</t>
        </is>
      </c>
      <c r="N265" s="3" t="inlineStr">
        <is>
          <t>Yes</t>
        </is>
      </c>
      <c r="O265" s="3" t="inlineStr">
        <is>
          <t>1. MK-CF-F-132 map
2. MK-NW-F-068 prettyDay</t>
        </is>
      </c>
      <c r="P265" s="3" t="n">
        <v>2</v>
      </c>
      <c r="Q265" s="3" t="inlineStr">
        <is>
          <t>1. MK-CF-F-132 map
2. MK-NW-F-068 prettyDay</t>
        </is>
      </c>
      <c r="R265" s="3" t="inlineStr">
        <is>
          <t>1. MK-CF-F-132 map → MK-NW-F-046 historyCoverage
2. MK-CF-F-132 map → MK-NW-F-068 prettyDay → MK-NW-F-046 historyCoverage</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MK-NW-F-047</t>
        </is>
      </c>
      <c r="B266" s="3" t="inlineStr">
        <is>
          <t>uberGroupOf</t>
        </is>
      </c>
      <c r="C266" s="3" t="inlineStr">
        <is>
          <t>src/domain/assets/index.ts</t>
        </is>
      </c>
      <c r="D266" s="3" t="n">
        <v>1984</v>
      </c>
      <c r="E266" s="3" t="inlineStr">
        <is>
          <t>1 · ACTION</t>
        </is>
      </c>
      <c r="F266" s="3" t="inlineStr">
        <is>
          <t>NOT DETERMINED — the code carries no note saying what this is for, and it has no row in the old inventory. Needs reading.</t>
        </is>
      </c>
      <c r="G266" s="11" t="inlineStr">
        <is>
          <t>CLASS_UBER[cls] (or 'investments' when missing)</t>
        </is>
      </c>
      <c r="H266" s="3" t="inlineStr">
        <is>
          <t>CLASS_UBER[cls] (or 'investments' — when missing)</t>
        </is>
      </c>
      <c r="I266" s="3" t="inlineStr">
        <is>
          <t>READ FROM THE CODE — rendered from the expressions the function runs</t>
        </is>
      </c>
      <c r="J266" s="3" t="inlineStr">
        <is>
          <t>cls: AssetClass</t>
        </is>
      </c>
      <c r="K266" s="3" t="inlineStr">
        <is>
          <t>UberGroup</t>
        </is>
      </c>
      <c r="L266" s="3" t="inlineStr">
        <is>
          <t>"Nothing entered yet." — on the Net worth screen, under "DEBTS"</t>
        </is>
      </c>
      <c r="M266" s="3" t="inlineStr">
        <is>
          <t>None found in this function — anything it assumes comes from the functions it depends on.</t>
        </is>
      </c>
      <c r="N266" s="3" t="inlineStr">
        <is>
          <t>Yes</t>
        </is>
      </c>
      <c r="O266" s="3" t="inlineStr">
        <is>
          <t>—</t>
        </is>
      </c>
      <c r="P266" s="3" t="n">
        <v>0</v>
      </c>
      <c r="Q266" s="3" t="inlineStr">
        <is>
          <t>None — no dependent function stands behind it</t>
        </is>
      </c>
      <c r="R266" s="3" t="inlineStr">
        <is>
          <t>No dependent function — it reads its inputs and answers</t>
        </is>
      </c>
      <c r="S266" s="3" t="inlineStr">
        <is>
          <t>—</t>
        </is>
      </c>
      <c r="T266" s="3" t="inlineStr">
        <is>
          <t>—</t>
        </is>
      </c>
      <c r="U266" s="3" t="inlineStr">
        <is>
          <t>ACTIVE</t>
        </is>
      </c>
      <c r="V266" s="3" t="inlineStr">
        <is>
          <t>2026-08-27</t>
        </is>
      </c>
      <c r="W266" s="3" t="n"/>
      <c r="X266" s="3" t="n"/>
      <c r="Y266" s="3" t="inlineStr">
        <is>
          <t>NOTHING OPEN</t>
        </is>
      </c>
    </row>
    <row r="267" ht="45" customHeight="1">
      <c r="A267" s="3" t="inlineStr">
        <is>
          <t>MK-NW-F-048</t>
        </is>
      </c>
      <c r="B267" s="3" t="inlineStr">
        <is>
          <t>uberGroupRows</t>
        </is>
      </c>
      <c r="C267" s="3" t="inlineStr">
        <is>
          <t>src/domain/assets/index.ts</t>
        </is>
      </c>
      <c r="D267" s="3" t="n">
        <v>2002</v>
      </c>
      <c r="E267" s="3" t="inlineStr">
        <is>
          <t>2 · DISPLAYED</t>
        </is>
      </c>
      <c r="F267" s="3" t="inlineStr">
        <is>
          <t>Group per-class totals into the three uber-groups, keeping class order inside each.</t>
        </is>
      </c>
      <c r="G267" s="11" t="inlineStr">
        <is>
          <t>classes = class rows where uber group of(key) = group</t>
        </is>
      </c>
      <c r="H267" s="3" t="inlineStr">
        <is>
          <t>Classes is class rows where uber group of(key) = group.</t>
        </is>
      </c>
      <c r="I267" s="3" t="inlineStr">
        <is>
          <t>READ FROM THE CODE — rendered from the expressions the function runs</t>
        </is>
      </c>
      <c r="J267" s="3" t="inlineStr">
        <is>
          <t>Nothing is handed to it</t>
        </is>
      </c>
      <c r="K267" s="3" t="inlineStr">
        <is>
          <t>NOT DECLARED — the code does not say what it gives back</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MK-NW-F-047 uberGroupOf</t>
        </is>
      </c>
      <c r="P267" s="3" t="n">
        <v>2</v>
      </c>
      <c r="Q267" s="3" t="inlineStr">
        <is>
          <t>1. MK-CF-F-132 map
2. MK-NW-F-047 uberGroupOf</t>
        </is>
      </c>
      <c r="R267" s="3" t="inlineStr">
        <is>
          <t>1. MK-CF-F-132 map → MK-NW-F-048 uberGroupRows
2. MK-NW-F-047 uberGroupOf → MK-NW-F-048 uberGroupRows</t>
        </is>
      </c>
      <c r="S267" s="3" t="inlineStr">
        <is>
          <t>—</t>
        </is>
      </c>
      <c r="T267" s="3" t="inlineStr">
        <is>
          <t>NET_WORTH_GROUPING</t>
        </is>
      </c>
      <c r="U267" s="3" t="inlineStr">
        <is>
          <t>ACTIVE</t>
        </is>
      </c>
      <c r="V267" s="3" t="inlineStr">
        <is>
          <t>2026-08-27</t>
        </is>
      </c>
      <c r="W267" s="3" t="n"/>
      <c r="X267" s="3" t="n"/>
      <c r="Y267" s="3" t="inlineStr">
        <is>
          <t>NOTHING OPEN</t>
        </is>
      </c>
    </row>
    <row r="268" ht="30" customHeight="1">
      <c r="A268" s="3" t="inlineStr">
        <is>
          <t>MK-NW-F-049</t>
        </is>
      </c>
      <c r="B268" s="3" t="inlineStr">
        <is>
          <t>itemizedTotal</t>
        </is>
      </c>
      <c r="C268" s="3" t="inlineStr">
        <is>
          <t>src/domain/assets/itemize.ts</t>
        </is>
      </c>
      <c r="D268" s="3" t="n">
        <v>51</v>
      </c>
      <c r="E268" s="3" t="inlineStr">
        <is>
          <t>1 · ACTION</t>
        </is>
      </c>
      <c r="F268" s="3" t="inlineStr">
        <is>
          <t>Σ of the itemized holding values.</t>
        </is>
      </c>
      <c r="G268" s="11" t="inlineStr">
        <is>
          <t>the answer = Σ over items of (value, or 0 when missing)</t>
        </is>
      </c>
      <c r="H268" s="3" t="inlineStr">
        <is>
          <t>Adds up the value of every holding entered while itemising an account.</t>
        </is>
      </c>
      <c r="I268" s="3" t="inlineStr">
        <is>
          <t>READ BY HAND 2026-08-26 — checked line by line against the code</t>
        </is>
      </c>
      <c r="J268" s="3" t="inlineStr">
        <is>
          <t>items: ItemHolding[]</t>
        </is>
      </c>
      <c r="K268" s="3" t="inlineStr">
        <is>
          <t>number</t>
        </is>
      </c>
      <c r="L268" s="3" t="inlineStr">
        <is>
          <t>—</t>
        </is>
      </c>
      <c r="M268" s="3" t="inlineStr">
        <is>
          <t>· If value is missing it counts as zero, so nothing recorded and a real zero look the same.</t>
        </is>
      </c>
      <c r="N268" s="3" t="inlineStr">
        <is>
          <t>Yes</t>
        </is>
      </c>
      <c r="O268" s="3" t="inlineStr">
        <is>
          <t>—</t>
        </is>
      </c>
      <c r="P268" s="3" t="n">
        <v>0</v>
      </c>
      <c r="Q268" s="3" t="inlineStr">
        <is>
          <t>None — no dependent function stands behind it</t>
        </is>
      </c>
      <c r="R268" s="3" t="inlineStr">
        <is>
          <t>No dependent function — it reads its inputs and answers</t>
        </is>
      </c>
      <c r="S268" s="3" t="inlineStr">
        <is>
          <t>—</t>
        </is>
      </c>
      <c r="T268" s="3" t="inlineStr">
        <is>
          <t>ITEMISED_TOTAL</t>
        </is>
      </c>
      <c r="U268" s="3" t="inlineStr">
        <is>
          <t>ACTIVE</t>
        </is>
      </c>
      <c r="V268" s="3" t="inlineStr">
        <is>
          <t>2026-09-12</t>
        </is>
      </c>
      <c r="W268" s="3" t="n"/>
      <c r="X268" s="3" t="n"/>
      <c r="Y268" s="3" t="inlineStr">
        <is>
          <t>NOTHING OPEN</t>
        </is>
      </c>
    </row>
    <row r="269" ht="45" customHeight="1">
      <c r="A269" s="3" t="inlineStr">
        <is>
          <t>MK-NW-F-050</t>
        </is>
      </c>
      <c r="B269" s="3" t="inlineStr">
        <is>
          <t>itemizeRemainder</t>
        </is>
      </c>
      <c r="C269" s="3" t="inlineStr">
        <is>
          <t>src/domain/assets/itemize.ts</t>
        </is>
      </c>
      <c r="D269" s="3" t="n">
        <v>78</v>
      </c>
      <c r="E269" s="3" t="inlineStr">
        <is>
          <t>1 · ACTION</t>
        </is>
      </c>
      <c r="F269" s="3" t="inlineStr">
        <is>
          <t>Lump balance − Σ holdings.</t>
        </is>
      </c>
      <c r="G269" s="11" t="inlineStr">
        <is>
          <t>the answer = (lump balance, or 0) − itemized total(items)</t>
        </is>
      </c>
      <c r="H269" s="3" t="inlineStr">
        <is>
          <t>The lump balance less the holdings entered so far: positive means money still unallocated, negative means the holdings exceed the entered total.</t>
        </is>
      </c>
      <c r="I269" s="3" t="inlineStr">
        <is>
          <t>READ BY HAND 2026-08-26 — checked line by line against the code</t>
        </is>
      </c>
      <c r="J269" s="3" t="inlineStr">
        <is>
          <t>1. lumpBalance: number
2. items: ItemHolding[]</t>
        </is>
      </c>
      <c r="K269" s="3" t="inlineStr">
        <is>
          <t>number</t>
        </is>
      </c>
      <c r="L269" s="3" t="inlineStr">
        <is>
          <t>—</t>
        </is>
      </c>
      <c r="M269" s="3" t="inlineStr">
        <is>
          <t>· If lump balance is missing it counts as zero, so nothing recorded and a real zero look the same.</t>
        </is>
      </c>
      <c r="N269" s="3" t="inlineStr">
        <is>
          <t>Yes</t>
        </is>
      </c>
      <c r="O269" s="3" t="inlineStr">
        <is>
          <t>MK-NW-F-049 itemizedTotal</t>
        </is>
      </c>
      <c r="P269" s="3" t="n">
        <v>1</v>
      </c>
      <c r="Q269" s="3" t="inlineStr">
        <is>
          <t>MK-NW-F-049 itemizedTotal</t>
        </is>
      </c>
      <c r="R269" s="3" t="inlineStr">
        <is>
          <t>MK-NW-F-049 itemizedTotal → MK-NW-F-050 itemizeRemainder</t>
        </is>
      </c>
      <c r="S269" s="3" t="inlineStr">
        <is>
          <t>—</t>
        </is>
      </c>
      <c r="T269" s="3" t="inlineStr">
        <is>
          <t>ITEMISED_REMAINDER</t>
        </is>
      </c>
      <c r="U269" s="3" t="inlineStr">
        <is>
          <t>ACTIVE</t>
        </is>
      </c>
      <c r="V269" s="3" t="inlineStr">
        <is>
          <t>2026-09-12</t>
        </is>
      </c>
      <c r="W269" s="3" t="n"/>
      <c r="X269" s="3" t="n"/>
      <c r="Y269" s="3" t="inlineStr">
        <is>
          <t>NOTHING OPEN</t>
        </is>
      </c>
    </row>
    <row r="270" ht="60" customHeight="1">
      <c r="A270" s="3" t="inlineStr">
        <is>
          <t>MK-NW-F-051</t>
        </is>
      </c>
      <c r="B270" s="3" t="inlineStr">
        <is>
          <t>itemizedResultTotal</t>
        </is>
      </c>
      <c r="C270" s="3" t="inlineStr">
        <is>
          <t>src/domain/assets/itemize.ts</t>
        </is>
      </c>
      <c r="D270" s="3" t="n">
        <v>103</v>
      </c>
      <c r="E270" s="3" t="inlineStr">
        <is>
          <t>2 · DISPLAYED</t>
        </is>
      </c>
      <c r="F270" s="3" t="inlineStr">
        <is>
          <t>The account total AFTER itemizing.</t>
        </is>
      </c>
      <c r="G270" s="11" t="inlineStr">
        <is>
          <t>sum = itemized total(items)
remainder = itemize remainder(lump.balance, items)
the answer:
sum + remainder   if keep remainder as cash and remainder &gt; 0
sum   otherwise</t>
        </is>
      </c>
      <c r="H270" s="3" t="inlineStr">
        <is>
          <t>Sum is itemized total(items). Remainder is itemize remainder(lump.balance, items). The answer is sum plus remainder — when keep remainder as cash and remainder &gt; 0; sum — otherwise.</t>
        </is>
      </c>
      <c r="I270" s="3" t="inlineStr">
        <is>
          <t>READ FROM THE CODE — rendered from the expressions the function runs</t>
        </is>
      </c>
      <c r="J270" s="3" t="inlineStr">
        <is>
          <t>Nothing is handed to it</t>
        </is>
      </c>
      <c r="K270" s="3" t="inlineStr">
        <is>
          <t>NOT DECLARED — the code does not say what it gives back</t>
        </is>
      </c>
      <c r="L270" s="3" t="inlineStr">
        <is>
          <t>NOT FOUND — a screen calls it, but the words printed beside its answer could not be traced automatically. Needs reading.</t>
        </is>
      </c>
      <c r="M270" s="3" t="inlineStr">
        <is>
          <t>None found in this function — anything it assumes comes from the functions it depends on.</t>
        </is>
      </c>
      <c r="N270" s="3" t="inlineStr">
        <is>
          <t>Yes</t>
        </is>
      </c>
      <c r="O270" s="3" t="inlineStr">
        <is>
          <t>1. MK-NW-F-050 itemizeRemainder
2. MK-NW-F-049 itemizedTotal</t>
        </is>
      </c>
      <c r="P270" s="3" t="n">
        <v>2</v>
      </c>
      <c r="Q270" s="3" t="inlineStr">
        <is>
          <t>1. MK-NW-F-050 itemizeRemainder
2. MK-NW-F-049 itemizedTotal</t>
        </is>
      </c>
      <c r="R270" s="3" t="inlineStr">
        <is>
          <t>1. MK-NW-F-049 itemizedTotal → MK-NW-F-050 itemizeRemainder → MK-NW-F-051 itemizedResultTotal
2. MK-NW-F-049 itemizedTotal → MK-NW-F-051 itemizedResultTotal</t>
        </is>
      </c>
      <c r="S270" s="3" t="inlineStr">
        <is>
          <t>—</t>
        </is>
      </c>
      <c r="T270" s="3" t="inlineStr">
        <is>
          <t>—</t>
        </is>
      </c>
      <c r="U270" s="3" t="inlineStr">
        <is>
          <t>ACTIVE</t>
        </is>
      </c>
      <c r="V270" s="3" t="inlineStr">
        <is>
          <t>2026-09-09</t>
        </is>
      </c>
      <c r="W270" s="3" t="n"/>
      <c r="X270" s="3" t="n"/>
      <c r="Y270" s="3" t="inlineStr">
        <is>
          <t>NOTHING OPEN</t>
        </is>
      </c>
    </row>
    <row r="271" ht="60" customHeight="1">
      <c r="A271" s="3" t="inlineStr">
        <is>
          <t>MK-NW-F-052</t>
        </is>
      </c>
      <c r="B271" s="3" t="inlineStr">
        <is>
          <t>buildItemizedAccounts</t>
        </is>
      </c>
      <c r="C271" s="3" t="inlineStr">
        <is>
          <t>src/domain/assets/itemize.ts</t>
        </is>
      </c>
      <c r="D271" s="3" t="n">
        <v>144</v>
      </c>
      <c r="E271" s="3" t="inlineStr">
        <is>
          <t>2 · DISPLAYED</t>
        </is>
      </c>
      <c r="F271" s="3" t="inlineStr">
        <is>
          <t>Build the new accounts to CREATE when committing an itemization.</t>
        </is>
      </c>
      <c r="G271" s="11" t="inlineStr">
        <is>
          <t>institution = (lump.institution or lump.label or '').trim() (or undefined when missing or zero)
bucket = lump.tax bucket
the answer = acct
remainder = itemize remainder(lump.balance, items)</t>
        </is>
      </c>
      <c r="H271" s="3" t="inlineStr">
        <is>
          <t>Institution is (lump.institution or lump.label or '').trim() (or undefined — when missing or zero). Bucket is lump.tax bucket. The answer is acct. Remainder is itemize remainder(lump.balance, items).</t>
        </is>
      </c>
      <c r="I271" s="3" t="inlineStr">
        <is>
          <t>PARTLY READ — some of the code is still showing through; needs a hand pass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1. If value is missing it counts as zero, so nothing recorded and a real zero look the same.
2. If coupon rate is missing it counts as zero, so nothing recorded and a real zero look the same.</t>
        </is>
      </c>
      <c r="N271" s="3" t="inlineStr">
        <is>
          <t>Yes</t>
        </is>
      </c>
      <c r="O271" s="3" t="inlineStr">
        <is>
          <t>1. MK-NW-F-050 itemizeRemainder
2. MK-CF-F-132 map</t>
        </is>
      </c>
      <c r="P271" s="3" t="n">
        <v>3</v>
      </c>
      <c r="Q271" s="3" t="inlineStr">
        <is>
          <t>1. MK-NW-F-050 itemizeRemainder
2. MK-CF-F-132 map
3. MK-NW-F-049 itemizedTotal</t>
        </is>
      </c>
      <c r="R271" s="3" t="inlineStr">
        <is>
          <t>1. MK-NW-F-049 itemizedTotal → MK-NW-F-050 itemizeRemainder → MK-NW-F-052 buildItemizedAccounts
2. MK-CF-F-132 map → MK-NW-F-052 buildItemizedAccounts</t>
        </is>
      </c>
      <c r="S271" s="3" t="inlineStr">
        <is>
          <t>—</t>
        </is>
      </c>
      <c r="T271" s="3" t="inlineStr">
        <is>
          <t>ITEMISE_AN_ACCOUNT</t>
        </is>
      </c>
      <c r="U271" s="3" t="inlineStr">
        <is>
          <t>ACTIVE</t>
        </is>
      </c>
      <c r="V271" s="3" t="inlineStr">
        <is>
          <t>2026-08-27</t>
        </is>
      </c>
      <c r="W271" s="3" t="n"/>
      <c r="X271" s="3" t="n"/>
      <c r="Y271" s="3" t="inlineStr">
        <is>
          <t>NOTHING OPEN</t>
        </is>
      </c>
    </row>
    <row r="272" ht="60" customHeight="1">
      <c r="A272" s="3" t="inlineStr">
        <is>
          <t>MK-NW-F-053</t>
        </is>
      </c>
      <c r="B272" s="3" t="inlineStr">
        <is>
          <t>correctClassOf</t>
        </is>
      </c>
      <c r="C272" s="3" t="inlineStr">
        <is>
          <t>src/domain/assets/reclassify.ts</t>
        </is>
      </c>
      <c r="D272" s="3" t="n">
        <v>45</v>
      </c>
      <c r="E272" s="3" t="inlineStr">
        <is>
          <t>3 · DEPENDENT</t>
        </is>
      </c>
      <c r="F272" s="3" t="inlineStr">
        <is>
          <t>The class an account SHOULD carry under the current rule.</t>
        </is>
      </c>
      <c r="G272" s="11" t="inlineStr">
        <is>
          <t>by label = income bearing class of(label)
by label   when by label
maturity class(maturity date)   when maturity date
'stocks_etf'   when kind = 'money_market'
'bonds'   when kind = 'cd'
the answer = nothing</t>
        </is>
      </c>
      <c r="H272" s="3" t="inlineStr">
        <is>
          <t>By label is income bearing class of(label). When by label, it answers by label. When maturity date, it answers maturity class(maturity date). When kind = 'money_market', it answers 'stocks_etf'. When kind = 'cd', it answers 'bonds'. The answer is no answer.</t>
        </is>
      </c>
      <c r="I272" s="3" t="inlineStr">
        <is>
          <t>READ FROM THE CODE — rendered from the expressions the function runs</t>
        </is>
      </c>
      <c r="J272" s="3" t="inlineStr">
        <is>
          <t>a: AssetAccount</t>
        </is>
      </c>
      <c r="K272" s="3" t="inlineStr">
        <is>
          <t>AssetClass | null</t>
        </is>
      </c>
      <c r="L272" s="3" t="inlineStr">
        <is>
          <t>—</t>
        </is>
      </c>
      <c r="M272" s="3" t="inlineStr">
        <is>
          <t>None found in this function — anything it assumes comes from the functions it depends on.</t>
        </is>
      </c>
      <c r="N272" s="3" t="inlineStr">
        <is>
          <t>Yes</t>
        </is>
      </c>
      <c r="O272" s="3" t="inlineStr">
        <is>
          <t>1. MK-NW-F-008 incomeBearingClassOf
2. MK-NW-F-009 maturityClass</t>
        </is>
      </c>
      <c r="P272" s="3" t="n">
        <v>11</v>
      </c>
      <c r="Q272" s="3" t="inlineStr">
        <is>
          <t>1. MK-NW-F-008 incomeBearingClassOf
2. MK-NW-F-009 maturityClass
3. MK-CF-F-155 cash
4. MK-ST-F-010 nameEvidence
5. MK-XS-F-122 n
6. MK-XS-F-147 call
7. MK-ST-F-056 has
8. MK-CF-F-132 map
9. MK-ST-F-027 accountId
10. MK-XS-F-064 currentIdToken
11. MK-XS-F-112 relayUrl</t>
        </is>
      </c>
      <c r="R272"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2" s="3" t="inlineStr">
        <is>
          <t>—</t>
        </is>
      </c>
      <c r="T272" s="3" t="inlineStr">
        <is>
          <t>—</t>
        </is>
      </c>
      <c r="U272" s="3" t="inlineStr">
        <is>
          <t>ACTIVE</t>
        </is>
      </c>
      <c r="V272" s="3" t="inlineStr">
        <is>
          <t>2026-09-12</t>
        </is>
      </c>
      <c r="W272" s="3" t="n"/>
      <c r="X272" s="3" t="n"/>
      <c r="Y272" s="3" t="inlineStr">
        <is>
          <t>NOTHING OPEN</t>
        </is>
      </c>
    </row>
    <row r="273" ht="60" customHeight="1">
      <c r="A273" s="3" t="inlineStr">
        <is>
          <t>MK-NW-F-054</t>
        </is>
      </c>
      <c r="B273" s="3" t="inlineStr">
        <is>
          <t>reclassifyAccounts</t>
        </is>
      </c>
      <c r="C273" s="3" t="inlineStr">
        <is>
          <t>src/domain/assets/reclassify.ts</t>
        </is>
      </c>
      <c r="D273" s="3" t="n">
        <v>91</v>
      </c>
      <c r="E273" s="3" t="inlineStr">
        <is>
          <t>3 · DEPENDENT</t>
        </is>
      </c>
      <c r="F273" s="3" t="inlineStr">
        <is>
          <t>NOT DETERMINED — the code carries no note saying what this is for, and it has no row in the old inventory. Needs reading.</t>
        </is>
      </c>
      <c r="G273" s="11" t="inlineStr">
        <is>
          <t>changed = 0
want = correct class of(a)
next = a
ps = (next.positions ?? []) as any[]
the answer = p</t>
        </is>
      </c>
      <c r="H273" s="3" t="inlineStr">
        <is>
          <t>Changed is 0. Want is correct class of(a). Next is a. Ps is (next.positions ?? []) as any[]. The answer is p.</t>
        </is>
      </c>
      <c r="I273" s="3" t="inlineStr">
        <is>
          <t>PARTLY READ — some of the code is still showing through; needs a hand pass</t>
        </is>
      </c>
      <c r="J273" s="3" t="inlineStr">
        <is>
          <t>accounts: AssetAccount[]</t>
        </is>
      </c>
      <c r="K273" s="3" t="inlineStr">
        <is>
          <t>NOT DECLARED — the code does not say what it gives back</t>
        </is>
      </c>
      <c r="L273" s="3" t="inlineStr">
        <is>
          <t>—</t>
        </is>
      </c>
      <c r="M273" s="3" t="inlineStr">
        <is>
          <t>· Uses a built-in changed of 0.</t>
        </is>
      </c>
      <c r="N273" s="3" t="inlineStr">
        <is>
          <t>Yes</t>
        </is>
      </c>
      <c r="O273" s="3" t="inlineStr">
        <is>
          <t>1. MK-NW-F-053 correctClassOf
2. MK-NW-F-008 incomeBearingClassOf
3. MK-CF-F-132 map</t>
        </is>
      </c>
      <c r="P273" s="3" t="n">
        <v>12</v>
      </c>
      <c r="Q273"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3"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MK-NW-F-055</t>
        </is>
      </c>
      <c r="B274" s="3" t="inlineStr">
        <is>
          <t>isBond</t>
        </is>
      </c>
      <c r="C274" s="3" t="inlineStr">
        <is>
          <t>src/domain/bonds/index.ts</t>
        </is>
      </c>
      <c r="D274" s="3" t="n">
        <v>36</v>
      </c>
      <c r="E274" s="3" t="inlineStr">
        <is>
          <t>2 · DISPLAYED</t>
        </is>
      </c>
      <c r="F274" s="3" t="inlineStr">
        <is>
          <t>An AssetAccount is a bond if its ASSET CLASS is bonds (spec §2: "detected by assetClass, NOT maturity date").</t>
        </is>
      </c>
      <c r="G274" s="11" t="inlineStr">
        <is>
          <t>asset class of(a) = 'bonds'</t>
        </is>
      </c>
      <c r="H274" s="3" t="inlineStr">
        <is>
          <t>asset class of(a) = 'bonds'.</t>
        </is>
      </c>
      <c r="I274" s="3" t="inlineStr">
        <is>
          <t>READ FROM THE CODE — rendered from the expressions the function runs</t>
        </is>
      </c>
      <c r="J274" s="3" t="inlineStr">
        <is>
          <t>a: AssetAccount</t>
        </is>
      </c>
      <c r="K274" s="3" t="inlineStr">
        <is>
          <t>boolean</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MK-NW-F-011 assetClassOf</t>
        </is>
      </c>
      <c r="P274" s="3" t="n">
        <v>11</v>
      </c>
      <c r="Q274" s="3" t="inlineStr">
        <is>
          <t>1. MK-NW-F-011 assetClassOf
2. MK-NW-F-008 incomeBearingClassOf
3. MK-CF-F-155 cash
4. MK-ST-F-010 nameEvidence
5. MK-XS-F-122 n
6. MK-XS-F-147 call
7. MK-ST-F-056 has
8. MK-CF-F-132 map
9. MK-ST-F-027 accountId
10. MK-XS-F-064 currentIdToken
11. MK-XS-F-112 relayUrl</t>
        </is>
      </c>
      <c r="R274"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4" s="3" t="inlineStr">
        <is>
          <t>—</t>
        </is>
      </c>
      <c r="T274" s="3" t="inlineStr">
        <is>
          <t>IS_BOND</t>
        </is>
      </c>
      <c r="U274" s="3" t="inlineStr">
        <is>
          <t>ACTIVE</t>
        </is>
      </c>
      <c r="V274" s="3" t="inlineStr">
        <is>
          <t>2026-08-27</t>
        </is>
      </c>
      <c r="W274" s="3" t="n"/>
      <c r="X274" s="3" t="n"/>
      <c r="Y274" s="3" t="inlineStr">
        <is>
          <t>NOTHING OPEN</t>
        </is>
      </c>
    </row>
    <row r="275" ht="60" customHeight="1">
      <c r="A275" s="3" t="inlineStr">
        <is>
          <t>MK-NW-F-056</t>
        </is>
      </c>
      <c r="B275" s="3" t="inlineStr">
        <is>
          <t>bondInfo</t>
        </is>
      </c>
      <c r="C275" s="3" t="inlineStr">
        <is>
          <t>src/domain/bonds/index.ts</t>
        </is>
      </c>
      <c r="D275" s="3" t="n">
        <v>80</v>
      </c>
      <c r="E275" s="3" t="inlineStr">
        <is>
          <t>3 · DEPENDENT</t>
        </is>
      </c>
      <c r="F275" s="3" t="inlineStr">
        <is>
          <t>What are this holding's bond facts?</t>
        </is>
      </c>
      <c r="G275" s="11" t="inlineStr">
        <is>
          <t>face = face value or 0
coupon rate = coupon rate or 0
maturity = maturity date or ''
value = balance or 0
accrued interest = the entered figure, or nothing when not entered</t>
        </is>
      </c>
      <c r="H275" s="3" t="inlineStr">
        <is>
          <t>Reads the bond's facts off the account record — face value, coupon rate, maturity date, the value as entered, and the accrued interest when the person entered it (MK-XS-I-065). No arithmetic.</t>
        </is>
      </c>
      <c r="I275" s="3" t="inlineStr">
        <is>
          <t>READ BY HAND 2026-08-26 — checked line by line against the code</t>
        </is>
      </c>
      <c r="J275" s="3" t="inlineStr">
        <is>
          <t>a: AssetAccount</t>
        </is>
      </c>
      <c r="K275" s="3" t="inlineStr">
        <is>
          <t>BondInfo</t>
        </is>
      </c>
      <c r="L275" s="3" t="inlineStr">
        <is>
          <t>—</t>
        </is>
      </c>
      <c r="M275"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5" s="3" t="inlineStr">
        <is>
          <t>Yes</t>
        </is>
      </c>
      <c r="O275" s="3" t="inlineStr">
        <is>
          <t>MK-CF-F-155 cash</t>
        </is>
      </c>
      <c r="P275" s="3" t="n">
        <v>2</v>
      </c>
      <c r="Q275" s="3" t="inlineStr">
        <is>
          <t>1. MK-CF-F-155 cash
2. MK-XS-F-122 n</t>
        </is>
      </c>
      <c r="R275" s="3" t="inlineStr">
        <is>
          <t>MK-XS-F-122 n → MK-CF-F-155 cash → MK-NW-F-056 bondInfo</t>
        </is>
      </c>
      <c r="S275" s="3" t="inlineStr">
        <is>
          <t>—</t>
        </is>
      </c>
      <c r="T275" s="3" t="inlineStr">
        <is>
          <t>BOND_FACTS</t>
        </is>
      </c>
      <c r="U275" s="3" t="inlineStr">
        <is>
          <t>ACTIVE</t>
        </is>
      </c>
      <c r="V275" s="3" t="inlineStr">
        <is>
          <t>2026-09-27</t>
        </is>
      </c>
      <c r="W275" s="3" t="inlineStr">
        <is>
          <t>[from MK-NW-M-041 / M-042 / M-045] bond display rule (nine facts; value current → cost → face; else 'need more information'); why compute yield when the coupon rate is an input?</t>
        </is>
      </c>
      <c r="X275"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5" s="6" t="inlineStr">
        <is>
          <t>WAITING ON YOU — answer to read</t>
        </is>
      </c>
    </row>
    <row r="276" ht="60" customHeight="1">
      <c r="A276" s="3" t="inlineStr">
        <is>
          <t>MK-NW-F-057</t>
        </is>
      </c>
      <c r="B276" s="3" t="inlineStr">
        <is>
          <t>annualCoupon</t>
        </is>
      </c>
      <c r="C276" s="3" t="inlineStr">
        <is>
          <t>src/domain/bonds/index.ts</t>
        </is>
      </c>
      <c r="D276" s="3" t="n">
        <v>119</v>
      </c>
      <c r="E276" s="3" t="inlineStr">
        <is>
          <t>3 · DEPENDENT</t>
        </is>
      </c>
      <c r="F276" s="3" t="inlineStr">
        <is>
          <t>Annual coupon income = face value × coupon rate (paid as cash).</t>
        </is>
      </c>
      <c r="G276" s="11" t="inlineStr">
        <is>
          <t>annual coupon = face value × coupon rate</t>
        </is>
      </c>
      <c r="H276" s="3" t="inlineStr">
        <is>
          <t>What the bond pays in interest over a year: its face value times its stated rate. Paid semi-annually in practice; this figure is the yearly total.</t>
        </is>
      </c>
      <c r="I276" s="3" t="inlineStr">
        <is>
          <t>READ BY HAND 2026-08-26 — checked line by line against the code</t>
        </is>
      </c>
      <c r="J276" s="3" t="inlineStr">
        <is>
          <t>b: BondInfo</t>
        </is>
      </c>
      <c r="K276" s="3" t="inlineStr">
        <is>
          <t>number</t>
        </is>
      </c>
      <c r="L276" s="3" t="inlineStr">
        <is>
          <t>—</t>
        </is>
      </c>
      <c r="M276" s="3" t="inlineStr">
        <is>
          <t>None found in this function — anything it assumes comes from the functions it depends on.</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BOND_COUPON</t>
        </is>
      </c>
      <c r="U276" s="3" t="inlineStr">
        <is>
          <t>ACTIVE</t>
        </is>
      </c>
      <c r="V276" s="3" t="inlineStr">
        <is>
          <t>2026-09-27</t>
        </is>
      </c>
      <c r="W276" s="3" t="inlineStr">
        <is>
          <t>[from MK-NW-M-043] a matured bond must not earn a coupon; one label ('Calculated annual interest') instead of COUPON / YR and Interest payments; maturity date as an input.</t>
        </is>
      </c>
      <c r="X276" s="6" t="inlineStr">
        <is>
          <t>JJ-3: face × rate with no look at maturity — wrong for any matured bond, and inherited by F-061 and F-063. Fix: takes the maturity date and today; 0 once matured; adds MK-XS-I-013 to its inputs. Label: Q40; matured display: Q39.</t>
        </is>
      </c>
      <c r="Y276" s="6" t="inlineStr">
        <is>
          <t>WAITING ON YOU — answer to read</t>
        </is>
      </c>
    </row>
    <row r="277" ht="60" customHeight="1">
      <c r="A277" s="3" t="inlineStr">
        <is>
          <t>MK-NW-F-058</t>
        </is>
      </c>
      <c r="B277" s="3" t="inlineStr">
        <is>
          <t>yearsToMaturity</t>
        </is>
      </c>
      <c r="C277" s="3" t="inlineStr">
        <is>
          <t>src/domain/bonds/index.ts</t>
        </is>
      </c>
      <c r="D277" s="3" t="n">
        <v>154</v>
      </c>
      <c r="E277" s="3" t="inlineStr">
        <is>
          <t>3 · DEPENDENT</t>
        </is>
      </c>
      <c r="F277" s="3" t="inlineStr">
        <is>
          <t>How long until this bond pays back?</t>
        </is>
      </c>
      <c r="G277" s="11" t="inlineStr">
        <is>
          <t>years to maturity = max(0, (maturity date − today) ÷ 365.25 days)</t>
        </is>
      </c>
      <c r="H277" s="3" t="inlineStr">
        <is>
          <t>How long until the bond repays, as a fraction of a year, never negative. Uses 365.25 days — the master file says 365, which is finding A31.</t>
        </is>
      </c>
      <c r="I277" s="3" t="inlineStr">
        <is>
          <t>READ BY HAND 2026-08-26 — checked line by line against the code</t>
        </is>
      </c>
      <c r="J277" s="3" t="inlineStr">
        <is>
          <t>1. maturity: string
2. now: Date = new Date()</t>
        </is>
      </c>
      <c r="K277" s="3" t="inlineStr">
        <is>
          <t>number | null</t>
        </is>
      </c>
      <c r="L277" s="3" t="inlineStr">
        <is>
          <t>—</t>
        </is>
      </c>
      <c r="M277"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BOND_YEARS_LEFT</t>
        </is>
      </c>
      <c r="U277" s="3" t="inlineStr">
        <is>
          <t>ACTIVE</t>
        </is>
      </c>
      <c r="V277" s="3" t="inlineStr">
        <is>
          <t>2026-09-27</t>
        </is>
      </c>
      <c r="W277" s="3" t="n"/>
      <c r="X277" s="3" t="n"/>
      <c r="Y277" s="6" t="inlineStr">
        <is>
          <t>TESTED, NOT VERIFIED (G11)</t>
        </is>
      </c>
    </row>
    <row r="278" ht="60" customHeight="1">
      <c r="A278" s="3" t="inlineStr">
        <is>
          <t>MK-NW-F-059</t>
        </is>
      </c>
      <c r="B278" s="3" t="inlineStr">
        <is>
          <t>currentYield</t>
        </is>
      </c>
      <c r="C278" s="3" t="inlineStr">
        <is>
          <t>src/domain/bonds/index.ts</t>
        </is>
      </c>
      <c r="D278" s="3" t="n">
        <v>190</v>
      </c>
      <c r="E278" s="3" t="inlineStr">
        <is>
          <t>3 · DEPENDENT</t>
        </is>
      </c>
      <c r="F278" s="3" t="inlineStr">
        <is>
          <t>Current yield = annual coupon ÷ current price/value.</t>
        </is>
      </c>
      <c r="G278" s="11" t="inlineStr">
        <is>
          <t>current yield = annual coupon ÷ current value</t>
        </is>
      </c>
      <c r="H278" s="3" t="inlineStr">
        <is>
          <t>The interest a year as a share of what the bond is worth now. If the recorded value is a dirty price it carries accrued interest, and the yield reads low — the file does not say which it is.</t>
        </is>
      </c>
      <c r="I278" s="3" t="inlineStr">
        <is>
          <t>READ BY HAND 2026-08-26 — checked line by line against the code</t>
        </is>
      </c>
      <c r="J278" s="3" t="inlineStr">
        <is>
          <t>b: BondInfo</t>
        </is>
      </c>
      <c r="K278" s="3" t="inlineStr">
        <is>
          <t>number | null</t>
        </is>
      </c>
      <c r="L278" s="3" t="inlineStr">
        <is>
          <t>—</t>
        </is>
      </c>
      <c r="M278" s="3" t="inlineStr">
        <is>
          <t>· If accrued interest is missing it uses 0.</t>
        </is>
      </c>
      <c r="N278" s="3" t="inlineStr">
        <is>
          <t>Yes</t>
        </is>
      </c>
      <c r="O278" s="3" t="inlineStr">
        <is>
          <t>MK-NW-F-057 annualCoupon</t>
        </is>
      </c>
      <c r="P278" s="3" t="n">
        <v>1</v>
      </c>
      <c r="Q278" s="3" t="inlineStr">
        <is>
          <t>MK-NW-F-057 annualCoupon</t>
        </is>
      </c>
      <c r="R278" s="3" t="inlineStr">
        <is>
          <t>MK-NW-F-057 annualCoupon → MK-NW-F-059 currentYield</t>
        </is>
      </c>
      <c r="S278" s="3" t="inlineStr">
        <is>
          <t>—</t>
        </is>
      </c>
      <c r="T278" s="3" t="inlineStr">
        <is>
          <t>BOND_CURRENT_YIELD</t>
        </is>
      </c>
      <c r="U278" s="3" t="inlineStr">
        <is>
          <t>ACTIVE</t>
        </is>
      </c>
      <c r="V278" s="3" t="inlineStr">
        <is>
          <t>2026-09-27</t>
        </is>
      </c>
      <c r="W278" s="3" t="inlineStr">
        <is>
          <t>[from MK-NW-M-044, typed A47; and K45] subtract accrued interest when recorded, caveat when not; yield always two decimals.</t>
        </is>
      </c>
      <c r="X278" s="6" t="inlineStr">
        <is>
          <t>coupon ÷ value, no accrued-interest term (no field exists yet — after brief Q-38 (2026-08-20)). Two decimals: already on the Bonds screen; account detail's two yield rows still one decimal — fix there. Caveat wording: Q45.</t>
        </is>
      </c>
      <c r="Y278" s="6" t="inlineStr">
        <is>
          <t>WAITING ON YOU — answer to read · TESTED, NOT VERIFIED (A47)</t>
        </is>
      </c>
    </row>
    <row r="279" ht="60" customHeight="1">
      <c r="A279" s="3" t="inlineStr">
        <is>
          <t>MK-NW-F-060</t>
        </is>
      </c>
      <c r="B279" s="3" t="inlineStr">
        <is>
          <t>approxYTM</t>
        </is>
      </c>
      <c r="C279" s="3" t="inlineStr">
        <is>
          <t>src/domain/bonds/index.ts</t>
        </is>
      </c>
      <c r="D279" s="3" t="n">
        <v>260</v>
      </c>
      <c r="E279" s="3" t="inlineStr">
        <is>
          <t>3 · DEPENDENT</t>
        </is>
      </c>
      <c r="F279" s="3" t="inlineStr">
        <is>
          <t>Approximate yield to maturity (standard approximation), decimal.</t>
        </is>
      </c>
      <c r="G279" s="11" t="inlineStr">
        <is>
          <t>yield to maturity ≈ round( (annual coupon + (face − value) ÷ years left)
                           ÷ ((face + value) ÷ 2), 4 dp )</t>
        </is>
      </c>
      <c r="H279"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79" s="3" t="inlineStr">
        <is>
          <t>READ BY HAND 2026-08-26 — checked line by line against the code</t>
        </is>
      </c>
      <c r="J279" s="3" t="inlineStr">
        <is>
          <t>1. b: BondInfo
2. now: Date = new Date()</t>
        </is>
      </c>
      <c r="K279" s="3" t="inlineStr">
        <is>
          <t>number | null</t>
        </is>
      </c>
      <c r="L279" s="3" t="inlineStr">
        <is>
          <t>—</t>
        </is>
      </c>
      <c r="M279" s="3" t="inlineStr">
        <is>
          <t>1. Uses today's date from the device clock, so the answer changes by itself overnight.
2. 'value' is the bond's current value as entered (the balance) — the SAME total basis as face, not a price per $100 (founder question G20, 2026-09-08).</t>
        </is>
      </c>
      <c r="N279" s="3" t="inlineStr">
        <is>
          <t>Yes</t>
        </is>
      </c>
      <c r="O279" s="3" t="inlineStr">
        <is>
          <t>1. MK-NW-F-057 annualCoupon
2. MK-XS-F-122 n
3. MK-NW-F-058 yearsToMaturity</t>
        </is>
      </c>
      <c r="P279" s="3" t="n">
        <v>3</v>
      </c>
      <c r="Q279" s="3" t="inlineStr">
        <is>
          <t>1. MK-NW-F-057 annualCoupon
2. MK-XS-F-122 n
3. MK-NW-F-058 yearsToMaturity</t>
        </is>
      </c>
      <c r="R279" s="3" t="inlineStr">
        <is>
          <t>1. MK-NW-F-057 annualCoupon → MK-NW-F-060 approxYTM
2. MK-XS-F-122 n → MK-NW-F-060 approxYTM
3. MK-NW-F-058 yearsToMaturity → MK-NW-F-060 approxYTM</t>
        </is>
      </c>
      <c r="S279" s="3" t="inlineStr">
        <is>
          <t>—</t>
        </is>
      </c>
      <c r="T279" s="3" t="inlineStr">
        <is>
          <t>BOND_YIELD_TO_MATURITY</t>
        </is>
      </c>
      <c r="U279" s="3" t="inlineStr">
        <is>
          <t>ACTIVE</t>
        </is>
      </c>
      <c r="V279" s="3" t="inlineStr">
        <is>
          <t>2026-09-27</t>
        </is>
      </c>
      <c r="W279" s="3" t="inlineStr">
        <is>
          <t>[from MK-NW-M-041, Formula (in words)] why compute yield when the coupon rate is an input?</t>
        </is>
      </c>
      <c r="X279" s="6" t="inlineStr">
        <is>
          <t>Yield to maturity is derived from coupon, face, value and years left — it cannot be an input. Coupon RATE stays an input (MK-XS-I-012). Two decimals on the account-detail row still owed (K45).</t>
        </is>
      </c>
      <c r="Y279" s="6" t="inlineStr">
        <is>
          <t>WAITING ON YOU — answer to read · TESTED, NOT VERIFIED (G11, G20)</t>
        </is>
      </c>
    </row>
    <row r="280" ht="60" customHeight="1">
      <c r="A280" s="3" t="inlineStr">
        <is>
          <t>MK-NW-F-061</t>
        </is>
      </c>
      <c r="B280" s="3" t="inlineStr">
        <is>
          <t>bondSummary</t>
        </is>
      </c>
      <c r="C280" s="3" t="inlineStr">
        <is>
          <t>src/domain/bonds/index.ts</t>
        </is>
      </c>
      <c r="D280" s="3" t="n">
        <v>312</v>
      </c>
      <c r="E280" s="3" t="inlineStr">
        <is>
          <t>3 · DEPENDENT</t>
        </is>
      </c>
      <c r="F280" s="3" t="inlineStr">
        <is>
          <t>NOT DETERMINED — the code carries no note saying what this is for, and it has no row in the old inventory. Needs reading.</t>
        </is>
      </c>
      <c r="G280"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0"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0" s="3" t="inlineStr">
        <is>
          <t>PARTLY READ — some of the code is still showing through; needs a hand pass</t>
        </is>
      </c>
      <c r="J280" s="3" t="inlineStr">
        <is>
          <t>1. bonds: BondInfo[]
2. now: Date = new Date()</t>
        </is>
      </c>
      <c r="K280" s="3" t="inlineStr">
        <is>
          <t>BondSummary</t>
        </is>
      </c>
      <c r="L280" s="3" t="inlineStr">
        <is>
          <t>—</t>
        </is>
      </c>
      <c r="M280" s="3" t="inlineStr">
        <is>
          <t>· Uses today's date from the device clock, so the answer changes by itself overnight.</t>
        </is>
      </c>
      <c r="N280" s="3" t="inlineStr">
        <is>
          <t>Yes</t>
        </is>
      </c>
      <c r="O280" s="3" t="inlineStr">
        <is>
          <t>1. MK-NW-F-057 annualCoupon
2. MK-CF-F-132 map</t>
        </is>
      </c>
      <c r="P280" s="3" t="n">
        <v>2</v>
      </c>
      <c r="Q280" s="3" t="inlineStr">
        <is>
          <t>1. MK-NW-F-057 annualCoupon
2. MK-CF-F-132 map</t>
        </is>
      </c>
      <c r="R280" s="3" t="inlineStr">
        <is>
          <t>1. MK-NW-F-057 annualCoupon → MK-NW-F-061 bondSummary
2. MK-CF-F-132 map → MK-NW-F-061 bondSummary</t>
        </is>
      </c>
      <c r="S280" s="3" t="inlineStr">
        <is>
          <t>—</t>
        </is>
      </c>
      <c r="T280" s="3" t="inlineStr">
        <is>
          <t>—</t>
        </is>
      </c>
      <c r="U280" s="3" t="inlineStr">
        <is>
          <t>ACTIVE</t>
        </is>
      </c>
      <c r="V280" s="3" t="inlineStr">
        <is>
          <t>2026-09-27</t>
        </is>
      </c>
      <c r="W280" s="3" t="inlineStr">
        <is>
          <t>[from MK-NW-M-041 / M-042 / M-043] total value = sum of what? inputs should be face value; matured bonds and the coupon total.</t>
        </is>
      </c>
      <c r="X280" s="6" t="inlineStr">
        <is>
          <t>totalValue = Σ each bond's entered value (the balance); totalFace = Σ face (MK-XS-I-011); count = number of bond records; the coupon total inherits JJ-3 (matured bonds still counted). This is the real producer of MK-NW-M-041 and M-042 — both rows should name it.</t>
        </is>
      </c>
      <c r="Y280" s="6" t="inlineStr">
        <is>
          <t>WAITING ON YOU — answer to read</t>
        </is>
      </c>
    </row>
    <row r="281" ht="60" customHeight="1">
      <c r="A281" s="3" t="inlineStr">
        <is>
          <t>MK-NW-F-062</t>
        </is>
      </c>
      <c r="B281" s="3" t="inlineStr">
        <is>
          <t>couponIncomeAnnual</t>
        </is>
      </c>
      <c r="C281" s="3" t="inlineStr">
        <is>
          <t>src/domain/bonds/index.ts</t>
        </is>
      </c>
      <c r="D281" s="3" t="n">
        <v>337</v>
      </c>
      <c r="E281" s="3" t="inlineStr">
        <is>
          <t>3 · DEPENDENT (feeds an action only)</t>
        </is>
      </c>
      <c r="F281" s="3" t="inlineStr">
        <is>
          <t>Total annual coupon income across the user's INDIVIDUAL bonds (kept for the Bonds screen summary).</t>
        </is>
      </c>
      <c r="G281" s="11" t="inlineStr">
        <is>
          <t>Σ over accounts (or none when missing) where is bond of (annual coupon(bond info(each)))</t>
        </is>
      </c>
      <c r="H281" s="3" t="inlineStr">
        <is>
          <t>the annual coupon(bond info(each)) added up across accounts (or none — when missing) where is bond.</t>
        </is>
      </c>
      <c r="I281" s="3" t="inlineStr">
        <is>
          <t>READ FROM THE CODE — rendered from the expressions the function runs</t>
        </is>
      </c>
      <c r="J281" s="3" t="inlineStr">
        <is>
          <t>accounts: AssetAccount[]</t>
        </is>
      </c>
      <c r="K281" s="3" t="inlineStr">
        <is>
          <t>number</t>
        </is>
      </c>
      <c r="L281" s="3" t="inlineStr">
        <is>
          <t>—</t>
        </is>
      </c>
      <c r="M281" s="3" t="inlineStr">
        <is>
          <t>None found in this function — anything it assumes comes from the functions it depends on.</t>
        </is>
      </c>
      <c r="N281" s="3" t="inlineStr">
        <is>
          <t>No</t>
        </is>
      </c>
      <c r="O281" s="3" t="inlineStr">
        <is>
          <t>1. MK-NW-F-057 annualCoupon
2. MK-NW-F-056 bondInfo
3. MK-NW-F-055 isBond</t>
        </is>
      </c>
      <c r="P281" s="3" t="n">
        <v>14</v>
      </c>
      <c r="Q281"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1"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1" s="3" t="inlineStr">
        <is>
          <t>—</t>
        </is>
      </c>
      <c r="T281" s="3" t="inlineStr">
        <is>
          <t>—</t>
        </is>
      </c>
      <c r="U281" s="3" t="inlineStr">
        <is>
          <t>ACTIVE</t>
        </is>
      </c>
      <c r="V281" s="3" t="inlineStr">
        <is>
          <t>2026-09-09</t>
        </is>
      </c>
      <c r="W281" s="3" t="n"/>
      <c r="X281" s="3" t="n"/>
      <c r="Y281" s="3" t="inlineStr">
        <is>
          <t>NOTHING OPEN</t>
        </is>
      </c>
    </row>
    <row r="282" ht="60" customHeight="1">
      <c r="A282" s="3" t="inlineStr">
        <is>
          <t>MK-NW-F-063</t>
        </is>
      </c>
      <c r="B282" s="3" t="inlineStr">
        <is>
          <t>interestIncomeAnnual</t>
        </is>
      </c>
      <c r="C282" s="3" t="inlineStr">
        <is>
          <t>src/domain/bonds/index.ts</t>
        </is>
      </c>
      <c r="D282" s="3" t="n">
        <v>372</v>
      </c>
      <c r="E282" s="3" t="inlineStr">
        <is>
          <t>3 · DEPENDENT (feeds an action only)</t>
        </is>
      </c>
      <c r="F282" s="3" t="inlineStr">
        <is>
          <t>Canonical annual INTEREST income across all interest-bearing holdings (Term #6).</t>
        </is>
      </c>
      <c r="G282" s="11" t="inlineStr">
        <is>
          <t>cls = asset class of(a)
coupon = (coupon rate or 0) × (face value or 0)
t + coupon   when coupon &gt; 0
t + (balance or 0) × (coupon rate as number)   when (coupon rate or 0) &gt; 0
the answer = t</t>
        </is>
      </c>
      <c r="H282" s="3" t="inlineStr">
        <is>
          <t>Cls is asset class of(a). Coupon is (coupon rate or 0) times (face value or 0). When coupon &gt; 0, it answers t plus coupon. When (coupon rate or 0) &gt; 0, it answers t plus (balance or 0) times (coupon rate as number). The answer is t.</t>
        </is>
      </c>
      <c r="I282" s="3" t="inlineStr">
        <is>
          <t>READ FROM THE CODE — rendered from the expressions the function runs</t>
        </is>
      </c>
      <c r="J282" s="3" t="inlineStr">
        <is>
          <t>accounts: AssetAccount[]</t>
        </is>
      </c>
      <c r="K282" s="3" t="inlineStr">
        <is>
          <t>number</t>
        </is>
      </c>
      <c r="L282" s="3" t="inlineStr">
        <is>
          <t>—</t>
        </is>
      </c>
      <c r="M282"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2" s="3" t="inlineStr">
        <is>
          <t>No</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2" s="3" t="inlineStr">
        <is>
          <t>—</t>
        </is>
      </c>
      <c r="T282" s="3" t="inlineStr">
        <is>
          <t>—</t>
        </is>
      </c>
      <c r="U282" s="3" t="inlineStr">
        <is>
          <t>ACTIVE</t>
        </is>
      </c>
      <c r="V282" s="3" t="inlineStr">
        <is>
          <t>2026-09-11</t>
        </is>
      </c>
      <c r="W282" s="3" t="inlineStr">
        <is>
          <t>[from MK-NW-M-043 / M-045, typed A46] If coupon rate is not available use 0.</t>
        </is>
      </c>
      <c r="X282" s="6" t="inlineStr">
        <is>
          <t>JJ-4: still falls back to 4.2% (DEFAULT_BOND_YIELD) for a bond fund with no rate, and the paycheck income lines do the same. Fix: 0 + 'no rate recorded'. Also inherits JJ-3 (matured bonds). The other 4.2%/4% figures are expected-return defaults, a different concept — Q44.</t>
        </is>
      </c>
      <c r="Y282" s="6" t="inlineStr">
        <is>
          <t>WAITING ON YOU — answer to read · TESTED, NOT VERIFIED (A46)</t>
        </is>
      </c>
    </row>
    <row r="283" ht="60" customHeight="1">
      <c r="A283" s="3" t="inlineStr">
        <is>
          <t>MK-NW-F-064</t>
        </is>
      </c>
      <c r="B283" s="3" t="inlineStr">
        <is>
          <t>bondRateSensitivity</t>
        </is>
      </c>
      <c r="C283" s="3" t="inlineStr">
        <is>
          <t>src/domain/bonds/index.ts</t>
        </is>
      </c>
      <c r="D283" s="3" t="n">
        <v>481</v>
      </c>
      <c r="E283" s="3" t="inlineStr">
        <is>
          <t>3 · DEPENDENT</t>
        </is>
      </c>
      <c r="F283" s="3" t="inlineStr">
        <is>
          <t>What happens to this bond if interest rates move?</t>
        </is>
      </c>
      <c r="G283" s="11" t="inlineStr">
        <is>
          <t>ytm = approx ytm(b, now)
nothing   when ytm = nothing (or face ≤ 0 (or coupon rate ≤ 0 when missing or zero) when missing or zero)
v = price at yield(b, math.max(0.0001, ytm + delta), now)
the answer:
rates up = move(0.01)
rates down = move(-0.01)</t>
        </is>
      </c>
      <c r="H283"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3" s="3" t="inlineStr">
        <is>
          <t>PARTLY READ — some of the code is still showing through; needs a hand pass</t>
        </is>
      </c>
      <c r="J283" s="3" t="inlineStr">
        <is>
          <t>1. b: BondInfo
2. now: Date = new Date()</t>
        </is>
      </c>
      <c r="K283" s="3" t="inlineStr">
        <is>
          <t>RateSensitivity | null</t>
        </is>
      </c>
      <c r="L283" s="3" t="inlineStr">
        <is>
          <t>—</t>
        </is>
      </c>
      <c r="M283" s="3" t="inlineStr">
        <is>
          <t>1. Applies a built-in rate of 99% to v.
2. Uses today's date from the device clock, so the answer changes by itself overnight.
3. Rounds the answer to a whole number.</t>
        </is>
      </c>
      <c r="N283" s="3" t="inlineStr">
        <is>
          <t>Yes</t>
        </is>
      </c>
      <c r="O283" s="3" t="inlineStr">
        <is>
          <t>1. MK-NW-F-060 approxYTM
2. MK-NW-F-069 priceAtYield</t>
        </is>
      </c>
      <c r="P283" s="3" t="n">
        <v>5</v>
      </c>
      <c r="Q283" s="3" t="inlineStr">
        <is>
          <t>1. MK-NW-F-060 approxYTM
2. MK-NW-F-069 priceAtYield
3. MK-NW-F-057 annualCoupon
4. MK-XS-F-122 n
5. MK-NW-F-058 yearsToMaturity</t>
        </is>
      </c>
      <c r="R283"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3" s="3" t="inlineStr">
        <is>
          <t>MK-NW-M-028</t>
        </is>
      </c>
      <c r="T283" s="3" t="inlineStr">
        <is>
          <t>IF_RATES_MOVE</t>
        </is>
      </c>
      <c r="U283" s="3" t="inlineStr">
        <is>
          <t>ACTIVE</t>
        </is>
      </c>
      <c r="V283" s="3" t="inlineStr">
        <is>
          <t>2026-09-27</t>
        </is>
      </c>
      <c r="W283" s="3" t="n"/>
      <c r="X283" s="3" t="n"/>
      <c r="Y283" s="6" t="inlineStr">
        <is>
          <t>TESTED, NOT VERIFIED (G11)</t>
        </is>
      </c>
    </row>
    <row r="284" ht="60" customHeight="1">
      <c r="A284" s="3" t="inlineStr">
        <is>
          <t>MK-NW-F-065</t>
        </is>
      </c>
      <c r="B284" s="3" t="inlineStr">
        <is>
          <t>buildNetWorth</t>
        </is>
      </c>
      <c r="C284" s="3" t="inlineStr">
        <is>
          <t>src/domain/networth/index.ts</t>
        </is>
      </c>
      <c r="D284" s="3" t="n">
        <v>33</v>
      </c>
      <c r="E284" s="3" t="inlineStr">
        <is>
          <t>3 · DEPENDENT</t>
        </is>
      </c>
      <c r="F284" s="3" t="inlineStr">
        <is>
          <t>What is this household worth?</t>
        </is>
      </c>
      <c r="G284" s="11" t="inlineStr">
        <is>
          <t>gross assets = round(assets total, 2 dp)
gross debt   = round(debt total, 2 dp)
net worth    = round(assets total − debt total, 2 dp)</t>
        </is>
      </c>
      <c r="H284"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4" s="3" t="inlineStr">
        <is>
          <t>READ BY HAND 2026-08-26 — checked line by line against the code</t>
        </is>
      </c>
      <c r="J284" s="3" t="inlineStr">
        <is>
          <t>1. uid: UserId
2. grossAssets: number
3. grossDebt: number</t>
        </is>
      </c>
      <c r="K284" s="3" t="inlineStr">
        <is>
          <t>NetWorthState</t>
        </is>
      </c>
      <c r="L284" s="3" t="inlineStr">
        <is>
          <t>—</t>
        </is>
      </c>
      <c r="M284" s="3" t="inlineStr">
        <is>
          <t>None found in this function — anything it assumes comes from the functions it depends on.</t>
        </is>
      </c>
      <c r="N284" s="3" t="inlineStr">
        <is>
          <t>Yes</t>
        </is>
      </c>
      <c r="O284" s="3" t="inlineStr">
        <is>
          <t>MK-XS-F-175 uid</t>
        </is>
      </c>
      <c r="P284" s="3" t="n">
        <v>80</v>
      </c>
      <c r="Q28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4"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4" s="3" t="inlineStr">
        <is>
          <t>—</t>
        </is>
      </c>
      <c r="T284" s="3" t="inlineStr">
        <is>
          <t>NET_WORTH</t>
        </is>
      </c>
      <c r="U284" s="3" t="inlineStr">
        <is>
          <t>ACTIVE</t>
        </is>
      </c>
      <c r="V284" s="3" t="inlineStr">
        <is>
          <t>2026-09-27</t>
        </is>
      </c>
      <c r="W284" s="3" t="n"/>
      <c r="X284" s="3" t="n"/>
      <c r="Y284" s="3" t="inlineStr">
        <is>
          <t>NOTHING OPEN</t>
        </is>
      </c>
    </row>
    <row r="285" ht="60" customHeight="1">
      <c r="A285" s="3" t="inlineStr">
        <is>
          <t>MK-NW-F-066</t>
        </is>
      </c>
      <c r="B285" s="3" t="inlineStr">
        <is>
          <t>sumWhere</t>
        </is>
      </c>
      <c r="C285" s="3" t="inlineStr">
        <is>
          <t>src/domain/assets/index.ts</t>
        </is>
      </c>
      <c r="D285" s="3" t="n">
        <v>604</v>
      </c>
      <c r="E285" s="3" t="inlineStr">
        <is>
          <t>3 · DEPENDENT</t>
        </is>
      </c>
      <c r="F285" s="3" t="inlineStr">
        <is>
          <t>── Canonical asset totals (Term #2/#3/#4) ──────────────────────────────────── THE single source for each total — screens read these, never re-sum inline.</t>
        </is>
      </c>
      <c r="G285" s="11" t="inlineStr">
        <is>
          <t>Σ over accounts (or none when missing) where pred of (balance (or 0 when missing or zero))</t>
        </is>
      </c>
      <c r="H285" s="3" t="inlineStr">
        <is>
          <t>the balance (or 0 — when missing or zero) added up across accounts (or none — when missing) where pred.</t>
        </is>
      </c>
      <c r="I285" s="3" t="inlineStr">
        <is>
          <t>READ FROM THE CODE — rendered from the expressions the function runs</t>
        </is>
      </c>
      <c r="J285" s="3" t="inlineStr">
        <is>
          <t>1. accounts: AssetAccount[]
2. pred: (a: AssetAccount) =&gt; boolean</t>
        </is>
      </c>
      <c r="K285" s="3" t="inlineStr">
        <is>
          <t>number</t>
        </is>
      </c>
      <c r="L285" s="3" t="inlineStr">
        <is>
          <t>—</t>
        </is>
      </c>
      <c r="M285" s="3" t="inlineStr">
        <is>
          <t>· If balance is missing it counts as zero, so nothing recorded and a real zero look the same.</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t>
        </is>
      </c>
      <c r="U285" s="3" t="inlineStr">
        <is>
          <t>ACTIVE</t>
        </is>
      </c>
      <c r="V285" s="3" t="inlineStr">
        <is>
          <t>2026-09-09</t>
        </is>
      </c>
      <c r="W285" s="3" t="n"/>
      <c r="X285" s="3" t="n"/>
      <c r="Y285" s="3" t="inlineStr">
        <is>
          <t>NOTHING OPEN</t>
        </is>
      </c>
    </row>
    <row r="286" ht="60" customHeight="1">
      <c r="A286" s="3" t="inlineStr">
        <is>
          <t>MK-NW-F-067</t>
        </is>
      </c>
      <c r="B286" s="3" t="inlineStr">
        <is>
          <t>plural</t>
        </is>
      </c>
      <c r="C286" s="3" t="inlineStr">
        <is>
          <t>src/domain/assets/index.ts</t>
        </is>
      </c>
      <c r="D286" s="3" t="n">
        <v>1125</v>
      </c>
      <c r="E286" s="3" t="inlineStr">
        <is>
          <t>1 · ACTION</t>
        </is>
      </c>
      <c r="F286" s="3" t="inlineStr">
        <is>
          <t>NOT DETERMINED — the code carries no note saying what this is for, and it has no row in the old inventory. Needs reading.</t>
        </is>
      </c>
      <c r="G286" s="11" t="inlineStr">
        <is>
          <t>the answer = n + ' ' + (one   when n = 1;   many   otherwise)</t>
        </is>
      </c>
      <c r="H286" s="3" t="inlineStr">
        <is>
          <t>'1 account' or '3 accounts' — the word made plural when the count is not one. Display only.</t>
        </is>
      </c>
      <c r="I286" s="3" t="inlineStr">
        <is>
          <t>READ BY HAND 2026-08-26 — checked line by line against the code</t>
        </is>
      </c>
      <c r="J286" s="3" t="inlineStr">
        <is>
          <t>1. n: number
2. one: string
3. many = `${one}s`</t>
        </is>
      </c>
      <c r="K286" s="3" t="inlineStr">
        <is>
          <t>many}`;</t>
        </is>
      </c>
      <c r="L286" s="3" t="inlineStr">
        <is>
          <t>—</t>
        </is>
      </c>
      <c r="M286" s="3" t="inlineStr">
        <is>
          <t>None found in this function — anything it assumes comes from the functions it depends on.</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2026-09-12</t>
        </is>
      </c>
      <c r="W286" s="3" t="n"/>
      <c r="X286" s="3" t="n"/>
      <c r="Y286" s="3" t="inlineStr">
        <is>
          <t>NOTHING OPEN</t>
        </is>
      </c>
    </row>
    <row r="287" ht="60" customHeight="1">
      <c r="A287" s="3" t="inlineStr">
        <is>
          <t>MK-NW-F-068</t>
        </is>
      </c>
      <c r="B287" s="3" t="inlineStr">
        <is>
          <t>prettyDay</t>
        </is>
      </c>
      <c r="C287" s="3" t="inlineStr">
        <is>
          <t>src/domain/assets/index.ts</t>
        </is>
      </c>
      <c r="D287" s="3" t="n">
        <v>1944</v>
      </c>
      <c r="E287" s="3" t="inlineStr">
        <is>
          <t>3 · DEPENDENT</t>
        </is>
      </c>
      <c r="F287" s="3" t="inlineStr">
        <is>
          <t>NOT DETERMINED — the code carries no note saying what this is for, and it has no row in the old inventory. Needs reading.</t>
        </is>
      </c>
      <c r="G287" s="11" t="inlineStr">
        <is>
          <t>`${MONTH_ABBR[(m or 1) − 1]} ${d}, ${y}`</t>
        </is>
      </c>
      <c r="H287" s="3" t="inlineStr">
        <is>
          <t>`${MONTH_ABBR[(m or 1) minus 1]} ${d}, ${y}`.</t>
        </is>
      </c>
      <c r="I287" s="3" t="inlineStr">
        <is>
          <t>PARTLY READ — some of the code is still showing through; needs a hand pass</t>
        </is>
      </c>
      <c r="J287" s="3" t="inlineStr">
        <is>
          <t>iso: string</t>
        </is>
      </c>
      <c r="K287" s="3" t="inlineStr">
        <is>
          <t>string</t>
        </is>
      </c>
      <c r="L287" s="3" t="inlineStr">
        <is>
          <t>—</t>
        </is>
      </c>
      <c r="M287" s="3" t="inlineStr">
        <is>
          <t>None found in this function — anything it assumes comes from the functions it depends on.</t>
        </is>
      </c>
      <c r="N287" s="3" t="inlineStr">
        <is>
          <t>Yes</t>
        </is>
      </c>
      <c r="O287" s="3" t="inlineStr">
        <is>
          <t>MK-CF-F-132 map</t>
        </is>
      </c>
      <c r="P287" s="3" t="n">
        <v>1</v>
      </c>
      <c r="Q287" s="3" t="inlineStr">
        <is>
          <t>MK-CF-F-132 map</t>
        </is>
      </c>
      <c r="R287" s="3" t="inlineStr">
        <is>
          <t>MK-CF-F-132 map → MK-NW-F-068 prettyDay</t>
        </is>
      </c>
      <c r="S287" s="3" t="inlineStr">
        <is>
          <t>—</t>
        </is>
      </c>
      <c r="T287" s="3" t="inlineStr">
        <is>
          <t>—</t>
        </is>
      </c>
      <c r="U287" s="3" t="inlineStr">
        <is>
          <t>ACTIVE</t>
        </is>
      </c>
      <c r="V287" s="3" t="inlineStr">
        <is>
          <t>2026-08-27</t>
        </is>
      </c>
      <c r="W287" s="3" t="n"/>
      <c r="X287" s="3" t="n"/>
      <c r="Y287" s="3" t="inlineStr">
        <is>
          <t>NOTHING OPEN</t>
        </is>
      </c>
    </row>
    <row r="288" ht="60" customHeight="1">
      <c r="A288" s="3" t="inlineStr">
        <is>
          <t>MK-NW-F-069</t>
        </is>
      </c>
      <c r="B288" s="3" t="inlineStr">
        <is>
          <t>priceAtYield</t>
        </is>
      </c>
      <c r="C288" s="3" t="inlineStr">
        <is>
          <t>src/domain/bonds/index.ts</t>
        </is>
      </c>
      <c r="D288" s="3" t="n">
        <v>433</v>
      </c>
      <c r="E288" s="3" t="inlineStr">
        <is>
          <t>3 · DEPENDENT</t>
        </is>
      </c>
      <c r="F288" s="3" t="inlineStr">
        <is>
          <t>Price the bond's future cash flows at a given annual yield (yearly approximation).</t>
        </is>
      </c>
      <c r="G288" s="11" t="inlineStr">
        <is>
          <t>years = years to maturity(maturity, now)
value   when years = nothing
n = max(1, round(years))
c = annual coupon(b)
pv = 0
[LOOP — the answer is found inside a loop the extractor cannot render; the steps above are the ones before it. Read by hand.]</t>
        </is>
      </c>
      <c r="H288"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8" s="3" t="inlineStr">
        <is>
          <t>PARTLY READ — the body has a loop the extractor cannot render; the steps shown are the ones before it. Needs a hand pass (G23).</t>
        </is>
      </c>
      <c r="J288" s="3" t="inlineStr">
        <is>
          <t>1. b: BondInfo
2. y: number
3. now: Date</t>
        </is>
      </c>
      <c r="K288" s="3" t="inlineStr">
        <is>
          <t>number</t>
        </is>
      </c>
      <c r="L288" s="3" t="inlineStr">
        <is>
          <t>—</t>
        </is>
      </c>
      <c r="M288" s="3" t="inlineStr">
        <is>
          <t>1. Uses a built-in pv of 0.
2. Rounds the answer to a whole number.</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MK-NW-F-069 priceAtYield
2. MK-XS-F-122 n → MK-NW-F-069 priceAtYield
3. MK-NW-F-058 yearsToMaturity → MK-NW-F-069 priceAtYield</t>
        </is>
      </c>
      <c r="S288" s="3" t="inlineStr">
        <is>
          <t>—</t>
        </is>
      </c>
      <c r="T288" s="3" t="inlineStr">
        <is>
          <t>—</t>
        </is>
      </c>
      <c r="U288" s="3" t="inlineStr">
        <is>
          <t>ACTIVE</t>
        </is>
      </c>
      <c r="V288" s="3" t="inlineStr">
        <is>
          <t>2026-09-12</t>
        </is>
      </c>
      <c r="W288" s="3" t="n"/>
      <c r="X288" s="3" t="n"/>
      <c r="Y288" s="3" t="inlineStr">
        <is>
          <t>NOTHING OPEN</t>
        </is>
      </c>
    </row>
    <row r="289" ht="60" customHeight="1">
      <c r="A289" s="3" t="inlineStr">
        <is>
          <t>MK-NW-F-070</t>
        </is>
      </c>
      <c r="B289" s="3" t="inlineStr">
        <is>
          <t>accruedInterestCaveat</t>
        </is>
      </c>
      <c r="C289" s="3" t="inlineStr">
        <is>
          <t>src/domain/bonds/index.ts</t>
        </is>
      </c>
      <c r="D289" s="3" t="n">
        <v>223</v>
      </c>
      <c r="E289" s="3" t="inlineStr">
        <is>
          <t>3 · DEPENDENT</t>
        </is>
      </c>
      <c r="F289" s="3" t="inlineStr">
        <is>
          <t>A47 (founder, 2026-08-26): subtract accrued interest when known; say so when not.</t>
        </is>
      </c>
      <c r="G289" s="11" t="inlineStr">
        <is>
          <t>'accrued interest not entered — the yield uses the price as you entered it'   if accrued interest = nothing
nothing   otherwise</t>
        </is>
      </c>
      <c r="H289" s="3" t="inlineStr">
        <is>
          <t>'accrued interest entered is missing — the yield uses the price as you entered it' — when accrued interest is missing; no answer — otherwise.</t>
        </is>
      </c>
      <c r="I289" s="3" t="inlineStr">
        <is>
          <t>READ FROM THE CODE — rendered from the expressions the function runs</t>
        </is>
      </c>
      <c r="J289" s="3" t="inlineStr">
        <is>
          <t>b: BondInfo</t>
        </is>
      </c>
      <c r="K289" s="3" t="inlineStr">
        <is>
          <t>string | null</t>
        </is>
      </c>
      <c r="L289" s="3" t="inlineStr">
        <is>
          <t>—</t>
        </is>
      </c>
      <c r="M289" s="3" t="inlineStr">
        <is>
          <t>None found in this function — anything it assumes comes from the functions it depends on.</t>
        </is>
      </c>
      <c r="N289" s="3" t="inlineStr">
        <is>
          <t>Yes</t>
        </is>
      </c>
      <c r="O289" s="3" t="inlineStr">
        <is>
          <t>—</t>
        </is>
      </c>
      <c r="P289" s="3" t="n">
        <v>0</v>
      </c>
      <c r="Q289" s="3" t="inlineStr">
        <is>
          <t>None — no dependent function stands behind it</t>
        </is>
      </c>
      <c r="R289" s="3" t="inlineStr">
        <is>
          <t>No dependent function — it reads its inputs and answers</t>
        </is>
      </c>
      <c r="S289" s="3" t="inlineStr">
        <is>
          <t>—</t>
        </is>
      </c>
      <c r="T289" s="3" t="inlineStr">
        <is>
          <t>—</t>
        </is>
      </c>
      <c r="U289" s="3" t="inlineStr">
        <is>
          <t>ACTIVE</t>
        </is>
      </c>
      <c r="V289" s="3" t="inlineStr">
        <is>
          <t>2026-09-27</t>
        </is>
      </c>
      <c r="W289" s="3" t="n"/>
      <c r="X289" s="3" t="n"/>
      <c r="Y289" s="6" t="inlineStr">
        <is>
          <t>TESTED, NOT VERIFIED (A47)</t>
        </is>
      </c>
    </row>
    <row r="290" ht="60" customHeight="1">
      <c r="A290" s="3" t="inlineStr">
        <is>
          <t>MK-NW-F-071</t>
        </is>
      </c>
      <c r="B290" s="3" t="inlineStr">
        <is>
          <t>isCertificateOfDeposit</t>
        </is>
      </c>
      <c r="C290" s="3" t="inlineStr">
        <is>
          <t>MoneyKeel/functions/networth-and-performance/bonds.ts</t>
        </is>
      </c>
      <c r="D290" s="3" t="n">
        <v>53</v>
      </c>
      <c r="E290" s="3" t="inlineStr">
        <is>
          <t>3 · DEPENDENT</t>
        </is>
      </c>
      <c r="F290" s="3" t="inlineStr">
        <is>
          <t>NOT DETERMINED — the code carries no note saying what this is for, and it has no row in the old inventory. Needs reading.</t>
        </is>
      </c>
      <c r="G290" s="11" t="inlineStr">
        <is>
          <t>CD_RE.test(`${label ?? ''} ${institution ?? ''}`)</t>
        </is>
      </c>
      <c r="H290" s="3" t="inlineStr">
        <is>
          <t>CD_RE.test(`${label ?? ''} ${institution ?? ''}`).</t>
        </is>
      </c>
      <c r="I290" s="3" t="inlineStr">
        <is>
          <t>PARTLY READ — some of the code is still showing through; needs a hand pass</t>
        </is>
      </c>
      <c r="J290" s="3" t="inlineStr">
        <is>
          <t>a: Pick&lt;AssetAccount, 'label'&gt; &amp; { institution?: string }</t>
        </is>
      </c>
      <c r="K290" s="3" t="inlineStr">
        <is>
          <t>boolean</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3" t="inlineStr">
        <is>
          <t>NOTHING OPEN</t>
        </is>
      </c>
    </row>
    <row r="291" ht="60" customHeight="1">
      <c r="A291" s="3" t="inlineStr">
        <is>
          <t>MK-NW-F-072</t>
        </is>
      </c>
      <c r="B291" s="3" t="inlineStr">
        <is>
          <t>rowOf</t>
        </is>
      </c>
      <c r="C291" s="3" t="inlineStr">
        <is>
          <t>MoneyKeel/functions/networth-and-performance/bonds.ts</t>
        </is>
      </c>
      <c r="D291" s="3" t="n">
        <v>133</v>
      </c>
      <c r="E291" s="3" t="inlineStr">
        <is>
          <t>3 · DEPENDENT</t>
        </is>
      </c>
      <c r="F291" s="3" t="inlineStr">
        <is>
          <t>NOT DETERMINED — the code carries no note saying what this is for, and it has no row in the old inventory. Needs reading.</t>
        </is>
      </c>
      <c r="G291" s="11" t="inlineStr">
        <is>
          <t>b = bond info(a)</t>
        </is>
      </c>
      <c r="H291" s="3" t="inlineStr">
        <is>
          <t>B is bond info(a).</t>
        </is>
      </c>
      <c r="I291" s="3" t="inlineStr">
        <is>
          <t>READ FROM THE CODE — rendered from the expressions the function runs</t>
        </is>
      </c>
      <c r="J291" s="3" t="inlineStr">
        <is>
          <t>1. a: AssetAccount
2. now: Date</t>
        </is>
      </c>
      <c r="K291" s="3" t="inlineStr">
        <is>
          <t>BondRow</t>
        </is>
      </c>
      <c r="L291" s="3" t="inlineStr">
        <is>
          <t>—</t>
        </is>
      </c>
      <c r="M291" s="3" t="inlineStr">
        <is>
          <t>None found in this function — anything it assumes comes from the functions it depends on.</t>
        </is>
      </c>
      <c r="N291" s="3" t="inlineStr">
        <is>
          <t>Yes</t>
        </is>
      </c>
      <c r="O291" s="3" t="inlineStr">
        <is>
          <t>1. MK-NW-F-070 accruedInterestCaveat
2. MK-NW-F-057 annualCoupon
3. MK-NW-F-060 approxYTM
4. MK-NW-F-056 bondInfo
5. MK-NW-F-059 currentYield
6. MK-NW-F-071 isCertificateOfDeposit
7. MK-NW-F-058 yearsToMaturity</t>
        </is>
      </c>
      <c r="P291" s="3" t="n">
        <v>9</v>
      </c>
      <c r="Q291" s="3" t="inlineStr">
        <is>
          <t>1. MK-NW-F-070 accruedInterestCaveat
2. MK-NW-F-057 annualCoupon
3. MK-NW-F-060 approxYTM
4. MK-NW-F-056 bondInfo
5. MK-NW-F-059 currentYield
6. MK-NW-F-071 isCertificateOfDeposit
7. MK-NW-F-058 yearsToMaturity
8. MK-XS-F-122 n
9. MK-CF-F-155 cash</t>
        </is>
      </c>
      <c r="R291"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MK-NW-F-073</t>
        </is>
      </c>
      <c r="B292" s="3" t="inlineStr">
        <is>
          <t>itemising</t>
        </is>
      </c>
      <c r="C292" s="3" t="inlineStr">
        <is>
          <t>MoneyKeel/functions/networth-and-performance/account.ts</t>
        </is>
      </c>
      <c r="D292" s="3" t="n">
        <v>184</v>
      </c>
      <c r="E292" s="3" t="inlineStr">
        <is>
          <t>2 · DISPLAYED</t>
        </is>
      </c>
      <c r="F292" s="3" t="inlineStr">
        <is>
          <t>NOT DETERMINED — the code carries no note saying what this is for, and it has no row in the old inventory. Needs reading.</t>
        </is>
      </c>
      <c r="G292" s="11" t="inlineStr">
        <is>
          <t>NOT READ YET — the body is not a shape this can render faithfully, so nothing is claimed rather than something being guessed. It needs reading by hand.</t>
        </is>
      </c>
      <c r="H292" s="3" t="inlineStr">
        <is>
          <t>NOT READ YET — the body is not a shape this can render faithfully, so nothing is claimed rather than something being guessed. It needs reading by hand.</t>
        </is>
      </c>
      <c r="I292" s="3" t="inlineStr">
        <is>
          <t>NOT READ — nothing is claimed rather than something guessed</t>
        </is>
      </c>
      <c r="J292" s="3" t="inlineStr">
        <is>
          <t>1. lumpBalance: number
2. items: ItemHolding[]</t>
        </is>
      </c>
      <c r="K292" s="3" t="inlineStr">
        <is>
          <t>Itemising</t>
        </is>
      </c>
      <c r="L292" s="3" t="inlineStr">
        <is>
          <t>NOT FOUND — a screen calls it, but the words printed beside its answer could not be traced automatically. Needs reading.</t>
        </is>
      </c>
      <c r="M292" s="3" t="inlineStr">
        <is>
          <t>None found in this function — anything it assumes comes from the functions it depends on.</t>
        </is>
      </c>
      <c r="N292" s="3" t="inlineStr">
        <is>
          <t>Yes</t>
        </is>
      </c>
      <c r="O292" s="3" t="inlineStr">
        <is>
          <t>1. MK-NW-F-050 itemizeRemainder
2. MK-NW-F-049 itemizedTotal</t>
        </is>
      </c>
      <c r="P292" s="3" t="n">
        <v>2</v>
      </c>
      <c r="Q292" s="3" t="inlineStr">
        <is>
          <t>1. MK-NW-F-050 itemizeRemainder
2. MK-NW-F-049 itemizedTotal</t>
        </is>
      </c>
      <c r="R292" s="3" t="inlineStr">
        <is>
          <t>1. MK-NW-F-049 itemizedTotal → MK-NW-F-050 itemizeRemainder → MK-NW-F-073 itemising
2. MK-NW-F-049 itemizedTotal → MK-NW-F-073 itemising</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MK-NW-F-075</t>
        </is>
      </c>
      <c r="B293" s="3" t="inlineStr">
        <is>
          <t>ACC</t>
        </is>
      </c>
      <c r="C293" s="3" t="inlineStr">
        <is>
          <t>MoneyKeel/functions/networth-and-performance/account.ts</t>
        </is>
      </c>
      <c r="D293" s="3" t="n">
        <v>238</v>
      </c>
      <c r="E293" s="3" t="inlineStr">
        <is>
          <t>1 · ACTION</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Nothing is handed to it</t>
        </is>
      </c>
      <c r="K293" s="3" t="inlineStr">
        <is>
          <t>EXAMPLE_ACCOUNT, transactions: EXAMPLE_LEDGER });</t>
        </is>
      </c>
      <c r="L293" s="3" t="inlineStr">
        <is>
          <t>—</t>
        </is>
      </c>
      <c r="M293" s="3" t="inlineStr">
        <is>
          <t>None found in this function — anything it assumes comes from the functions it depends on.</t>
        </is>
      </c>
      <c r="N293" s="3" t="inlineStr">
        <is>
          <t>No</t>
        </is>
      </c>
      <c r="O293" s="3" t="inlineStr">
        <is>
          <t>1. MK-CF-F-155 cash
2. MK-XS-F-180 declareFigures
3. MK-NW-F-073 itemising
4. MK-PF-F-004 marketValue
5. MK-NW-O-002 theAccount</t>
        </is>
      </c>
      <c r="P293" s="3" t="n">
        <v>22</v>
      </c>
      <c r="Q293" s="3" t="inlineStr">
        <is>
          <t>1. MK-CF-F-155 cash
2. MK-XS-F-180 declareFigures
3. MK-NW-F-073 itemising
4. MK-PF-F-004 marketValue
5. MK-NW-O-002 theAccount
6. MK-XS-F-122 n
7. MK-NW-F-050 itemizeRemainder
8. MK-NW-F-049 itemizedTotal
9. MK-PF-F-031 contractMultiplier
10. MK-PF-F-001 totalShares
11. MK-NW-F-027 accountClassBreakdown
12. MK-CF-F-132 map
13. MK-ST-F-013 personalFlowTotals
14. MK-ST-F-021 toNumber
15. MK-NW-F-011 assetClassOf
16. MK-NW-F-008 incomeBearingClassOf
17. MK-ST-F-010 nameEvidence
18. MK-XS-F-147 call
19. MK-ST-F-056 has
20. MK-ST-F-027 accountId
21. MK-XS-F-064 currentIdToken
22. MK-XS-F-112 relayUrl</t>
        </is>
      </c>
      <c r="R293"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MK-CF-F-155 cash → MK-NW-F-008 incomeBearingClassOf → MK-NW-F-011 assetClassOf → MK-NW-F-027 accountClassBreakdown → MK-NW-O-002 theAccount → MK-NW-F-075 ACC
8. MK-ST-F-010 nameEvidence → MK-NW-F-008 incomeBearingClassOf → MK-NW-F-011 assetClassOf → MK-NW-F-027 accountClassBreakdown → MK-NW-O-002 theAccount → MK-NW-F-075 ACC
9. … and 4 more paths</t>
        </is>
      </c>
      <c r="S293" s="3" t="inlineStr">
        <is>
          <t>—</t>
        </is>
      </c>
      <c r="T293" s="3" t="inlineStr">
        <is>
          <t>—</t>
        </is>
      </c>
      <c r="U293" s="3" t="inlineStr">
        <is>
          <t>ACTIVE</t>
        </is>
      </c>
      <c r="V293" s="3" t="inlineStr">
        <is>
          <t>2026-09-28</t>
        </is>
      </c>
      <c r="W293" s="3" t="n"/>
      <c r="X293" s="3" t="n"/>
      <c r="Y293" s="3" t="inlineStr">
        <is>
          <t>NOTHING OPEN</t>
        </is>
      </c>
    </row>
    <row r="294" ht="60" customHeight="1">
      <c r="A294" s="3" t="inlineStr">
        <is>
          <t>MK-NW-F-076</t>
        </is>
      </c>
      <c r="B294" s="3" t="inlineStr">
        <is>
          <t>ALT</t>
        </is>
      </c>
      <c r="C294" s="3" t="inlineStr">
        <is>
          <t>MoneyKeel/functions/networth-and-performance/alternatives-outlook.ts</t>
        </is>
      </c>
      <c r="D294" s="3" t="n">
        <v>109</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 });</t>
        </is>
      </c>
      <c r="L294" s="3" t="inlineStr">
        <is>
          <t>—</t>
        </is>
      </c>
      <c r="M294" s="3" t="inlineStr">
        <is>
          <t>None found in this function — anything it assumes comes from the functions it depends on.</t>
        </is>
      </c>
      <c r="N294" s="3" t="inlineStr">
        <is>
          <t>No</t>
        </is>
      </c>
      <c r="O294" s="3" t="inlineStr">
        <is>
          <t>1. MK-XS-F-180 declareFigures
2. MK-NW-O-005 theAlternativesOutlook</t>
        </is>
      </c>
      <c r="P294" s="3" t="n">
        <v>22</v>
      </c>
      <c r="Q294" s="3" t="inlineStr">
        <is>
          <t>1. MK-XS-F-180 declareFigures
2. MK-NW-O-005 theAlternativesOutlook
3. MK-NW-F-002 alternativesSummary
4. MK-NW-F-037 blendedReturn
5. MK-NW-F-034 benchmarkReturn
6. MK-NW-F-001 isAlternative
7. MK-NW-F-032 earmarkedAmount
8. MK-NW-F-031 primaryCarIdOf
9. MK-NW-F-007 assetKind
10. MK-NW-F-030 earmarkDefault
11. MK-NW-F-011 assetClassOf
12. MK-CF-F-155 cash
13. MK-NW-F-013 realEstateUseOf
14. MK-NW-F-008 incomeBearingClassOf
15. MK-XS-F-122 n
16. MK-ST-F-010 nameEvidence
17. MK-XS-F-147 call
18. MK-ST-F-056 has
19. MK-CF-F-132 map
20. MK-ST-F-027 accountId
21. MK-XS-F-064 currentIdToken
22. MK-XS-F-112 relayUrl</t>
        </is>
      </c>
      <c r="R294"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MK-NW-F-011 assetClassOf → MK-NW-F-007 assetKind → MK-NW-F-034 benchmarkReturn → MK-NW-F-037 blendedReturn → MK-NW-O-005 theAlternativesOutlook → MK-NW-F-076 ALT
6. MK-CF-F-155 cash → MK-NW-F-007 assetKind → MK-NW-F-034 benchmarkReturn → MK-NW-F-037 blendedReturn → MK-NW-O-005 theAlternativesOutlook → MK-NW-F-076 ALT
7. MK-NW-F-011 assetClassOf → MK-NW-F-030 earmarkDefault → MK-NW-F-032 earmarkedAmount → MK-NW-F-037 blendedReturn → MK-NW-O-005 theAlternativesOutlook → MK-NW-F-076 ALT
8. MK-NW-F-013 realEstateUseOf → MK-NW-F-030 earmarkDefault → MK-NW-F-032 earmarkedAmount → MK-NW-F-037 blendedReturn → MK-NW-O-005 theAlternativesOutlook → MK-NW-F-076 ALT
9. … and 1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MK-NW-F-077</t>
        </is>
      </c>
      <c r="B295" s="3" t="inlineStr">
        <is>
          <t>ALL</t>
        </is>
      </c>
      <c r="C295" s="3" t="inlineStr">
        <is>
          <t>MoneyKeel/functions/networth-and-performance/bonds.ts</t>
        </is>
      </c>
      <c r="D295" s="3" t="n">
        <v>321</v>
      </c>
      <c r="E295" s="3" t="inlineStr">
        <is>
          <t>1 · ACTION</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today: TODAY });</t>
        </is>
      </c>
      <c r="L295" s="3" t="inlineStr">
        <is>
          <t>—</t>
        </is>
      </c>
      <c r="M295" s="3" t="inlineStr">
        <is>
          <t>None found in this function — anything it assumes comes from the functions it depends on.</t>
        </is>
      </c>
      <c r="N295" s="3" t="inlineStr">
        <is>
          <t>Yes</t>
        </is>
      </c>
      <c r="O295" s="3" t="inlineStr">
        <is>
          <t>MK-NW-O-001 theBonds</t>
        </is>
      </c>
      <c r="P295" s="3" t="n">
        <v>24</v>
      </c>
      <c r="Q295"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5"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5" s="3" t="inlineStr">
        <is>
          <t>—</t>
        </is>
      </c>
      <c r="T295" s="3" t="inlineStr">
        <is>
          <t>—</t>
        </is>
      </c>
      <c r="U295" s="3" t="inlineStr">
        <is>
          <t>ACTIVE</t>
        </is>
      </c>
      <c r="V295" s="3" t="inlineStr">
        <is>
          <t>2026-09-28</t>
        </is>
      </c>
      <c r="W295" s="3" t="n"/>
      <c r="X295" s="3" t="n"/>
      <c r="Y295" s="3" t="inlineStr">
        <is>
          <t>NOTHING OPEN</t>
        </is>
      </c>
    </row>
    <row r="296" ht="60" customHeight="1">
      <c r="A296" s="3" t="inlineStr">
        <is>
          <t>MK-NW-F-078</t>
        </is>
      </c>
      <c r="B296" s="3" t="inlineStr">
        <is>
          <t>ONE</t>
        </is>
      </c>
      <c r="C296" s="3" t="inlineStr">
        <is>
          <t>MoneyKeel/functions/networth-and-performance/bonds.ts</t>
        </is>
      </c>
      <c r="D296" s="3" t="n">
        <v>355</v>
      </c>
      <c r="E296" s="3" t="inlineStr">
        <is>
          <t>2 · DISPLAYED</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accountId: 'b1', today: TODAY }).one!;</t>
        </is>
      </c>
      <c r="L296" s="3" t="inlineStr">
        <is>
          <t>NOT FOUND — a screen calls it, but the words printed beside its answer could not be traced automatically. Needs reading.</t>
        </is>
      </c>
      <c r="M296" s="3" t="inlineStr">
        <is>
          <t>1. If current yield is missing it uses 0.
2. If years left is missing it uses 0.
3. Shows 2 decimal places.
4. Shows 1 decimal place.</t>
        </is>
      </c>
      <c r="N296" s="3" t="inlineStr">
        <is>
          <t>Yes</t>
        </is>
      </c>
      <c r="O296" s="3" t="inlineStr">
        <is>
          <t>1. MK-NW-F-077 ALL
2. MK-NW-F-059 currentYield
3. MK-XS-F-180 declareFigures
4. MK-ST-F-049 formatMoney
5. MK-NW-O-001 theBonds</t>
        </is>
      </c>
      <c r="P296" s="3" t="n">
        <v>30</v>
      </c>
      <c r="Q296" s="3" t="inlineStr">
        <is>
          <t>1. MK-NW-F-077 ALL
2. MK-NW-F-059 currentYield
3. MK-XS-F-180 declareFigures
4. MK-ST-F-049 formatMoney
5. MK-NW-O-001 theBonds
6. MK-NW-F-057 annualCoupon
7. MK-ST-F-048 currencySymbol
8. MK-XS-F-122 n
9. MK-ST-F-039 on
10. MK-ST-F-027 accountId
11. MK-NW-F-056 bondInfo
12. MK-NW-F-064 bondRateSensitivity
13. MK-NW-F-061 bondSummary
14. MK-NW-F-055 isBond
15. MK-CF-F-132 map
16. MK-NW-F-072 rowOf
17. MK-ST-F-047 activeCurrency
18. MK-CF-F-155 cash
19. MK-NW-F-060 approxYTM
20. MK-NW-F-069 priceAtYield
21. MK-NW-F-011 assetClassOf
22. MK-NW-F-070 accruedInterestCaveat
23. MK-NW-F-071 isCertificateOfDeposit
24. MK-NW-F-058 yearsToMaturity
25. MK-NW-F-008 incomeBearingClassOf
26. MK-ST-F-010 nameEvidence
27. MK-XS-F-147 call
28. MK-ST-F-056 has
29. MK-XS-F-064 currentIdToken
30. MK-XS-F-112 relayUrl</t>
        </is>
      </c>
      <c r="R296"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MK-NW-F-079</t>
        </is>
      </c>
      <c r="B297" s="3" t="inlineStr">
        <is>
          <t>EF</t>
        </is>
      </c>
      <c r="C297" s="3" t="inlineStr">
        <is>
          <t>MoneyKeel/functions/networth-and-performance/emergency-fund.ts</t>
        </is>
      </c>
      <c r="D297" s="3" t="n">
        <v>279</v>
      </c>
      <c r="E297" s="3" t="inlineStr">
        <is>
          <t>1 · ACTION</t>
        </is>
      </c>
      <c r="F297" s="3" t="inlineStr">
        <is>
          <t>NOT DETERMINED — the code carries no note saying what this is for, and it has no row in the old inventory. Needs reading.</t>
        </is>
      </c>
      <c r="G297" s="11" t="inlineStr">
        <is>
          <t>the emergency fund(EXAMPLE)</t>
        </is>
      </c>
      <c r="H297" s="3" t="inlineStr">
        <is>
          <t>the emergency fund(EXAMPLE)</t>
        </is>
      </c>
      <c r="I297" s="3" t="inlineStr">
        <is>
          <t>READ FROM THE CODE — rendered from the expressions the function runs</t>
        </is>
      </c>
      <c r="J297" s="3" t="inlineStr">
        <is>
          <t>Nothing is handed to it</t>
        </is>
      </c>
      <c r="K297" s="3" t="inlineStr">
        <is>
          <t>NOT DECLARED — the code does not say what it gives back</t>
        </is>
      </c>
      <c r="L297" s="3" t="inlineStr">
        <is>
          <t>—</t>
        </is>
      </c>
      <c r="M297" s="3" t="inlineStr">
        <is>
          <t>1. Rounds the answer to 1 decimal place.
2. Shows 1 decimal place.</t>
        </is>
      </c>
      <c r="N297" s="3" t="inlineStr">
        <is>
          <t>No</t>
        </is>
      </c>
      <c r="O297" s="3" t="inlineStr">
        <is>
          <t>1. MK-CF-F-155 cash
2. MK-XS-F-180 declareFigures
3. MK-CF-F-190 essentialsMonthly
4. MK-ST-F-049 formatMoney
5. MK-NW-O-004 theEmergencyFund</t>
        </is>
      </c>
      <c r="P297" s="3" t="n">
        <v>109</v>
      </c>
      <c r="Q297"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MK-NW-O-001 theBonds
98. MK-CF-F-193 inflowSourceWord
99. MK-NW-F-057 annualCoupon
100. MK-NW-F-056 bondInfo
101. MK-NW-F-064 bondRateSensitivity
102. MK-NW-F-061 bondSummary
103. MK-NW-F-055 isBond
104. MK-NW-F-072 rowOf
105. MK-NW-F-060 approxYTM
106. MK-NW-F-069 priceAtYield
107. MK-NW-F-070 accruedInterestCaveat
108. MK-NW-F-071 isCertificateOfDeposit
109. MK-NW-F-058 yearsToMaturity</t>
        </is>
      </c>
      <c r="R297"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MK-NW-F-080</t>
        </is>
      </c>
      <c r="B298" s="3" t="inlineStr">
        <is>
          <t>HOLD</t>
        </is>
      </c>
      <c r="C298" s="3" t="inlineStr">
        <is>
          <t>MoneyKeel/functions/networth-and-performance/holding.ts</t>
        </is>
      </c>
      <c r="D298" s="3" t="n">
        <v>210</v>
      </c>
      <c r="E298" s="3" t="inlineStr">
        <is>
          <t>1 · ACTION</t>
        </is>
      </c>
      <c r="F298" s="3" t="inlineStr">
        <is>
          <t>NOT DETERMINED — the code carries no note saying what this is for, and it has no row in the old inventory. Needs reading.</t>
        </is>
      </c>
      <c r="G298" s="11" t="inlineStr">
        <is>
          <t>NOT READ YET — the body is not a shape this can render faithfully, so nothing is claimed rather than something being guessed. It needs reading by hand.</t>
        </is>
      </c>
      <c r="H298" s="3" t="inlineStr">
        <is>
          <t>NOT READ YET — the body is not a shape this can render faithfully, so nothing is claimed rather than something being guessed. It needs reading by hand.</t>
        </is>
      </c>
      <c r="I298" s="3" t="inlineStr">
        <is>
          <t>NOT READ — nothing is claimed rather than something guessed</t>
        </is>
      </c>
      <c r="J298" s="3" t="inlineStr">
        <is>
          <t>Nothing is handed to it</t>
        </is>
      </c>
      <c r="K298" s="3" t="inlineStr">
        <is>
          <t>EXAMPLE_POSITION, accountId: 'a2', price: 290,</t>
        </is>
      </c>
      <c r="L298" s="3" t="inlineStr">
        <is>
          <t>—</t>
        </is>
      </c>
      <c r="M298" s="3" t="inlineStr">
        <is>
          <t>None found in this function — anything it assumes comes from the functions it depends on.</t>
        </is>
      </c>
      <c r="N298" s="3" t="inlineStr">
        <is>
          <t>No</t>
        </is>
      </c>
      <c r="O298" s="3" t="inlineStr">
        <is>
          <t>1. MK-XS-F-180 declareFigures
2. MK-NW-O-006 theHolding</t>
        </is>
      </c>
      <c r="P298" s="3" t="n">
        <v>9</v>
      </c>
      <c r="Q298" s="3" t="inlineStr">
        <is>
          <t>1. MK-XS-F-180 declareFigures
2. MK-NW-O-006 theHolding
3. MK-PF-F-006 capGains
4. MK-PF-F-002 costBasis
5. MK-PF-F-004 marketValue
6. MK-PF-F-028 realizedFromLedger
7. MK-PF-F-001 totalShares
8. MK-XS-F-122 n
9. MK-PF-F-031 contractMultiplier</t>
        </is>
      </c>
      <c r="R298" s="3" t="inlineStr">
        <is>
          <t>1. MK-XS-F-180 declareFigures → MK-NW-F-080 HOLD
2. MK-XS-F-122 n → MK-PF-F-006 capGains → MK-NW-O-006 theHolding → MK-NW-F-080 HOLD
3. MK-PF-F-031 contractMultiplier → MK-PF-F-002 costBasis → MK-NW-O-006 theHolding → MK-NW-F-080 HOLD
4. MK-PF-F-031 contractMultiplier → MK-PF-F-004 marketValue → MK-NW-O-006 theHolding → MK-NW-F-080 HOLD
5. MK-PF-F-001 totalShares → MK-PF-F-004 marketValue → MK-NW-O-006 theHolding → MK-NW-F-080 HOLD
6. MK-PF-F-028 realizedFromLedger → MK-NW-O-006 theHolding → MK-NW-F-080 HOLD
7. MK-PF-F-001 totalShares → MK-NW-O-006 theHolding → MK-NW-F-080 HOLD</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MK-NW-F-081</t>
        </is>
      </c>
      <c r="B299" s="3" t="inlineStr">
        <is>
          <t>LB</t>
        </is>
      </c>
      <c r="C299" s="3" t="inlineStr">
        <is>
          <t>MoneyKeel/functions/networth-and-performance/look-back.ts</t>
        </is>
      </c>
      <c r="D299" s="3" t="n">
        <v>110</v>
      </c>
      <c r="E299" s="3" t="inlineStr">
        <is>
          <t>1 · ACTION</t>
        </is>
      </c>
      <c r="F299" s="3" t="inlineStr">
        <is>
          <t>NOT DETERMINED — the code carries no note saying what this is for, and it has no row in the old inventory. Needs reading.</t>
        </is>
      </c>
      <c r="G299" s="11" t="inlineStr">
        <is>
          <t>the look back(EXAMPLE)!</t>
        </is>
      </c>
      <c r="H299" s="3" t="inlineStr">
        <is>
          <t>the look back(EXAMPLE)!</t>
        </is>
      </c>
      <c r="I299" s="3" t="inlineStr">
        <is>
          <t>READ FROM THE CODE — rendered from the expressions the function runs</t>
        </is>
      </c>
      <c r="J299" s="3" t="inlineStr">
        <is>
          <t>Nothing is handed to it</t>
        </is>
      </c>
      <c r="K299" s="3" t="inlineStr">
        <is>
          <t>NOT DECLARED — the code does not say what it gives back</t>
        </is>
      </c>
      <c r="L299" s="3" t="inlineStr">
        <is>
          <t>—</t>
        </is>
      </c>
      <c r="M299" s="3" t="inlineStr">
        <is>
          <t>None found in this function — anything it assumes comes from the functions it depends on.</t>
        </is>
      </c>
      <c r="N299" s="3" t="inlineStr">
        <is>
          <t>No</t>
        </is>
      </c>
      <c r="O299" s="3" t="inlineStr">
        <is>
          <t>1. MK-XS-F-180 declareFigures
2. MK-ST-F-049 formatMoney
3. MK-NW-O-007 theLookBack</t>
        </is>
      </c>
      <c r="P299" s="3" t="n">
        <v>10</v>
      </c>
      <c r="Q299" s="3" t="inlineStr">
        <is>
          <t>1. MK-XS-F-180 declareFigures
2. MK-ST-F-049 formatMoney
3. MK-NW-O-007 theLookBack
4. MK-ST-F-048 currencySymbol
5. MK-XS-F-122 n
6. MK-ST-F-039 on
7. MK-PF-F-023 lookBack
8. MK-ST-F-047 activeCurrency
9. MK-PF-F-022 factorOverMonths
10. MK-ST-F-065 isoLocalDate</t>
        </is>
      </c>
      <c r="R299"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MK-NW-F-082</t>
        </is>
      </c>
      <c r="B300" s="3" t="inlineStr">
        <is>
          <t>NW</t>
        </is>
      </c>
      <c r="C300" s="3" t="inlineStr">
        <is>
          <t>MoneyKeel/functions/networth-and-performance/net-worth.ts</t>
        </is>
      </c>
      <c r="D300" s="3" t="n">
        <v>335</v>
      </c>
      <c r="E300" s="3" t="inlineStr">
        <is>
          <t>1 · ACTION</t>
        </is>
      </c>
      <c r="F300" s="3" t="inlineStr">
        <is>
          <t>NOT DETERMINED — the code carries no note saying what this is for, and it has no row in the old inventory. Needs reading.</t>
        </is>
      </c>
      <c r="G300" s="11" t="inlineStr">
        <is>
          <t>the net worth(EXAMPLE)</t>
        </is>
      </c>
      <c r="H300" s="3" t="inlineStr">
        <is>
          <t>the net worth(EXAMPLE)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Yes</t>
        </is>
      </c>
      <c r="O300" s="3" t="inlineStr">
        <is>
          <t>1. MK-NW-F-097 LEDGER
2. MK-NW-O-003 theNetWorth</t>
        </is>
      </c>
      <c r="P300" s="3" t="n">
        <v>199</v>
      </c>
      <c r="Q300"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MK-NW-O-001 theBonds
25. MK-NW-F-027 accountClassBreakdown
26. MK-NW-F-011 assetClassOf
27. MK-CF-F-026 actualDebtPayment
28. MK-CF-F-025 minimumDebtService
29. MK-NW-F-014 isRealAsset
30. MK-NW-F-066 sumWhere
31. MK-NW-F-015 totalAssets
32. MK-CF-F-022 paymentShape
33. MK-XS-F-009 readHistory
34. MK-ST-F-027 accountId
35. MK-CF-F-111 applyTransaction
36. MK-NW-F-040 assetsFromOnboarding
37. MK-PF-F-013 benchmarkTicker
38. MK-ST-F-028 buildDayFromAccounts
39. MK-PF-F-034 closeOnOrBefore
40. MK-CF-F-186 convertTakeHomeMode
41. MK-CF-F-038 debtsFromOnboarding
42. MK-XS-F-083 fetchPriceSeries
43. MK-PL-F-013 goalsFromOnboarding
44. MK-ST-F-056 has
45. MK-CF-F-116 inverseOf
46. MK-ST-F-065 isoLocalDate
47. MK-CF-F-112 makeTransaction
48. MK-XS-F-122 n
49. MK-ST-F-043 newEntityId
50. MK-XS-F-006 pruneDaily
51. MK-ST-F-073 rebuildDays
52. MK-NW-F-054 reclassifyAccounts
53. MK-XS-F-174 recomputeBalances
54. MK-CF-F-115 restoreUndo
55. MK-CF-F-109 reviewTransactions
56. MK-ST-F-044 setMoneyFormat
57. MK-CF-F-114 undoSnapshot
58. MK-CF-F-191 ym
59. MK-NW-F-057 annualCoupon
60. MK-ST-F-048 currencySymbol
61. MK-NW-F-056 bondInfo
62. MK-NW-F-064 bondRateSensitivity
63. MK-NW-F-061 bondSummary
64. MK-NW-F-055 isBond
65. MK-NW-F-072 rowOf
66. MK-CF-F-155 cash
67. MK-NW-F-008 incomeBearingClassOf
68. MK-CF-F-024 totalDebtMonthly
69. MK-CF-F-021 defaultPaymentType
70. MK-XS-F-008 normalizeSnapshot
71. MK-CF-F-138 addLot
72. MK-CF-F-136 bumpCash
73. MK-CF-F-137 findPos
74. MK-CF-F-139 removeShares
75. MK-PF-F-001 totalShares
76. MK-ST-F-052 toNum
77. MK-ST-F-053 money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MK-CF-O-004 incomeSummary
120. MK-CF-F-100 taxableIncomeFor
121. MK-ST-F-034 firstDate
122. MK-CF-F-075 retirementIncomeMonthly
123. MK-XS-F-064 currentIdToken
124. MK-XS-F-112 relayUrl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MK-CF-F-066 rsuAnnual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MK-CF-F-143 annualisedGross
161. MK-CF-F-145 deductionsFromPay
162. MK-CF-F-128 grossByMonth
163. MK-CF-F-146 payFiguresAgree
164. MK-CF-F-144 takeHomeAsEntered
165. MK-CF-F-203 MONTH
166. MK-HM-F-005 pctTxt
167. MK-CF-F-062 equityRowValue
168. MK-CF-F-176 sumMonthsOverEarners
169. MK-CF-F-177 wageGrossByMonth
170. MK-CF-F-090 effectiveRate
171. MK-CF-F-098 progressiveMonthlyTax
172. MK-CF-F-063 rowVestYear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00"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MK-NW-F-083</t>
        </is>
      </c>
      <c r="B301" s="3" t="inlineStr">
        <is>
          <t>PERF</t>
        </is>
      </c>
      <c r="C301" s="3" t="inlineStr">
        <is>
          <t>MoneyKeel/functions/networth-and-performance/performance.ts</t>
        </is>
      </c>
      <c r="D301" s="3" t="n">
        <v>622</v>
      </c>
      <c r="E301" s="3" t="inlineStr">
        <is>
          <t>1 · ACTION</t>
        </is>
      </c>
      <c r="F301" s="3" t="inlineStr">
        <is>
          <t>NOT DETERMINED — the code carries no note saying what this is for, and it has no row in the old inventory. Needs reading.</t>
        </is>
      </c>
      <c r="G301" s="11" t="inlineStr">
        <is>
          <t>the performance(EXAMPLE)</t>
        </is>
      </c>
      <c r="H301" s="3" t="inlineStr">
        <is>
          <t>the performance(EXAMPLE)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No</t>
        </is>
      </c>
      <c r="O301" s="3" t="inlineStr">
        <is>
          <t>MK-NW-O-008 thePerformance</t>
        </is>
      </c>
      <c r="P301" s="3" t="n">
        <v>48</v>
      </c>
      <c r="Q30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1"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1" s="3" t="inlineStr">
        <is>
          <t>—</t>
        </is>
      </c>
      <c r="T301" s="3" t="inlineStr">
        <is>
          <t>—</t>
        </is>
      </c>
      <c r="U301" s="3" t="inlineStr">
        <is>
          <t>ACTIVE</t>
        </is>
      </c>
      <c r="V301" s="3" t="inlineStr">
        <is>
          <t>2026-09-30</t>
        </is>
      </c>
      <c r="W301" s="3" t="n"/>
      <c r="X301" s="3" t="n"/>
      <c r="Y301" s="3" t="inlineStr">
        <is>
          <t>NOTHING OPEN</t>
        </is>
      </c>
    </row>
    <row r="302" ht="60" customHeight="1">
      <c r="A302" s="3" t="inlineStr">
        <is>
          <t>MK-NW-F-084</t>
        </is>
      </c>
      <c r="B302" s="3" t="inlineStr">
        <is>
          <t>categoryEarnings</t>
        </is>
      </c>
      <c r="C302" s="3" t="inlineStr">
        <is>
          <t>MoneyKeel/functions/networth-and-performance/performance.ts</t>
        </is>
      </c>
      <c r="D302" s="3" t="n">
        <v>487</v>
      </c>
      <c r="E302" s="3" t="inlineStr">
        <is>
          <t>2 · DISPLAYED</t>
        </is>
      </c>
      <c r="F302" s="3" t="inlineStr">
        <is>
          <t>NOT DETERMINED — the code carries no note saying what this is for, and it has no row in the old inventory. Needs reading.</t>
        </is>
      </c>
      <c r="G302"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2"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2" s="3" t="inlineStr">
        <is>
          <t>PARTLY READ — some of the code is still showing through; needs a hand pass</t>
        </is>
      </c>
      <c r="J302" s="3" t="inlineStr">
        <is>
          <t>Nothing is handed to it</t>
        </is>
      </c>
      <c r="K302" s="3" t="inlineStr">
        <is>
          <t>NOT DECLARED — the code does not say what it gives back</t>
        </is>
      </c>
      <c r="L302" s="3" t="inlineStr">
        <is>
          <t>NOT FOUND — a screen calls it, but the words printed beside its answer could not be traced automatically. Needs reading.</t>
        </is>
      </c>
      <c r="M302" s="3" t="inlineStr">
        <is>
          <t>· If market value is missing it uses 0.</t>
        </is>
      </c>
      <c r="N302" s="3" t="inlineStr">
        <is>
          <t>Yes</t>
        </is>
      </c>
      <c r="O302" s="3" t="inlineStr">
        <is>
          <t>1. MK-CF-F-155 cash
2. MK-ST-F-030 record</t>
        </is>
      </c>
      <c r="P302" s="3" t="n">
        <v>3</v>
      </c>
      <c r="Q302" s="3" t="inlineStr">
        <is>
          <t>1. MK-CF-F-155 cash
2. MK-ST-F-030 record
3. MK-XS-F-122 n</t>
        </is>
      </c>
      <c r="R302" s="3" t="inlineStr">
        <is>
          <t>1. MK-XS-F-122 n → MK-CF-F-155 cash → MK-NW-F-084 categoryEarnings
2. MK-ST-F-030 record → MK-NW-F-084 categoryEarnings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MK-NW-F-085</t>
        </is>
      </c>
      <c r="B303" s="3" t="inlineStr">
        <is>
          <t>PERF_ONE</t>
        </is>
      </c>
      <c r="C303" s="3" t="inlineStr">
        <is>
          <t>MoneyKeel/functions/networth-and-performance/performance.ts</t>
        </is>
      </c>
      <c r="D303" s="3" t="n">
        <v>649</v>
      </c>
      <c r="E303" s="3" t="inlineStr">
        <is>
          <t>1 · ACTION</t>
        </is>
      </c>
      <c r="F303" s="3" t="inlineStr">
        <is>
          <t>PER ACCOUNT (Performance pass 1, 2026-09-30).</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ids: string[]</t>
        </is>
      </c>
      <c r="K303" s="3" t="inlineStr">
        <is>
          <t>new Set(ids) });</t>
        </is>
      </c>
      <c r="L303" s="3" t="inlineStr">
        <is>
          <t>—</t>
        </is>
      </c>
      <c r="M303" s="3" t="inlineStr">
        <is>
          <t>None found in this function — anything it assumes comes from the functions it depends on.</t>
        </is>
      </c>
      <c r="N303" s="3" t="inlineStr">
        <is>
          <t>No</t>
        </is>
      </c>
      <c r="O303" s="3" t="inlineStr">
        <is>
          <t>MK-NW-O-008 thePerformance</t>
        </is>
      </c>
      <c r="P303" s="3" t="n">
        <v>48</v>
      </c>
      <c r="Q303"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3"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MK-NW-F-086</t>
        </is>
      </c>
      <c r="B304" s="3" t="inlineStr">
        <is>
          <t>CATS</t>
        </is>
      </c>
      <c r="C304" s="3" t="inlineStr">
        <is>
          <t>MoneyKeel/functions/networth-and-performance/performance.ts</t>
        </is>
      </c>
      <c r="D304" s="3" t="n">
        <v>695</v>
      </c>
      <c r="E304" s="3" t="inlineStr">
        <is>
          <t>1 · ACTION</t>
        </is>
      </c>
      <c r="F304" s="3" t="inlineStr">
        <is>
          <t>NOT DETERMINED — the code carries no note saying what this is for, and it has no row in the old inventory. Needs reading.</t>
        </is>
      </c>
      <c r="G304" s="11" t="inlineStr">
        <is>
          <t>category earnings(CAT_EXAMPLE)</t>
        </is>
      </c>
      <c r="H304" s="3" t="inlineStr">
        <is>
          <t>category earnings(CAT_EXAMPLE)</t>
        </is>
      </c>
      <c r="I304" s="3" t="inlineStr">
        <is>
          <t>READ FROM THE CODE — rendered from the expressions the function runs</t>
        </is>
      </c>
      <c r="J304" s="3" t="inlineStr">
        <is>
          <t>Nothing is handed to it</t>
        </is>
      </c>
      <c r="K304" s="3" t="inlineStr">
        <is>
          <t>NOT DECLARED — the code does not say what it gives back</t>
        </is>
      </c>
      <c r="L304" s="3" t="inlineStr">
        <is>
          <t>—</t>
        </is>
      </c>
      <c r="M304" s="3" t="inlineStr">
        <is>
          <t>None found in this function — anything it assumes comes from the functions it depends on.</t>
        </is>
      </c>
      <c r="N304" s="3" t="inlineStr">
        <is>
          <t>No</t>
        </is>
      </c>
      <c r="O304" s="3" t="inlineStr">
        <is>
          <t>MK-NW-F-084 categoryEarnings</t>
        </is>
      </c>
      <c r="P304" s="3" t="n">
        <v>4</v>
      </c>
      <c r="Q304" s="3" t="inlineStr">
        <is>
          <t>1. MK-NW-F-084 categoryEarnings
2. MK-CF-F-155 cash
3. MK-ST-F-030 record
4. MK-XS-F-122 n</t>
        </is>
      </c>
      <c r="R304" s="3" t="inlineStr">
        <is>
          <t>1. MK-XS-F-122 n → MK-CF-F-155 cash → MK-NW-F-084 categoryEarnings → MK-NW-F-086 CATS
2. MK-ST-F-030 record → MK-NW-F-084 categoryEarnings → MK-NW-F-086 CATS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MK-NW-F-087</t>
        </is>
      </c>
      <c r="B305" s="3" t="inlineStr">
        <is>
          <t>CAT</t>
        </is>
      </c>
      <c r="C305" s="3" t="inlineStr">
        <is>
          <t>MoneyKeel/functions/networth-and-performance/performance.ts</t>
        </is>
      </c>
      <c r="D305" s="3" t="n">
        <v>715</v>
      </c>
      <c r="E305" s="3" t="inlineStr">
        <is>
          <t>1 · ACTION</t>
        </is>
      </c>
      <c r="F305" s="3" t="inlineStr">
        <is>
          <t>NOT DETERMINED — the code carries no note saying what this is for, and it has no row in the old inventory. Needs reading.</t>
        </is>
      </c>
      <c r="G305" s="11" t="inlineStr">
        <is>
          <t>CATS().find((c) =&gt; key = key)</t>
        </is>
      </c>
      <c r="H305" s="3" t="inlineStr">
        <is>
          <t>CATS().find((c) =&gt; key = key)</t>
        </is>
      </c>
      <c r="I305" s="3" t="inlineStr">
        <is>
          <t>PARTLY READ — some of the code is still showing through; needs a hand pass</t>
        </is>
      </c>
      <c r="J305" s="3" t="inlineStr">
        <is>
          <t>key: string</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MK-NW-F-086 CATS</t>
        </is>
      </c>
      <c r="P305" s="3" t="n">
        <v>5</v>
      </c>
      <c r="Q305" s="3" t="inlineStr">
        <is>
          <t>1. MK-NW-F-086 CATS
2. MK-NW-F-084 categoryEarnings
3. MK-CF-F-155 cash
4. MK-ST-F-030 record
5. MK-XS-F-122 n</t>
        </is>
      </c>
      <c r="R305" s="3" t="inlineStr">
        <is>
          <t>1. MK-XS-F-122 n → MK-CF-F-155 cash → MK-NW-F-084 categoryEarnings → MK-NW-F-086 CATS → MK-NW-F-087 CAT
2. MK-ST-F-030 record → MK-NW-F-084 categoryEarnings → MK-NW-F-086 CATS → MK-NW-F-087 CAT</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MK-NW-F-088</t>
        </is>
      </c>
      <c r="B306" s="3" t="inlineStr">
        <is>
          <t>BENCH</t>
        </is>
      </c>
      <c r="C306" s="3" t="inlineStr">
        <is>
          <t>MoneyKeel/functions/networth-and-performance/performance.ts</t>
        </is>
      </c>
      <c r="D306" s="3" t="n">
        <v>742</v>
      </c>
      <c r="E306" s="3" t="inlineStr">
        <is>
          <t>3 · DEPENDENT (feeds an action only)</t>
        </is>
      </c>
      <c r="F306" s="3" t="inlineStr">
        <is>
          <t>NOT DETERMINED — the code carries no note saying what this is for, and it has no row in the old inventory. Needs reading.</t>
        </is>
      </c>
      <c r="G306" s="11" t="inlineStr">
        <is>
          <t>portfolio bench return([</t>
        </is>
      </c>
      <c r="H306" s="3" t="inlineStr">
        <is>
          <t>portfolio bench return([</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1. MK-NW-F-087 CAT
2. MK-NW-F-083 PERF
3. MK-NW-F-085 PERF_ONE
4. MK-NW-F-093 QUIET_PERF
5. MK-XS-F-180 declareFigures
6. MK-ST-F-049 formatMoney
7. MK-PF-F-020 portfolioBenchReturn</t>
        </is>
      </c>
      <c r="P306" s="3" t="n">
        <v>58</v>
      </c>
      <c r="Q306" s="3" t="inlineStr">
        <is>
          <t>1. MK-NW-F-087 CAT
2. MK-NW-F-083 PERF
3. MK-NW-F-085 PERF_ONE
4. MK-NW-F-093 QUIET_PERF
5. MK-XS-F-180 declareFigures
6. MK-ST-F-049 formatMoney
7. MK-PF-F-020 portfolioBenchReturn
8. MK-NW-F-086 CATS
9. MK-NW-O-008 thePerformance
10. MK-ST-F-048 currencySymbol
11. MK-XS-F-122 n
12. MK-ST-F-039 on
13. MK-PF-F-004 marketValue
14. MK-NW-F-084 categoryEarnings
15. MK-XS-F-011 buildChangeWalk
16. MK-CF-F-132 map
17. MK-ST-F-064 modifiedDietzOverWindow
18. MK-ST-F-013 personalFlowTotals
19. MK-NW-F-102 rateWhereItRefuses
20. MK-ST-F-030 record
21. MK-ST-F-021 toNumber
22. MK-ST-F-031 valueOn
23. MK-ST-F-038 windowBounds
24. MK-ST-F-047 activeCurrency
25. MK-PF-F-031 contractMultiplier
26. MK-PF-F-001 totalShares
27. MK-CF-F-155 cash
28. MK-ST-F-053 money
29. MK-ST-F-062 toUtc
30. MK-NW-F-078 ONE
31. MK-PF-F-026 moneyWeightedReturn
32. MK-ST-F-027 accountId
33. MK-ST-F-056 has
34. MK-ST-F-033 onOrBefore
35. MK-ST-F-063 shiftDay
36. MK-NW-F-077 ALL
37. MK-NW-F-059 currentYield
38. MK-NW-O-001 theBonds
39. MK-PF-F-025 historyIsComplete
40. MK-PF-F-030 npv
41. MK-PF-F-024 userFlows
42. MK-NW-F-057 annualCoupon
43. MK-NW-F-056 bondInfo
44. MK-NW-F-064 bondRateSensitivity
45. MK-NW-F-061 bondSummary
46. MK-NW-F-055 isBond
47. MK-NW-F-072 rowOf
48. MK-NW-F-060 approxYTM
49. MK-NW-F-069 priceAtYield
50. MK-NW-F-011 assetClassOf
51. MK-NW-F-070 accruedInterestCaveat
52. MK-NW-F-071 isCertificateOfDeposit
53. MK-NW-F-058 yearsToMaturity
54. MK-NW-F-008 incomeBearingClassOf
55. MK-ST-F-010 nameEvidence
56. MK-XS-F-147 call
57. MK-XS-F-064 currentIdToken
58. MK-XS-F-112 relayUrl</t>
        </is>
      </c>
      <c r="R306"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MK-NW-F-090</t>
        </is>
      </c>
      <c r="B307" s="3" t="inlineStr">
        <is>
          <t>windowStartKey</t>
        </is>
      </c>
      <c r="C307" s="3" t="inlineStr">
        <is>
          <t>MoneyKeel/functions/networth-and-performance/performance.ts</t>
        </is>
      </c>
      <c r="D307" s="3" t="n">
        <v>109</v>
      </c>
      <c r="E307" s="3" t="inlineStr">
        <is>
          <t>2 · DISPLAYED</t>
        </is>
      </c>
      <c r="F307" s="3" t="inlineStr">
        <is>
          <t>MK-NW-F-090 · The first day of a window.</t>
        </is>
      </c>
      <c r="G307"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7"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7" s="3" t="inlineStr">
        <is>
          <t>PARTLY READ — some of the code is still showing through; needs a hand pass</t>
        </is>
      </c>
      <c r="J307" s="3" t="inlineStr">
        <is>
          <t>1. period: string
2. recordDates: string[]
3. today: string</t>
        </is>
      </c>
      <c r="K307" s="3" t="inlineStr">
        <is>
          <t>string</t>
        </is>
      </c>
      <c r="L307" s="3" t="inlineStr">
        <is>
          <t>NOT FOUND — a screen calls it, but the words printed beside its answer could not be traced automatically. Needs reading.</t>
        </is>
      </c>
      <c r="M307" s="3" t="inlineStr">
        <is>
          <t>· If months[period] is missing it uses 12.</t>
        </is>
      </c>
      <c r="N307" s="3" t="inlineStr">
        <is>
          <t>Yes</t>
        </is>
      </c>
      <c r="O307" s="3" t="inlineStr">
        <is>
          <t>—</t>
        </is>
      </c>
      <c r="P307" s="3" t="n">
        <v>0</v>
      </c>
      <c r="Q307" s="3" t="inlineStr">
        <is>
          <t>None — no dependent function stands behind it</t>
        </is>
      </c>
      <c r="R307" s="3" t="inlineStr">
        <is>
          <t>No dependent function — it reads its inputs and answers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MK-NW-F-091</t>
        </is>
      </c>
      <c r="B308" s="3" t="inlineStr">
        <is>
          <t>pricedGainOf</t>
        </is>
      </c>
      <c r="C308" s="3" t="inlineStr">
        <is>
          <t>MoneyKeel/functions/networth-and-performance/performance.ts</t>
        </is>
      </c>
      <c r="D308" s="3" t="n">
        <v>148</v>
      </c>
      <c r="E308" s="3" t="inlineStr">
        <is>
          <t>2 · DISPLAYED</t>
        </is>
      </c>
      <c r="F308" s="3" t="inlineStr">
        <is>
          <t>MK-NW-F-091 · What the PRICED holdings gained over the window.</t>
        </is>
      </c>
      <c r="G308" s="11" t="inlineStr">
        <is>
          <t>t + (gain ?? 0)   when capped since
mv = market value (or 0 when missing)
pr = period return
the answer = t + (pr ≠ nothing and mv &gt; 0 ? mv × (1 − 1 ÷ (1 + pr)) : 0)</t>
        </is>
      </c>
      <c r="H308" s="3" t="inlineStr">
        <is>
          <t>When capped since, it answers t plus (gain ?? 0). Mv is market value (or 0 — when missing). Pr is period return. The answer is t plus (pr is not no answer and mv &gt; 0 ? mv times (1 minus 1 divided by (1 plus pr)) : 0).</t>
        </is>
      </c>
      <c r="I308" s="3" t="inlineStr">
        <is>
          <t>PARTLY READ — some of the code is still showing through; needs a hand pass</t>
        </is>
      </c>
      <c r="J308" s="3" t="inlineStr">
        <is>
          <t>Nothing is handed to it</t>
        </is>
      </c>
      <c r="K308" s="3" t="inlineStr">
        <is>
          <t>NOT DECLARED — the code does not say what it gives back</t>
        </is>
      </c>
      <c r="L308" s="3" t="inlineStr">
        <is>
          <t>NOT FOUND — a screen calls it, but the words printed beside its answer could not be traced automatically. Needs reading.</t>
        </is>
      </c>
      <c r="M308" s="3" t="inlineStr">
        <is>
          <t>1. If gain is missing it uses 0.
2. If market value is missing it uses 0.</t>
        </is>
      </c>
      <c r="N308" s="3" t="inlineStr">
        <is>
          <t>Yes</t>
        </is>
      </c>
      <c r="O308" s="3" t="inlineStr">
        <is>
          <t>MK-ST-F-039 on</t>
        </is>
      </c>
      <c r="P308" s="3" t="n">
        <v>1</v>
      </c>
      <c r="Q308" s="3" t="inlineStr">
        <is>
          <t>MK-ST-F-039 on</t>
        </is>
      </c>
      <c r="R308" s="3" t="inlineStr">
        <is>
          <t>MK-ST-F-039 on → MK-NW-F-091 pricedGainOf</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MK-NW-F-092</t>
        </is>
      </c>
      <c r="B309" s="3" t="inlineStr">
        <is>
          <t>investmentAccountIdsOf</t>
        </is>
      </c>
      <c r="C309" s="3" t="inlineStr">
        <is>
          <t>MoneyKeel/functions/networth-and-performance/performance.ts</t>
        </is>
      </c>
      <c r="D309" s="3" t="n">
        <v>253</v>
      </c>
      <c r="E309" s="3" t="inlineStr">
        <is>
          <t>2 · DISPLAYED</t>
        </is>
      </c>
      <c r="F309" s="3" t="inlineStr">
        <is>
          <t>MK-NW-F-092 · Which accounts this door measures: the invested ones.</t>
        </is>
      </c>
      <c r="G309" s="11" t="inlineStr">
        <is>
          <t>invested = a list with no repeats of ['stocks_etf', 'bonds', 'alternatives', 'mixed']
the answer = a list with no repeats of accounts (or none when missing) where invested.has(class of(each))for each of : string(asset id)</t>
        </is>
      </c>
      <c r="H309" s="3" t="inlineStr">
        <is>
          <t>Invested is a list with no repeats of ['stocks_etf', 'bonds', 'alternatives', 'mixed']. The answer is a list with no repeats of accounts (or none — when missing) where invested.has(class of(each))for each of : string(asset id).</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None found in this function — anything it assumes comes from the functions it depends on.</t>
        </is>
      </c>
      <c r="N309" s="3" t="inlineStr">
        <is>
          <t>Yes</t>
        </is>
      </c>
      <c r="O309" s="3" t="inlineStr">
        <is>
          <t>1. MK-ST-F-056 has
2. MK-CF-F-132 map</t>
        </is>
      </c>
      <c r="P309" s="3" t="n">
        <v>2</v>
      </c>
      <c r="Q309" s="3" t="inlineStr">
        <is>
          <t>1. MK-ST-F-056 has
2. MK-CF-F-132 map</t>
        </is>
      </c>
      <c r="R309" s="3" t="inlineStr">
        <is>
          <t>1. MK-ST-F-056 has → MK-NW-F-092 investmentAccountIdsOf
2. MK-CF-F-132 map → MK-NW-F-092 investmentAccountIdsOf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MK-NW-F-093</t>
        </is>
      </c>
      <c r="B310" s="3" t="inlineStr">
        <is>
          <t>QUIET_PERF</t>
        </is>
      </c>
      <c r="C310" s="3" t="inlineStr">
        <is>
          <t>MoneyKeel/functions/networth-and-performance/performance.ts</t>
        </is>
      </c>
      <c r="D310" s="3" t="n">
        <v>603</v>
      </c>
      <c r="E310" s="3" t="inlineStr">
        <is>
          <t>1 · ACTION</t>
        </is>
      </c>
      <c r="F310" s="3" t="inlineStr">
        <is>
          <t>NOT DETERMINED — the code carries no note saying what this is for, and it has no row in the old inventory. Needs reading.</t>
        </is>
      </c>
      <c r="G310" s="11" t="inlineStr">
        <is>
          <t>the performance(QUIET)</t>
        </is>
      </c>
      <c r="H310" s="3" t="inlineStr">
        <is>
          <t>the performance(QUIET)</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48</v>
      </c>
      <c r="Q310"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0"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MK-NW-F-094</t>
        </is>
      </c>
      <c r="B311" s="3" t="inlineStr">
        <is>
          <t>ledgerGroups</t>
        </is>
      </c>
      <c r="C311" s="3" t="inlineStr">
        <is>
          <t>MoneyKeel/functions/networth-and-performance/net-worth.ts</t>
        </is>
      </c>
      <c r="D311" s="3" t="n">
        <v>257</v>
      </c>
      <c r="E311" s="3" t="inlineStr">
        <is>
          <t>2 · DISPLAYED</t>
        </is>
      </c>
      <c r="F311" s="3" t="inlineStr">
        <is>
          <t>NOT DETERMINED — the code carries no note saying what this is for, and it has no row in the old inventory. Needs reading.</t>
        </is>
      </c>
      <c r="G311"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1"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1" s="3" t="inlineStr">
        <is>
          <t>PARTLY READ — the body has a loop the extractor cannot render; the steps shown are the ones before it. Needs a hand pass (G23).</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 If balance is missing it counts as zero, so nothing recorded and a real zero look the same.</t>
        </is>
      </c>
      <c r="N311" s="3" t="inlineStr">
        <is>
          <t>Yes</t>
        </is>
      </c>
      <c r="O311" s="3" t="inlineStr">
        <is>
          <t>—</t>
        </is>
      </c>
      <c r="P311" s="3" t="n">
        <v>0</v>
      </c>
      <c r="Q311" s="3" t="inlineStr">
        <is>
          <t>None — no dependent function stands behind it</t>
        </is>
      </c>
      <c r="R311" s="3" t="inlineStr">
        <is>
          <t>No dependent function — it reads its inputs and answers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MK-NW-F-095</t>
        </is>
      </c>
      <c r="B312" s="3" t="inlineStr">
        <is>
          <t>CLASS_LABEL_OF</t>
        </is>
      </c>
      <c r="C312" s="3" t="inlineStr">
        <is>
          <t>MoneyKeel/functions/networth-and-performance/net-worth.ts</t>
        </is>
      </c>
      <c r="D312" s="3" t="n">
        <v>375</v>
      </c>
      <c r="E312" s="3" t="inlineStr">
        <is>
          <t>1 · ACTION</t>
        </is>
      </c>
      <c r="F312" s="3" t="inlineStr">
        <is>
          <t>NOT DETERMINED — the code carries no note saying what this is for, and it has no row in the old inventory. Needs reading.</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a: any</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MK-NW-F-096</t>
        </is>
      </c>
      <c r="B313" s="3" t="inlineStr">
        <is>
          <t>CLASS_KEY_OF</t>
        </is>
      </c>
      <c r="C313" s="3" t="inlineStr">
        <is>
          <t>MoneyKeel/functions/networth-and-performance/net-worth.ts</t>
        </is>
      </c>
      <c r="D313" s="3" t="n">
        <v>399</v>
      </c>
      <c r="E313" s="3" t="inlineStr">
        <is>
          <t>1 · ACTION</t>
        </is>
      </c>
      <c r="F313" s="3" t="inlineStr">
        <is>
          <t>NOT DETERMINED — the code carries no note saying what this is for, and it has no row in the old inventory. Needs reading.</t>
        </is>
      </c>
      <c r="G313" s="11" t="inlineStr">
        <is>
          <t>string(asset class)</t>
        </is>
      </c>
      <c r="H313" s="3" t="inlineStr">
        <is>
          <t>string(asset class)</t>
        </is>
      </c>
      <c r="I313" s="3" t="inlineStr">
        <is>
          <t>READ FROM THE CODE — rendered from the expressions the function runs</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MK-NW-F-097</t>
        </is>
      </c>
      <c r="B314" s="3" t="inlineStr">
        <is>
          <t>LEDGER</t>
        </is>
      </c>
      <c r="C314" s="3" t="inlineStr">
        <is>
          <t>MoneyKeel/functions/networth-and-performance/net-worth.ts</t>
        </is>
      </c>
      <c r="D314" s="3" t="n">
        <v>421</v>
      </c>
      <c r="E314" s="3" t="inlineStr">
        <is>
          <t>1 · ACTION</t>
        </is>
      </c>
      <c r="F314" s="3" t="inlineStr">
        <is>
          <t>NOT DETERMINED — the code carries no note saying what this is for, and it has no row in the old inventory. Needs reading.</t>
        </is>
      </c>
      <c r="G314" s="11" t="inlineStr">
        <is>
          <t>ledger groups(LEDGER_ACCOUNTS, by, CLASS_LABEL_OF, CLASS_KEY_OF)</t>
        </is>
      </c>
      <c r="H314" s="3" t="inlineStr">
        <is>
          <t>ledger groups(LEDGER_ACCOUNTS, by, CLASS_LABEL_OF, CLASS_KEY_OF)</t>
        </is>
      </c>
      <c r="I314" s="3" t="inlineStr">
        <is>
          <t>READ FROM THE CODE — rendered from the expressions the function runs</t>
        </is>
      </c>
      <c r="J314" s="3" t="inlineStr">
        <is>
          <t>by: 'class' | 'institution'</t>
        </is>
      </c>
      <c r="K314" s="3" t="inlineStr">
        <is>
          <t>NOT DECLARED — the code does not say what it gives back</t>
        </is>
      </c>
      <c r="L314" s="3" t="inlineStr">
        <is>
          <t>—</t>
        </is>
      </c>
      <c r="M314" s="3" t="inlineStr">
        <is>
          <t>None found in this function — anything it assumes comes from the functions it depends on.</t>
        </is>
      </c>
      <c r="N314" s="3" t="inlineStr">
        <is>
          <t>Yes</t>
        </is>
      </c>
      <c r="O314" s="3" t="inlineStr">
        <is>
          <t>1. MK-NW-F-096 CLASS_KEY_OF
2. MK-NW-F-095 CLASS_LABEL_OF
3. MK-NW-F-094 ledgerGroups</t>
        </is>
      </c>
      <c r="P314" s="3" t="n">
        <v>3</v>
      </c>
      <c r="Q314" s="3" t="inlineStr">
        <is>
          <t>1. MK-NW-F-096 CLASS_KEY_OF
2. MK-NW-F-095 CLASS_LABEL_OF
3. MK-NW-F-094 ledgerGroups</t>
        </is>
      </c>
      <c r="R314" s="3" t="inlineStr">
        <is>
          <t>1. MK-NW-F-096 CLASS_KEY_OF → MK-NW-F-097 LEDGER
2. MK-NW-F-095 CLASS_LABEL_OF → MK-NW-F-097 LEDGER
3. MK-NW-F-094 ledgerGroups → MK-NW-F-097 LEDGER</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MK-NW-F-098</t>
        </is>
      </c>
      <c r="B315" s="3" t="inlineStr">
        <is>
          <t>LEDGER_BAND</t>
        </is>
      </c>
      <c r="C315" s="3" t="inlineStr">
        <is>
          <t>MoneyKeel/functions/networth-and-performance/net-worth.ts</t>
        </is>
      </c>
      <c r="D315" s="3" t="n">
        <v>440</v>
      </c>
      <c r="E315" s="3" t="inlineStr">
        <is>
          <t>1 · ACTION</t>
        </is>
      </c>
      <c r="F315" s="3" t="inlineStr">
        <is>
          <t>NOT DETERMINED — the code carries no note saying what this is for, and it has no row in the old inventory. Needs reading.</t>
        </is>
      </c>
      <c r="G315" s="11" t="inlineStr">
        <is>
          <t>LEDGER('class').find((g) =&gt; label = label).total (or nothing when missing)</t>
        </is>
      </c>
      <c r="H315" s="3" t="inlineStr">
        <is>
          <t>LEDGER('class').find((g) =&gt; label = label).total (or no answer — when missing)</t>
        </is>
      </c>
      <c r="I315" s="3" t="inlineStr">
        <is>
          <t>PARTLY READ — some of the code is still showing through; needs a hand pass</t>
        </is>
      </c>
      <c r="J315" s="3" t="inlineStr">
        <is>
          <t>label: string</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MK-NW-F-097 LEDGER
2. MK-CF-F-200 LINE</t>
        </is>
      </c>
      <c r="P315" s="3" t="n">
        <v>109</v>
      </c>
      <c r="Q315" s="3" t="inlineStr">
        <is>
          <t>1. MK-NW-F-097 LEDGER
2. MK-CF-F-200 LINE
3. MK-NW-F-096 CLASS_KEY_OF
4. MK-NW-F-095 CLASS_LABEL_OF
5. MK-NW-F-094 ledgerGroups
6. MK-XS-F-180 declareFigures
7. MK-CF-O-006 theCreditLine
8. MK-CF-F-031 creditUtilization
9. MK-CF-F-204 line
10. MK-CF-F-203 MONTH
11. MK-CF-O-010 theMonth
12. MK-CF-O-002 expenses
13. MK-CF-O-003 thisMonth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MK-CF-F-155 cash
30. MK-CF-F-157 debtPaymentsByDebt
31. MK-CF-F-192 inflowLabel
32. MK-XS-F-027 takeHomeMonthly
33. MK-XS-F-122 n
34. MK-CF-F-021 defaultPaymentType
35. MK-NW-F-077 ALL
36. MK-NW-F-059 currentYield
37. MK-ST-F-049 formatMoney
38. MK-NW-O-001 theBonds
39. MK-CF-F-193 inflowSourceWord
40. MK-CF-F-092 incomeMonthlyGrid
41. MK-CF-F-011 savingsByMonth
42. MK-NW-F-057 annualCoupon
43. MK-ST-F-048 currencySymbol
44. MK-ST-F-039 on
45. MK-ST-F-027 accountId
46. MK-NW-F-056 bondInfo
47. MK-NW-F-064 bondRateSensitivity
48. MK-NW-F-061 bondSummary
49. MK-NW-F-055 isBond
50. MK-NW-F-072 rowOf
51. MK-CF-F-069 benefitActiveMonths
52. MK-CF-F-072 currentRetirementIncomeMonthly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MK-CF-F-062 equityRowValue
75. MK-CF-F-070 benefitAnnual
76. MK-CF-F-176 sumMonthsOverEarners
77. MK-CF-F-177 wageGrossByMonth
78. MK-CF-F-090 effectiveRate
79. MK-CF-F-085 filingStatusOf
80. MK-CF-F-089 over65CountOf
81. MK-CF-F-098 progressiveMonthlyTax
82. MK-CF-F-086 stateRateOf
83. MK-CF-F-173 earnerWages
84. MK-CF-F-102 effectiveRateOnGrossFor
85. MK-CF-F-180 enteredLandsAnnual
86. MK-CF-F-082 salaryAnnual
87. MK-CF-F-084 taxableAnnual
88. MK-CF-F-067 rentalList
89. MK-CF-F-063 rowVestYear
90. MK-CF-F-120 pctBaseMonthly
91. MK-CF-F-004 spendBuckets
92. MK-NW-F-008 incomeBearingClassOf
93. MK-CF-F-130 enteredMonthlyRaw
94. MK-CF-F-166 hasMonthlySalaryTable
95. MK-ST-F-036 reconcile
96. MK-CF-F-167 salaryCalendarYear
97. MK-CF-F-101 taxOwedFor
98. MK-CF-F-100 taxableIncomeFor
99. MK-CF-F-172 hasWage
100. MK-CF-F-074 tipsAnnual
101. MK-CF-F-003 categoryMonthly
102. MK-ST-F-010 nameEvidence
103. MK-CF-F-165 salaryMonths
104. MK-CF-F-099 deductionFor
105. MK-CF-F-081 salaryActiveMonths
106. MK-XS-F-147 call
107. MK-CF-F-187 seniorDeductionFor
108. MK-XS-F-064 currentIdToken
109. MK-XS-F-112 relayUrl</t>
        </is>
      </c>
      <c r="R315"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MK-NW-F-099</t>
        </is>
      </c>
      <c r="B316" s="3" t="inlineStr">
        <is>
          <t>SNAP</t>
        </is>
      </c>
      <c r="C316" s="3" t="inlineStr">
        <is>
          <t>MoneyKeel/functions/networth-and-performance/net-worth.ts</t>
        </is>
      </c>
      <c r="D316" s="3" t="n">
        <v>466</v>
      </c>
      <c r="E316" s="3" t="inlineStr">
        <is>
          <t>1 · ACTION</t>
        </is>
      </c>
      <c r="F316" s="3" t="inlineStr">
        <is>
          <t>NOT DETERMINED — the code carries no note saying what this is for, and it has no row in the old inventory. Needs reading.</t>
        </is>
      </c>
      <c r="G316" s="11" t="inlineStr">
        <is>
          <t>NOT READ YET — the body is not a shape this can render faithfully, so nothing is claimed rather than something being guessed. It needs reading by hand.</t>
        </is>
      </c>
      <c r="H316" s="3" t="inlineStr">
        <is>
          <t>NOT READ YET — the body is not a shape this can render faithfully, so nothing is claimed rather than something being guessed. It needs reading by hand.</t>
        </is>
      </c>
      <c r="I316" s="3" t="inlineStr">
        <is>
          <t>NOT READ — nothing is claimed rather than something guessed</t>
        </is>
      </c>
      <c r="J316" s="3" t="inlineStr">
        <is>
          <t>1. month: string
2. net: number</t>
        </is>
      </c>
      <c r="K316" s="3" t="inlineStr">
        <is>
          <t>net, gross_assets: net + 242000, gross_debt: 242000 });</t>
        </is>
      </c>
      <c r="L316" s="3" t="inlineStr">
        <is>
          <t>—</t>
        </is>
      </c>
      <c r="M316" s="3" t="inlineStr">
        <is>
          <t>None found in this function — anything it assumes comes from the functions it depends on.</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MK-NW-F-100</t>
        </is>
      </c>
      <c r="B317" s="3" t="inlineStr">
        <is>
          <t>TREND</t>
        </is>
      </c>
      <c r="C317" s="3" t="inlineStr">
        <is>
          <t>MoneyKeel/functions/networth-and-performance/net-worth.ts</t>
        </is>
      </c>
      <c r="D317" s="3" t="n">
        <v>487</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Nothing is handed to it</t>
        </is>
      </c>
      <c r="K317" s="3" t="inlineStr">
        <is>
          <t>NOT DECLARED — the code does not say what it gives back</t>
        </is>
      </c>
      <c r="L317" s="3" t="inlineStr">
        <is>
          <t>—</t>
        </is>
      </c>
      <c r="M317" s="3" t="inlineStr">
        <is>
          <t>None found in this function — anything it assumes comes from the functions it depends on.</t>
        </is>
      </c>
      <c r="N317" s="3" t="inlineStr">
        <is>
          <t>Yes</t>
        </is>
      </c>
      <c r="O317" s="3" t="inlineStr">
        <is>
          <t>1. MK-NW-F-099 SNAP
2. MK-NW-O-003 theNetWorth</t>
        </is>
      </c>
      <c r="P317" s="3" t="n">
        <v>196</v>
      </c>
      <c r="Q317"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MK-NW-O-001 theBonds
22. MK-NW-F-027 accountClassBreakdown
23. MK-NW-F-011 assetClassOf
24. MK-CF-F-026 actualDebtPayment
25. MK-CF-F-025 minimumDebtService
26. MK-NW-F-014 isRealAsset
27. MK-NW-F-066 sumWhere
28. MK-NW-F-015 totalAssets
29. MK-CF-F-022 paymentShape
30. MK-XS-F-009 readHistory
31. MK-ST-F-027 accountId
32. MK-CF-F-111 applyTransaction
33. MK-NW-F-040 assetsFromOnboarding
34. MK-PF-F-013 benchmarkTicker
35. MK-ST-F-028 buildDayFromAccounts
36. MK-PF-F-034 closeOnOrBefore
37. MK-CF-F-186 convertTakeHomeMode
38. MK-CF-F-038 debtsFromOnboarding
39. MK-XS-F-083 fetchPriceSeries
40. MK-PL-F-013 goalsFromOnboarding
41. MK-ST-F-056 has
42. MK-CF-F-116 inverseOf
43. MK-ST-F-065 isoLocalDate
44. MK-CF-F-112 makeTransaction
45. MK-XS-F-122 n
46. MK-ST-F-043 newEntityId
47. MK-XS-F-006 pruneDaily
48. MK-ST-F-073 rebuildDays
49. MK-NW-F-054 reclassifyAccounts
50. MK-XS-F-174 recomputeBalances
51. MK-CF-F-115 restoreUndo
52. MK-CF-F-109 reviewTransactions
53. MK-ST-F-044 setMoneyFormat
54. MK-CF-F-114 undoSnapshot
55. MK-CF-F-191 ym
56. MK-NW-F-057 annualCoupon
57. MK-ST-F-048 currencySymbol
58. MK-NW-F-056 bondInfo
59. MK-NW-F-064 bondRateSensitivity
60. MK-NW-F-061 bondSummary
61. MK-NW-F-055 isBond
62. MK-NW-F-072 rowOf
63. MK-CF-F-155 cash
64. MK-NW-F-008 incomeBearingClassOf
65. MK-CF-F-024 totalDebtMonthly
66. MK-CF-F-021 defaultPaymentType
67. MK-XS-F-008 normalizeSnapshot
68. MK-CF-F-138 addLot
69. MK-CF-F-136 bumpCash
70. MK-CF-F-137 findPos
71. MK-CF-F-139 removeShares
72. MK-PF-F-001 totalShares
73. MK-ST-F-052 toNum
74. MK-ST-F-053 money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MK-CF-O-004 incomeSummary
117. MK-CF-F-100 taxableIncomeFor
118. MK-ST-F-034 firstDate
119. MK-CF-F-075 retirementIncomeMonthly
120. MK-XS-F-064 currentIdToken
121. MK-XS-F-112 relayUrl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MK-CF-F-171 earnerPay
134. MK-CF-F-204 line
135. MK-HM-F-006 money0
136. MK-CF-F-198 payrollTaxWithheld
137. MK-CF-F-172 hasWage
138. MK-CF-F-165 salaryMonths
139. MK-CF-F-070 benefitAnnual
140. MK-CF-F-069 benefitActiveMonths
141. MK-CF-F-065 equityVestWeights
142. MK-CF-F-206 householdK401ByMonth
143. MK-CF-F-087 monthlyTaxRates
144. MK-CF-F-073 otherIncomeMonth
145. MK-CF-F-066 rsuAnnual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MK-CF-F-143 annualisedGross
158. MK-CF-F-145 deductionsFromPay
159. MK-CF-F-128 grossByMonth
160. MK-CF-F-146 payFiguresAgree
161. MK-CF-F-144 takeHomeAsEntered
162. MK-CF-F-203 MONTH
163. MK-HM-F-005 pctTxt
164. MK-CF-F-062 equityRowValue
165. MK-CF-F-176 sumMonthsOverEarners
166. MK-CF-F-177 wageGrossByMonth
167. MK-CF-F-090 effectiveRate
168. MK-CF-F-098 progressiveMonthlyTax
169. MK-CF-F-063 rowVestYear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17"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MK-NW-F-101</t>
        </is>
      </c>
      <c r="B318" s="3" t="inlineStr">
        <is>
          <t>PLAN</t>
        </is>
      </c>
      <c r="C318" s="3" t="inlineStr">
        <is>
          <t>MoneyKeel/functions/networth-and-performance/net-worth.ts</t>
        </is>
      </c>
      <c r="D318" s="3" t="n">
        <v>529</v>
      </c>
      <c r="E318" s="3" t="inlineStr">
        <is>
          <t>2 · DISPLAYED</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MK-NW-F-097 LEDGER
2. MK-NW-F-098 LEDGER_BAND
3. MK-NW-F-082 NW
4. MK-NW-F-100 TREND
5. MK-CF-F-155 cash
6. MK-XS-F-180 declareFigures
7. MK-ST-F-049 formatMoney
8. MK-XS-F-010 investableChangePct
9. MK-CF-F-204 line
10. MK-PL-F-055 projectNestEgg</t>
        </is>
      </c>
      <c r="P318" s="3" t="n">
        <v>213</v>
      </c>
      <c r="Q318" s="3" t="inlineStr">
        <is>
          <t>1. MK-NW-F-097 LEDGER
2. MK-NW-F-098 LEDGER_BAND
3. MK-NW-F-082 NW
4. MK-NW-F-100 TREND
5. MK-CF-F-155 cash
6. MK-XS-F-180 declareFigures
7. MK-ST-F-049 formatMoney
8. MK-XS-F-010 investableChangePct
9. MK-CF-F-204 line
10. MK-PL-F-055 projectNestEgg
11. MK-NW-F-096 CLASS_KEY_OF
12. MK-NW-F-095 CLASS_LABEL_OF
13. MK-NW-F-094 ledgerGroups
14. MK-CF-F-200 LINE
15. MK-NW-O-003 theNetWorth
16. MK-NW-F-099 SNAP
17. MK-XS-F-122 n
18. MK-ST-F-048 currencySymbol
19. MK-ST-F-039 on
20. MK-CF-F-203 MONTH
21. MK-CF-F-132 map
22. MK-PL-F-050 simulate
23. MK-CF-O-006 theCreditLine
24. MK-NW-F-078 ONE
25. MK-NW-F-029 assetAllocation
26. MK-NW-F-039 buildAssetsState
27. MK-CF-F-036 buildDebtState
28. MK-NW-F-065 buildNetWorth
29. MK-NW-F-016 cashTotal
30. MK-NW-F-022 investableAssets
31. MK-NW-F-021 investmentsTotal
32. MK-CF-F-023 requiredPayment
33. MK-XS-F-005 trendPoints
34. MK-XS-F-175 uid
35. MK-ST-F-047 activeCurrency
36. MK-CF-O-010 theMonth
37. MK-CF-O-002 expenses
38. MK-PL-F-074 median
39. MK-PL-F-072 mulberry32
40. MK-PL-F-073 normal
41. MK-PL-F-075 pctOfSorted
42. MK-ST-F-025 rmdStartAgeFromAge
43. MK-CF-F-031 creditUtilization
44. MK-NW-F-077 ALL
45. MK-NW-F-059 currentYield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MK-CF-O-003 thisMonth
81. MK-CF-F-151 actualSpending
82. MK-CF-F-150 debtPaymentsCountedAsExpenses
83. MK-CF-F-153 radar
84. MK-CF-F-149 recurringDebtPayments
85. MK-ST-F-024 rmdStartAge
86. MK-NW-F-057 annualCoupon
87. MK-NW-F-056 bondInfo
88. MK-NW-F-064 bondRateSensitivity
89. MK-NW-F-061 bondSummary
90. MK-NW-F-055 isBond
91. MK-NW-F-072 rowOf
92. MK-NW-F-008 incomeBearingClassOf
93. MK-CF-F-024 totalDebtMonthly
94. MK-CF-F-021 defaultPaymentType
95. MK-XS-F-008 normalizeSnapshot
96. MK-CF-F-138 addLot
97. MK-CF-F-136 bumpCash
98. MK-CF-F-137 findPos
99. MK-CF-F-139 removeShares
100. MK-PF-F-001 totalShares
101. MK-ST-F-052 toNum
102. MK-ST-F-053 money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MK-CF-O-004 incomeSummary
150. MK-CF-F-100 taxableIncomeFor
151. MK-ST-F-034 firstDate
152. MK-CF-F-075 retirementIncomeMonthly
153. MK-CF-F-193 inflowSourceWord
154. MK-CF-F-092 incomeMonthlyGrid
155. MK-CF-F-011 savingsByMonth
156. MK-XS-F-064 currentIdToken
157. MK-XS-F-112 relayUrl
158. MK-CF-O-001 basePay
159. MK-CF-F-173 earnerWages
160. MK-CF-F-179 entryFromWage
161. MK-CF-F-071 extraIncome
162. MK-CF-F-103 marginalBracketFor
163. MK-CF-F-181 rateInForce
164. MK-CF-F-068 rentalNetAnnual
165. MK-CF-F-082 salaryAnnual
166. MK-CF-F-084 taxableAnnual
167. MK-CF-F-099 deductionFor
168. MK-CF-F-069 benefitActiveMonths
169. MK-CF-F-065 equityVestWeights
170. MK-CF-F-206 householdK401ByMonth
171. MK-CF-F-087 monthlyTaxRates
172. MK-CF-F-073 otherIncomeMonth
173. MK-CF-F-066 rsuAnnual
174. MK-CF-F-060 salaryGrossByMonth
175. MK-CF-F-077 scholarshipByCalendarMonth
176. MK-CF-F-088 taxableByCalendarMonth
177. MK-PL-F-012 waterfall
178. MK-CF-F-008 spendByMonth
179. MK-CF-F-171 earnerPay
180. MK-HM-F-006 money0
181. MK-CF-F-198 payrollTaxWithheld
182. MK-CF-F-172 hasWage
183. MK-CF-F-165 salaryMonths
184. MK-CF-F-070 benefitAnnual
185. MK-CF-F-102 effectiveRateOnGrossFor
186. MK-CF-F-180 enteredLandsAnnual
187. MK-CF-F-086 stateRateOf
188. MK-CF-F-067 rentalList
189. MK-CF-F-074 tipsAnnual
190. MK-CF-F-187 seniorDeductionFor
191. MK-CF-F-062 equityRowValue
192. MK-CF-F-176 sumMonthsOverEarners
193. MK-CF-F-177 wageGrossByMonth
194. MK-CF-F-090 effectiveRate
195. MK-CF-F-098 progressiveMonthlyTax
196. MK-CF-F-063 rowVestYear
197. MK-CF-F-120 pctBaseMonthly
198. MK-CF-F-004 spendBuckets
199. MK-CF-F-143 annualisedGross
200. MK-CF-F-145 deductionsFromPay
201. MK-CF-F-128 grossByMonth
202. MK-CF-F-146 payFiguresAgree
203. MK-CF-F-144 takeHomeAsEntered
204. MK-HM-F-005 pctTxt
205. MK-CF-F-081 salaryActiveMonths
206. MK-CF-F-130 enteredMonthlyRaw
207. MK-CF-F-166 hasMonthlySalaryTable
208. MK-ST-F-036 reconcile
209. MK-CF-F-167 salaryCalendarYear
210. MK-CF-F-003 categoryMonthly
211. MK-CF-F-142 monthsOf
212. MK-CF-F-141 perMonth
213. MK-CF-F-140 periodsAYear</t>
        </is>
      </c>
      <c r="R318"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MK-NW-F-102</t>
        </is>
      </c>
      <c r="B319" s="3" t="inlineStr">
        <is>
          <t>rateWhereItRefuses</t>
        </is>
      </c>
      <c r="C319" s="3" t="inlineStr">
        <is>
          <t>MoneyKeel/functions/networth-and-performance/performance.ts</t>
        </is>
      </c>
      <c r="D319" s="3" t="n">
        <v>209</v>
      </c>
      <c r="E319" s="3" t="inlineStr">
        <is>
          <t>2 · DISPLAYED</t>
        </is>
      </c>
      <c r="F319" s="3" t="inlineStr">
        <is>
          <t>THE EXACT RATE PER YEAR, FOR ONE WINDOW — what stands in where the window return refuses.</t>
        </is>
      </c>
      <c r="G319" s="11" t="inlineStr">
        <is>
          <t>nothing   when not (input.beginning &gt; 0)
one = 'the − window'
the answer:
rate per year   if 'ratePerYear' in r
nothing   otherwise</t>
        </is>
      </c>
      <c r="H319" s="3" t="inlineStr">
        <is>
          <t>When not (input.beginning &gt; 0), it answers no answer. One is 'the minus window'. The answer is rate per year — when 'ratePerYear' in r; no answer — otherwise.</t>
        </is>
      </c>
      <c r="I319" s="3" t="inlineStr">
        <is>
          <t>READ FROM THE CODE — rendered from the expressions the function runs</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 Never lets ending fall below 0.</t>
        </is>
      </c>
      <c r="N319" s="3" t="inlineStr">
        <is>
          <t>Yes</t>
        </is>
      </c>
      <c r="O319" s="3" t="inlineStr">
        <is>
          <t>1. MK-NW-F-078 ONE
2. MK-CF-F-132 map
3. MK-PF-F-026 moneyWeightedReturn</t>
        </is>
      </c>
      <c r="P319" s="3" t="n">
        <v>35</v>
      </c>
      <c r="Q319" s="3" t="inlineStr">
        <is>
          <t>1. MK-NW-F-078 ONE
2. MK-CF-F-132 map
3. MK-PF-F-026 moneyWeightedReturn
4. MK-NW-F-077 ALL
5. MK-NW-F-059 currentYield
6. MK-XS-F-180 declareFigures
7. MK-ST-F-049 formatMoney
8. MK-NW-O-001 theBonds
9. MK-PF-F-025 historyIsComplete
10. MK-PF-F-030 npv
11. MK-PF-F-024 userFlows
12. MK-NW-F-057 annualCoupon
13. MK-ST-F-048 currencySymbol
14. MK-XS-F-122 n
15. MK-ST-F-039 on
16. MK-ST-F-027 accountId
17. MK-NW-F-056 bondInfo
18. MK-NW-F-064 bondRateSensitivity
19. MK-NW-F-061 bondSummary
20. MK-NW-F-055 isBond
21. MK-NW-F-072 rowOf
22. MK-ST-F-056 has
23. MK-ST-F-047 activeCurrency
24. MK-CF-F-155 cash
25. MK-NW-F-060 approxYTM
26. MK-NW-F-069 priceAtYield
27. MK-NW-F-011 assetClassOf
28. MK-NW-F-070 accruedInterestCaveat
29. MK-NW-F-071 isCertificateOfDeposit
30. MK-NW-F-058 yearsToMaturity
31. MK-NW-F-008 incomeBearingClassOf
32. MK-ST-F-010 nameEvidence
33. MK-XS-F-147 call
34. MK-XS-F-064 currentIdToken
35. MK-XS-F-112 relayUrl</t>
        </is>
      </c>
      <c r="R319"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MK-NW-O-001</t>
        </is>
      </c>
      <c r="B320" s="3" t="inlineStr">
        <is>
          <t>theBonds</t>
        </is>
      </c>
      <c r="C320" s="3" t="inlineStr">
        <is>
          <t>MoneyKeel/functions/networth-and-performance/bonds.ts</t>
        </is>
      </c>
      <c r="D320" s="3" t="n">
        <v>230</v>
      </c>
      <c r="E320" s="3" t="inlineStr">
        <is>
          <t>2 · DISPLAYED</t>
        </is>
      </c>
      <c r="F320" s="3" t="inlineStr">
        <is>
          <t>── ORCHESTRATOR ───────────────────────────────────────────────────────────────────── The one function a screen calls for this question.</t>
        </is>
      </c>
      <c r="G320" s="11" t="inlineStr">
        <is>
          <t>now = input.today (or new date() when missing)
held = input.accounts (or none when missing) where is bond
sum = bond summary(held.map(bond info), now)
one = nothing
b = bond info(opened)
row = row of(opened, now)
years = row.years left (or 0 when missing)</t>
        </is>
      </c>
      <c r="H320" s="3" t="inlineStr">
        <is>
          <t>Now is input.today (or new date() — when missing). Held is input.accounts (or none — when missing) where is bond. Sum is bond summary(held.map(bond info), now). One is no answer. B is bond info(opened). Row is row of(opened, now). Years is row.years left (or 0 — when missing).</t>
        </is>
      </c>
      <c r="I320" s="3" t="inlineStr">
        <is>
          <t>PARTLY READ — some of the code is still showing through; needs a hand pass</t>
        </is>
      </c>
      <c r="J320" s="3" t="inlineStr">
        <is>
          <t>input: BondsInput</t>
        </is>
      </c>
      <c r="K320" s="3" t="inlineStr">
        <is>
          <t>Bonds</t>
        </is>
      </c>
      <c r="L320" s="3" t="inlineStr">
        <is>
          <t>NOT FOUND — a screen calls it, but the words printed beside its answer could not be traced automatically. Needs reading.</t>
        </is>
      </c>
      <c r="M320" s="3" t="inlineStr">
        <is>
          <t>1. If years left is missing it uses 0.
2. Uses today's date from the device clock, so the answer changes by itself overnight.</t>
        </is>
      </c>
      <c r="N320" s="3" t="inlineStr">
        <is>
          <t>Yes</t>
        </is>
      </c>
      <c r="O320" s="3" t="inlineStr">
        <is>
          <t>1. MK-ST-F-027 accountId
2. MK-NW-F-057 annualCoupon
3. MK-NW-F-056 bondInfo
4. MK-NW-F-064 bondRateSensitivity
5. MK-NW-F-061 bondSummary
6. MK-NW-F-055 isBond
7. MK-CF-F-132 map
8. MK-NW-F-072 rowOf</t>
        </is>
      </c>
      <c r="P320" s="3" t="n">
        <v>23</v>
      </c>
      <c r="Q320"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0"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0" s="3" t="inlineStr">
        <is>
          <t>MK-NW-M-023 · MK-NW-M-024 · MK-NW-M-025 · MK-NW-M-026 · MK-NW-M-027 · MK-NW-M-041 · MK-NW-M-042 · MK-NW-M-043 · MK-NW-M-044 · MK-NW-M-045</t>
        </is>
      </c>
      <c r="T320" s="3" t="inlineStr">
        <is>
          <t>—</t>
        </is>
      </c>
      <c r="U320" s="3" t="inlineStr">
        <is>
          <t>ACTIVE</t>
        </is>
      </c>
      <c r="V320" s="3" t="inlineStr">
        <is>
          <t>2026-09-27</t>
        </is>
      </c>
      <c r="W320" s="3" t="n"/>
      <c r="X320" s="3" t="n"/>
      <c r="Y320" s="3" t="inlineStr">
        <is>
          <t>NOTHING OPEN</t>
        </is>
      </c>
    </row>
    <row r="321" ht="60" customHeight="1">
      <c r="A321" s="3" t="inlineStr">
        <is>
          <t>MK-NW-O-002</t>
        </is>
      </c>
      <c r="B321" s="3" t="inlineStr">
        <is>
          <t>theAccount</t>
        </is>
      </c>
      <c r="C321" s="3" t="inlineStr">
        <is>
          <t>MoneyKeel/functions/networth-and-performance/account.ts</t>
        </is>
      </c>
      <c r="D321" s="3" t="n">
        <v>118</v>
      </c>
      <c r="E321" s="3" t="inlineStr">
        <is>
          <t>2 · DISPLAYED</t>
        </is>
      </c>
      <c r="F321" s="3" t="inlineStr">
        <is>
          <t>── ORCHESTRATOR ───────────────────────────────────────────────────────────────────── The one function a screen calls for this question.</t>
        </is>
      </c>
      <c r="G321"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1"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1" s="3" t="inlineStr">
        <is>
          <t>PARTLY READ — some of the code is still showing through; needs a hand pass</t>
        </is>
      </c>
      <c r="J321" s="3" t="inlineStr">
        <is>
          <t>Nothing is handed to it</t>
        </is>
      </c>
      <c r="K321" s="3" t="inlineStr">
        <is>
          <t>NOT DECLARED — the code does not say what it gives back</t>
        </is>
      </c>
      <c r="L321" s="3" t="inlineStr">
        <is>
          <t>NOT FOUND — a screen calls it, but the words printed beside its answer could not be traced automatically. Needs reading.</t>
        </is>
      </c>
      <c r="M321" s="3" t="inlineStr">
        <is>
          <t>1. If balance is missing it counts as zero, so nothing recorded and a real zero look the same.
2. Rounds the answer to a whole number.</t>
        </is>
      </c>
      <c r="N321" s="3" t="inlineStr">
        <is>
          <t>Yes</t>
        </is>
      </c>
      <c r="O321" s="3" t="inlineStr">
        <is>
          <t>1. MK-NW-F-027 accountClassBreakdown
2. MK-CF-F-132 map
3. MK-ST-F-013 personalFlowTotals
4. MK-ST-F-021 toNumber</t>
        </is>
      </c>
      <c r="P321" s="3" t="n">
        <v>14</v>
      </c>
      <c r="Q321" s="3" t="inlineStr">
        <is>
          <t>1. MK-NW-F-027 accountClassBreakdown
2. MK-CF-F-132 map
3. MK-ST-F-013 personalFlowTotals
4. MK-ST-F-021 toNumber
5. MK-NW-F-011 assetClassOf
6. MK-CF-F-155 cash
7. MK-NW-F-008 incomeBearingClassOf
8. MK-XS-F-122 n
9. MK-ST-F-010 nameEvidence
10. MK-XS-F-147 call
11. MK-ST-F-056 has
12. MK-ST-F-027 accountId
13. MK-XS-F-064 currentIdToken
14. MK-XS-F-112 relayUrl</t>
        </is>
      </c>
      <c r="R321"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1" s="3" t="inlineStr">
        <is>
          <t>MK-NW-M-019 · MK-NW-M-020 · MK-NW-M-021 · MK-NW-M-038 · MK-NW-M-039 · MK-NW-M-040</t>
        </is>
      </c>
      <c r="T321" s="3" t="inlineStr">
        <is>
          <t>—</t>
        </is>
      </c>
      <c r="U321" s="3" t="inlineStr">
        <is>
          <t>ACTIVE</t>
        </is>
      </c>
      <c r="V321" s="3" t="inlineStr">
        <is>
          <t>2026-09-27</t>
        </is>
      </c>
      <c r="W321" s="3" t="n"/>
      <c r="X321" s="3" t="n"/>
      <c r="Y321" s="3" t="inlineStr">
        <is>
          <t>NOTHING OPEN</t>
        </is>
      </c>
    </row>
    <row r="322" ht="60" customHeight="1">
      <c r="A322" s="3" t="inlineStr">
        <is>
          <t>MK-NW-O-003</t>
        </is>
      </c>
      <c r="B322" s="3" t="inlineStr">
        <is>
          <t>theNetWorth</t>
        </is>
      </c>
      <c r="C322" s="3" t="inlineStr">
        <is>
          <t>MoneyKeel/functions/networth-and-performance/net-worth.ts</t>
        </is>
      </c>
      <c r="D322" s="3" t="n">
        <v>135</v>
      </c>
      <c r="E322" s="3" t="inlineStr">
        <is>
          <t>2 · DISPLAYED</t>
        </is>
      </c>
      <c r="F322" s="3" t="inlineStr">
        <is>
          <t>── ORCHESTRATOR ───────────────────────────────────────────────────────────────────── The one function a screen calls for this question.</t>
        </is>
      </c>
      <c r="G322"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2"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1. "Monthly debt payments" — on the Net worth screen, under "💳  DEBTS"
2. "Net worth so far" — on the Net worth screen, under "EMERGENCY FUND"
3. "Net worth" — on the Home screen
4. "YOUR INVESTMENTS" — on the Home screen, under "WHAT YOU"</t>
        </is>
      </c>
      <c r="M322" s="3" t="inlineStr">
        <is>
          <t>1. If alternatives is missing it uses 0.
2. If remaining balance is missing it counts as zero, so nothing recorded and a real zero look the same.</t>
        </is>
      </c>
      <c r="N322" s="3" t="inlineStr">
        <is>
          <t>Yes</t>
        </is>
      </c>
      <c r="O322"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2" s="3" t="n">
        <v>194</v>
      </c>
      <c r="Q322"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MK-NW-O-001 theBonds
20. MK-NW-F-027 accountClassBreakdown
21. MK-NW-F-011 assetClassOf
22. MK-CF-F-026 actualDebtPayment
23. MK-CF-F-025 minimumDebtService
24. MK-NW-F-014 isRealAsset
25. MK-NW-F-066 sumWhere
26. MK-NW-F-015 totalAssets
27. MK-CF-F-022 paymentShape
28. MK-XS-F-009 readHistory
29. MK-ST-F-027 accountId
30. MK-CF-F-111 applyTransaction
31. MK-NW-F-040 assetsFromOnboarding
32. MK-PF-F-013 benchmarkTicker
33. MK-ST-F-028 buildDayFromAccounts
34. MK-PF-F-034 closeOnOrBefore
35. MK-CF-F-186 convertTakeHomeMode
36. MK-CF-F-038 debtsFromOnboarding
37. MK-XS-F-083 fetchPriceSeries
38. MK-PL-F-013 goalsFromOnboarding
39. MK-ST-F-056 has
40. MK-CF-F-116 inverseOf
41. MK-ST-F-065 isoLocalDate
42. MK-CF-F-112 makeTransaction
43. MK-XS-F-122 n
44. MK-ST-F-043 newEntityId
45. MK-XS-F-006 pruneDaily
46. MK-ST-F-073 rebuildDays
47. MK-NW-F-054 reclassifyAccounts
48. MK-XS-F-174 recomputeBalances
49. MK-CF-F-115 restoreUndo
50. MK-CF-F-109 reviewTransactions
51. MK-ST-F-044 setMoneyFormat
52. MK-CF-F-114 undoSnapshot
53. MK-CF-F-191 ym
54. MK-NW-F-057 annualCoupon
55. MK-ST-F-048 currencySymbol
56. MK-NW-F-056 bondInfo
57. MK-NW-F-064 bondRateSensitivity
58. MK-NW-F-061 bondSummary
59. MK-NW-F-055 isBond
60. MK-NW-F-072 rowOf
61. MK-CF-F-155 cash
62. MK-NW-F-008 incomeBearingClassOf
63. MK-CF-F-024 totalDebtMonthly
64. MK-CF-F-021 defaultPaymentType
65. MK-XS-F-008 normalizeSnapshot
66. MK-CF-F-138 addLot
67. MK-CF-F-136 bumpCash
68. MK-CF-F-137 findPos
69. MK-CF-F-139 removeShares
70. MK-PF-F-001 totalShares
71. MK-ST-F-052 toNum
72. MK-ST-F-053 money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MK-CF-O-004 incomeSummary
115. MK-CF-F-100 taxableIncomeFor
116. MK-ST-F-034 firstDate
117. MK-CF-F-075 retirementIncomeMonthly
118. MK-XS-F-064 currentIdToken
119. MK-XS-F-112 relayUrl
120. MK-CF-O-001 basePay
121. MK-CF-F-173 earnerWages
122. MK-CF-F-179 entryFromWage
123. MK-CF-F-071 extraIncome
124. MK-CF-F-092 incomeMonthlyGrid
125. MK-CF-F-103 marginalBracketFor
126. MK-CF-F-181 rateInForce
127. MK-CF-F-068 rentalNetAnnual
128. MK-CF-F-082 salaryAnnual
129. MK-CF-F-084 taxableAnnual
130. MK-CF-F-099 deductionFor
131. MK-CF-F-171 earnerPay
132. MK-CF-F-204 line
133. MK-HM-F-006 money0
134. MK-CF-F-198 payrollTaxWithheld
135. MK-CF-F-172 hasWage
136. MK-CF-F-165 salaryMonths
137. MK-CF-F-070 benefitAnnual
138. MK-CF-F-069 benefitActiveMonths
139. MK-CF-F-065 equityVestWeights
140. MK-CF-F-206 householdK401ByMonth
141. MK-CF-F-087 monthlyTaxRates
142. MK-CF-F-073 otherIncomeMonth
143. MK-CF-F-066 rsuAnnual
144. MK-CF-F-060 salaryGrossByMonth
145. MK-CF-F-077 scholarshipByCalendarMonth
146. MK-CF-F-088 taxableByCalendarMonth
147. MK-PL-F-012 waterfall
148. MK-CF-F-102 effectiveRateOnGrossFor
149. MK-CF-F-180 enteredLandsAnnual
150. MK-CF-F-086 stateRateOf
151. MK-CF-O-002 expenses
152. MK-CF-F-067 rentalList
153. MK-CF-F-074 tipsAnnual
154. MK-CF-F-187 seniorDeductionFor
155. MK-CF-F-143 annualisedGross
156. MK-CF-F-145 deductionsFromPay
157. MK-CF-F-128 grossByMonth
158. MK-CF-F-146 payFiguresAgree
159. MK-CF-F-144 takeHomeAsEntered
160. MK-CF-F-203 MONTH
161. MK-HM-F-005 pctTxt
162. MK-CF-F-062 equityRowValue
163. MK-CF-F-176 sumMonthsOverEarners
164. MK-CF-F-177 wageGrossByMonth
165. MK-CF-F-090 effectiveRate
166. MK-CF-F-098 progressiveMonthlyTax
167. MK-CF-F-063 rowVestYear
168. MK-CF-F-151 actualSpending
169. MK-CF-F-150 debtPaymentsCountedAsExpenses
170. MK-CF-F-153 radar
171. MK-CF-F-149 recurringDebtPayments
172. MK-CF-F-081 salaryActiveMonths
173. MK-CF-F-142 monthsOf
174. MK-CF-F-141 perMonth
175. MK-CF-O-010 theMonth
176. MK-CF-F-130 enteredMonthlyRaw
177. MK-CF-F-166 hasMonthlySalaryTable
178. MK-ST-F-036 reconcile
179. MK-CF-F-167 salaryCalendarYear
180. MK-CF-F-148 inMonth
181. MK-CF-F-152 isRadarItem
182. MK-CF-F-140 periodsAYear
183. MK-CF-O-003 thisMonth
184. MK-CF-F-005 actualMonthFlow
185. MK-CF-F-156 plannedMonthFlow
186. MK-CF-F-157 debtPaymentsByDebt
187. MK-CF-F-192 inflowLabel
188. MK-XS-F-027 takeHomeMonthly
189. MK-CF-F-193 inflowSourceWord
190. MK-CF-F-011 savingsByMonth
191. MK-CF-F-008 spendByMonth
192. MK-CF-F-120 pctBaseMonthly
193. MK-CF-F-004 spendBuckets
194. MK-CF-F-003 categoryMonthly</t>
        </is>
      </c>
      <c r="R322"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2" s="3" t="inlineStr">
        <is>
          <t>MK-MN-M-016 · MK-MN-M-022 · MK-NW-M-001 · MK-NW-M-002 · MK-NW-M-003 · MK-NW-M-004 · MK-NW-M-005 · MK-NW-M-006 · MK-NW-M-007 · MK-NW-M-008 · MK-NW-M-009 · MK-NW-M-011 · MK-NW-M-015 · MK-NW-M-016 · MK-NW-M-017 · MK-XS-M-001 · MK-XS-M-003</t>
        </is>
      </c>
      <c r="T322" s="3" t="inlineStr">
        <is>
          <t>—</t>
        </is>
      </c>
      <c r="U322" s="3" t="inlineStr">
        <is>
          <t>ACTIVE</t>
        </is>
      </c>
      <c r="V322" s="3" t="inlineStr">
        <is>
          <t>2026-09-27</t>
        </is>
      </c>
      <c r="W322" s="3" t="n"/>
      <c r="X322" s="3" t="n"/>
      <c r="Y322" s="3" t="inlineStr">
        <is>
          <t>NOTHING OPEN</t>
        </is>
      </c>
    </row>
    <row r="323" ht="60" customHeight="1">
      <c r="A323" s="3" t="inlineStr">
        <is>
          <t>MK-NW-O-004</t>
        </is>
      </c>
      <c r="B323" s="3" t="inlineStr">
        <is>
          <t>theEmergencyFund</t>
        </is>
      </c>
      <c r="C323" s="3" t="inlineStr">
        <is>
          <t>MoneyKeel/functions/networth-and-performance/emergency-fund.ts</t>
        </is>
      </c>
      <c r="D323" s="3" t="n">
        <v>135</v>
      </c>
      <c r="E323" s="3" t="inlineStr">
        <is>
          <t>2 · DISPLAYED</t>
        </is>
      </c>
      <c r="F323" s="3" t="inlineStr">
        <is>
          <t>── ORCHESTRATOR ───────────────────────────────────────────────────────────────────── The one function a screen calls for this question.</t>
        </is>
      </c>
      <c r="G323"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3"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3" s="3" t="inlineStr">
        <is>
          <t>PARTLY READ — some of the code is still showing through; needs a hand pass</t>
        </is>
      </c>
      <c r="J323" s="3" t="inlineStr">
        <is>
          <t>Nothing is handed to it</t>
        </is>
      </c>
      <c r="K323" s="3" t="inlineStr">
        <is>
          <t>NOT DECLARED — the code does not say what it gives back</t>
        </is>
      </c>
      <c r="L323" s="3" t="inlineStr">
        <is>
          <t>NOT FOUND — a screen calls it, but the words printed beside its answer could not be traced automatically. Needs reading.</t>
        </is>
      </c>
      <c r="M323" s="3" t="inlineStr">
        <is>
          <t>· If monthly is missing it uses 0.</t>
        </is>
      </c>
      <c r="N323" s="3" t="inlineStr">
        <is>
          <t>Yes</t>
        </is>
      </c>
      <c r="O323" s="3" t="inlineStr">
        <is>
          <t>1. MK-CF-F-155 cash
2. MK-NW-F-016 cashTotal
3. MK-CF-F-010 emergencyTest
4. MK-CF-F-190 essentialsMonthly
5. MK-CF-F-009 monthlyEssentials
6. MK-CF-F-002 plannedMonthlySpend
7. MK-CF-F-023 requiredPayment</t>
        </is>
      </c>
      <c r="P323" s="3" t="n">
        <v>108</v>
      </c>
      <c r="Q323"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MK-NW-O-001 theBonds
95. MK-CF-F-193 inflowSourceWord
96. MK-NW-F-057 annualCoupon
97. MK-ST-F-048 currencySymbol
98. MK-NW-F-056 bondInfo
99. MK-NW-F-064 bondRateSensitivity
100. MK-NW-F-061 bondSummary
101. MK-NW-F-055 isBond
102. MK-NW-F-072 rowOf
103. MK-ST-F-047 activeCurrency
104. MK-NW-F-060 approxYTM
105. MK-NW-F-069 priceAtYield
106. MK-NW-F-070 accruedInterestCaveat
107. MK-NW-F-071 isCertificateOfDeposit
108. MK-NW-F-058 yearsToMaturity</t>
        </is>
      </c>
      <c r="R323"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3" s="3" t="inlineStr">
        <is>
          <t>MK-NW-M-046 · MK-NW-M-047 · MK-NW-M-048</t>
        </is>
      </c>
      <c r="T323" s="3" t="inlineStr">
        <is>
          <t>—</t>
        </is>
      </c>
      <c r="U323" s="3" t="inlineStr">
        <is>
          <t>DECOMMISSIONED 2026-09-28 — it was here and is not any more. Kept so the number is never reused and earlier work can still be traced.</t>
        </is>
      </c>
      <c r="V323" s="3" t="inlineStr">
        <is>
          <t>2026-09-30</t>
        </is>
      </c>
      <c r="W323" s="3" t="n"/>
      <c r="X323" s="3" t="n"/>
      <c r="Y323" s="3" t="inlineStr">
        <is>
          <t>NOTHING OPEN</t>
        </is>
      </c>
    </row>
    <row r="324" ht="60" customHeight="1">
      <c r="A324" s="3" t="inlineStr">
        <is>
          <t>MK-NW-O-005</t>
        </is>
      </c>
      <c r="B324" s="3" t="inlineStr">
        <is>
          <t>theAlternativesOutlook</t>
        </is>
      </c>
      <c r="C324" s="3" t="inlineStr">
        <is>
          <t>MoneyKeel/functions/networth-and-performance/alternatives-outlook.ts</t>
        </is>
      </c>
      <c r="D324" s="3" t="n">
        <v>71</v>
      </c>
      <c r="E324" s="3" t="inlineStr">
        <is>
          <t>2 · DISPLAYED</t>
        </is>
      </c>
      <c r="F324" s="3" t="inlineStr">
        <is>
          <t>── ORCHESTRATOR ───────────────────────────────────────────────────────────────────── The one function a screen calls for this question.</t>
        </is>
      </c>
      <c r="G324" s="11" t="inlineStr">
        <is>
          <t>s = alternatives summary(input.accounts ?? [])</t>
        </is>
      </c>
      <c r="H324" s="3" t="inlineStr">
        <is>
          <t>S is alternatives summary(input.accounts ?? []).</t>
        </is>
      </c>
      <c r="I324" s="3" t="inlineStr">
        <is>
          <t>PARTLY READ — some of the code is still showing through; needs a hand pass</t>
        </is>
      </c>
      <c r="J324" s="3" t="inlineStr">
        <is>
          <t>input: { accounts: AssetAccount[] }</t>
        </is>
      </c>
      <c r="K324" s="3" t="inlineStr">
        <is>
          <t>AlternativesOutlook</t>
        </is>
      </c>
      <c r="L324" s="3" t="inlineStr">
        <is>
          <t>"EST. GROWTH /year" — on the Other investments screen, under "ALTERNATIVES"</t>
        </is>
      </c>
      <c r="M324" s="3" t="inlineStr">
        <is>
          <t>None found in this function — anything it assumes comes from the functions it depends on.</t>
        </is>
      </c>
      <c r="N324" s="3" t="inlineStr">
        <is>
          <t>Yes</t>
        </is>
      </c>
      <c r="O324" s="3" t="inlineStr">
        <is>
          <t>1. MK-NW-F-002 alternativesSummary
2. MK-NW-F-037 blendedReturn</t>
        </is>
      </c>
      <c r="P324" s="3" t="n">
        <v>20</v>
      </c>
      <c r="Q324" s="3" t="inlineStr">
        <is>
          <t>1. MK-NW-F-002 alternativesSummary
2. MK-NW-F-037 blendedReturn
3. MK-NW-F-034 benchmarkReturn
4. MK-NW-F-001 isAlternative
5. MK-NW-F-032 earmarkedAmount
6. MK-NW-F-031 primaryCarIdOf
7. MK-NW-F-007 assetKind
8. MK-NW-F-030 earmarkDefault
9. MK-NW-F-011 assetClassOf
10. MK-CF-F-155 cash
11. MK-NW-F-013 realEstateUseOf
12. MK-NW-F-008 incomeBearingClassOf
13. MK-XS-F-122 n
14. MK-ST-F-010 nameEvidence
15. MK-XS-F-147 call
16. MK-ST-F-056 has
17. MK-CF-F-132 map
18. MK-ST-F-027 accountId
19. MK-XS-F-064 currentIdToken
20. MK-XS-F-112 relayUrl</t>
        </is>
      </c>
      <c r="R324"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MK-NW-F-008 incomeBearingClassOf → MK-NW-F-011 assetClassOf → MK-NW-F-007 assetKind → MK-NW-F-034 benchmarkReturn → MK-NW-F-037 blendedReturn → MK-NW-O-005 theAlternativesOutlook
5. MK-XS-F-122 n → MK-CF-F-155 cash → MK-NW-F-007 assetKind → MK-NW-F-034 benchmarkReturn → MK-NW-F-037 blendedReturn → MK-NW-O-005 theAlternativesOutlook
6. MK-NW-F-008 incomeBearingClassOf → MK-NW-F-011 assetClassOf → MK-NW-F-030 earmarkDefault → MK-NW-F-032 earmarkedAmount → MK-NW-F-037 blendedReturn → MK-NW-O-005 theAlternativesOutlook
7. MK-NW-F-013 realEstateUseOf → MK-NW-F-030 earmarkDefault → MK-NW-F-032 earmarkedAmount → MK-NW-F-037 blendedReturn → MK-NW-O-005 theAlternativesOutlook
8. MK-CF-F-155 cash → MK-NW-F-008 incomeBearingClassOf → MK-NW-F-011 assetClassOf → MK-NW-F-031 primaryCarIdOf → MK-NW-F-037 blendedReturn → MK-NW-O-005 theAlternativesOutlook
9. … and 1 more paths</t>
        </is>
      </c>
      <c r="S324" s="3" t="inlineStr">
        <is>
          <t>MK-MN-M-023</t>
        </is>
      </c>
      <c r="T324" s="3" t="inlineStr">
        <is>
          <t>—</t>
        </is>
      </c>
      <c r="U324" s="3" t="inlineStr">
        <is>
          <t>ACTIVE</t>
        </is>
      </c>
      <c r="V324" s="3" t="inlineStr">
        <is>
          <t>2026-09-28</t>
        </is>
      </c>
      <c r="W324" s="3" t="n"/>
      <c r="X324" s="3" t="n"/>
      <c r="Y324" s="3" t="inlineStr">
        <is>
          <t>NOTHING OPEN</t>
        </is>
      </c>
    </row>
    <row r="325" ht="60" customHeight="1">
      <c r="A325" s="3" t="inlineStr">
        <is>
          <t>MK-NW-O-006</t>
        </is>
      </c>
      <c r="B325" s="3" t="inlineStr">
        <is>
          <t>theHolding</t>
        </is>
      </c>
      <c r="C325" s="3" t="inlineStr">
        <is>
          <t>MoneyKeel/functions/networth-and-performance/holding.ts</t>
        </is>
      </c>
      <c r="D325" s="3" t="n">
        <v>123</v>
      </c>
      <c r="E325" s="3" t="inlineStr">
        <is>
          <t>2 · DISPLAYED</t>
        </is>
      </c>
      <c r="F325" s="3" t="inlineStr">
        <is>
          <t>── ORCHESTRATOR ───────────────────────────────────────────────────────────────────── The one function a screen calls for this question.</t>
        </is>
      </c>
      <c r="G325"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t>
        </is>
      </c>
      <c r="H325"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t>
        </is>
      </c>
      <c r="I325" s="3" t="inlineStr">
        <is>
          <t>PARTLY READ — some of the code is still showing through; needs a hand pass</t>
        </is>
      </c>
      <c r="J325" s="3" t="inlineStr">
        <is>
          <t>Nothing is handed to it</t>
        </is>
      </c>
      <c r="K325" s="3" t="inlineStr">
        <is>
          <t>NOT DECLARED — the code does not say what it gives back</t>
        </is>
      </c>
      <c r="L325" s="3" t="inlineStr">
        <is>
          <t>NOT FOUND — a screen calls it, but the words printed beside its answer could not be traced automatically. Needs reading.</t>
        </is>
      </c>
      <c r="M325" s="3" t="inlineStr">
        <is>
          <t>1. If amount is missing it counts as zero, so nothing recorded and a real zero look the same.
2. Uses today's date from the device clock, so the answer changes by itself overnight.</t>
        </is>
      </c>
      <c r="N325" s="3" t="inlineStr">
        <is>
          <t>Yes</t>
        </is>
      </c>
      <c r="O325" s="3" t="inlineStr">
        <is>
          <t>1. MK-PF-F-006 capGains
2. MK-PF-F-002 costBasis
3. MK-PF-F-004 marketValue
4. MK-PF-F-028 realizedFromLedger
5. MK-PF-F-001 totalShares</t>
        </is>
      </c>
      <c r="P325" s="3" t="n">
        <v>7</v>
      </c>
      <c r="Q325" s="3" t="inlineStr">
        <is>
          <t>1. MK-PF-F-006 capGains
2. MK-PF-F-002 costBasis
3. MK-PF-F-004 marketValue
4. MK-PF-F-028 realizedFromLedger
5. MK-PF-F-001 totalShares
6. MK-XS-F-122 n
7. MK-PF-F-031 contractMultiplier</t>
        </is>
      </c>
      <c r="R325" s="3" t="inlineStr">
        <is>
          <t>1. MK-XS-F-122 n → MK-PF-F-006 capGains → MK-NW-O-006 theHolding
2. MK-PF-F-031 contractMultiplier → MK-PF-F-002 costBasis → MK-NW-O-006 theHolding
3. MK-PF-F-031 contractMultiplier → MK-PF-F-004 marketValue → MK-NW-O-006 theHolding
4. MK-PF-F-001 totalShares → MK-PF-F-004 marketValue → MK-NW-O-006 theHolding
5. MK-PF-F-028 realizedFromLedger → MK-NW-O-006 theHolding
6. MK-PF-F-001 totalShares → MK-NW-O-006 theHolding</t>
        </is>
      </c>
      <c r="S325" s="3" t="inlineStr">
        <is>
          <t>MK-NW-M-029 · MK-NW-M-030 · MK-NW-M-031 · MK-NW-M-033 · MK-NW-M-034 · MK-NW-M-035 · MK-NW-M-036 · MK-NW-M-037</t>
        </is>
      </c>
      <c r="T325" s="3" t="inlineStr">
        <is>
          <t>—</t>
        </is>
      </c>
      <c r="U325" s="3" t="inlineStr">
        <is>
          <t>ACTIVE</t>
        </is>
      </c>
      <c r="V325" s="3" t="inlineStr">
        <is>
          <t>2026-09-28</t>
        </is>
      </c>
      <c r="W325" s="3" t="n"/>
      <c r="X325" s="3" t="n"/>
      <c r="Y325" s="3" t="inlineStr">
        <is>
          <t>NOTHING OPEN</t>
        </is>
      </c>
    </row>
    <row r="326" ht="60" customHeight="1">
      <c r="A326" s="3" t="inlineStr">
        <is>
          <t>MK-NW-O-007</t>
        </is>
      </c>
      <c r="B326" s="3" t="inlineStr">
        <is>
          <t>theLookBack</t>
        </is>
      </c>
      <c r="C326" s="3" t="inlineStr">
        <is>
          <t>MoneyKeel/functions/networth-and-performance/look-back.ts</t>
        </is>
      </c>
      <c r="D326" s="3" t="n">
        <v>60</v>
      </c>
      <c r="E326" s="3" t="inlineStr">
        <is>
          <t>2 · DISPLAYED</t>
        </is>
      </c>
      <c r="F326" s="3" t="inlineStr">
        <is>
          <t>── ORCHESTRATOR ───────────────────────────────────────────────────────────────────── The one function a screen calls for this question.</t>
        </is>
      </c>
      <c r="G326" s="11" t="inlineStr">
        <is>
          <t>look back(input.amount, input.from series, input.to series, input.months, input.now ?? new date())</t>
        </is>
      </c>
      <c r="H326" s="3" t="inlineStr">
        <is>
          <t>look back(input.amount, input.from series, input.to series, input.months, input.now ?? new date()).</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 Uses today's date from the device clock, so the answer changes by itself overnight.</t>
        </is>
      </c>
      <c r="N326" s="3" t="inlineStr">
        <is>
          <t>Yes</t>
        </is>
      </c>
      <c r="O326" s="3" t="inlineStr">
        <is>
          <t>MK-PF-F-023 lookBack</t>
        </is>
      </c>
      <c r="P326" s="3" t="n">
        <v>3</v>
      </c>
      <c r="Q326" s="3" t="inlineStr">
        <is>
          <t>1. MK-PF-F-023 lookBack
2. MK-PF-F-022 factorOverMonths
3. MK-ST-F-065 isoLocalDate</t>
        </is>
      </c>
      <c r="R326" s="3" t="inlineStr">
        <is>
          <t>MK-ST-F-065 isoLocalDate → MK-PF-F-022 factorOverMonths → MK-PF-F-023 lookBack → MK-NW-O-007 theLookBack</t>
        </is>
      </c>
      <c r="S326" s="3" t="inlineStr">
        <is>
          <t>MK-PF-M-010 · MK-PF-M-011 · MK-PF-M-012</t>
        </is>
      </c>
      <c r="T326" s="3" t="inlineStr">
        <is>
          <t>—</t>
        </is>
      </c>
      <c r="U326" s="3" t="inlineStr">
        <is>
          <t>ACTIVE</t>
        </is>
      </c>
      <c r="V326" s="3" t="inlineStr">
        <is>
          <t>2026-09-28</t>
        </is>
      </c>
      <c r="W326" s="3" t="n"/>
      <c r="X326" s="3" t="n"/>
      <c r="Y326" s="3" t="inlineStr">
        <is>
          <t>NOTHING OPEN</t>
        </is>
      </c>
    </row>
    <row r="327" ht="60" customHeight="1">
      <c r="A327" s="3" t="inlineStr">
        <is>
          <t>MK-NW-O-008</t>
        </is>
      </c>
      <c r="B327" s="3" t="inlineStr">
        <is>
          <t>thePerformance</t>
        </is>
      </c>
      <c r="C327" s="3" t="inlineStr">
        <is>
          <t>MoneyKeel/functions/networth-and-performance/performance.ts</t>
        </is>
      </c>
      <c r="D327" s="3" t="n">
        <v>343</v>
      </c>
      <c r="E327" s="3" t="inlineStr">
        <is>
          <t>2 · DISPLAYED</t>
        </is>
      </c>
      <c r="F327" s="3" t="inlineStr">
        <is>
          <t>── ORCHESTRATOR ───────────────────────────────────────────────────────────────────── The one function a screen calls for this question.</t>
        </is>
      </c>
      <c r="G327"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7"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7" s="3" t="inlineStr">
        <is>
          <t>PARTLY READ — some of the code is still showing through; needs a hand pass</t>
        </is>
      </c>
      <c r="J327" s="3" t="inlineStr">
        <is>
          <t>Nothing is handed to it</t>
        </is>
      </c>
      <c r="K327" s="3" t="inlineStr">
        <is>
          <t>NOT DECLARED — the code does not say what it gives back</t>
        </is>
      </c>
      <c r="L327" s="3" t="inlineStr">
        <is>
          <t>"Ending market value" — on the Performance screen</t>
        </is>
      </c>
      <c r="M327" s="3" t="inlineStr">
        <is>
          <t>1. Treats a year as 365 days.
2. Shows 2 decimal places.</t>
        </is>
      </c>
      <c r="N327" s="3" t="inlineStr">
        <is>
          <t>Yes</t>
        </is>
      </c>
      <c r="O327" s="3" t="inlineStr">
        <is>
          <t>1. MK-XS-F-011 buildChangeWalk
2. MK-CF-F-132 map
3. MK-ST-F-064 modifiedDietzOverWindow
4. MK-ST-F-013 personalFlowTotals
5. MK-NW-F-102 rateWhereItRefuses
6. MK-ST-F-030 record
7. MK-ST-F-021 toNumber
8. MK-ST-F-031 valueOn
9. MK-ST-F-038 windowBounds</t>
        </is>
      </c>
      <c r="P327" s="3" t="n">
        <v>47</v>
      </c>
      <c r="Q327"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27"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7" s="3" t="inlineStr">
        <is>
          <t>MK-PF-M-002 · MK-PF-M-003 · MK-PF-M-005 · MK-PF-M-006 · MK-PF-M-007 · MK-PF-M-008 · MK-XS-M-004</t>
        </is>
      </c>
      <c r="T327" s="3" t="inlineStr">
        <is>
          <t>—</t>
        </is>
      </c>
      <c r="U327" s="3" t="inlineStr">
        <is>
          <t>ACTIVE</t>
        </is>
      </c>
      <c r="V327" s="3" t="inlineStr">
        <is>
          <t>2026-09-28</t>
        </is>
      </c>
      <c r="W327" s="3" t="n"/>
      <c r="X327" s="3" t="n"/>
      <c r="Y327" s="3" t="inlineStr">
        <is>
          <t>NOTHING OPEN</t>
        </is>
      </c>
    </row>
    <row r="328" ht="45" customHeight="1">
      <c r="A328" s="3" t="inlineStr">
        <is>
          <t>MK-PF-F-001</t>
        </is>
      </c>
      <c r="B328" s="3" t="inlineStr">
        <is>
          <t>totalShares</t>
        </is>
      </c>
      <c r="C328" s="3" t="inlineStr">
        <is>
          <t>src/domain/performance/index.ts</t>
        </is>
      </c>
      <c r="D328" s="3" t="n">
        <v>174</v>
      </c>
      <c r="E328" s="3" t="inlineStr">
        <is>
          <t>2 · DISPLAYED</t>
        </is>
      </c>
      <c r="F328" s="3" t="inlineStr">
        <is>
          <t>---- cost basis &amp; value (lot math) ----</t>
        </is>
      </c>
      <c r="G328" s="11" t="inlineStr">
        <is>
          <t>total shares(holding) = Σ over every lot of (shares, or 0 when missing)</t>
        </is>
      </c>
      <c r="H328" s="3" t="inlineStr">
        <is>
          <t>Adds the share count of every lot. A lot with no share count counts as zero, so "nothing recorded" and "a real zero" give the same answer.</t>
        </is>
      </c>
      <c r="I328" s="3" t="inlineStr">
        <is>
          <t>READ BY HAND 2026-08-26 — checked line by line against the code</t>
        </is>
      </c>
      <c r="J328" s="3" t="inlineStr">
        <is>
          <t>p: Position</t>
        </is>
      </c>
      <c r="K328" s="3" t="inlineStr">
        <is>
          <t>number</t>
        </is>
      </c>
      <c r="L328" s="3" t="inlineStr">
        <is>
          <t>NOT FOUND — a screen calls it, but the words printed beside its answer could not be traced automatically. Needs reading.</t>
        </is>
      </c>
      <c r="M328" s="3" t="inlineStr">
        <is>
          <t>· If shares is missing it counts as zero, so nothing recorded and a real zero look the same.</t>
        </is>
      </c>
      <c r="N328" s="3" t="inlineStr">
        <is>
          <t>Yes</t>
        </is>
      </c>
      <c r="O328" s="3" t="inlineStr">
        <is>
          <t>—</t>
        </is>
      </c>
      <c r="P328" s="3" t="n">
        <v>0</v>
      </c>
      <c r="Q328" s="3" t="inlineStr">
        <is>
          <t>None — no dependent function stands behind it</t>
        </is>
      </c>
      <c r="R328" s="3" t="inlineStr">
        <is>
          <t>No dependent function — it reads its inputs and answers</t>
        </is>
      </c>
      <c r="S328" s="3" t="inlineStr">
        <is>
          <t>—</t>
        </is>
      </c>
      <c r="T328" s="3" t="inlineStr">
        <is>
          <t>HOLDING_SHARES</t>
        </is>
      </c>
      <c r="U328" s="3" t="inlineStr">
        <is>
          <t>ACTIVE</t>
        </is>
      </c>
      <c r="V328" s="3" t="inlineStr">
        <is>
          <t>2026-08-27</t>
        </is>
      </c>
      <c r="W328" s="3" t="inlineStr">
        <is>
          <t>[from MK-NW-M-031, typed Q07/Q09] 8 decimals for coins; always capture units.</t>
        </is>
      </c>
      <c r="X328" s="6" t="inlineStr">
        <is>
          <t>Sums raw numbers with no unit and no rounding. Fix: a unit on the position; coin quantities to 8 decimals — see MK-NW-M-031.</t>
        </is>
      </c>
      <c r="Y328" s="6" t="inlineStr">
        <is>
          <t>WAITING ON YOU — answer to read</t>
        </is>
      </c>
    </row>
    <row r="329" ht="60" customHeight="1">
      <c r="A329" s="3" t="inlineStr">
        <is>
          <t>MK-PF-F-002</t>
        </is>
      </c>
      <c r="B329" s="3" t="inlineStr">
        <is>
          <t>costBasis</t>
        </is>
      </c>
      <c r="C329" s="3" t="inlineStr">
        <is>
          <t>src/domain/performance/index.ts</t>
        </is>
      </c>
      <c r="D329" s="3" t="n">
        <v>214</v>
      </c>
      <c r="E329" s="3" t="inlineStr">
        <is>
          <t>2 · DISPLAYED</t>
        </is>
      </c>
      <c r="F329" s="3" t="inlineStr">
        <is>
          <t>What did I pay for this in total?</t>
        </is>
      </c>
      <c r="G329" s="11" t="inlineStr">
        <is>
          <t>cost basis(holding) = Σ over every lot of (shares × cost per share)</t>
        </is>
      </c>
      <c r="H329" s="3" t="inlineStr">
        <is>
          <t>What was paid, added across the lots. A lot with no cost per share contributes nothing, so a holding with neither a price nor a cost lands at $0 and quietly leaves net worth.</t>
        </is>
      </c>
      <c r="I329" s="3" t="inlineStr">
        <is>
          <t>READ BY HAND 2026-08-26 — checked line by line against the code</t>
        </is>
      </c>
      <c r="J329" s="3" t="inlineStr">
        <is>
          <t>p: Position</t>
        </is>
      </c>
      <c r="K329" s="3" t="inlineStr">
        <is>
          <t>number</t>
        </is>
      </c>
      <c r="L329" s="3" t="inlineStr">
        <is>
          <t>NOT FOUND — a screen calls it, but the words printed beside its answer could not be traced automatically. Needs reading.</t>
        </is>
      </c>
      <c r="M329" s="3" t="inlineStr">
        <is>
          <t>1. If shares is missing it counts as zero, so nothing recorded and a real zero look the same.
2. If cost per share is missing it counts as zero, so nothing recorded and a real zero look the same.</t>
        </is>
      </c>
      <c r="N329" s="3" t="inlineStr">
        <is>
          <t>Yes</t>
        </is>
      </c>
      <c r="O329" s="3" t="inlineStr">
        <is>
          <t>MK-PF-F-031 contractMultiplier</t>
        </is>
      </c>
      <c r="P329" s="3" t="n">
        <v>1</v>
      </c>
      <c r="Q329" s="3" t="inlineStr">
        <is>
          <t>MK-PF-F-031 contractMultiplier</t>
        </is>
      </c>
      <c r="R329" s="3" t="inlineStr">
        <is>
          <t>MK-PF-F-031 contractMultiplier → MK-PF-F-002 costBasis</t>
        </is>
      </c>
      <c r="S329" s="3" t="inlineStr">
        <is>
          <t>—</t>
        </is>
      </c>
      <c r="T329" s="3" t="inlineStr">
        <is>
          <t>HOLDING_COST_BASIS</t>
        </is>
      </c>
      <c r="U329" s="3" t="inlineStr">
        <is>
          <t>ACTIVE</t>
        </is>
      </c>
      <c r="V329" s="3" t="inlineStr">
        <is>
          <t>2026-09-09</t>
        </is>
      </c>
      <c r="W329" s="3" t="inlineStr">
        <is>
          <t>[from MK-NW-M-032 / M-033] Average price must not divide by shares whose cost is missing or zero; Total paid vs Price paid (average) — two things or one?</t>
        </is>
      </c>
      <c r="X329"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29" s="6" t="inlineStr">
        <is>
          <t>WAITING ON YOU — answer to read · TESTED, NOT VERIFIED (Q06)</t>
        </is>
      </c>
    </row>
    <row r="330" ht="60" customHeight="1">
      <c r="A330" s="3" t="inlineStr">
        <is>
          <t>MK-PF-F-003</t>
        </is>
      </c>
      <c r="B330" s="3" t="inlineStr">
        <is>
          <t>avgCost</t>
        </is>
      </c>
      <c r="C330" s="3" t="inlineStr">
        <is>
          <t>src/domain/performance/index.ts</t>
        </is>
      </c>
      <c r="D330" s="3" t="n">
        <v>237</v>
      </c>
      <c r="E330" s="3" t="inlineStr">
        <is>
          <t>2 · DISPLAYED</t>
        </is>
      </c>
      <c r="F330" s="3" t="inlineStr">
        <is>
          <t>NOT DETERMINED — the code carries no note saying what this is for, and it has no row in the old inventory. Needs reading.</t>
        </is>
      </c>
      <c r="G330" s="11" t="inlineStr">
        <is>
          <t>sh = total shares(p)
the answer:
cost basis(p) ÷ sh   if sh &gt; 0
0   otherwise</t>
        </is>
      </c>
      <c r="H330" s="3" t="inlineStr">
        <is>
          <t>Sh is total shares(p). The answer is cost basis(p) divided by sh — when sh &gt; 0; 0 — otherwise.</t>
        </is>
      </c>
      <c r="I330" s="3" t="inlineStr">
        <is>
          <t>READ FROM THE CODE — rendered from the expressions the function runs</t>
        </is>
      </c>
      <c r="J330" s="3" t="inlineStr">
        <is>
          <t>p: Position</t>
        </is>
      </c>
      <c r="K330" s="3" t="inlineStr">
        <is>
          <t>number</t>
        </is>
      </c>
      <c r="L330" s="3" t="inlineStr">
        <is>
          <t>NOT FOUND — a screen calls it, but the words printed beside its answer could not be traced automatically. Needs reading.</t>
        </is>
      </c>
      <c r="M330" s="3" t="inlineStr">
        <is>
          <t>None found in this function — anything it assumes comes from the functions it depends on.</t>
        </is>
      </c>
      <c r="N330" s="3" t="inlineStr">
        <is>
          <t>Yes</t>
        </is>
      </c>
      <c r="O330" s="3" t="inlineStr">
        <is>
          <t>1. MK-PF-F-002 costBasis
2. MK-PF-F-001 totalShares</t>
        </is>
      </c>
      <c r="P330" s="3" t="n">
        <v>3</v>
      </c>
      <c r="Q330" s="3" t="inlineStr">
        <is>
          <t>1. MK-PF-F-002 costBasis
2. MK-PF-F-001 totalShares
3. MK-PF-F-031 contractMultiplier</t>
        </is>
      </c>
      <c r="R330" s="3" t="inlineStr">
        <is>
          <t>1. MK-PF-F-031 contractMultiplier → MK-PF-F-002 costBasis → MK-PF-F-003 avgCost
2. MK-PF-F-001 totalShares → MK-PF-F-003 avgCost</t>
        </is>
      </c>
      <c r="S330" s="3" t="inlineStr">
        <is>
          <t>MK-NW-M-032</t>
        </is>
      </c>
      <c r="T330" s="3" t="inlineStr">
        <is>
          <t>—</t>
        </is>
      </c>
      <c r="U330" s="3" t="inlineStr">
        <is>
          <t>ACTIVE</t>
        </is>
      </c>
      <c r="V330" s="3" t="inlineStr">
        <is>
          <t>2026-09-09</t>
        </is>
      </c>
      <c r="W330" s="3" t="inlineStr">
        <is>
          <t>[from MK-NW-M-032 / M-033] see MK-PF-F-002</t>
        </is>
      </c>
      <c r="X330" s="6" t="inlineStr">
        <is>
          <t>Unused by any screen (it clips to cents; the screen wants 3 decimals) and it divides by ALL shares. Retire it or make it the averagePricePaid of JJ-1 (cost &gt; 0 lots only, no cents clipping).</t>
        </is>
      </c>
      <c r="Y330" s="6" t="inlineStr">
        <is>
          <t>WAITING ON YOU — answer to read</t>
        </is>
      </c>
    </row>
    <row r="331" ht="60" customHeight="1">
      <c r="A331" s="3" t="inlineStr">
        <is>
          <t>MK-PF-F-004</t>
        </is>
      </c>
      <c r="B331" s="3" t="inlineStr">
        <is>
          <t>marketValue</t>
        </is>
      </c>
      <c r="C331" s="3" t="inlineStr">
        <is>
          <t>src/domain/performance/index.ts</t>
        </is>
      </c>
      <c r="D331" s="3" t="n">
        <v>275</v>
      </c>
      <c r="E331" s="3" t="inlineStr">
        <is>
          <t>3 · DEPENDENT</t>
        </is>
      </c>
      <c r="F331" s="3" t="inlineStr">
        <is>
          <t>What is this holding worth right now?</t>
        </is>
      </c>
      <c r="G331" s="11" t="inlineStr">
        <is>
          <t>market value(holding) = round(total shares × price, 2 dp)
                      = 0   when no price came back</t>
        </is>
      </c>
      <c r="H331"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1" s="3" t="inlineStr">
        <is>
          <t>READ BY HAND 2026-08-26 — checked line by line against the code</t>
        </is>
      </c>
      <c r="J331" s="3" t="inlineStr">
        <is>
          <t>1. p: Position
2. price: number | null | undefined</t>
        </is>
      </c>
      <c r="K331" s="3" t="inlineStr">
        <is>
          <t>number</t>
        </is>
      </c>
      <c r="L331" s="3" t="inlineStr">
        <is>
          <t>—</t>
        </is>
      </c>
      <c r="M331" s="3" t="inlineStr">
        <is>
          <t>None found in this function — anything it assumes comes from the functions it depends on.</t>
        </is>
      </c>
      <c r="N331" s="3" t="inlineStr">
        <is>
          <t>Yes</t>
        </is>
      </c>
      <c r="O331" s="3" t="inlineStr">
        <is>
          <t>1. MK-PF-F-031 contractMultiplier
2. MK-PF-F-001 totalShares</t>
        </is>
      </c>
      <c r="P331" s="3" t="n">
        <v>2</v>
      </c>
      <c r="Q331" s="3" t="inlineStr">
        <is>
          <t>1. MK-PF-F-031 contractMultiplier
2. MK-PF-F-001 totalShares</t>
        </is>
      </c>
      <c r="R331" s="3" t="inlineStr">
        <is>
          <t>1. MK-PF-F-031 contractMultiplier → MK-PF-F-004 marketValue
2. MK-PF-F-001 totalShares → MK-PF-F-004 marketValue</t>
        </is>
      </c>
      <c r="S331" s="3" t="inlineStr">
        <is>
          <t>—</t>
        </is>
      </c>
      <c r="T331" s="3" t="inlineStr">
        <is>
          <t>HOLDING_MARKET_VALUE</t>
        </is>
      </c>
      <c r="U331" s="3" t="inlineStr">
        <is>
          <t>ACTIVE</t>
        </is>
      </c>
      <c r="V331" s="3" t="inlineStr">
        <is>
          <t>2026-08-27</t>
        </is>
      </c>
      <c r="W331" s="3" t="inlineStr">
        <is>
          <t>[from MK-NW-M-030, typed Q06] value is contracts * 100 * price unless stated otherwise by broker or user.</t>
        </is>
      </c>
      <c r="X331" s="6" t="inlineStr">
        <is>
          <t>NOT APPLIED here: market value = units × price, no multiplier. Fix: multiply by the position's multiplier (100 for a contract unless the feed or the person states another) — Q42 on MK-NW-M-030.</t>
        </is>
      </c>
      <c r="Y331" s="6" t="inlineStr">
        <is>
          <t>WAITING ON YOU — answer to read · TESTED, NOT VERIFIED (Q06)</t>
        </is>
      </c>
    </row>
    <row r="332" ht="60" customHeight="1">
      <c r="A332" s="3" t="inlineStr">
        <is>
          <t>MK-PF-F-005</t>
        </is>
      </c>
      <c r="B332" s="3" t="inlineStr">
        <is>
          <t>unrealizedGain</t>
        </is>
      </c>
      <c r="C332" s="3" t="inlineStr">
        <is>
          <t>src/domain/performance/index.ts</t>
        </is>
      </c>
      <c r="D332" s="3" t="n">
        <v>299</v>
      </c>
      <c r="E332" s="3" t="inlineStr">
        <is>
          <t>3 · DEPENDENT</t>
        </is>
      </c>
      <c r="F332" s="3" t="inlineStr">
        <is>
          <t>Unrealized gain = market value − cost basis (null price → 0).</t>
        </is>
      </c>
      <c r="G332" s="11" t="inlineStr">
        <is>
          <t>0   if price = nothing
market value(p, price) − cost basis(p)   otherwise</t>
        </is>
      </c>
      <c r="H332" s="3" t="inlineStr">
        <is>
          <t>0 — when price is missing; market value(p, price) minus cost basis(p) — otherwise.</t>
        </is>
      </c>
      <c r="I332" s="3" t="inlineStr">
        <is>
          <t>READ FROM THE CODE — rendered from the expressions the function runs</t>
        </is>
      </c>
      <c r="J332" s="3" t="inlineStr">
        <is>
          <t>1. p: Position
2. price: number | null | undefined</t>
        </is>
      </c>
      <c r="K332" s="3" t="inlineStr">
        <is>
          <t>number</t>
        </is>
      </c>
      <c r="L332" s="3" t="inlineStr">
        <is>
          <t>—</t>
        </is>
      </c>
      <c r="M332" s="3" t="inlineStr">
        <is>
          <t>None found in this function — anything it assumes comes from the functions it depends on.</t>
        </is>
      </c>
      <c r="N332" s="3" t="inlineStr">
        <is>
          <t>Yes</t>
        </is>
      </c>
      <c r="O332" s="3" t="inlineStr">
        <is>
          <t>1. MK-PF-F-002 costBasis
2. MK-CF-F-204 line
3. MK-PF-F-004 marketValue</t>
        </is>
      </c>
      <c r="P332" s="3" t="n">
        <v>106</v>
      </c>
      <c r="Q332" s="3" t="inlineStr">
        <is>
          <t>1. MK-PF-F-002 costBasis
2. MK-CF-F-204 line
3. MK-PF-F-004 marketValue
4. MK-PF-F-031 contractMultiplier
5. MK-CF-F-203 MONTH
6. MK-XS-F-180 declareFigures
7. MK-PF-F-001 totalShares
8. MK-CF-O-010 theMonth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MK-CF-F-155 cash
27. MK-CF-F-157 debtPaymentsByDebt
28. MK-CF-F-192 inflowLabel
29. MK-XS-F-027 takeHomeMonthly
30. MK-XS-F-122 n
31. MK-CF-F-021 defaultPaymentType
32. MK-NW-F-077 ALL
33. MK-NW-F-059 currentYield
34. MK-ST-F-049 formatMoney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332" s="3" t="inlineStr">
        <is>
          <t>1. MK-PF-F-031 contractMultiplier → MK-PF-F-002 costBasis → MK-PF-F-005 unrealizedGain
2. MONTH (already above — a loop) → MK-CF-O-010 theMonth → MK-CF-F-203 MONTH → MK-CF-F-204 line → MK-PF-F-005 unrealizedGain
3. MK-CF-F-151 actualSpending → MK-CF-O-002 expenses → MK-CF-O-010 theMonth → MK-CF-F-203 MONTH → MK-CF-F-204 line → MK-PF-F-005 unrealizedGain
4. MK-CF-F-150 debtPaymentsCountedAsExpenses → MK-CF-O-002 expenses → MK-CF-O-010 theMonth → MK-CF-F-203 MONTH → MK-CF-F-204 line → MK-PF-F-005 unrealizedGain
5. MK-CF-F-153 radar → MK-CF-O-002 expenses → MK-CF-O-010 theMonth → MK-CF-F-203 MONTH → MK-CF-F-204 line → MK-PF-F-005 unrealizedGain
6. MK-CF-F-149 recurringDebtPayments → MK-CF-O-002 expenses → MK-CF-O-010 theMonth → MK-CF-F-203 MONTH → MK-CF-F-204 line → MK-PF-F-005 unrealizedGain
7. MK-CF-F-005 actualMonthFlow → MK-CF-O-003 thisMonth → MK-CF-O-010 theMonth → MK-CF-F-203 MONTH → MK-CF-F-204 line → MK-PF-F-005 unrealizedGain
8. MK-CF-F-156 plannedMonthFlow → MK-CF-O-003 thisMonth → MK-CF-O-010 theMonth → MK-CF-F-203 MONTH → MK-CF-F-204 line → MK-PF-F-005 unrealizedGain
9. … and 3 more paths</t>
        </is>
      </c>
      <c r="S332" s="3" t="inlineStr">
        <is>
          <t>—</t>
        </is>
      </c>
      <c r="T332" s="3" t="inlineStr">
        <is>
          <t>HOLDING_UNREALISED_GAIN</t>
        </is>
      </c>
      <c r="U332" s="3" t="inlineStr">
        <is>
          <t>ACTIVE</t>
        </is>
      </c>
      <c r="V332" s="3" t="inlineStr">
        <is>
          <t>2026-09-09</t>
        </is>
      </c>
      <c r="W332" s="3" t="n"/>
      <c r="X332" s="3" t="n"/>
      <c r="Y332" s="3" t="inlineStr">
        <is>
          <t>NOTHING OPEN</t>
        </is>
      </c>
    </row>
    <row r="333" ht="60" customHeight="1">
      <c r="A333" s="3" t="inlineStr">
        <is>
          <t>MK-PF-F-006</t>
        </is>
      </c>
      <c r="B333" s="3" t="inlineStr">
        <is>
          <t>capGains</t>
        </is>
      </c>
      <c r="C333" s="3" t="inlineStr">
        <is>
          <t>src/domain/performance/index.ts</t>
        </is>
      </c>
      <c r="D333" s="3" t="n">
        <v>336</v>
      </c>
      <c r="E333" s="3" t="inlineStr">
        <is>
          <t>3 · DEPENDENT</t>
        </is>
      </c>
      <c r="F333" s="3" t="inlineStr">
        <is>
          <t>If I sold this today, how much of the gain is long-term and how much short-term?</t>
        </is>
      </c>
      <c r="G333" s="11" t="inlineStr">
        <is>
          <t>per lot:  gain = shares × (price − cost per share)
long-term when today is LATER than the first anniversary of the purchase
short-term otherwise, and a lot with no cost recorded is skipped entirely</t>
        </is>
      </c>
      <c r="H333"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3" s="3" t="inlineStr">
        <is>
          <t>READ BY HAND 2026-08-26 — checked line by line against the code</t>
        </is>
      </c>
      <c r="J333" s="3" t="inlineStr">
        <is>
          <t>1. p: Position
2. price: number | null | undefined
3. now: Date = new Date()</t>
        </is>
      </c>
      <c r="K333" s="3" t="inlineStr">
        <is>
          <t>CapGains</t>
        </is>
      </c>
      <c r="L333" s="3" t="inlineStr">
        <is>
          <t>—</t>
        </is>
      </c>
      <c r="M333" s="3" t="inlineStr">
        <is>
          <t>· Uses today's date from the device clock, so the answer changes by itself overnight.</t>
        </is>
      </c>
      <c r="N333" s="3" t="inlineStr">
        <is>
          <t>Yes</t>
        </is>
      </c>
      <c r="O333" s="3" t="inlineStr">
        <is>
          <t>MK-XS-F-122 n</t>
        </is>
      </c>
      <c r="P333" s="3" t="n">
        <v>1</v>
      </c>
      <c r="Q333" s="3" t="inlineStr">
        <is>
          <t>MK-XS-F-122 n</t>
        </is>
      </c>
      <c r="R333" s="3" t="inlineStr">
        <is>
          <t>MK-XS-F-122 n → MK-PF-F-006 capGains</t>
        </is>
      </c>
      <c r="S333" s="3" t="inlineStr">
        <is>
          <t>—</t>
        </is>
      </c>
      <c r="T333" s="3" t="inlineStr">
        <is>
          <t>HOLDING_CAP_GAINS</t>
        </is>
      </c>
      <c r="U333" s="3" t="inlineStr">
        <is>
          <t>ACTIVE</t>
        </is>
      </c>
      <c r="V333" s="3" t="inlineStr">
        <is>
          <t>2026-09-28</t>
        </is>
      </c>
      <c r="W333" s="3" t="n"/>
      <c r="X333" s="3" t="n"/>
      <c r="Y333" s="6" t="inlineStr">
        <is>
          <t>TESTED, NOT VERIFIED (G2)</t>
        </is>
      </c>
    </row>
    <row r="334" ht="60" customHeight="1">
      <c r="A334" s="3" t="inlineStr">
        <is>
          <t>MK-PF-F-007</t>
        </is>
      </c>
      <c r="B334" s="3" t="inlineStr">
        <is>
          <t>totalROI</t>
        </is>
      </c>
      <c r="C334" s="3" t="inlineStr">
        <is>
          <t>src/domain/performance/index.ts</t>
        </is>
      </c>
      <c r="D334" s="3" t="n">
        <v>383</v>
      </c>
      <c r="E334" s="3" t="inlineStr">
        <is>
          <t>3 · DEPENDENT</t>
        </is>
      </c>
      <c r="F334" s="3" t="inlineStr">
        <is>
          <t>Total return since purchase = gain / cost basis (decimal).</t>
        </is>
      </c>
      <c r="G334" s="11" t="inlineStr">
        <is>
          <t>basis = cost basis(p)
nothing   when price = nothing (or basis ≤ 0 when missing or zero)
the answer = unrealized gain(p, price) ÷ basis</t>
        </is>
      </c>
      <c r="H334" s="3" t="inlineStr">
        <is>
          <t>Basis is cost basis(p). When price is missing (or basis is at most 0 — when missing or zero), it answers no answer. The answer is unrealized gain(p, price) divided by basis.</t>
        </is>
      </c>
      <c r="I334" s="3" t="inlineStr">
        <is>
          <t>READ FROM THE CODE — rendered from the expressions the function runs</t>
        </is>
      </c>
      <c r="J334" s="3" t="inlineStr">
        <is>
          <t>1. p: Position
2. price: number | null | undefined</t>
        </is>
      </c>
      <c r="K334" s="3" t="inlineStr">
        <is>
          <t>number | null</t>
        </is>
      </c>
      <c r="L334" s="3" t="inlineStr">
        <is>
          <t>—</t>
        </is>
      </c>
      <c r="M334" s="3" t="inlineStr">
        <is>
          <t>None found in this function — anything it assumes comes from the functions it depends on.</t>
        </is>
      </c>
      <c r="N334" s="3" t="inlineStr">
        <is>
          <t>Yes</t>
        </is>
      </c>
      <c r="O334" s="3" t="inlineStr">
        <is>
          <t>1. MK-PF-F-002 costBasis
2. MK-PF-F-005 unrealizedGain</t>
        </is>
      </c>
      <c r="P334" s="3" t="n">
        <v>107</v>
      </c>
      <c r="Q334" s="3" t="inlineStr">
        <is>
          <t>1. MK-PF-F-002 costBasis
2. MK-PF-F-005 unrealizedGain
3. MK-PF-F-031 contractMultiplier
4. MK-CF-F-204 line
5. MK-PF-F-004 marketValue
6. MK-CF-F-203 MONTH
7. MK-XS-F-180 declareFigures
8. MK-PF-F-001 totalShares
9. MK-CF-O-010 theMonth
10. MK-CF-O-002 expenses
11. MK-CF-O-003 thisMonth
12. MK-CF-F-151 actualSpending
13. MK-CF-F-150 debtPaymentsCountedAsExpenses
14. MK-CF-F-153 radar
15. MK-CF-F-149 recurringDebtPayments
16. MK-CF-F-005 actualMonthFlow
17. MK-CF-F-156 plannedMonthFlow
18. MK-CF-F-148 inMonth
19. MK-ST-F-052 toNum
20. MK-CF-F-191 ym
21. MK-ST-F-056 has
22. MK-CF-F-022 paymentShape
23. MK-CF-F-152 isRadarItem
24. MK-CF-F-023 requiredPayment
25. MK-CF-F-132 map
26. MK-NW-F-078 ONE
27. MK-CF-F-155 cash
28. MK-CF-F-157 debtPaymentsByDebt
29. MK-CF-F-192 inflowLabel
30. MK-XS-F-027 takeHomeMonthly
31. MK-XS-F-122 n
32. MK-CF-F-021 defaultPaymentType
33. MK-NW-F-077 ALL
34. MK-NW-F-059 currentYield
35. MK-ST-F-049 formatMoney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34"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MK-CF-O-002 expenses → MK-CF-O-010 theMonth → MK-CF-F-203 MONTH → MK-CF-F-204 line → MK-PF-F-005 unrealizedGain → MK-PF-F-007 totalROI
5. MK-CF-O-003 thisMonth → MK-CF-O-010 theMonth → MK-CF-F-203 MONTH → MK-CF-F-204 line → MK-PF-F-005 unrealizedGain → MK-PF-F-007 totalROI
6. MK-XS-F-180 declareFigures → MK-CF-F-204 line → MK-PF-F-005 unrealizedGain → MK-PF-F-007 totalROI
7. MK-PF-F-031 contractMultiplier → MK-PF-F-004 marketValue → MK-PF-F-005 unrealizedGain → MK-PF-F-007 totalROI
8. MK-PF-F-001 totalShares → MK-PF-F-004 marketValue → MK-PF-F-005 unrealizedGain → MK-PF-F-007 totalROI</t>
        </is>
      </c>
      <c r="S334" s="3" t="inlineStr">
        <is>
          <t>—</t>
        </is>
      </c>
      <c r="T334" s="3" t="inlineStr">
        <is>
          <t>HOLDING_TOTAL_ROI</t>
        </is>
      </c>
      <c r="U334" s="3" t="inlineStr">
        <is>
          <t>ACTIVE</t>
        </is>
      </c>
      <c r="V334" s="3" t="inlineStr">
        <is>
          <t>2026-09-09</t>
        </is>
      </c>
      <c r="W334" s="3" t="n"/>
      <c r="X334" s="3" t="n"/>
      <c r="Y334" s="3" t="inlineStr">
        <is>
          <t>NOTHING OPEN</t>
        </is>
      </c>
    </row>
    <row r="335" ht="45" customHeight="1">
      <c r="A335" s="3" t="inlineStr">
        <is>
          <t>MK-PF-F-008</t>
        </is>
      </c>
      <c r="B335" s="3" t="inlineStr">
        <is>
          <t>startDateFor</t>
        </is>
      </c>
      <c r="C335" s="3" t="inlineStr">
        <is>
          <t>src/domain/performance/index.ts</t>
        </is>
      </c>
      <c r="D335" s="3" t="n">
        <v>411</v>
      </c>
      <c r="E335" s="3" t="inlineStr">
        <is>
          <t>2 · DISPLAYED</t>
        </is>
      </c>
      <c r="F335" s="3" t="inlineStr">
        <is>
          <t>---- period returns from a price series (price return of the security itself) ----</t>
        </is>
      </c>
      <c r="G335" s="11" t="inlineStr">
        <is>
          <t>d = the date now
the answer = d</t>
        </is>
      </c>
      <c r="H335" s="3" t="inlineStr">
        <is>
          <t>D: the date now. The answer is d.</t>
        </is>
      </c>
      <c r="I335" s="3" t="inlineStr">
        <is>
          <t>READ FROM THE CODE — rendered from the expressions the function runs</t>
        </is>
      </c>
      <c r="J335" s="3" t="inlineStr">
        <is>
          <t>1. period: Period
2. now: Date</t>
        </is>
      </c>
      <c r="K335" s="3" t="inlineStr">
        <is>
          <t>Date</t>
        </is>
      </c>
      <c r="L335" s="3" t="inlineStr">
        <is>
          <t>NOT FOUND — a screen calls it, but the words printed beside its answer could not be traced automatically. Needs reading.</t>
        </is>
      </c>
      <c r="M335" s="3" t="inlineStr">
        <is>
          <t>None found in this function — anything it assumes comes from the functions it depends on.</t>
        </is>
      </c>
      <c r="N335" s="3" t="inlineStr">
        <is>
          <t>Yes</t>
        </is>
      </c>
      <c r="O335" s="3" t="inlineStr">
        <is>
          <t>—</t>
        </is>
      </c>
      <c r="P335" s="3" t="n">
        <v>0</v>
      </c>
      <c r="Q335" s="3" t="inlineStr">
        <is>
          <t>None — no dependent function stands behind it</t>
        </is>
      </c>
      <c r="R335" s="3" t="inlineStr">
        <is>
          <t>No dependent function — it reads its inputs and answers</t>
        </is>
      </c>
      <c r="S335" s="3" t="inlineStr">
        <is>
          <t>—</t>
        </is>
      </c>
      <c r="T335" s="3" t="inlineStr">
        <is>
          <t>PERIOD_START_DATE</t>
        </is>
      </c>
      <c r="U335" s="3" t="inlineStr">
        <is>
          <t>ACTIVE</t>
        </is>
      </c>
      <c r="V335" s="3" t="inlineStr">
        <is>
          <t>2026-08-27</t>
        </is>
      </c>
      <c r="W335" s="3" t="n"/>
      <c r="X335" s="3" t="n"/>
      <c r="Y335" s="3" t="inlineStr">
        <is>
          <t>NOTHING OPEN</t>
        </is>
      </c>
    </row>
    <row r="336" ht="60" customHeight="1">
      <c r="A336" s="3" t="inlineStr">
        <is>
          <t>MK-PF-F-009</t>
        </is>
      </c>
      <c r="B336" s="3" t="inlineStr">
        <is>
          <t>latestClose</t>
        </is>
      </c>
      <c r="C336" s="3" t="inlineStr">
        <is>
          <t>src/domain/performance/index.ts</t>
        </is>
      </c>
      <c r="D336" s="3" t="n">
        <v>532</v>
      </c>
      <c r="E336" s="3" t="inlineStr">
        <is>
          <t>2 · DISPLAYED</t>
        </is>
      </c>
      <c r="F336" s="3" t="inlineStr">
        <is>
          <t>What is the most recent price we hold for this?</t>
        </is>
      </c>
      <c r="G336" s="11" t="inlineStr">
        <is>
          <t>latest close = the last point in the price series
             = nothing   when the series is empty</t>
        </is>
      </c>
      <c r="H336" s="3" t="inlineStr">
        <is>
          <t>The most recent closing price held for a ticker. It carries no date with it, so nothing downstream can tell a price from this morning from one three weeks old.</t>
        </is>
      </c>
      <c r="I336" s="3" t="inlineStr">
        <is>
          <t>READ BY HAND 2026-08-26 — checked line by line against the code</t>
        </is>
      </c>
      <c r="J336" s="3" t="inlineStr">
        <is>
          <t>series: PriceSeries | null | undefined</t>
        </is>
      </c>
      <c r="K336" s="3" t="inlineStr">
        <is>
          <t>number | null</t>
        </is>
      </c>
      <c r="L336" s="3" t="inlineStr">
        <is>
          <t>NOT FOUND — a screen calls it, but the words printed beside its answer could not be traced automatically. Needs reading.</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PRICE_LATEST</t>
        </is>
      </c>
      <c r="U336" s="3" t="inlineStr">
        <is>
          <t>ACTIVE</t>
        </is>
      </c>
      <c r="V336" s="3" t="inlineStr">
        <is>
          <t>2026-09-08</t>
        </is>
      </c>
      <c r="W336" s="3" t="n"/>
      <c r="X336" s="3" t="n"/>
      <c r="Y336" s="3" t="inlineStr">
        <is>
          <t>NOTHING OPEN</t>
        </is>
      </c>
    </row>
    <row r="337" ht="60" customHeight="1">
      <c r="A337" s="3" t="inlineStr">
        <is>
          <t>MK-PF-F-010</t>
        </is>
      </c>
      <c r="B337" s="3" t="inlineStr">
        <is>
          <t>periodReturn</t>
        </is>
      </c>
      <c r="C337" s="3" t="inlineStr">
        <is>
          <t>src/domain/performance/index.ts</t>
        </is>
      </c>
      <c r="D337" s="3" t="n">
        <v>565</v>
      </c>
      <c r="E337" s="3" t="inlineStr">
        <is>
          <t>3 · DEPENDENT</t>
        </is>
      </c>
      <c r="F337" s="3" t="inlineStr">
        <is>
          <t>Price return of a ticker over a period (decimal).</t>
        </is>
      </c>
      <c r="G337"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7"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7" s="3" t="inlineStr">
        <is>
          <t>READ FROM THE CODE — rendered from the expressions the function runs</t>
        </is>
      </c>
      <c r="J337" s="3" t="inlineStr">
        <is>
          <t>1. series: PriceSeries | null | undefined
2. period: Period
3. now = new Date()</t>
        </is>
      </c>
      <c r="K337" s="3" t="inlineStr">
        <is>
          <t>number | null</t>
        </is>
      </c>
      <c r="L337" s="3" t="inlineStr">
        <is>
          <t>—</t>
        </is>
      </c>
      <c r="M337" s="3" t="inlineStr">
        <is>
          <t>· Uses today's date from the device clock, so the answer changes by itself overnight.</t>
        </is>
      </c>
      <c r="N337" s="3" t="inlineStr">
        <is>
          <t>Yes</t>
        </is>
      </c>
      <c r="O337" s="3" t="inlineStr">
        <is>
          <t>1. MK-PF-F-029 closeAsOf
2. MK-PF-F-009 latestClose
3. MK-PF-F-008 startDateFor</t>
        </is>
      </c>
      <c r="P337" s="3" t="n">
        <v>3</v>
      </c>
      <c r="Q337" s="3" t="inlineStr">
        <is>
          <t>1. MK-PF-F-029 closeAsOf
2. MK-PF-F-009 latestClose
3. MK-PF-F-008 startDateFor</t>
        </is>
      </c>
      <c r="R337" s="3" t="inlineStr">
        <is>
          <t>1. MK-PF-F-029 closeAsOf → MK-PF-F-010 periodReturn
2. MK-PF-F-009 latestClose → MK-PF-F-010 periodReturn
3. MK-PF-F-008 startDateFor → MK-PF-F-010 periodReturn</t>
        </is>
      </c>
      <c r="S337" s="3" t="inlineStr">
        <is>
          <t>—</t>
        </is>
      </c>
      <c r="T337" s="3" t="inlineStr">
        <is>
          <t>PERIOD_RETURN</t>
        </is>
      </c>
      <c r="U337" s="3" t="inlineStr">
        <is>
          <t>ACTIVE</t>
        </is>
      </c>
      <c r="V337" s="3" t="inlineStr">
        <is>
          <t>2026-09-09</t>
        </is>
      </c>
      <c r="W337" s="3" t="n"/>
      <c r="X337" s="3" t="n"/>
      <c r="Y337" s="3" t="inlineStr">
        <is>
          <t>NOTHING OPEN</t>
        </is>
      </c>
    </row>
    <row r="338" ht="60" customHeight="1">
      <c r="A338" s="3" t="inlineStr">
        <is>
          <t>MK-PF-F-011</t>
        </is>
      </c>
      <c r="B338" s="3" t="inlineStr">
        <is>
          <t>periodReturnSince</t>
        </is>
      </c>
      <c r="C338" s="3" t="inlineStr">
        <is>
          <t>src/domain/performance/index.ts</t>
        </is>
      </c>
      <c r="D338" s="3" t="n">
        <v>606</v>
      </c>
      <c r="E338" s="3" t="inlineStr">
        <is>
          <t>2 · DISPLAYED</t>
        </is>
      </c>
      <c r="F338" s="3" t="inlineStr">
        <is>
          <t>Price return from an explicit start DATE to now (for purchase-capped windows).</t>
        </is>
      </c>
      <c r="G338"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8"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8" s="3" t="inlineStr">
        <is>
          <t>PARTLY READ — some of the code is still showing through; needs a hand pass</t>
        </is>
      </c>
      <c r="J338" s="3" t="inlineStr">
        <is>
          <t>1. series: PriceSeries | null | undefined
2. sinceISO: string
3. now = new Date()</t>
        </is>
      </c>
      <c r="K338" s="3" t="inlineStr">
        <is>
          <t>number | null</t>
        </is>
      </c>
      <c r="L338" s="3" t="inlineStr">
        <is>
          <t>NOT FOUND — a screen calls it, but the words printed beside its answer could not be traced automatically. Needs reading.</t>
        </is>
      </c>
      <c r="M338" s="3" t="inlineStr">
        <is>
          <t>· Uses today's date from the device clock, so the answer changes by itself overnight.</t>
        </is>
      </c>
      <c r="N338" s="3" t="inlineStr">
        <is>
          <t>Yes</t>
        </is>
      </c>
      <c r="O338" s="3" t="inlineStr">
        <is>
          <t>1. MK-PF-F-029 closeAsOf
2. MK-PF-F-009 latestClose</t>
        </is>
      </c>
      <c r="P338" s="3" t="n">
        <v>2</v>
      </c>
      <c r="Q338" s="3" t="inlineStr">
        <is>
          <t>1. MK-PF-F-029 closeAsOf
2. MK-PF-F-009 latestClose</t>
        </is>
      </c>
      <c r="R338" s="3" t="inlineStr">
        <is>
          <t>1. MK-PF-F-029 closeAsOf → MK-PF-F-011 periodReturnSince
2. MK-PF-F-009 latestClose → MK-PF-F-011 periodReturnSince</t>
        </is>
      </c>
      <c r="S338" s="3" t="inlineStr">
        <is>
          <t>—</t>
        </is>
      </c>
      <c r="T338" s="3" t="inlineStr">
        <is>
          <t>RETURN_SINCE_A_DATE</t>
        </is>
      </c>
      <c r="U338" s="3" t="inlineStr">
        <is>
          <t>ACTIVE</t>
        </is>
      </c>
      <c r="V338" s="3" t="inlineStr">
        <is>
          <t>2026-09-26</t>
        </is>
      </c>
      <c r="W338" s="3" t="n"/>
      <c r="X338" s="3" t="n"/>
      <c r="Y338" s="3" t="inlineStr">
        <is>
          <t>NOTHING OPEN</t>
        </is>
      </c>
    </row>
    <row r="339" ht="60" customHeight="1">
      <c r="A339" s="3" t="inlineStr">
        <is>
          <t>MK-PF-F-012</t>
        </is>
      </c>
      <c r="B339" s="3" t="inlineStr">
        <is>
          <t>earliestPurchaseDate</t>
        </is>
      </c>
      <c r="C339" s="3" t="inlineStr">
        <is>
          <t>src/domain/performance/index.ts</t>
        </is>
      </c>
      <c r="D339" s="3" t="n">
        <v>637</v>
      </c>
      <c r="E339" s="3" t="inlineStr">
        <is>
          <t>3 · DEPENDENT</t>
        </is>
      </c>
      <c r="F339" s="3" t="inlineStr">
        <is>
          <t>Earliest dated lot — the day this holding became YOUR money.</t>
        </is>
      </c>
      <c r="G339" s="11" t="inlineStr">
        <is>
          <t>dates = for each of lots (or none when missing): purchase date where ÷ ^\each{4}-\each{2}-\each{2} ÷ .test(each ?? '')
the answer:
the first 10 of dates.sort()[0]!   if count of dates
nothing   otherwise</t>
        </is>
      </c>
      <c r="H339" s="3" t="inlineStr">
        <is>
          <t>Dates is for each of lots (or none — when missing): purchase date where divided by ^\each{4}-\each{2}-\each{2} divided by .test(each ?? ''). The answer: the first 10 of dates.sort()[0]! — when how many dates there are; no answer — otherwise.</t>
        </is>
      </c>
      <c r="I339" s="3" t="inlineStr">
        <is>
          <t>PARTLY READ — some of the code is still showing through; needs a hand pass</t>
        </is>
      </c>
      <c r="J339" s="3" t="inlineStr">
        <is>
          <t>p: Position</t>
        </is>
      </c>
      <c r="K339" s="3" t="inlineStr">
        <is>
          <t>string | null</t>
        </is>
      </c>
      <c r="L339" s="3" t="inlineStr">
        <is>
          <t>—</t>
        </is>
      </c>
      <c r="M339" s="3" t="inlineStr">
        <is>
          <t>None found in this function — anything it assumes comes from the functions it depends on.</t>
        </is>
      </c>
      <c r="N339" s="3" t="inlineStr">
        <is>
          <t>Yes</t>
        </is>
      </c>
      <c r="O339" s="3" t="inlineStr">
        <is>
          <t>MK-CF-F-132 map</t>
        </is>
      </c>
      <c r="P339" s="3" t="n">
        <v>1</v>
      </c>
      <c r="Q339" s="3" t="inlineStr">
        <is>
          <t>MK-CF-F-132 map</t>
        </is>
      </c>
      <c r="R339" s="3" t="inlineStr">
        <is>
          <t>MK-CF-F-132 map → MK-PF-F-012 earliestPurchaseDate</t>
        </is>
      </c>
      <c r="S339" s="3" t="inlineStr">
        <is>
          <t>—</t>
        </is>
      </c>
      <c r="T339" s="3" t="inlineStr">
        <is>
          <t>HOLDING_FIRST_BOUGHT</t>
        </is>
      </c>
      <c r="U339" s="3" t="inlineStr">
        <is>
          <t>ACTIVE</t>
        </is>
      </c>
      <c r="V339" s="3" t="inlineStr">
        <is>
          <t>2026-08-27</t>
        </is>
      </c>
      <c r="W339" s="3" t="n"/>
      <c r="X339" s="3" t="n"/>
      <c r="Y339" s="3" t="inlineStr">
        <is>
          <t>NOTHING OPEN</t>
        </is>
      </c>
    </row>
    <row r="340" ht="60" customHeight="1">
      <c r="A340" s="3" t="inlineStr">
        <is>
          <t>MK-PF-F-013</t>
        </is>
      </c>
      <c r="B340" s="3" t="inlineStr">
        <is>
          <t>benchmarkTicker</t>
        </is>
      </c>
      <c r="C340" s="3" t="inlineStr">
        <is>
          <t>src/domain/performance/index.ts</t>
        </is>
      </c>
      <c r="D340" s="3" t="n">
        <v>687</v>
      </c>
      <c r="E340" s="3" t="inlineStr">
        <is>
          <t>2 · DISPLAYED</t>
        </is>
      </c>
      <c r="F340" s="3" t="inlineStr">
        <is>
          <t>What should this holding be compared against?</t>
        </is>
      </c>
      <c r="G340" s="11" t="inlineStr">
        <is>
          <t>BENCHMARK_TICKER[kind ?? ''] (or 'SPY' when missing)</t>
        </is>
      </c>
      <c r="H340" s="3" t="inlineStr">
        <is>
          <t>BENCHMARK_TICKER[kind ?? ''] (or 'SPY' — when missing).</t>
        </is>
      </c>
      <c r="I340" s="3" t="inlineStr">
        <is>
          <t>PARTLY READ — some of the code is still showing through; needs a hand pass</t>
        </is>
      </c>
      <c r="J340" s="3" t="inlineStr">
        <is>
          <t>kind?: string</t>
        </is>
      </c>
      <c r="K340" s="3" t="inlineStr">
        <is>
          <t>string</t>
        </is>
      </c>
      <c r="L340" s="3" t="inlineStr">
        <is>
          <t>1. "Name (optional)" — on the Performance screen
2. "You are" — on the Holding detail screen, under "VS THE STOCK MARKET
3. SAME DATES"</t>
        </is>
      </c>
      <c r="M340" s="3" t="inlineStr">
        <is>
          <t>None found in this function — anything it assumes comes from the functions it depends on.</t>
        </is>
      </c>
      <c r="N340" s="3" t="inlineStr">
        <is>
          <t>Yes</t>
        </is>
      </c>
      <c r="O340" s="3" t="inlineStr">
        <is>
          <t>MK-ST-F-053 money</t>
        </is>
      </c>
      <c r="P340" s="3" t="n">
        <v>6</v>
      </c>
      <c r="Q340" s="3" t="inlineStr">
        <is>
          <t>1. MK-ST-F-053 money
2. MK-ST-F-049 formatMoney
3. MK-XS-F-122 n
4. MK-ST-F-048 currencySymbol
5. MK-ST-F-039 on
6. MK-ST-F-047 activeCurrency</t>
        </is>
      </c>
      <c r="R340"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0" s="3" t="inlineStr">
        <is>
          <t>—</t>
        </is>
      </c>
      <c r="T340" s="3" t="inlineStr">
        <is>
          <t>BENCHMARK_FOR_KIND</t>
        </is>
      </c>
      <c r="U340" s="3" t="inlineStr">
        <is>
          <t>ACTIVE</t>
        </is>
      </c>
      <c r="V340" s="3" t="inlineStr">
        <is>
          <t>2026-08-27</t>
        </is>
      </c>
      <c r="W340" s="3" t="n"/>
      <c r="X340" s="3" t="n"/>
      <c r="Y340" s="3" t="inlineStr">
        <is>
          <t>NOTHING OPEN</t>
        </is>
      </c>
    </row>
    <row r="341" ht="60" customHeight="1">
      <c r="A341" s="3" t="inlineStr">
        <is>
          <t>MK-PF-F-014</t>
        </is>
      </c>
      <c r="B341" s="3" t="inlineStr">
        <is>
          <t>buildPerformance</t>
        </is>
      </c>
      <c r="C341" s="3" t="inlineStr">
        <is>
          <t>src/domain/performance/index.ts</t>
        </is>
      </c>
      <c r="D341" s="3" t="n">
        <v>739</v>
      </c>
      <c r="E341" s="3" t="inlineStr">
        <is>
          <t>2 · DISPLAYED</t>
        </is>
      </c>
      <c r="F341" s="3" t="inlineStr">
        <is>
          <t>Build the per-holding rows for a period from positions + a price-series lookup.</t>
        </is>
      </c>
      <c r="G341"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1"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1" s="3" t="inlineStr">
        <is>
          <t>PARTLY READ — some of the code is still showing through; needs a hand pass</t>
        </is>
      </c>
      <c r="J341" s="3" t="inlineStr">
        <is>
          <t>Nothing is handed to it</t>
        </is>
      </c>
      <c r="K341" s="3" t="inlineStr">
        <is>
          <t>NOT DECLARED — the code does not say what it gives back</t>
        </is>
      </c>
      <c r="L341" s="3" t="inlineStr">
        <is>
          <t>NOT FOUND — a screen calls it, but the words printed beside its answer could not be traced automatically. Needs reading.</t>
        </is>
      </c>
      <c r="M341" s="3" t="inlineStr">
        <is>
          <t>· Uses today's date from the device clock, so the answer changes by itself overnight.</t>
        </is>
      </c>
      <c r="N341" s="3" t="inlineStr">
        <is>
          <t>Yes</t>
        </is>
      </c>
      <c r="O341"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1" s="3" t="n">
        <v>116</v>
      </c>
      <c r="Q341"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MK-CF-O-002 expenses
26. MK-CF-O-003 thisMonth
27. MK-CF-F-151 actualSpending
28. MK-CF-F-150 debtPaymentsCountedAsExpenses
29. MK-CF-F-153 radar
30. MK-CF-F-149 recurringDebtPayments
31. MK-CF-F-005 actualMonthFlow
32. MK-CF-F-156 plannedMonthFlow
33. MK-CF-F-148 inMonth
34. MK-ST-F-052 toNum
35. MK-CF-F-191 ym
36. MK-ST-F-056 has
37. MK-CF-F-022 paymentShape
38. MK-CF-F-152 isRadarItem
39. MK-CF-F-023 requiredPayment
40. MK-NW-F-078 ONE
41. MK-CF-F-155 cash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1"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1" s="3" t="inlineStr">
        <is>
          <t>—</t>
        </is>
      </c>
      <c r="T341" s="3" t="inlineStr">
        <is>
          <t>PERFORMANCE_TABLE</t>
        </is>
      </c>
      <c r="U341" s="3" t="inlineStr">
        <is>
          <t>ACTIVE</t>
        </is>
      </c>
      <c r="V341" s="3" t="inlineStr">
        <is>
          <t>2026-08-27</t>
        </is>
      </c>
      <c r="W341" s="3" t="n"/>
      <c r="X341" s="3" t="n"/>
      <c r="Y341" s="3" t="inlineStr">
        <is>
          <t>NOTHING OPEN</t>
        </is>
      </c>
    </row>
    <row r="342" ht="60" customHeight="1">
      <c r="A342" s="3" t="inlineStr">
        <is>
          <t>MK-PF-F-015</t>
        </is>
      </c>
      <c r="B342" s="3" t="inlineStr">
        <is>
          <t>topHoldingConcentration</t>
        </is>
      </c>
      <c r="C342" s="3" t="inlineStr">
        <is>
          <t>src/domain/performance/index.ts</t>
        </is>
      </c>
      <c r="D342" s="3" t="n">
        <v>797</v>
      </c>
      <c r="E342" s="3" t="inlineStr">
        <is>
          <t>2 · DISPLAYED</t>
        </is>
      </c>
      <c r="F342" s="3" t="inlineStr">
        <is>
          <t>The holding-concentration FACT (Invest main + the insights function share this one rule): the largest single holding as a % of invested money, reported only at 25%+ with 2+ holdings — below that it isn't a fact worth a card.</t>
        </is>
      </c>
      <c r="G342"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2"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2" s="3" t="inlineStr">
        <is>
          <t>PARTLY READ — some of the code is still showing through; needs a hand pass</t>
        </is>
      </c>
      <c r="J342" s="3" t="inlineStr">
        <is>
          <t>rows: PerformanceRow[]</t>
        </is>
      </c>
      <c r="K342" s="3" t="inlineStr">
        <is>
          <t>NOT DECLARED — the code does not say what it gives back</t>
        </is>
      </c>
      <c r="L342" s="3" t="inlineStr">
        <is>
          <t>NOT FOUND — a screen calls it, but the words printed beside its answer could not be traced automatically. Needs reading.</t>
        </is>
      </c>
      <c r="M342" s="3" t="inlineStr">
        <is>
          <t>· Rounds the answer to a whole number.</t>
        </is>
      </c>
      <c r="N342" s="3" t="inlineStr">
        <is>
          <t>Yes</t>
        </is>
      </c>
      <c r="O342" s="3" t="inlineStr">
        <is>
          <t>MK-PF-F-004 marketValue</t>
        </is>
      </c>
      <c r="P342" s="3" t="n">
        <v>3</v>
      </c>
      <c r="Q342" s="3" t="inlineStr">
        <is>
          <t>1. MK-PF-F-004 marketValue
2. MK-PF-F-031 contractMultiplier
3. MK-PF-F-001 totalShares</t>
        </is>
      </c>
      <c r="R342" s="3" t="inlineStr">
        <is>
          <t>1. MK-PF-F-031 contractMultiplier → MK-PF-F-004 marketValue → MK-PF-F-015 topHoldingConcentration
2. MK-PF-F-001 totalShares → MK-PF-F-004 marketValue → MK-PF-F-015 topHoldingConcentration</t>
        </is>
      </c>
      <c r="S342" s="3" t="inlineStr">
        <is>
          <t>—</t>
        </is>
      </c>
      <c r="T342" s="3" t="inlineStr">
        <is>
          <t>CONCENTRATION</t>
        </is>
      </c>
      <c r="U342" s="3" t="inlineStr">
        <is>
          <t>ACTIVE</t>
        </is>
      </c>
      <c r="V342" s="3" t="inlineStr">
        <is>
          <t>2026-08-27</t>
        </is>
      </c>
      <c r="W342" s="3" t="n"/>
      <c r="X342" s="3" t="n"/>
      <c r="Y342" s="3" t="inlineStr">
        <is>
          <t>NOTHING OPEN</t>
        </is>
      </c>
    </row>
    <row r="343" ht="60" customHeight="1">
      <c r="A343" s="3" t="inlineStr">
        <is>
          <t>MK-PF-F-016</t>
        </is>
      </c>
      <c r="B343" s="3" t="inlineStr">
        <is>
          <t>attribution</t>
        </is>
      </c>
      <c r="C343" s="3" t="inlineStr">
        <is>
          <t>src/domain/performance/index.ts</t>
        </is>
      </c>
      <c r="D343" s="3" t="n">
        <v>823</v>
      </c>
      <c r="E343" s="3" t="inlineStr">
        <is>
          <t>3 · DEPENDENT (feeds an action only)</t>
        </is>
      </c>
      <c r="F343" s="3" t="inlineStr">
        <is>
          <t>Per-holding contribution to the portfolio's period return = weight × the holding's return (pts).</t>
        </is>
      </c>
      <c r="G343" s="11" t="inlineStr">
        <is>
          <t>total = Σ over rows of (market value)
[]   when total ≤ 0</t>
        </is>
      </c>
      <c r="H343" s="3" t="inlineStr">
        <is>
          <t>Total: the market value added up across rows. When total is at most 0, it answers [].</t>
        </is>
      </c>
      <c r="I343" s="3" t="inlineStr">
        <is>
          <t>READ FROM THE CODE — rendered from the expressions the function runs</t>
        </is>
      </c>
      <c r="J343" s="3" t="inlineStr">
        <is>
          <t>rows: PerformanceRow[]</t>
        </is>
      </c>
      <c r="K343" s="3" t="inlineStr">
        <is>
          <t>NOT DECLARED — the code does not say what it gives back</t>
        </is>
      </c>
      <c r="L343" s="3" t="inlineStr">
        <is>
          <t>—</t>
        </is>
      </c>
      <c r="M343" s="3" t="inlineStr">
        <is>
          <t>None found in this function — anything it assumes comes from the functions it depends on.</t>
        </is>
      </c>
      <c r="N343" s="3" t="inlineStr">
        <is>
          <t>No</t>
        </is>
      </c>
      <c r="O343" s="3" t="inlineStr">
        <is>
          <t>1. MK-CF-F-132 map
2. MK-PF-F-004 marketValue</t>
        </is>
      </c>
      <c r="P343" s="3" t="n">
        <v>4</v>
      </c>
      <c r="Q343" s="3" t="inlineStr">
        <is>
          <t>1. MK-CF-F-132 map
2. MK-PF-F-004 marketValue
3. MK-PF-F-031 contractMultiplier
4. MK-PF-F-001 totalShares</t>
        </is>
      </c>
      <c r="R343" s="3" t="inlineStr">
        <is>
          <t>1. MK-CF-F-132 map → MK-PF-F-016 attribution
2. MK-PF-F-031 contractMultiplier → MK-PF-F-004 marketValue → MK-PF-F-016 attribution
3. MK-PF-F-001 totalShares → MK-PF-F-004 marketValue → MK-PF-F-016 attribution</t>
        </is>
      </c>
      <c r="S343" s="3" t="inlineStr">
        <is>
          <t>—</t>
        </is>
      </c>
      <c r="T343" s="3" t="inlineStr">
        <is>
          <t>WHAT_DROVE_THE_RETURN</t>
        </is>
      </c>
      <c r="U343" s="3" t="inlineStr">
        <is>
          <t>ACTIVE</t>
        </is>
      </c>
      <c r="V343" s="3" t="inlineStr">
        <is>
          <t>2026-09-25</t>
        </is>
      </c>
      <c r="W343" s="3" t="n"/>
      <c r="X343" s="3" t="n"/>
      <c r="Y343" s="3" t="inlineStr">
        <is>
          <t>NOTHING OPEN</t>
        </is>
      </c>
    </row>
    <row r="344" ht="60" customHeight="1">
      <c r="A344" s="3" t="inlineStr">
        <is>
          <t>MK-PF-F-017</t>
        </is>
      </c>
      <c r="B344" s="3" t="inlineStr">
        <is>
          <t>allocation</t>
        </is>
      </c>
      <c r="C344" s="3" t="inlineStr">
        <is>
          <t>src/domain/performance/index.ts</t>
        </is>
      </c>
      <c r="D344" s="3" t="n">
        <v>859</v>
      </c>
      <c r="E344" s="3" t="inlineStr">
        <is>
          <t>3 · DEPENDENT (feeds an action only)</t>
        </is>
      </c>
      <c r="F344" s="3" t="inlineStr">
        <is>
          <t>How is my invested money spread?</t>
        </is>
      </c>
      <c r="G344" s="11" t="inlineStr">
        <is>
          <t>by kind = {}
total = Σ over object.values(by kind) of (each)+ max(0, cash)
[]   when total ≤ 0
slices = for each of object.entries(by kind): [key, v]) =&gt; ({ key, value: (v), pct: math.round((v ÷ total) × 1000) ÷ 10 }
the answer = slices.sort((a, b) =&gt; value − value)</t>
        </is>
      </c>
      <c r="H344"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4" s="3" t="inlineStr">
        <is>
          <t>PARTLY READ — some of the code is still showing through; needs a hand pass</t>
        </is>
      </c>
      <c r="J344" s="3" t="inlineStr">
        <is>
          <t>1. rows: PerformanceRow[]
2. cash = 0</t>
        </is>
      </c>
      <c r="K344" s="3" t="inlineStr">
        <is>
          <t>AllocSlice[]</t>
        </is>
      </c>
      <c r="L344" s="3" t="inlineStr">
        <is>
          <t>—</t>
        </is>
      </c>
      <c r="M344" s="3" t="inlineStr">
        <is>
          <t>1. If by kind[k] is missing it counts as zero, so nothing recorded and a real zero look the same.
2. Never lets cash fall below 0.</t>
        </is>
      </c>
      <c r="N344" s="3" t="inlineStr">
        <is>
          <t>No</t>
        </is>
      </c>
      <c r="O344" s="3" t="inlineStr">
        <is>
          <t>1. MK-CF-F-155 cash
2. MK-CF-F-132 map</t>
        </is>
      </c>
      <c r="P344" s="3" t="n">
        <v>3</v>
      </c>
      <c r="Q344" s="3" t="inlineStr">
        <is>
          <t>1. MK-CF-F-155 cash
2. MK-CF-F-132 map
3. MK-XS-F-122 n</t>
        </is>
      </c>
      <c r="R344" s="3" t="inlineStr">
        <is>
          <t>1. MK-XS-F-122 n → MK-CF-F-155 cash → MK-PF-F-017 allocation
2. MK-CF-F-132 map → MK-PF-F-017 allocation</t>
        </is>
      </c>
      <c r="S344" s="3" t="inlineStr">
        <is>
          <t>—</t>
        </is>
      </c>
      <c r="T344" s="3" t="inlineStr">
        <is>
          <t>ALLOCATION_BY_HOLDING_KIND</t>
        </is>
      </c>
      <c r="U344" s="3" t="inlineStr">
        <is>
          <t>ACTIVE</t>
        </is>
      </c>
      <c r="V344" s="3" t="inlineStr">
        <is>
          <t>2026-09-25</t>
        </is>
      </c>
      <c r="W344" s="3" t="n"/>
      <c r="X344" s="3" t="n"/>
      <c r="Y344" s="3" t="inlineStr">
        <is>
          <t>NOTHING OPEN</t>
        </is>
      </c>
    </row>
    <row r="345" ht="60" customHeight="1">
      <c r="A345" s="3" t="inlineStr">
        <is>
          <t>MK-PF-F-018</t>
        </is>
      </c>
      <c r="B345" s="3" t="inlineStr">
        <is>
          <t>portfolioTrend</t>
        </is>
      </c>
      <c r="C345" s="3" t="inlineStr">
        <is>
          <t>src/domain/performance/index.ts</t>
        </is>
      </c>
      <c r="D345" s="3" t="n">
        <v>904</v>
      </c>
      <c r="E345" s="3" t="inlineStr">
        <is>
          <t>3 · DEPENDENT (feeds an action only)</t>
        </is>
      </c>
      <c r="F345" s="3" t="inlineStr">
        <is>
          <t>How has my portfolio moved over the period, against its benchmark?</t>
        </is>
      </c>
      <c r="G345"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5"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5" s="3" t="inlineStr">
        <is>
          <t>PARTLY READ — some of the code is still showing through; needs a hand pass</t>
        </is>
      </c>
      <c r="J345" s="3" t="inlineStr">
        <is>
          <t>Nothing is handed to it</t>
        </is>
      </c>
      <c r="K345" s="3" t="inlineStr">
        <is>
          <t>NOT DECLARED — the code does not say what it gives back</t>
        </is>
      </c>
      <c r="L345" s="3" t="inlineStr">
        <is>
          <t>—</t>
        </is>
      </c>
      <c r="M345" s="3" t="inlineStr">
        <is>
          <t>1. Uses a built-in n of 12.
2. Uses today's date from the device clock, so the answer changes by itself overnight.</t>
        </is>
      </c>
      <c r="N345" s="3" t="inlineStr">
        <is>
          <t>No</t>
        </is>
      </c>
      <c r="O345" s="3" t="inlineStr">
        <is>
          <t>1. MK-PF-F-029 closeAsOf
2. MK-CF-F-132 map
3. MK-PF-F-008 startDateFor
4. MK-PF-F-001 totalShares</t>
        </is>
      </c>
      <c r="P345" s="3" t="n">
        <v>4</v>
      </c>
      <c r="Q345" s="3" t="inlineStr">
        <is>
          <t>1. MK-PF-F-029 closeAsOf
2. MK-CF-F-132 map
3. MK-PF-F-008 startDateFor
4. MK-PF-F-001 totalShares</t>
        </is>
      </c>
      <c r="R345" s="3" t="inlineStr">
        <is>
          <t>1. MK-PF-F-029 closeAsOf → MK-PF-F-018 portfolioTrend
2. MK-CF-F-132 map → MK-PF-F-018 portfolioTrend
3. MK-PF-F-008 startDateFor → MK-PF-F-018 portfolioTrend
4. MK-PF-F-001 totalShares → MK-PF-F-018 portfolioTrend</t>
        </is>
      </c>
      <c r="S345" s="3" t="inlineStr">
        <is>
          <t>—</t>
        </is>
      </c>
      <c r="T345" s="3" t="inlineStr">
        <is>
          <t>PORTFOLIO_TREND_LINE</t>
        </is>
      </c>
      <c r="U345" s="3" t="inlineStr">
        <is>
          <t>ACTIVE</t>
        </is>
      </c>
      <c r="V345" s="3" t="inlineStr">
        <is>
          <t>2026-09-25</t>
        </is>
      </c>
      <c r="W345" s="3" t="n"/>
      <c r="X345" s="3" t="n"/>
      <c r="Y345" s="3" t="inlineStr">
        <is>
          <t>NOTHING OPEN</t>
        </is>
      </c>
    </row>
    <row r="346" ht="60" customHeight="1">
      <c r="A346" s="3" t="inlineStr">
        <is>
          <t>MK-PF-F-019</t>
        </is>
      </c>
      <c r="B346" s="3" t="inlineStr">
        <is>
          <t>portfolioPeriodReturn</t>
        </is>
      </c>
      <c r="C346" s="3" t="inlineStr">
        <is>
          <t>src/domain/performance/index.ts</t>
        </is>
      </c>
      <c r="D346" s="3" t="n">
        <v>951</v>
      </c>
      <c r="E346" s="3" t="inlineStr">
        <is>
          <t>3 · DEPENDENT (feeds an action only)</t>
        </is>
      </c>
      <c r="F346" s="3" t="inlineStr">
        <is>
          <t>Value-weighted portfolio period return across holdings that have one (decimal), or null.</t>
        </is>
      </c>
      <c r="G346" s="11" t="inlineStr">
        <is>
          <t>usable = rows where period return ≠ nothing and market value &gt; 0
total = Σ over usable of (market value)
nothing   when total ≤ 0
the answer = Σ over usable of ((period return as number) × market value)÷ total</t>
        </is>
      </c>
      <c r="H346"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6" s="3" t="inlineStr">
        <is>
          <t>READ FROM THE CODE — rendered from the expressions the function runs</t>
        </is>
      </c>
      <c r="J346" s="3" t="inlineStr">
        <is>
          <t>rows: PerformanceRow[]</t>
        </is>
      </c>
      <c r="K346" s="3" t="inlineStr">
        <is>
          <t>number | null</t>
        </is>
      </c>
      <c r="L346" s="3" t="inlineStr">
        <is>
          <t>—</t>
        </is>
      </c>
      <c r="M346" s="3" t="inlineStr">
        <is>
          <t>· Second verification G18, 2026-09-08: this is the value-weighted average of holding returns, not a Dietz return.</t>
        </is>
      </c>
      <c r="N346" s="3" t="inlineStr">
        <is>
          <t>No</t>
        </is>
      </c>
      <c r="O346" s="3" t="inlineStr">
        <is>
          <t>MK-PF-F-004 marketValue</t>
        </is>
      </c>
      <c r="P346" s="3" t="n">
        <v>3</v>
      </c>
      <c r="Q346" s="3" t="inlineStr">
        <is>
          <t>1. MK-PF-F-004 marketValue
2. MK-PF-F-031 contractMultiplier
3. MK-PF-F-001 totalShares</t>
        </is>
      </c>
      <c r="R346" s="3" t="inlineStr">
        <is>
          <t>1. MK-PF-F-031 contractMultiplier → MK-PF-F-004 marketValue → MK-PF-F-019 portfolioPeriodReturn
2. MK-PF-F-001 totalShares → MK-PF-F-004 marketValue → MK-PF-F-019 portfolioPeriodReturn</t>
        </is>
      </c>
      <c r="S346" s="3" t="inlineStr">
        <is>
          <t>—</t>
        </is>
      </c>
      <c r="T346" s="3" t="inlineStr">
        <is>
          <t>VALUE_WEIGHTED_RETURN</t>
        </is>
      </c>
      <c r="U346" s="3" t="inlineStr">
        <is>
          <t>ACTIVE</t>
        </is>
      </c>
      <c r="V346" s="3" t="inlineStr">
        <is>
          <t>2026-09-30</t>
        </is>
      </c>
      <c r="W346" s="3" t="n"/>
      <c r="X346" s="3" t="n"/>
      <c r="Y346" s="6" t="inlineStr">
        <is>
          <t>TESTED, NOT VERIFIED (C1, G18)</t>
        </is>
      </c>
    </row>
    <row r="347" ht="60" customHeight="1">
      <c r="A347" s="3" t="inlineStr">
        <is>
          <t>MK-PF-F-020</t>
        </is>
      </c>
      <c r="B347" s="3" t="inlineStr">
        <is>
          <t>portfolioBenchReturn</t>
        </is>
      </c>
      <c r="C347" s="3" t="inlineStr">
        <is>
          <t>src/domain/performance/index.ts</t>
        </is>
      </c>
      <c r="D347" s="3" t="n">
        <v>982</v>
      </c>
      <c r="E347" s="3" t="inlineStr">
        <is>
          <t>2 · DISPLAYED</t>
        </is>
      </c>
      <c r="F347" s="3" t="inlineStr">
        <is>
          <t>Value-weighted benchmark ("the market, matched to your mix") return across holdings that have one (decimal), or null.</t>
        </is>
      </c>
      <c r="G347" s="11" t="inlineStr">
        <is>
          <t>usable = rows where bench return ≠ nothing and market value &gt; 0
total = Σ over usable of (market value)
nothing   when total ≤ 0
the answer = Σ over usable of ((bench return as number) × market value)÷ total</t>
        </is>
      </c>
      <c r="H347"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7" s="3" t="inlineStr">
        <is>
          <t>READ FROM THE CODE — rendered from the expressions the function runs</t>
        </is>
      </c>
      <c r="J347" s="3" t="inlineStr">
        <is>
          <t>rows: PerformanceRow[]</t>
        </is>
      </c>
      <c r="K347" s="3" t="inlineStr">
        <is>
          <t>number | null</t>
        </is>
      </c>
      <c r="L347" s="3" t="inlineStr">
        <is>
          <t>NOT FOUND — a screen calls it, but the words printed beside its answer could not be traced automatically. Needs reading.</t>
        </is>
      </c>
      <c r="M347" s="3" t="inlineStr">
        <is>
          <t>None found in this function — anything it assumes comes from the functions it depends on.</t>
        </is>
      </c>
      <c r="N347" s="3" t="inlineStr">
        <is>
          <t>Yes</t>
        </is>
      </c>
      <c r="O347" s="3" t="inlineStr">
        <is>
          <t>MK-PF-F-004 marketValue</t>
        </is>
      </c>
      <c r="P347" s="3" t="n">
        <v>3</v>
      </c>
      <c r="Q347" s="3" t="inlineStr">
        <is>
          <t>1. MK-PF-F-004 marketValue
2. MK-PF-F-031 contractMultiplier
3. MK-PF-F-001 totalShares</t>
        </is>
      </c>
      <c r="R347" s="3" t="inlineStr">
        <is>
          <t>1. MK-PF-F-031 contractMultiplier → MK-PF-F-004 marketValue → MK-PF-F-020 portfolioBenchReturn
2. MK-PF-F-001 totalShares → MK-PF-F-004 marketValue → MK-PF-F-020 portfolioBenchReturn</t>
        </is>
      </c>
      <c r="S347" s="3" t="inlineStr">
        <is>
          <t>—</t>
        </is>
      </c>
      <c r="T347" s="3" t="inlineStr">
        <is>
          <t>BENCHMARK_RETURN_BLENDED</t>
        </is>
      </c>
      <c r="U347" s="3" t="inlineStr">
        <is>
          <t>ACTIVE</t>
        </is>
      </c>
      <c r="V347" s="3" t="inlineStr">
        <is>
          <t>2026-08-27</t>
        </is>
      </c>
      <c r="W347" s="3" t="n"/>
      <c r="X347" s="3" t="n"/>
      <c r="Y347" s="3" t="inlineStr">
        <is>
          <t>NOTHING OPEN</t>
        </is>
      </c>
    </row>
    <row r="348" ht="60" customHeight="1">
      <c r="A348" s="3" t="inlineStr">
        <is>
          <t>MK-PF-F-021</t>
        </is>
      </c>
      <c r="B348" s="3" t="inlineStr">
        <is>
          <t>periodDollarDelta</t>
        </is>
      </c>
      <c r="C348" s="3" t="inlineStr">
        <is>
          <t>src/domain/performance/index.ts</t>
        </is>
      </c>
      <c r="D348" s="3" t="n">
        <v>1012</v>
      </c>
      <c r="E348" s="3" t="inlineStr">
        <is>
          <t>3 · DEPENDENT (feeds an action only)</t>
        </is>
      </c>
      <c r="F348" s="3" t="inlineStr">
        <is>
          <t>The DOLLAR change implied by a period return on today's total — the approved Home hero shows "up $11,200 (1.4%) this month": dollars AND percent from the SAME measured return, so the two figures can never disagree (one concept, one source).</t>
        </is>
      </c>
      <c r="G348" s="11" t="inlineStr">
        <is>
          <t>0   when !number.is finite(current total) (or !number.is finite(period return) (or period return ≤ -1 when missing or zero) when missing or zero)
round(current total × period return ÷ (1 + period return))</t>
        </is>
      </c>
      <c r="H348" s="3" t="inlineStr">
        <is>
          <t>When !number.is finite(current total) (or !number.is finite(period return) (or period return is at most -1 — when missing or zero) — when missing or zero), it answers 0. current total times period return divided by (1 plus period return, to a whole number).</t>
        </is>
      </c>
      <c r="I348" s="3" t="inlineStr">
        <is>
          <t>PARTLY READ — some of the code is still showing through; needs a hand pass</t>
        </is>
      </c>
      <c r="J348" s="3" t="inlineStr">
        <is>
          <t>1. currentTotal: number
2. periodReturn: number</t>
        </is>
      </c>
      <c r="K348" s="3" t="inlineStr">
        <is>
          <t>number</t>
        </is>
      </c>
      <c r="L348" s="3" t="inlineStr">
        <is>
          <t>—</t>
        </is>
      </c>
      <c r="M348" s="3" t="inlineStr">
        <is>
          <t>· Rounds the answer to a whole number.</t>
        </is>
      </c>
      <c r="N348" s="3" t="inlineStr">
        <is>
          <t>No</t>
        </is>
      </c>
      <c r="O348" s="3" t="inlineStr">
        <is>
          <t>MK-PF-F-010 periodReturn</t>
        </is>
      </c>
      <c r="P348" s="3" t="n">
        <v>4</v>
      </c>
      <c r="Q348" s="3" t="inlineStr">
        <is>
          <t>1. MK-PF-F-010 periodReturn
2. MK-PF-F-029 closeAsOf
3. MK-PF-F-009 latestClose
4. MK-PF-F-008 startDateFor</t>
        </is>
      </c>
      <c r="R348" s="3" t="inlineStr">
        <is>
          <t>1. MK-PF-F-029 closeAsOf → MK-PF-F-010 periodReturn → MK-PF-F-021 periodDollarDelta
2. MK-PF-F-009 latestClose → MK-PF-F-010 periodReturn → MK-PF-F-021 periodDollarDelta
3. MK-PF-F-008 startDateFor → MK-PF-F-010 periodReturn → MK-PF-F-021 periodDollarDelta</t>
        </is>
      </c>
      <c r="S348" s="3" t="inlineStr">
        <is>
          <t>—</t>
        </is>
      </c>
      <c r="T348" s="3" t="inlineStr">
        <is>
          <t>—</t>
        </is>
      </c>
      <c r="U348" s="3" t="inlineStr">
        <is>
          <t>ACTIVE</t>
        </is>
      </c>
      <c r="V348" s="3" t="inlineStr">
        <is>
          <t>2026-09-30</t>
        </is>
      </c>
      <c r="W348" s="3" t="n"/>
      <c r="X348" s="3" t="n"/>
      <c r="Y348" s="3" t="inlineStr">
        <is>
          <t>NOTHING OPEN</t>
        </is>
      </c>
    </row>
    <row r="349" ht="60" customHeight="1">
      <c r="A349" s="3" t="inlineStr">
        <is>
          <t>MK-PF-F-022</t>
        </is>
      </c>
      <c r="B349" s="3" t="inlineStr">
        <is>
          <t>factorOverMonths</t>
        </is>
      </c>
      <c r="C349" s="3" t="inlineStr">
        <is>
          <t>src/domain/performance/lookBack.ts</t>
        </is>
      </c>
      <c r="D349" s="3" t="n">
        <v>49</v>
      </c>
      <c r="E349" s="3" t="inlineStr">
        <is>
          <t>3 · DEPENDENT</t>
        </is>
      </c>
      <c r="F349" s="3" t="inlineStr">
        <is>
          <t>Price factor over the trailing window: last close ÷ the close at (now − months).</t>
        </is>
      </c>
      <c r="G349"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49"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49" s="3" t="inlineStr">
        <is>
          <t>READ BY HAND 2026-08-26 — checked line by line against the code</t>
        </is>
      </c>
      <c r="J349" s="3" t="inlineStr">
        <is>
          <t>1. series: PriceSeries | null | undefined
2. months: number
3. now: Date = new Date()</t>
        </is>
      </c>
      <c r="K349" s="3" t="inlineStr">
        <is>
          <t>number | null</t>
        </is>
      </c>
      <c r="L349" s="3" t="inlineStr">
        <is>
          <t>—</t>
        </is>
      </c>
      <c r="M349" s="3" t="inlineStr">
        <is>
          <t>1. Uses today's date from the device clock, so the answer changes by itself overnight.
2. The window boundary is a LOCAL calendar date (the person's own day), so the answer is the same in every timezone (TZ-1, 2026-09-08).</t>
        </is>
      </c>
      <c r="N349" s="3" t="inlineStr">
        <is>
          <t>Yes</t>
        </is>
      </c>
      <c r="O349" s="3" t="inlineStr">
        <is>
          <t>MK-ST-F-065 isoLocalDate</t>
        </is>
      </c>
      <c r="P349" s="3" t="n">
        <v>1</v>
      </c>
      <c r="Q349" s="3" t="inlineStr">
        <is>
          <t>MK-ST-F-065 isoLocalDate</t>
        </is>
      </c>
      <c r="R349" s="3" t="inlineStr">
        <is>
          <t>MK-ST-F-065 isoLocalDate → MK-PF-F-022 factorOverMonths</t>
        </is>
      </c>
      <c r="S349" s="3" t="inlineStr">
        <is>
          <t>—</t>
        </is>
      </c>
      <c r="T349" s="3" t="inlineStr">
        <is>
          <t>PRICE_FACTOR_OVER_WINDOW</t>
        </is>
      </c>
      <c r="U349" s="3" t="inlineStr">
        <is>
          <t>ACTIVE</t>
        </is>
      </c>
      <c r="V349" s="3" t="inlineStr">
        <is>
          <t>2026-09-08</t>
        </is>
      </c>
      <c r="W349" s="3" t="n"/>
      <c r="X349" s="3" t="n"/>
      <c r="Y349" s="6" t="inlineStr">
        <is>
          <t>TESTED, NOT VERIFIED (TZ-1)</t>
        </is>
      </c>
    </row>
    <row r="350" ht="60" customHeight="1">
      <c r="A350" s="3" t="inlineStr">
        <is>
          <t>MK-PF-F-023</t>
        </is>
      </c>
      <c r="B350" s="3" t="inlineStr">
        <is>
          <t>lookBack</t>
        </is>
      </c>
      <c r="C350" s="3" t="inlineStr">
        <is>
          <t>src/domain/performance/lookBack.ts</t>
        </is>
      </c>
      <c r="D350" s="3" t="n">
        <v>97</v>
      </c>
      <c r="E350" s="3" t="inlineStr">
        <is>
          <t>3 · DEPENDENT</t>
        </is>
      </c>
      <c r="F350" s="3" t="inlineStr">
        <is>
          <t>What if I had moved this money?</t>
        </is>
      </c>
      <c r="G350"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0"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0" s="3" t="inlineStr">
        <is>
          <t>READ FROM THE CODE — rendered from the expressions the function runs</t>
        </is>
      </c>
      <c r="J350" s="3" t="inlineStr">
        <is>
          <t>1. amount: number
2. fromSeries: PriceSeries | null | undefined
3. toSeries: PriceSeries | null | undefined
4. months: number
5. now: Date = new Date()</t>
        </is>
      </c>
      <c r="K350" s="3" t="inlineStr">
        <is>
          <t>LookBackResult | null</t>
        </is>
      </c>
      <c r="L350" s="3" t="inlineStr">
        <is>
          <t>—</t>
        </is>
      </c>
      <c r="M350" s="3" t="inlineStr">
        <is>
          <t>· Uses today's date from the device clock, so the answer changes by itself overnight.</t>
        </is>
      </c>
      <c r="N350" s="3" t="inlineStr">
        <is>
          <t>Yes</t>
        </is>
      </c>
      <c r="O350" s="3" t="inlineStr">
        <is>
          <t>MK-PF-F-022 factorOverMonths</t>
        </is>
      </c>
      <c r="P350" s="3" t="n">
        <v>2</v>
      </c>
      <c r="Q350" s="3" t="inlineStr">
        <is>
          <t>1. MK-PF-F-022 factorOverMonths
2. MK-ST-F-065 isoLocalDate</t>
        </is>
      </c>
      <c r="R350" s="3" t="inlineStr">
        <is>
          <t>MK-ST-F-065 isoLocalDate → MK-PF-F-022 factorOverMonths → MK-PF-F-023 lookBack</t>
        </is>
      </c>
      <c r="S350" s="3" t="inlineStr">
        <is>
          <t>—</t>
        </is>
      </c>
      <c r="T350" s="3" t="inlineStr">
        <is>
          <t>LOOK_BACK</t>
        </is>
      </c>
      <c r="U350" s="3" t="inlineStr">
        <is>
          <t>ACTIVE</t>
        </is>
      </c>
      <c r="V350" s="3" t="inlineStr">
        <is>
          <t>2026-09-28</t>
        </is>
      </c>
      <c r="W350" s="3" t="n"/>
      <c r="X350" s="3" t="n"/>
      <c r="Y350" s="3" t="inlineStr">
        <is>
          <t>NOTHING OPEN</t>
        </is>
      </c>
    </row>
    <row r="351" ht="60" customHeight="1">
      <c r="A351" s="3" t="inlineStr">
        <is>
          <t>MK-PF-F-024</t>
        </is>
      </c>
      <c r="B351" s="3" t="inlineStr">
        <is>
          <t>userFlows</t>
        </is>
      </c>
      <c r="C351" s="3" t="inlineStr">
        <is>
          <t>src/domain/performance/moneyWeighted.ts</t>
        </is>
      </c>
      <c r="D351" s="3" t="n">
        <v>61</v>
      </c>
      <c r="E351" s="3" t="inlineStr">
        <is>
          <t>3 · DEPENDENT</t>
        </is>
      </c>
      <c r="F351" s="3" t="inlineStr">
        <is>
          <t>The user's dated flows for a measured set of accounts, investor-sign convention: money the user PUT IN is negative, money TAKEN OUT is positive.</t>
        </is>
      </c>
      <c r="G351" s="11" t="inlineStr">
        <is>
          <t>flows = []
in set = account ids.has(string(account id))
counter in set = counter account id ≠ nothing and account ids.has(string(counter account id))
when = date.parse(string(date))
the answer = flows where size of(amount) &gt; 0.004.sort((a, b) =&gt; date − date)</t>
        </is>
      </c>
      <c r="H351"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1" s="3" t="inlineStr">
        <is>
          <t>PARTLY READ — some of the code is still showing through; needs a hand pass</t>
        </is>
      </c>
      <c r="J351" s="3" t="inlineStr">
        <is>
          <t>1. transactions: Transaction[]
2. accountIds: Set&lt;string&gt;</t>
        </is>
      </c>
      <c r="K351" s="3" t="inlineStr">
        <is>
          <t>NOT DECLARED — the code does not say what it gives back</t>
        </is>
      </c>
      <c r="L351" s="3" t="inlineStr">
        <is>
          <t>—</t>
        </is>
      </c>
      <c r="M351"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1" s="3" t="inlineStr">
        <is>
          <t>Yes</t>
        </is>
      </c>
      <c r="O351" s="3" t="inlineStr">
        <is>
          <t>MK-ST-F-056 has</t>
        </is>
      </c>
      <c r="P351" s="3" t="n">
        <v>1</v>
      </c>
      <c r="Q351" s="3" t="inlineStr">
        <is>
          <t>MK-ST-F-056 has</t>
        </is>
      </c>
      <c r="R351" s="3" t="inlineStr">
        <is>
          <t>MK-ST-F-056 has → MK-PF-F-024 userFlows</t>
        </is>
      </c>
      <c r="S351" s="3" t="inlineStr">
        <is>
          <t>—</t>
        </is>
      </c>
      <c r="T351" s="3" t="inlineStr">
        <is>
          <t>PERSONAL_FLOWS</t>
        </is>
      </c>
      <c r="U351" s="3" t="inlineStr">
        <is>
          <t>ACTIVE</t>
        </is>
      </c>
      <c r="V351" s="3" t="inlineStr">
        <is>
          <t>2026-09-30</t>
        </is>
      </c>
      <c r="W351" s="3" t="n"/>
      <c r="X351" s="3" t="n"/>
      <c r="Y351" s="3" t="inlineStr">
        <is>
          <t>NOTHING OPEN</t>
        </is>
      </c>
    </row>
    <row r="352" ht="60" customHeight="1">
      <c r="A352" s="3" t="inlineStr">
        <is>
          <t>MK-PF-F-025</t>
        </is>
      </c>
      <c r="B352" s="3" t="inlineStr">
        <is>
          <t>historyIsComplete</t>
        </is>
      </c>
      <c r="C352" s="3" t="inlineStr">
        <is>
          <t>src/domain/performance/moneyWeighted.ts</t>
        </is>
      </c>
      <c r="D352" s="3" t="n">
        <v>119</v>
      </c>
      <c r="E352" s="3" t="inlineStr">
        <is>
          <t>3 · DEPENDENT</t>
        </is>
      </c>
      <c r="F352" s="3" t="inlineStr">
        <is>
          <t>True iff every measured account's story begins IN the ledger (openable honestly).</t>
        </is>
      </c>
      <c r="G352" s="11" t="inlineStr">
        <is>
          <t>false   when first is missing
false   when !['OPENING_CASH', 'OPENING_POSITION', 'DEPOSIT'].includes(first.type as string)
true
[LOOP — the answer is found inside a loop the extractor cannot render; the steps above are the ones before it. Read by hand.]</t>
        </is>
      </c>
      <c r="H352" s="3" t="inlineStr">
        <is>
          <t>When first is missing, it answers false. When !['OPENING_CASH', 'OPENING_POSITION', 'DEPOSIT'].includes(first.type as string), it answers false. true. The answer is found inside a loop that cannot be rendered here; read the code by hand.</t>
        </is>
      </c>
      <c r="I352" s="3" t="inlineStr">
        <is>
          <t>PARTLY READ — the body has a loop the extractor cannot render; the steps shown are the ones before it. Needs a hand pass (G23).</t>
        </is>
      </c>
      <c r="J352" s="3" t="inlineStr">
        <is>
          <t>1. transactions: Transaction[]
2. accounts: AssetAccount[]
3. accountIds: Set&lt;string&gt;</t>
        </is>
      </c>
      <c r="K352" s="3" t="inlineStr">
        <is>
          <t>boolean</t>
        </is>
      </c>
      <c r="L352" s="3" t="inlineStr">
        <is>
          <t>—</t>
        </is>
      </c>
      <c r="M352" s="3" t="inlineStr">
        <is>
          <t>None found in this function — anything it assumes comes from the functions it depends on.</t>
        </is>
      </c>
      <c r="N352" s="3" t="inlineStr">
        <is>
          <t>Yes</t>
        </is>
      </c>
      <c r="O352" s="3" t="inlineStr">
        <is>
          <t>MK-ST-F-056 has</t>
        </is>
      </c>
      <c r="P352" s="3" t="n">
        <v>1</v>
      </c>
      <c r="Q352" s="3" t="inlineStr">
        <is>
          <t>MK-ST-F-056 has</t>
        </is>
      </c>
      <c r="R352" s="3" t="inlineStr">
        <is>
          <t>MK-ST-F-056 has → MK-PF-F-025 historyIsComplete</t>
        </is>
      </c>
      <c r="S352" s="3" t="inlineStr">
        <is>
          <t>—</t>
        </is>
      </c>
      <c r="T352" s="3" t="inlineStr">
        <is>
          <t>PERSONAL_RETURN_POSSIBLE</t>
        </is>
      </c>
      <c r="U352" s="3" t="inlineStr">
        <is>
          <t>ACTIVE</t>
        </is>
      </c>
      <c r="V352" s="3" t="inlineStr">
        <is>
          <t>2026-09-30</t>
        </is>
      </c>
      <c r="W352" s="3" t="n"/>
      <c r="X352" s="3" t="n"/>
      <c r="Y352" s="3" t="inlineStr">
        <is>
          <t>NOTHING OPEN</t>
        </is>
      </c>
    </row>
    <row r="353" ht="60" customHeight="1">
      <c r="A353" s="3" t="inlineStr">
        <is>
          <t>MK-PF-F-026</t>
        </is>
      </c>
      <c r="B353" s="3" t="inlineStr">
        <is>
          <t>moneyWeightedReturn</t>
        </is>
      </c>
      <c r="C353" s="3" t="inlineStr">
        <is>
          <t>src/domain/performance/moneyWeighted.ts</t>
        </is>
      </c>
      <c r="D353" s="3" t="n">
        <v>202</v>
      </c>
      <c r="E353" s="3" t="inlineStr">
        <is>
          <t>3 · DEPENDENT</t>
        </is>
      </c>
      <c r="F353" s="3" t="inlineStr">
        <is>
          <t>XIRR via bisection — deterministic, no derivative games.</t>
        </is>
      </c>
      <c r="G353"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3"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3" s="3" t="inlineStr">
        <is>
          <t>PARTLY READ — the body has a loop the extractor cannot render; the steps shown are the ones before it. Needs a hand pass (G23).</t>
        </is>
      </c>
      <c r="J353" s="3" t="inlineStr">
        <is>
          <t>Nothing is handed to it</t>
        </is>
      </c>
      <c r="K353" s="3" t="inlineStr">
        <is>
          <t>NOT DECLARED — the code does not say what it gives back</t>
        </is>
      </c>
      <c r="L353" s="3" t="inlineStr">
        <is>
          <t>—</t>
        </is>
      </c>
      <c r="M353" s="3" t="inlineStr">
        <is>
          <t>1. Uses today's date from the device clock, so the answer changes by itself overnight.
2. Never lets current value fall below 0.</t>
        </is>
      </c>
      <c r="N353" s="3" t="inlineStr">
        <is>
          <t>Yes</t>
        </is>
      </c>
      <c r="O353" s="3" t="inlineStr">
        <is>
          <t>1. MK-PF-F-025 historyIsComplete
2. MK-PF-F-030 npv
3. MK-PF-F-024 userFlows</t>
        </is>
      </c>
      <c r="P353" s="3" t="n">
        <v>4</v>
      </c>
      <c r="Q353" s="3" t="inlineStr">
        <is>
          <t>1. MK-PF-F-025 historyIsComplete
2. MK-PF-F-030 npv
3. MK-PF-F-024 userFlows
4. MK-ST-F-056 has</t>
        </is>
      </c>
      <c r="R353" s="3" t="inlineStr">
        <is>
          <t>1. MK-ST-F-056 has → MK-PF-F-025 historyIsComplete → MK-PF-F-026 moneyWeightedReturn
2. MK-PF-F-030 npv → MK-PF-F-026 moneyWeightedReturn
3. MK-ST-F-056 has → MK-PF-F-024 userFlows → MK-PF-F-026 moneyWeightedReturn</t>
        </is>
      </c>
      <c r="S353" s="3" t="inlineStr">
        <is>
          <t>—</t>
        </is>
      </c>
      <c r="T353" s="3" t="inlineStr">
        <is>
          <t>PERSONAL_RETURN</t>
        </is>
      </c>
      <c r="U353" s="3" t="inlineStr">
        <is>
          <t>ACTIVE</t>
        </is>
      </c>
      <c r="V353" s="3" t="inlineStr">
        <is>
          <t>2026-09-30</t>
        </is>
      </c>
      <c r="W353" s="3" t="n"/>
      <c r="X353" s="3" t="n"/>
      <c r="Y353" s="3" t="inlineStr">
        <is>
          <t>NOTHING OPEN</t>
        </is>
      </c>
    </row>
    <row r="354" ht="45" customHeight="1">
      <c r="A354" s="3" t="inlineStr">
        <is>
          <t>MK-PF-F-027</t>
        </is>
      </c>
      <c r="B354" s="3" t="inlineStr">
        <is>
          <t>isMoneyWeighted</t>
        </is>
      </c>
      <c r="C354" s="3" t="inlineStr">
        <is>
          <t>src/domain/performance/moneyWeighted.ts</t>
        </is>
      </c>
      <c r="D354" s="3" t="n">
        <v>247</v>
      </c>
      <c r="E354" s="3" t="inlineStr">
        <is>
          <t>3 · DEPENDENT (feeds an action only)</t>
        </is>
      </c>
      <c r="F354" s="3" t="inlineStr">
        <is>
          <t>Did the personal return produce a number, or a reason it could not?</t>
        </is>
      </c>
      <c r="G354" s="11" t="inlineStr">
        <is>
          <t>(r as money weighted).rate per year ! = undefined</t>
        </is>
      </c>
      <c r="H354" s="3" t="inlineStr">
        <is>
          <t>(r as money weighted).rate per year ! = undefined.</t>
        </is>
      </c>
      <c r="I354" s="3" t="inlineStr">
        <is>
          <t>PARTLY READ — some of the code is still showing through; needs a hand pass</t>
        </is>
      </c>
      <c r="J354" s="3" t="inlineStr">
        <is>
          <t>r: MoneyWeighted | MoneyWeightedMiss</t>
        </is>
      </c>
      <c r="K354" s="3" t="inlineStr">
        <is>
          <t>r is MoneyWeighted</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PERSONAL_RETURN_ANSWERED</t>
        </is>
      </c>
      <c r="U354" s="3" t="inlineStr">
        <is>
          <t>ACTIVE</t>
        </is>
      </c>
      <c r="V354" s="3" t="inlineStr">
        <is>
          <t>2026-09-25</t>
        </is>
      </c>
      <c r="W354" s="3" t="n"/>
      <c r="X354" s="3" t="n"/>
      <c r="Y354" s="3" t="inlineStr">
        <is>
          <t>NOTHING OPEN</t>
        </is>
      </c>
    </row>
    <row r="355" ht="60" customHeight="1">
      <c r="A355" s="3" t="inlineStr">
        <is>
          <t>MK-PF-F-028</t>
        </is>
      </c>
      <c r="B355" s="3" t="inlineStr">
        <is>
          <t>realizedFromLedger</t>
        </is>
      </c>
      <c r="C355" s="3" t="inlineStr">
        <is>
          <t>src/domain/performance/realized.ts</t>
        </is>
      </c>
      <c r="D355" s="3" t="n">
        <v>44</v>
      </c>
      <c r="E355" s="3" t="inlineStr">
        <is>
          <t>3 · DEPENDENT</t>
        </is>
      </c>
      <c r="F355" s="3" t="inlineStr">
        <is>
          <t>How much profit have I actually taken?</t>
        </is>
      </c>
      <c r="G355"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5"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5" s="3" t="inlineStr">
        <is>
          <t>READ BY HAND 2026-08-26 — checked line by line against the code</t>
        </is>
      </c>
      <c r="J355" s="3" t="inlineStr">
        <is>
          <t>Nothing is handed to it</t>
        </is>
      </c>
      <c r="K355" s="3" t="inlineStr">
        <is>
          <t>NOT DECLARED — the code does not say what it gives back</t>
        </is>
      </c>
      <c r="L355" s="3" t="inlineStr">
        <is>
          <t>—</t>
        </is>
      </c>
      <c r="M355" s="3" t="inlineStr">
        <is>
          <t>1. If shares is missing it uses 0.
2. Uses today's date from the device clock, so the answer changes by itself overnight.
3. Sales dated in the current calendar year make the this-year total; the device clock decides which year that is.</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REALISED_GAIN</t>
        </is>
      </c>
      <c r="U355" s="3" t="inlineStr">
        <is>
          <t>ACTIVE</t>
        </is>
      </c>
      <c r="V355" s="3" t="inlineStr">
        <is>
          <t>2026-09-28</t>
        </is>
      </c>
      <c r="W355"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5"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5" s="6" t="inlineStr">
        <is>
          <t>WAITING ON YOU — answer to read</t>
        </is>
      </c>
    </row>
    <row r="356" ht="60" customHeight="1">
      <c r="A356" s="3" t="inlineStr">
        <is>
          <t>MK-PF-F-029</t>
        </is>
      </c>
      <c r="B356" s="3" t="inlineStr">
        <is>
          <t>closeAsOf</t>
        </is>
      </c>
      <c r="C356" s="3" t="inlineStr">
        <is>
          <t>src/domain/performance/index.ts</t>
        </is>
      </c>
      <c r="D356" s="3" t="n">
        <v>450</v>
      </c>
      <c r="E356" s="3" t="inlineStr">
        <is>
          <t>3 · DEPENDENT</t>
        </is>
      </c>
      <c r="F356" s="3" t="inlineStr">
        <is>
          <t>Close on/just-before a target date (series oldest→newest).</t>
        </is>
      </c>
      <c r="G356" s="11" t="inlineStr">
        <is>
          <t>pts = series.points (or none when missing)
nothing   when count of pts is missing
t = target.get time()
chosen = nothing
the answer = chosen (or pts[0].close when missing)</t>
        </is>
      </c>
      <c r="H356" s="3" t="inlineStr">
        <is>
          <t>Pts is series.points (or none — when missing). When how many pts is missing there are, it answers no answer. T is target.get time(). Chosen is no answer. The answer is chosen (or pts[0].close — when missing).</t>
        </is>
      </c>
      <c r="I356" s="3" t="inlineStr">
        <is>
          <t>PARTLY READ — some of the code is still showing through; needs a hand pass</t>
        </is>
      </c>
      <c r="J356" s="3" t="inlineStr">
        <is>
          <t>1. series: PriceSeries | null | undefined
2. target: Date</t>
        </is>
      </c>
      <c r="K356" s="3" t="inlineStr">
        <is>
          <t>number | null</t>
        </is>
      </c>
      <c r="L356" s="3" t="inlineStr">
        <is>
          <t>—</t>
        </is>
      </c>
      <c r="M356" s="3" t="inlineStr">
        <is>
          <t>None found in this function — anything it assumes comes from the functions it depends on.</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t>
        </is>
      </c>
      <c r="U356" s="3" t="inlineStr">
        <is>
          <t>ACTIVE</t>
        </is>
      </c>
      <c r="V356" s="3" t="inlineStr">
        <is>
          <t>2026-08-27</t>
        </is>
      </c>
      <c r="W356" s="3" t="n"/>
      <c r="X356" s="3" t="n"/>
      <c r="Y356" s="3" t="inlineStr">
        <is>
          <t>NOTHING OPEN</t>
        </is>
      </c>
    </row>
    <row r="357" ht="60" customHeight="1">
      <c r="A357" s="3" t="inlineStr">
        <is>
          <t>MK-PF-F-030</t>
        </is>
      </c>
      <c r="B357" s="3" t="inlineStr">
        <is>
          <t>npv</t>
        </is>
      </c>
      <c r="C357" s="3" t="inlineStr">
        <is>
          <t>src/domain/performance/moneyWeighted.ts</t>
        </is>
      </c>
      <c r="D357" s="3" t="n">
        <v>157</v>
      </c>
      <c r="E357" s="3" t="inlineStr">
        <is>
          <t>3 · DEPENDENT</t>
        </is>
      </c>
      <c r="F357" s="3" t="inlineStr">
        <is>
          <t>NOT DETERMINED — the code carries no note saying what this is for, and it has no row in the old inventory. Needs reading.</t>
        </is>
      </c>
      <c r="G357" s="11" t="inlineStr">
        <is>
          <t>disc = (when: number) =&gt; (1 + rate)^(-((when − t0) ÷ DAY) ÷ 365)
v = 0
[LOOP — the answer is found inside a loop the extractor cannot render; the steps above are the ones before it. Read by hand.]</t>
        </is>
      </c>
      <c r="H357" s="3" t="inlineStr">
        <is>
          <t>Disc is (when: number) =&gt; (1 plus rate)^(-((when minus t0) divided by DAY) divided by 365). V is 0. The answer is v plus end value times disc(end date). The answer is found inside a loop that cannot be rendered here; read the code by hand.</t>
        </is>
      </c>
      <c r="I357" s="3" t="inlineStr">
        <is>
          <t>PARTLY READ — the body has a loop the extractor cannot render; the steps shown are the ones before it. Needs a hand pass (G23).</t>
        </is>
      </c>
      <c r="J357" s="3" t="inlineStr">
        <is>
          <t>1. rate: number
2. flows: { date: number; amount: number }[]
3. endValue: number
4. endDate: number
5. t0: number</t>
        </is>
      </c>
      <c r="K357" s="3" t="inlineStr">
        <is>
          <t>number</t>
        </is>
      </c>
      <c r="L357" s="3" t="inlineStr">
        <is>
          <t>—</t>
        </is>
      </c>
      <c r="M357" s="3" t="inlineStr">
        <is>
          <t>· Treats a year as 365 days.</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2026-09-30</t>
        </is>
      </c>
      <c r="W357" s="3" t="n"/>
      <c r="X357" s="3" t="n"/>
      <c r="Y357" s="3" t="inlineStr">
        <is>
          <t>NOTHING OPEN</t>
        </is>
      </c>
    </row>
    <row r="358" ht="60" customHeight="1">
      <c r="A358" s="3" t="inlineStr">
        <is>
          <t>MK-PF-F-031</t>
        </is>
      </c>
      <c r="B358" s="3" t="inlineStr">
        <is>
          <t>contractMultiplier</t>
        </is>
      </c>
      <c r="C358" s="3" t="inlineStr">
        <is>
          <t>src/domain/performance/index.ts</t>
        </is>
      </c>
      <c r="D358" s="3" t="n">
        <v>67</v>
      </c>
      <c r="E358" s="3" t="inlineStr">
        <is>
          <t>3 · DEPENDENT</t>
        </is>
      </c>
      <c r="F358" s="3" t="inlineStr">
        <is>
          <t>NOT DETERMINED — the code carries no note saying what this is for, and it has no row in the old inventory. Needs reading.</t>
        </is>
      </c>
      <c r="G358" s="11" t="inlineStr">
        <is>
          <t>multiplier   when multiplier ≠ nothing and multiplier &gt; 0
OPTION_CONTRACT_MULTIPLIER   if kind = 'options'
1   otherwise</t>
        </is>
      </c>
      <c r="H358" s="3" t="inlineStr">
        <is>
          <t>When multiplier is not no answer and multiplier &gt; 0, it answers multiplier. OPTION_CONTRACT_MULTIPLIER — when kind = 'options'; 1 — otherwise.</t>
        </is>
      </c>
      <c r="I358" s="3" t="inlineStr">
        <is>
          <t>READ FROM THE CODE — rendered from the expressions the function runs</t>
        </is>
      </c>
      <c r="J358" s="3" t="inlineStr">
        <is>
          <t>p: Pick&lt;Position, 'kind' | 'multiplier'&gt;</t>
        </is>
      </c>
      <c r="K358" s="3" t="inlineStr">
        <is>
          <t>number</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2026-09-11</t>
        </is>
      </c>
      <c r="W358" s="3" t="n"/>
      <c r="X358" s="3" t="n"/>
      <c r="Y358" s="6" t="inlineStr">
        <is>
          <t>TESTED, NOT VERIFIED (Q06)</t>
        </is>
      </c>
    </row>
    <row r="359" ht="60" customHeight="1">
      <c r="A359" s="3" t="inlineStr">
        <is>
          <t>MK-PF-F-032</t>
        </is>
      </c>
      <c r="B359" s="3" t="inlineStr">
        <is>
          <t>quantityUnit</t>
        </is>
      </c>
      <c r="C359" s="3" t="inlineStr">
        <is>
          <t>src/domain/performance/index.ts</t>
        </is>
      </c>
      <c r="D359" s="3" t="n">
        <v>101</v>
      </c>
      <c r="E359" s="3" t="inlineStr">
        <is>
          <t>3 · DEPENDENT</t>
        </is>
      </c>
      <c r="F359" s="3" t="inlineStr">
        <is>
          <t>Q09 (founder, 2026-08-26): the unit beside a quantity — the person's when entered, else the one the kind implies: coins for crypto, contracts for options, ounces for gold and commodities, shares for everything else.</t>
        </is>
      </c>
      <c r="G359" s="11" t="inlineStr">
        <is>
          <t>unit   when unit
'coins'   when kind = 'crypto'
'contracts'   when kind = 'options'
'ounces'   when kind = 'commodities'
'shares'</t>
        </is>
      </c>
      <c r="H359" s="3" t="inlineStr">
        <is>
          <t>When unit, it answers unit. When kind = 'crypto', it answers 'coins'. When kind = 'options', it answers 'contracts'. When kind = 'commodities', it answers 'ounces'. 'shares'.</t>
        </is>
      </c>
      <c r="I359" s="3" t="inlineStr">
        <is>
          <t>READ FROM THE CODE — rendered from the expressions the function runs</t>
        </is>
      </c>
      <c r="J359" s="3" t="inlineStr">
        <is>
          <t>p: Pick&lt;Position, 'kind' | 'unit'&gt;</t>
        </is>
      </c>
      <c r="K359" s="3" t="inlineStr">
        <is>
          <t>QuantityUnit</t>
        </is>
      </c>
      <c r="L359" s="3" t="inlineStr">
        <is>
          <t>—</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2026-09-11</t>
        </is>
      </c>
      <c r="W359" s="3" t="n"/>
      <c r="X359" s="3" t="n"/>
      <c r="Y359" s="6" t="inlineStr">
        <is>
          <t>TESTED, NOT VERIFIED (Q09)</t>
        </is>
      </c>
    </row>
    <row r="360" ht="60" customHeight="1">
      <c r="A360" s="3" t="inlineStr">
        <is>
          <t>MK-PF-F-033</t>
        </is>
      </c>
      <c r="B360" s="3" t="inlineStr">
        <is>
          <t>quantityWithUnit</t>
        </is>
      </c>
      <c r="C360" s="3" t="inlineStr">
        <is>
          <t>src/domain/performance/index.ts</t>
        </is>
      </c>
      <c r="D360" s="3" t="n">
        <v>129</v>
      </c>
      <c r="E360" s="3" t="inlineStr">
        <is>
          <t>2 · DISPLAYED</t>
        </is>
      </c>
      <c r="F360" s="3" t="inlineStr">
        <is>
          <t>"3 shares", "1 coin", "2 contracts" — the quantity printed with its unit, singular when it is one.</t>
        </is>
      </c>
      <c r="G360" s="11" t="inlineStr">
        <is>
          <t>unit = quantity unit(p)
the answer = `${format(qty)} ${qty = 1 ? unit.replace( ÷ s$ ÷ , '') : unit}`</t>
        </is>
      </c>
      <c r="H360" s="3" t="inlineStr">
        <is>
          <t>Unit is quantity unit(p). The answer is `${format(qty)} ${qty = 1 ? unit.replace( divided by s$ divided by , '') : unit}`.</t>
        </is>
      </c>
      <c r="I360" s="3" t="inlineStr">
        <is>
          <t>PARTLY READ — some of the code is still showing through; needs a hand pass</t>
        </is>
      </c>
      <c r="J360" s="3" t="inlineStr">
        <is>
          <t>1. p: Pick&lt;Position, 'kind' | 'unit'&gt;
2. qty: number
3. format: (n: number) =&gt; string = String</t>
        </is>
      </c>
      <c r="K360" s="3" t="inlineStr">
        <is>
          <t>string</t>
        </is>
      </c>
      <c r="L360" s="3" t="inlineStr">
        <is>
          <t>"Quantity" — on the Holding detail screen, under "CURRENT PRICE$"</t>
        </is>
      </c>
      <c r="M360" s="3" t="inlineStr">
        <is>
          <t>None found in this function — anything it assumes comes from the functions it depends on.</t>
        </is>
      </c>
      <c r="N360" s="3" t="inlineStr">
        <is>
          <t>Yes</t>
        </is>
      </c>
      <c r="O360" s="3" t="inlineStr">
        <is>
          <t>MK-PF-F-032 quantityUnit</t>
        </is>
      </c>
      <c r="P360" s="3" t="n">
        <v>1</v>
      </c>
      <c r="Q360" s="3" t="inlineStr">
        <is>
          <t>MK-PF-F-032 quantityUnit</t>
        </is>
      </c>
      <c r="R360" s="3" t="inlineStr">
        <is>
          <t>MK-PF-F-032 quantityUnit → MK-PF-F-033 quantityWithUnit</t>
        </is>
      </c>
      <c r="S360" s="3" t="inlineStr">
        <is>
          <t>—</t>
        </is>
      </c>
      <c r="T360" s="3" t="inlineStr">
        <is>
          <t>—</t>
        </is>
      </c>
      <c r="U360" s="3" t="inlineStr">
        <is>
          <t>ACTIVE</t>
        </is>
      </c>
      <c r="V360" s="3" t="inlineStr">
        <is>
          <t>2026-09-11</t>
        </is>
      </c>
      <c r="W360" s="3" t="n"/>
      <c r="X360" s="3" t="n"/>
      <c r="Y360" s="6" t="inlineStr">
        <is>
          <t>TESTED, NOT VERIFIED (Q09)</t>
        </is>
      </c>
    </row>
    <row r="361" ht="60" customHeight="1">
      <c r="A361" s="3" t="inlineStr">
        <is>
          <t>MK-PF-F-034</t>
        </is>
      </c>
      <c r="B361" s="3" t="inlineStr">
        <is>
          <t>closeOnOrBefore</t>
        </is>
      </c>
      <c r="C361" s="3" t="inlineStr">
        <is>
          <t>src/domain/performance/index.ts</t>
        </is>
      </c>
      <c r="D361" s="3" t="n">
        <v>495</v>
      </c>
      <c r="E361" s="3" t="inlineStr">
        <is>
          <t>3 · DEPENDENT</t>
        </is>
      </c>
      <c r="F361" s="3" t="inlineStr">
        <is>
          <t>The close ON OR BEFORE a day, with NO fallback.</t>
        </is>
      </c>
      <c r="G361" s="11" t="inlineStr">
        <is>
          <t>pts = series.points (or none when missing)
nothing   when count of pts is missing (or ! ÷ ^\d{4}-\d{2}-\d{2}$ ÷ .test(iso date) when missing or zero)
chosen = nothing
the answer = chosen</t>
        </is>
      </c>
      <c r="H361" s="3" t="inlineStr">
        <is>
          <t>Pts is series.points (or none — when missing). When how many pts is missing (or ! divided by ^\d{4}-\d{2}-\d{2}$ divided by .test(iso date) — when missing or zero) there are, it answers no answer. Chosen is no answer. The answer is chosen.</t>
        </is>
      </c>
      <c r="I361" s="3" t="inlineStr">
        <is>
          <t>PARTLY READ — some of the code is still showing through; needs a hand pass</t>
        </is>
      </c>
      <c r="J361" s="3" t="inlineStr">
        <is>
          <t>1. series: PriceSeries | null | undefined
2. isoDate: string</t>
        </is>
      </c>
      <c r="K361" s="3" t="inlineStr">
        <is>
          <t>number | null</t>
        </is>
      </c>
      <c r="L361" s="3" t="inlineStr">
        <is>
          <t>—</t>
        </is>
      </c>
      <c r="M361" s="3" t="inlineStr">
        <is>
          <t>None found in this function — anything it assumes comes from the functions it depends on.</t>
        </is>
      </c>
      <c r="N361" s="3" t="inlineStr">
        <is>
          <t>Yes</t>
        </is>
      </c>
      <c r="O361" s="3" t="inlineStr">
        <is>
          <t>—</t>
        </is>
      </c>
      <c r="P361" s="3" t="n">
        <v>0</v>
      </c>
      <c r="Q361" s="3" t="inlineStr">
        <is>
          <t>None — no dependent function stands behind it</t>
        </is>
      </c>
      <c r="R361" s="3" t="inlineStr">
        <is>
          <t>No dependent function — it reads its inputs and answers</t>
        </is>
      </c>
      <c r="S361" s="3" t="inlineStr">
        <is>
          <t>—</t>
        </is>
      </c>
      <c r="T361" s="3" t="inlineStr">
        <is>
          <t>—</t>
        </is>
      </c>
      <c r="U361" s="3" t="inlineStr">
        <is>
          <t>ACTIVE</t>
        </is>
      </c>
      <c r="V361" s="3" t="inlineStr">
        <is>
          <t>2026-09-25</t>
        </is>
      </c>
      <c r="W361" s="3" t="n"/>
      <c r="X361" s="3" t="n"/>
      <c r="Y361" s="3" t="inlineStr">
        <is>
          <t>NOTHING OPEN</t>
        </is>
      </c>
    </row>
    <row r="362" ht="60" customHeight="1">
      <c r="A362" s="3" t="inlineStr">
        <is>
          <t>MK-PL-F-001</t>
        </is>
      </c>
      <c r="B362" s="3" t="inlineStr">
        <is>
          <t>taxBucketSplit</t>
        </is>
      </c>
      <c r="C362" s="3" t="inlineStr">
        <is>
          <t>src/domain/decumulation/index.ts</t>
        </is>
      </c>
      <c r="D362" s="3" t="n">
        <v>38</v>
      </c>
      <c r="E362" s="3" t="inlineStr">
        <is>
          <t>2 · DISPLAYED</t>
        </is>
      </c>
      <c r="F362" s="3" t="inlineStr">
        <is>
          <t>How is the retirement money split by the tax that will be owed on it?</t>
        </is>
      </c>
      <c r="G362" s="11" t="inlineStr">
        <is>
          <t>s = taxable = 0
pre tax = 0
roth = 0
cash = 0
total = 0
v = earmarked amount(a)
the answer = s</t>
        </is>
      </c>
      <c r="H362" s="3" t="inlineStr">
        <is>
          <t>S is taxable = 0; pre tax = 0; roth = 0; cash = 0; total = 0. V is earmarked amount(a). The answer is s.</t>
        </is>
      </c>
      <c r="I362" s="3" t="inlineStr">
        <is>
          <t>READ FROM THE CODE — rendered from the expressions the function runs</t>
        </is>
      </c>
      <c r="J362" s="3" t="inlineStr">
        <is>
          <t>accounts: AssetAccount[]</t>
        </is>
      </c>
      <c r="K362" s="3" t="inlineStr">
        <is>
          <t>BucketSplit</t>
        </is>
      </c>
      <c r="L362"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2" s="3" t="inlineStr">
        <is>
          <t>None found in this function — anything it assumes comes from the functions it depends on.</t>
        </is>
      </c>
      <c r="N362" s="3" t="inlineStr">
        <is>
          <t>Yes</t>
        </is>
      </c>
      <c r="O362" s="3" t="inlineStr">
        <is>
          <t>MK-NW-F-032 earmarkedAmount</t>
        </is>
      </c>
      <c r="P362" s="3" t="n">
        <v>14</v>
      </c>
      <c r="Q362"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2"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2" s="3" t="inlineStr">
        <is>
          <t>—</t>
        </is>
      </c>
      <c r="T362" s="3" t="inlineStr">
        <is>
          <t>SPLIT_BY_HOW_IT_IS_TAXED</t>
        </is>
      </c>
      <c r="U362" s="3" t="inlineStr">
        <is>
          <t>ACTIVE</t>
        </is>
      </c>
      <c r="V362" s="3" t="inlineStr">
        <is>
          <t>2026-08-27</t>
        </is>
      </c>
      <c r="W362" s="3" t="n"/>
      <c r="X362" s="3" t="n"/>
      <c r="Y362" s="3" t="inlineStr">
        <is>
          <t>NOTHING OPEN</t>
        </is>
      </c>
    </row>
    <row r="363" ht="60" customHeight="1">
      <c r="A363" s="3" t="inlineStr">
        <is>
          <t>MK-PL-F-002</t>
        </is>
      </c>
      <c r="B363" s="3" t="inlineStr">
        <is>
          <t>withdrawalPlan</t>
        </is>
      </c>
      <c r="C363" s="3" t="inlineStr">
        <is>
          <t>src/domain/decumulation/index.ts</t>
        </is>
      </c>
      <c r="D363" s="3" t="n">
        <v>84</v>
      </c>
      <c r="E363" s="3" t="inlineStr">
        <is>
          <t>2 · DISPLAYED</t>
        </is>
      </c>
      <c r="F363" s="3" t="inlineStr">
        <is>
          <t>NOT DETERMINED — the code carries no note saying what this is for, and it has no row in the old inventory. Needs reading.</t>
        </is>
      </c>
      <c r="G363"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3"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3" s="3" t="inlineStr">
        <is>
          <t>READ FROM THE CODE — rendered from the expressions the function runs</t>
        </is>
      </c>
      <c r="J363" s="3" t="inlineStr">
        <is>
          <t>1. spendMonthly: number
2. guaranteedMonthly: number
3. nestEgg: number</t>
        </is>
      </c>
      <c r="K363" s="3" t="inlineStr">
        <is>
          <t>WithdrawalPlan</t>
        </is>
      </c>
      <c r="L363" s="3" t="inlineStr">
        <is>
          <t>1. "From your portfolio" — on the Retirement cockpit screen
2. "WILL YOUR MONEY LAST?" — on the Retirement cockpit screen, under "RETIREMENT
3. WHERE YOU STAND"
4. "You plan to spend" — on the Retirement cockpit screen</t>
        </is>
      </c>
      <c r="M363" s="3" t="inlineStr">
        <is>
          <t>· Turns a monthly figure into a year by multiplying by twelve.</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t>
        </is>
      </c>
      <c r="U363" s="3" t="inlineStr">
        <is>
          <t>ACTIVE</t>
        </is>
      </c>
      <c r="V363" s="3" t="inlineStr">
        <is>
          <t>2026-09-09</t>
        </is>
      </c>
      <c r="W363" s="3" t="n"/>
      <c r="X363" s="3" t="n"/>
      <c r="Y363" s="3" t="inlineStr">
        <is>
          <t>NOTHING OPEN</t>
        </is>
      </c>
    </row>
    <row r="364" ht="60" customHeight="1">
      <c r="A364" s="3" t="inlineStr">
        <is>
          <t>MK-PL-F-003</t>
        </is>
      </c>
      <c r="B364" s="3" t="inlineStr">
        <is>
          <t>depletionAge</t>
        </is>
      </c>
      <c r="C364" s="3" t="inlineStr">
        <is>
          <t>src/domain/decumulation/index.ts</t>
        </is>
      </c>
      <c r="D364" s="3" t="n">
        <v>127</v>
      </c>
      <c r="E364" s="3" t="inlineStr">
        <is>
          <t>2 · DISPLAYED</t>
        </is>
      </c>
      <c r="F364" s="3" t="inlineStr">
        <is>
          <t>---- deterministic depletion ---- Age the portfolio runs out (deterministic), or null if it lasts to the horizon.</t>
        </is>
      </c>
      <c r="G364" s="11" t="inlineStr">
        <is>
          <t>bal = nest egg
net = net withdrawal now
rmd on = (pre tax share ?? 0) &gt; 0
pre tax bal = bal × min(1, max(0, pre tax share!))   if rmd on
0   otherwise
rate = min(0.6, max(0, rmd tax rate (or 0.22 when missing)))
growth = 1 + return rate
a + 1   when bal ≤ 0
the answer = nothing</t>
        </is>
      </c>
      <c r="H364"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4" s="3" t="inlineStr">
        <is>
          <t>PARTLY READ — some of the code is still showing through; needs a hand pass</t>
        </is>
      </c>
      <c r="J364" s="3" t="inlineStr">
        <is>
          <t>o: { age: number; horizon: number; nestEgg: number; netWithdrawalNow: number; returnRate: number; inflation: number; preTaxShare?: number; rmdTaxRate?: number }</t>
        </is>
      </c>
      <c r="K364" s="3" t="inlineStr">
        <is>
          <t>number | null</t>
        </is>
      </c>
      <c r="L364" s="3" t="inlineStr">
        <is>
          <t>NOT FOUND — a screen calls it, but the words printed beside its answer could not be traced automatically. Needs reading.</t>
        </is>
      </c>
      <c r="M364" s="3" t="inlineStr">
        <is>
          <t>1. If pre tax share is missing it uses 0.
2. If required withdrawal tax rate is missing it uses 22%.</t>
        </is>
      </c>
      <c r="N364" s="3" t="inlineStr">
        <is>
          <t>Yes</t>
        </is>
      </c>
      <c r="O364" s="3" t="inlineStr">
        <is>
          <t>1. MK-PL-F-007 rmdAtAge
2. MK-PL-F-005 rmdStartAgeFor</t>
        </is>
      </c>
      <c r="P364" s="3" t="n">
        <v>6</v>
      </c>
      <c r="Q364" s="3" t="inlineStr">
        <is>
          <t>1. MK-PL-F-007 rmdAtAge
2. MK-PL-F-005 rmdStartAgeFor
3. MK-PL-F-078 rmdDivisorAtAge
4. MK-ST-F-025 rmdStartAgeFromAge
5. MK-ST-F-024 rmdStartAge
6. MK-ST-F-056 has</t>
        </is>
      </c>
      <c r="R364" s="3" t="inlineStr">
        <is>
          <t>1. MK-PL-F-078 rmdDivisorAtAge → MK-PL-F-007 rmdAtAge → MK-PL-F-003 depletionAge
2. MK-ST-F-056 has → MK-ST-F-024 rmdStartAge → MK-ST-F-025 rmdStartAgeFromAge → MK-PL-F-005 rmdStartAgeFor → MK-PL-F-003 depletionAge</t>
        </is>
      </c>
      <c r="S364" s="3" t="inlineStr">
        <is>
          <t>—</t>
        </is>
      </c>
      <c r="T364" s="3" t="inlineStr">
        <is>
          <t>—</t>
        </is>
      </c>
      <c r="U364" s="3" t="inlineStr">
        <is>
          <t>ACTIVE</t>
        </is>
      </c>
      <c r="V364" s="3" t="inlineStr">
        <is>
          <t>2026-08-27</t>
        </is>
      </c>
      <c r="W364" s="3" t="n"/>
      <c r="X364" s="3" t="n"/>
      <c r="Y364" s="3" t="inlineStr">
        <is>
          <t>NOTHING OPEN</t>
        </is>
      </c>
    </row>
    <row r="365" ht="60" customHeight="1">
      <c r="A365" s="3" t="inlineStr">
        <is>
          <t>MK-PL-F-004</t>
        </is>
      </c>
      <c r="B365" s="3" t="inlineStr">
        <is>
          <t>withdrawalOrder</t>
        </is>
      </c>
      <c r="C365" s="3" t="inlineStr">
        <is>
          <t>src/domain/decumulation/index.ts</t>
        </is>
      </c>
      <c r="D365" s="3" t="n">
        <v>178</v>
      </c>
      <c r="E365" s="3" t="inlineStr">
        <is>
          <t>2 · DISPLAYED</t>
        </is>
      </c>
      <c r="F365" s="3" t="inlineStr">
        <is>
          <t>NOT DETERMINED — the code carries no note saying what this is for, and it has no row in the old inventory. Needs reading.</t>
        </is>
      </c>
      <c r="G365" s="11" t="inlineStr">
        <is>
          <t>steps = seq where split[bucket] &gt; 0for each of : ...each = ...each
amount = split[bucket]
pre = steps.find((s) =&gt; bucket = 'preTax')
the answer = steps</t>
        </is>
      </c>
      <c r="H365" s="3" t="inlineStr">
        <is>
          <t>Steps is seq where split[bucket] &gt; 0for each of : ...each = ...each; amount = split[bucket]. Pre is steps.find((s) =&gt; bucket = 'preTax'). The answer is steps.</t>
        </is>
      </c>
      <c r="I365" s="3" t="inlineStr">
        <is>
          <t>PARTLY READ — some of the code is still showing through; needs a hand pass</t>
        </is>
      </c>
      <c r="J365" s="3" t="inlineStr">
        <is>
          <t>1. split: BucketSplit
2. age = 0
3. userOrder?: DrawBucket[] | null</t>
        </is>
      </c>
      <c r="K365" s="3" t="inlineStr">
        <is>
          <t>OrderStep[]</t>
        </is>
      </c>
      <c r="L365" s="3" t="inlineStr">
        <is>
          <t>1. "Why this order?" — on the Cash flow screen
2. "Why? ›" — on the Cash flow screen, under "BIG-TICKET RADAR"</t>
        </is>
      </c>
      <c r="M365" s="3" t="inlineStr">
        <is>
          <t>None found in this function — anything it assumes comes from the functions it depends on.</t>
        </is>
      </c>
      <c r="N365" s="3" t="inlineStr">
        <is>
          <t>Yes</t>
        </is>
      </c>
      <c r="O365" s="3" t="inlineStr">
        <is>
          <t>1. MK-CF-F-132 map
2. MK-ST-F-039 on
3. MK-PL-F-007 rmdAtAge
4. MK-PL-F-005 rmdStartAgeFor</t>
        </is>
      </c>
      <c r="P365" s="3" t="n">
        <v>8</v>
      </c>
      <c r="Q365" s="3" t="inlineStr">
        <is>
          <t>1. MK-CF-F-132 map
2. MK-ST-F-039 on
3. MK-PL-F-007 rmdAtAge
4. MK-PL-F-005 rmdStartAgeFor
5. MK-PL-F-078 rmdDivisorAtAge
6. MK-ST-F-025 rmdStartAgeFromAge
7. MK-ST-F-024 rmdStartAge
8. MK-ST-F-056 has</t>
        </is>
      </c>
      <c r="R365"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MK-PL-F-005</t>
        </is>
      </c>
      <c r="B366" s="3" t="inlineStr">
        <is>
          <t>rmdStartAgeFor</t>
        </is>
      </c>
      <c r="C366" s="3" t="inlineStr">
        <is>
          <t>src/domain/decumulation/index.ts</t>
        </is>
      </c>
      <c r="D366" s="3" t="n">
        <v>232</v>
      </c>
      <c r="E366" s="3" t="inlineStr">
        <is>
          <t>2 · DISPLAYED</t>
        </is>
      </c>
      <c r="F366" s="3" t="inlineStr">
        <is>
          <t>---- Required Minimum Distributions ---- B4 (founder brief 2026-08-20): the rule lives in ONE dated, sourced table — the Calculation Module's rmd function.</t>
        </is>
      </c>
      <c r="G366" s="11" t="inlineStr">
        <is>
          <t>73   if age = nothing
rmd start age from age(age, now year)   otherwise</t>
        </is>
      </c>
      <c r="H366" s="3" t="inlineStr">
        <is>
          <t>73 — when age is missing; rmd start age from age(age, now year) — otherwise.</t>
        </is>
      </c>
      <c r="I366" s="3" t="inlineStr">
        <is>
          <t>READ FROM THE CODE — rendered from the expressions the function runs</t>
        </is>
      </c>
      <c r="J366" s="3" t="inlineStr">
        <is>
          <t>1. age?: number | null
2. nowYear = new Date().getFullYear()</t>
        </is>
      </c>
      <c r="K366" s="3" t="inlineStr">
        <is>
          <t>number</t>
        </is>
      </c>
      <c r="L366"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6" s="3" t="inlineStr">
        <is>
          <t>· Uses today's date from the device clock, so the answer changes by itself overnight.</t>
        </is>
      </c>
      <c r="N366" s="3" t="inlineStr">
        <is>
          <t>Yes</t>
        </is>
      </c>
      <c r="O366" s="3" t="inlineStr">
        <is>
          <t>MK-ST-F-025 rmdStartAgeFromAge</t>
        </is>
      </c>
      <c r="P366" s="3" t="n">
        <v>3</v>
      </c>
      <c r="Q366" s="3" t="inlineStr">
        <is>
          <t>1. MK-ST-F-025 rmdStartAgeFromAge
2. MK-ST-F-024 rmdStartAge
3. MK-ST-F-056 has</t>
        </is>
      </c>
      <c r="R366" s="3" t="inlineStr">
        <is>
          <t>MK-ST-F-056 has → MK-ST-F-024 rmdStartAge → MK-ST-F-025 rmdStartAgeFromAge → MK-PL-F-005 rmdStartAgeFor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MK-PL-F-006</t>
        </is>
      </c>
      <c r="B367" s="3" t="inlineStr">
        <is>
          <t>rmdDivisor</t>
        </is>
      </c>
      <c r="C367" s="3" t="inlineStr">
        <is>
          <t>Calculation Module code/engines/rmd.ts</t>
        </is>
      </c>
      <c r="D367" s="3" t="n">
        <v>133</v>
      </c>
      <c r="E367" s="3" t="inlineStr">
        <is>
          <t>3 · DEPENDENT (feeds an action only)</t>
        </is>
      </c>
      <c r="F367" s="3" t="inlineStr">
        <is>
          <t>Divisor at an age, 0 before that person's start age.</t>
        </is>
      </c>
      <c r="G367" s="11" t="inlineStr">
        <is>
          <t>divisor(age) = 0                        when age is below the start age
               the table value at age   when the table lists that age
               straight-line between the two nearest listed ages   otherwise</t>
        </is>
      </c>
      <c r="H367"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7" s="3" t="inlineStr">
        <is>
          <t>READ BY HAND 2026-08-26 — checked line by line against the code</t>
        </is>
      </c>
      <c r="J367" s="3" t="inlineStr">
        <is>
          <t>1. age: number
2. birthYear?: number | null</t>
        </is>
      </c>
      <c r="K367" s="3" t="inlineStr">
        <is>
          <t>number</t>
        </is>
      </c>
      <c r="L367" s="3" t="inlineStr">
        <is>
          <t>—</t>
        </is>
      </c>
      <c r="M367" s="3" t="inlineStr">
        <is>
          <t>None found in this function — anything it assumes comes from the functions it depends on.</t>
        </is>
      </c>
      <c r="N367" s="3" t="inlineStr">
        <is>
          <t>No</t>
        </is>
      </c>
      <c r="O367" s="3" t="inlineStr">
        <is>
          <t>MK-ST-F-024 rmdStartAge</t>
        </is>
      </c>
      <c r="P367" s="3" t="n">
        <v>2</v>
      </c>
      <c r="Q367" s="3" t="inlineStr">
        <is>
          <t>1. MK-ST-F-024 rmdStartAge
2. MK-ST-F-056 has</t>
        </is>
      </c>
      <c r="R367" s="3" t="inlineStr">
        <is>
          <t>MK-ST-F-056 has → MK-ST-F-024 rmdStartAge → MK-PL-F-006 rmdDivisor</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MK-PL-F-007</t>
        </is>
      </c>
      <c r="B368" s="3" t="inlineStr">
        <is>
          <t>rmdAtAge</t>
        </is>
      </c>
      <c r="C368" s="3" t="inlineStr">
        <is>
          <t>src/domain/decumulation/index.ts</t>
        </is>
      </c>
      <c r="D368" s="3" t="n">
        <v>289</v>
      </c>
      <c r="E368" s="3" t="inlineStr">
        <is>
          <t>2 · DISPLAYED</t>
        </is>
      </c>
      <c r="F368" s="3" t="inlineStr">
        <is>
          <t>Required minimum distribution from pre-tax balances at a given age (0 before the start age).</t>
        </is>
      </c>
      <c r="G368" s="11" t="inlineStr">
        <is>
          <t>required withdrawal = round(pre-tax balance ÷ divisor(age), 2 dp)
                    = 0   when the divisor is 0</t>
        </is>
      </c>
      <c r="H368"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8" s="3" t="inlineStr">
        <is>
          <t>READ BY HAND 2026-08-26 — checked line by line against the code</t>
        </is>
      </c>
      <c r="J368" s="3" t="inlineStr">
        <is>
          <t>1. preTaxBalance: number
2. age: number</t>
        </is>
      </c>
      <c r="K368" s="3" t="inlineStr">
        <is>
          <t>number</t>
        </is>
      </c>
      <c r="L368"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8"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8" s="3" t="inlineStr">
        <is>
          <t>Yes</t>
        </is>
      </c>
      <c r="O368" s="3" t="inlineStr">
        <is>
          <t>MK-PL-F-078 rmdDivisorAtAge</t>
        </is>
      </c>
      <c r="P368" s="3" t="n">
        <v>1</v>
      </c>
      <c r="Q368" s="3" t="inlineStr">
        <is>
          <t>MK-PL-F-078 rmdDivisorAtAge</t>
        </is>
      </c>
      <c r="R368" s="3" t="inlineStr">
        <is>
          <t>MK-PL-F-078 rmdDivisorAtAge → MK-PL-F-007 rmdAtAge</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MK-PL-F-008</t>
        </is>
      </c>
      <c r="B369" s="3" t="inlineStr">
        <is>
          <t>rmdSchedule</t>
        </is>
      </c>
      <c r="C369" s="3" t="inlineStr">
        <is>
          <t>src/domain/decumulation/index.ts</t>
        </is>
      </c>
      <c r="D369" s="3" t="n">
        <v>370</v>
      </c>
      <c r="E369" s="3" t="inlineStr">
        <is>
          <t>2 · DISPLAYED</t>
        </is>
      </c>
      <c r="F369" s="3" t="inlineStr">
        <is>
          <t>Year-by-year mandated-withdrawal schedule (ESTIMATES: future balances move with returns).</t>
        </is>
      </c>
      <c r="G369" s="11" t="inlineStr">
        <is>
          <t>rows = []
rows   when pre tax now ≤ 0
start age = max(rmd start age for(age now, now year), age now)
bal = pre tax now
r = max(0, exp return (or 0 when missing or zero))
age = start age + i
amount = rmd at age(bal, age)
the answer = rows</t>
        </is>
      </c>
      <c r="H369"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69" s="3" t="inlineStr">
        <is>
          <t>READ FROM THE CODE — rendered from the expressions the function runs</t>
        </is>
      </c>
      <c r="J369" s="3" t="inlineStr">
        <is>
          <t>1. preTaxNow: number
2. ageNow: number
3. expReturn: number
4. years = 15
5. nowYear = new Date().getFullYear()</t>
        </is>
      </c>
      <c r="K369" s="3" t="inlineStr">
        <is>
          <t>RmdYearRow[]</t>
        </is>
      </c>
      <c r="L369" s="3" t="inlineStr">
        <is>
          <t>NOT FOUND — a screen calls it, but the words printed beside its answer could not be traced automatically. Needs reading.</t>
        </is>
      </c>
      <c r="M369" s="3" t="inlineStr">
        <is>
          <t>1. If exp return is missing it counts as zero, so nothing recorded and a real zero look the same.
2. Uses today's date from the device clock, so the answer changes by itself overnight.
3. Rounds the answer to a whole number.</t>
        </is>
      </c>
      <c r="N369" s="3" t="inlineStr">
        <is>
          <t>Yes</t>
        </is>
      </c>
      <c r="O369" s="3" t="inlineStr">
        <is>
          <t>1. MK-PL-F-077 clamp
2. MK-PL-F-054 growOneYear
3. MK-PL-F-007 rmdAtAge
4. MK-PL-F-078 rmdDivisorAtAge
5. MK-PL-F-005 rmdStartAgeFor</t>
        </is>
      </c>
      <c r="P369" s="3" t="n">
        <v>23</v>
      </c>
      <c r="Q369"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69"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MK-PL-F-009</t>
        </is>
      </c>
      <c r="B370" s="3" t="inlineStr">
        <is>
          <t>rmdTakenThisYear</t>
        </is>
      </c>
      <c r="C370" s="3" t="inlineStr">
        <is>
          <t>src/domain/decumulation/index.ts</t>
        </is>
      </c>
      <c r="D370" s="3" t="n">
        <v>415</v>
      </c>
      <c r="E370" s="3" t="inlineStr">
        <is>
          <t>2 · DISPLAYED</t>
        </is>
      </c>
      <c r="F370" s="3" t="inlineStr">
        <is>
          <t>Withdrawals already taken THIS year from the pre-tax accounts (the one ledger — no side lists).</t>
        </is>
      </c>
      <c r="G370" s="11" t="inlineStr">
        <is>
          <t>ids = a list with no repeats of for each of pre tax account ids: string</t>
        </is>
      </c>
      <c r="H370" s="3" t="inlineStr">
        <is>
          <t>Ids is a list with no repeats of for each of pre tax account ids: string.</t>
        </is>
      </c>
      <c r="I370" s="3" t="inlineStr">
        <is>
          <t>READ FROM THE CODE — rendered from the expressions the function runs</t>
        </is>
      </c>
      <c r="J370" s="3" t="inlineStr">
        <is>
          <t>1. transactions: { type?: string; account_id?: string; amount?: number; date?: string }[]
2. preTaxAccountIds: string[]
3. nowYear = new Date().getFullYear()</t>
        </is>
      </c>
      <c r="K370" s="3" t="inlineStr">
        <is>
          <t>number</t>
        </is>
      </c>
      <c r="L370" s="3" t="inlineStr">
        <is>
          <t>NOT FOUND — a screen calls it, but the words printed beside its answer could not be traced automatically. Needs reading.</t>
        </is>
      </c>
      <c r="M370" s="3" t="inlineStr">
        <is>
          <t>1. If amount is missing it counts as zero, so nothing recorded and a real zero look the same.
2. Uses today's date from the device clock, so the answer changes by itself overnight.</t>
        </is>
      </c>
      <c r="N370" s="3" t="inlineStr">
        <is>
          <t>Yes</t>
        </is>
      </c>
      <c r="O370" s="3" t="inlineStr">
        <is>
          <t>1. MK-ST-F-056 has
2. MK-CF-F-132 map</t>
        </is>
      </c>
      <c r="P370" s="3" t="n">
        <v>2</v>
      </c>
      <c r="Q370" s="3" t="inlineStr">
        <is>
          <t>1. MK-ST-F-056 has
2. MK-CF-F-132 map</t>
        </is>
      </c>
      <c r="R370" s="3" t="inlineStr">
        <is>
          <t>1. MK-ST-F-056 has → MK-PL-F-009 rmdTakenThisYear
2. MK-CF-F-132 map → MK-PL-F-009 rmdTakenThisYear</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MK-PL-F-010</t>
        </is>
      </c>
      <c r="B371" s="3" t="inlineStr">
        <is>
          <t>drawOrderOutcome</t>
        </is>
      </c>
      <c r="C371" s="3" t="inlineStr">
        <is>
          <t>src/domain/decumulation/index.ts</t>
        </is>
      </c>
      <c r="D371" s="3" t="n">
        <v>464</v>
      </c>
      <c r="E371" s="3" t="inlineStr">
        <is>
          <t>2 · DISPLAYED</t>
        </is>
      </c>
      <c r="F371" s="3" t="inlineStr">
        <is>
          <t>If the draw came from the accounts in this order, how long would the money last and what tax would it cost?</t>
        </is>
      </c>
      <c r="G371"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1"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1" s="3" t="inlineStr">
        <is>
          <t>READ BY HAND 2026-08-26 — checked line by line against the code</t>
        </is>
      </c>
      <c r="J371" s="3" t="inlineStr">
        <is>
          <t>Nothing is handed to it</t>
        </is>
      </c>
      <c r="K371" s="3" t="inlineStr">
        <is>
          <t>NOT DECLARED — the code does not say what it gives back</t>
        </is>
      </c>
      <c r="L371" s="3" t="inlineStr">
        <is>
          <t>NOT FOUND — a screen calls it, but the words printed beside its answer could not be traced automatically. Needs reading.</t>
        </is>
      </c>
      <c r="M371"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1" s="3" t="inlineStr">
        <is>
          <t>Yes</t>
        </is>
      </c>
      <c r="O371" s="3" t="inlineStr">
        <is>
          <t>1. MK-CF-F-155 cash
2. MK-PL-F-007 rmdAtAge
3. MK-PL-F-005 rmdStartAgeFor</t>
        </is>
      </c>
      <c r="P371" s="3" t="n">
        <v>8</v>
      </c>
      <c r="Q371" s="3" t="inlineStr">
        <is>
          <t>1. MK-CF-F-155 cash
2. MK-PL-F-007 rmdAtAge
3. MK-PL-F-005 rmdStartAgeFor
4. MK-XS-F-122 n
5. MK-PL-F-078 rmdDivisorAtAge
6. MK-ST-F-025 rmdStartAgeFromAge
7. MK-ST-F-024 rmdStartAge
8. MK-ST-F-056 has</t>
        </is>
      </c>
      <c r="R371" s="3" t="inlineStr">
        <is>
          <t>1. MK-XS-F-122 n → MK-CF-F-155 cash → MK-PL-F-010 drawOrderOutcome
2. MK-PL-F-078 rmdDivisorAtAge → MK-PL-F-007 rmdAtAge → MK-PL-F-010 drawOrderOutcome
3. MK-ST-F-056 has → MK-ST-F-024 rmdStartAge → MK-ST-F-025 rmdStartAgeFromAge → MK-PL-F-005 rmdStartAgeFor → MK-PL-F-010 drawOrderOutcome</t>
        </is>
      </c>
      <c r="S371" s="3" t="inlineStr">
        <is>
          <t>—</t>
        </is>
      </c>
      <c r="T371" s="3" t="inlineStr">
        <is>
          <t>—</t>
        </is>
      </c>
      <c r="U371" s="3" t="inlineStr">
        <is>
          <t>ACTIVE</t>
        </is>
      </c>
      <c r="V371" s="3" t="inlineStr">
        <is>
          <t>2026-09-12</t>
        </is>
      </c>
      <c r="W371" s="3" t="n"/>
      <c r="X371" s="3" t="n"/>
      <c r="Y371" s="6" t="inlineStr">
        <is>
          <t>TESTED, NOT VERIFIED (G6)</t>
        </is>
      </c>
    </row>
    <row r="372" ht="60" customHeight="1">
      <c r="A372" s="3" t="inlineStr">
        <is>
          <t>MK-PL-F-011</t>
        </is>
      </c>
      <c r="B372" s="3" t="inlineStr">
        <is>
          <t>buildGoalsState</t>
        </is>
      </c>
      <c r="C372" s="3" t="inlineStr">
        <is>
          <t>src/domain/goals/index.ts</t>
        </is>
      </c>
      <c r="D372" s="3" t="n">
        <v>45</v>
      </c>
      <c r="E372" s="3" t="inlineStr">
        <is>
          <t>3 · DEPENDENT</t>
        </is>
      </c>
      <c r="F372" s="3" t="inlineStr">
        <is>
          <t>Months to reach each goal at the given monthly savings capacity.</t>
        </is>
      </c>
      <c r="G372" s="11" t="inlineStr">
        <is>
          <t>user id = uid
goals = progress
monthly capacity = monthly capacity</t>
        </is>
      </c>
      <c r="H372" s="3" t="inlineStr">
        <is>
          <t>user id = uid; goals = progress; monthly capacity = monthly capacity.</t>
        </is>
      </c>
      <c r="I372" s="3" t="inlineStr">
        <is>
          <t>READ FROM THE CODE — rendered from the expressions the function runs</t>
        </is>
      </c>
      <c r="J372" s="3" t="inlineStr">
        <is>
          <t>1. uid: UserId
2. goals: Goal[]
3. monthlyCapacity: number</t>
        </is>
      </c>
      <c r="K372" s="3" t="inlineStr">
        <is>
          <t>GoalsState</t>
        </is>
      </c>
      <c r="L372" s="3" t="inlineStr">
        <is>
          <t>—</t>
        </is>
      </c>
      <c r="M372" s="3" t="inlineStr">
        <is>
          <t>None found in this function — anything it assumes comes from the functions it depends on.</t>
        </is>
      </c>
      <c r="N372" s="3" t="inlineStr">
        <is>
          <t>Yes</t>
        </is>
      </c>
      <c r="O372" s="3" t="inlineStr">
        <is>
          <t>1. MK-CF-F-132 map
2. MK-XS-F-175 uid
3. MK-PL-F-012 waterfall</t>
        </is>
      </c>
      <c r="P372" s="3" t="n">
        <v>81</v>
      </c>
      <c r="Q372"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2"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2" s="3" t="inlineStr">
        <is>
          <t>—</t>
        </is>
      </c>
      <c r="T372" s="3" t="inlineStr">
        <is>
          <t>—</t>
        </is>
      </c>
      <c r="U372" s="3" t="inlineStr">
        <is>
          <t>ACTIVE</t>
        </is>
      </c>
      <c r="V372" s="3" t="inlineStr">
        <is>
          <t>2026-09-09</t>
        </is>
      </c>
      <c r="W372" s="3" t="n"/>
      <c r="X372" s="3" t="n"/>
      <c r="Y372" s="3" t="inlineStr">
        <is>
          <t>NOTHING OPEN</t>
        </is>
      </c>
    </row>
    <row r="373" ht="60" customHeight="1">
      <c r="A373" s="3" t="inlineStr">
        <is>
          <t>MK-PL-F-012</t>
        </is>
      </c>
      <c r="B373" s="3" t="inlineStr">
        <is>
          <t>waterfall</t>
        </is>
      </c>
      <c r="C373" s="3" t="inlineStr">
        <is>
          <t>src/domain/goals/index.ts</t>
        </is>
      </c>
      <c r="D373" s="3" t="n">
        <v>94</v>
      </c>
      <c r="E373" s="3" t="inlineStr">
        <is>
          <t>3 · DEPENDENT</t>
        </is>
      </c>
      <c r="F373" s="3" t="inlineStr">
        <is>
          <t>NOT DETERMINED — the code carries no note saying what this is for, and it has no row in the old inventory. Needs reading.</t>
        </is>
      </c>
      <c r="G373" s="11" t="inlineStr">
        <is>
          <t>left = max(0, surplus)
steps = []
a = min(left, max(0, need)); left -= a; steps.push({ name, allocated: (a) })
the answer = steps</t>
        </is>
      </c>
      <c r="H373" s="3" t="inlineStr">
        <is>
          <t>Left is surplus, never below zero. Steps is []. A: the smaller of left and need, never below zero; left -= a; steps.push({ name, allocated: (a) }). The answer is steps.</t>
        </is>
      </c>
      <c r="I373" s="3" t="inlineStr">
        <is>
          <t>PARTLY READ — some of the code is still showing through; needs a hand pass</t>
        </is>
      </c>
      <c r="J373" s="3" t="inlineStr">
        <is>
          <t>Nothing is handed to it</t>
        </is>
      </c>
      <c r="K373" s="3" t="inlineStr">
        <is>
          <t>NOT DECLARED — the code does not say what it gives back</t>
        </is>
      </c>
      <c r="L373" s="3" t="inlineStr">
        <is>
          <t>—</t>
        </is>
      </c>
      <c r="M373" s="3" t="inlineStr">
        <is>
          <t>1. If emergency gap is missing it uses 0.
2. If toxic debt is missing it uses 0.
3. If employer match monthly is missing it uses 0.
4. Never lets surplus fall below 0.
5. Never lets need fall below 0.</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MK-PL-F-013</t>
        </is>
      </c>
      <c r="B374" s="3" t="inlineStr">
        <is>
          <t>goalsFromOnboarding</t>
        </is>
      </c>
      <c r="C374" s="3" t="inlineStr">
        <is>
          <t>src/domain/goals/index.ts</t>
        </is>
      </c>
      <c r="D374" s="3" t="n">
        <v>143</v>
      </c>
      <c r="E374" s="3" t="inlineStr">
        <is>
          <t>3 · DEPENDENT</t>
        </is>
      </c>
      <c r="F374" s="3" t="inlineStr">
        <is>
          <t>NOT DETERMINED — the code carries no note saying what this is for, and it has no row in the old inventory. Needs reading.</t>
        </is>
      </c>
      <c r="G374" s="11" t="inlineStr">
        <is>
          <t>a = op (or none when missing)
raw = goals   if array.is array(goals)
[]   otherwise
the answer:
user id = uid
goals = goals</t>
        </is>
      </c>
      <c r="H374" s="3" t="inlineStr">
        <is>
          <t>A is op (or none — when missing). Raw is goals — when array.is array(goals); [] — otherwise. The answer is user id = uid; goals = goals.</t>
        </is>
      </c>
      <c r="I374" s="3" t="inlineStr">
        <is>
          <t>PARTLY READ — some of the code is still showing through; needs a hand pass</t>
        </is>
      </c>
      <c r="J374" s="3" t="inlineStr">
        <is>
          <t>1. uid: UserId
2. op: Record&lt;string, any&gt; | null</t>
        </is>
      </c>
      <c r="K374" s="3" t="inlineStr">
        <is>
          <t>GoalsDoc</t>
        </is>
      </c>
      <c r="L374" s="3" t="inlineStr">
        <is>
          <t>—</t>
        </is>
      </c>
      <c r="M374" s="3" t="inlineStr">
        <is>
          <t>None found in this function — anything it assumes comes from the functions it depends on.</t>
        </is>
      </c>
      <c r="N374" s="3" t="inlineStr">
        <is>
          <t>Yes</t>
        </is>
      </c>
      <c r="O374" s="3" t="inlineStr">
        <is>
          <t>1. MK-CF-F-132 map
2. MK-ST-F-043 newEntityId
3. MK-ST-F-052 toNum
4. MK-XS-F-175 uid</t>
        </is>
      </c>
      <c r="P374" s="3" t="n">
        <v>79</v>
      </c>
      <c r="Q374"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4"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MK-PL-F-014</t>
        </is>
      </c>
      <c r="B375" s="3" t="inlineStr">
        <is>
          <t>loadGoals</t>
        </is>
      </c>
      <c r="C375" s="3" t="inlineStr">
        <is>
          <t>src/domain/goals/index.ts</t>
        </is>
      </c>
      <c r="D375" s="3" t="n">
        <v>171</v>
      </c>
      <c r="E375" s="3" t="inlineStr">
        <is>
          <t>3 · DEPENDENT (feeds an action only)</t>
        </is>
      </c>
      <c r="F375" s="3" t="inlineStr">
        <is>
          <t>NOT DETERMINED — the code carries no note saying what this is for, and it has no row in the old inventory. Needs reading.</t>
        </is>
      </c>
      <c r="G375" s="11" t="inlineStr">
        <is>
          <t>It reaches outside the app for data and hands back what came back — no arithmetic of its own.</t>
        </is>
      </c>
      <c r="H375" s="3" t="inlineStr">
        <is>
          <t>It reaches outside the app for data and hands back what came back — no arithmetic of its own.</t>
        </is>
      </c>
      <c r="I375" s="3" t="inlineStr">
        <is>
          <t>NO ARITHMETIC — there is no formula to state</t>
        </is>
      </c>
      <c r="J375" s="3" t="inlineStr">
        <is>
          <t>uid: UserId</t>
        </is>
      </c>
      <c r="K375" s="3" t="inlineStr">
        <is>
          <t>NOT DECLARED — the code does not say what it gives back</t>
        </is>
      </c>
      <c r="L375" s="3" t="inlineStr">
        <is>
          <t>—</t>
        </is>
      </c>
      <c r="M375" s="3" t="inlineStr">
        <is>
          <t>None found in this function — anything it assumes comes from the functions it depends on.</t>
        </is>
      </c>
      <c r="N375" s="3" t="inlineStr">
        <is>
          <t>No</t>
        </is>
      </c>
      <c r="O375" s="3" t="inlineStr">
        <is>
          <t>MK-XS-F-175 uid</t>
        </is>
      </c>
      <c r="P375" s="3" t="n">
        <v>80</v>
      </c>
      <c r="Q37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5"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MK-PL-F-015</t>
        </is>
      </c>
      <c r="B376" s="3" t="inlineStr">
        <is>
          <t>saveGoals</t>
        </is>
      </c>
      <c r="C376" s="3" t="inlineStr">
        <is>
          <t>src/domain/goals/index.ts</t>
        </is>
      </c>
      <c r="D376" s="3" t="n">
        <v>187</v>
      </c>
      <c r="E376" s="3" t="inlineStr">
        <is>
          <t>1 · ACTION</t>
        </is>
      </c>
      <c r="F376" s="3" t="inlineStr">
        <is>
          <t>NOT DETERMINED — the code carries no note saying what this is for, and it has no row in the old inventory. Needs reading.</t>
        </is>
      </c>
      <c r="G376" s="11" t="inlineStr">
        <is>
          <t>It records or announces something and returns no figure — no arithmetic of its own.</t>
        </is>
      </c>
      <c r="H376" s="3" t="inlineStr">
        <is>
          <t>It records or announces something and returns no figure — no arithmetic of its own.</t>
        </is>
      </c>
      <c r="I376" s="3" t="inlineStr">
        <is>
          <t>NO ARITHMETIC — there is no formula to state</t>
        </is>
      </c>
      <c r="J376" s="3" t="inlineStr">
        <is>
          <t>d: GoalsDoc</t>
        </is>
      </c>
      <c r="K376" s="3" t="inlineStr">
        <is>
          <t>NOT DECLARED — the code does not say what it gives back</t>
        </is>
      </c>
      <c r="L376" s="3" t="inlineStr">
        <is>
          <t>—</t>
        </is>
      </c>
      <c r="M376" s="3" t="inlineStr">
        <is>
          <t>None found in this function — anything it assumes comes from the functions it depends on.</t>
        </is>
      </c>
      <c r="N376" s="3" t="inlineStr">
        <is>
          <t>No</t>
        </is>
      </c>
      <c r="O376" s="3" t="inlineStr">
        <is>
          <t>MK-ST-F-042 setUserDoc</t>
        </is>
      </c>
      <c r="P376" s="3" t="n">
        <v>81</v>
      </c>
      <c r="Q376"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6"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MK-PL-F-016</t>
        </is>
      </c>
      <c r="B377" s="3" t="inlineStr">
        <is>
          <t>availableToSaveSummary</t>
        </is>
      </c>
      <c r="C377" s="3" t="inlineStr">
        <is>
          <t>src/domain/goals/index.ts</t>
        </is>
      </c>
      <c r="D377" s="3" t="n">
        <v>222</v>
      </c>
      <c r="E377" s="3" t="inlineStr">
        <is>
          <t>2 · DISPLAYED</t>
        </is>
      </c>
      <c r="F377" s="3" t="inlineStr">
        <is>
          <t>Summarize per-month available-to-save from a 12-month cash-flow grid.</t>
        </is>
      </c>
      <c r="G377"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7"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7" s="3" t="inlineStr">
        <is>
          <t>READ FROM THE CODE — rendered from the expressions the function runs</t>
        </is>
      </c>
      <c r="J377" s="3" t="inlineStr">
        <is>
          <t>grid: { label: string; amount: number }[]</t>
        </is>
      </c>
      <c r="K377" s="3" t="inlineStr">
        <is>
          <t>SaveCapacity</t>
        </is>
      </c>
      <c r="L377" s="3" t="inlineStr">
        <is>
          <t>"Plan" — on the Goals screen</t>
        </is>
      </c>
      <c r="M377" s="3" t="inlineStr">
        <is>
          <t>· Applies a built-in rate of 25% to avg.</t>
        </is>
      </c>
      <c r="N377" s="3" t="inlineStr">
        <is>
          <t>Yes</t>
        </is>
      </c>
      <c r="O377" s="3" t="inlineStr">
        <is>
          <t>MK-CF-F-132 map</t>
        </is>
      </c>
      <c r="P377" s="3" t="n">
        <v>1</v>
      </c>
      <c r="Q377" s="3" t="inlineStr">
        <is>
          <t>MK-CF-F-132 map</t>
        </is>
      </c>
      <c r="R377" s="3" t="inlineStr">
        <is>
          <t>MK-CF-F-132 map → MK-PL-F-016 availableToSaveSummary</t>
        </is>
      </c>
      <c r="S377" s="3" t="inlineStr">
        <is>
          <t>—</t>
        </is>
      </c>
      <c r="T377" s="3" t="inlineStr">
        <is>
          <t>—</t>
        </is>
      </c>
      <c r="U377" s="3" t="inlineStr">
        <is>
          <t>ACTIVE</t>
        </is>
      </c>
      <c r="V377" s="3" t="inlineStr">
        <is>
          <t>2026-09-09</t>
        </is>
      </c>
      <c r="W377" s="3" t="n"/>
      <c r="X377" s="3" t="n"/>
      <c r="Y377" s="3" t="inlineStr">
        <is>
          <t>NOTHING OPEN</t>
        </is>
      </c>
    </row>
    <row r="378" ht="60" customHeight="1">
      <c r="A378" s="3" t="inlineStr">
        <is>
          <t>MK-PL-F-017</t>
        </is>
      </c>
      <c r="B378" s="3" t="inlineStr">
        <is>
          <t>sinkingFund</t>
        </is>
      </c>
      <c r="C378" s="3" t="inlineStr">
        <is>
          <t>src/domain/goals/index.ts</t>
        </is>
      </c>
      <c r="D378" s="3" t="n">
        <v>256</v>
      </c>
      <c r="E378" s="3" t="inlineStr">
        <is>
          <t>2 · DISPLAYED</t>
        </is>
      </c>
      <c r="F378" s="3" t="inlineStr">
        <is>
          <t>NOT DETERMINED — the code carries no note saying what this is for, and it has no row in the old inventory. Needs reading.</t>
        </is>
      </c>
      <c r="G378" s="11" t="inlineStr">
        <is>
          <t>monthly = max(0, monthly non monthly)
the answer:
annual = monthly × 12
monthly = monthly</t>
        </is>
      </c>
      <c r="H378" s="3" t="inlineStr">
        <is>
          <t>Monthly is monthly non monthly, never below zero. The answer is annual = monthly times 12; monthly = monthly.</t>
        </is>
      </c>
      <c r="I378" s="3" t="inlineStr">
        <is>
          <t>READ FROM THE CODE — rendered from the expressions the function runs</t>
        </is>
      </c>
      <c r="J378" s="3" t="inlineStr">
        <is>
          <t>monthlyNonMonthly: number</t>
        </is>
      </c>
      <c r="K378" s="3" t="inlineStr">
        <is>
          <t>SinkingFund</t>
        </is>
      </c>
      <c r="L378" s="3" t="inlineStr">
        <is>
          <t>NOT FOUND — a screen calls it, but the words printed beside its answer could not be traced automatically. Needs reading.</t>
        </is>
      </c>
      <c r="M378" s="3" t="inlineStr">
        <is>
          <t>1. Turns a monthly figure into a year by multiplying by twelve.
2. Never lets monthly non monthly fall below 0.</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MK-PL-F-018</t>
        </is>
      </c>
      <c r="B379" s="3" t="inlineStr">
        <is>
          <t>monthsUntil</t>
        </is>
      </c>
      <c r="C379" s="3" t="inlineStr">
        <is>
          <t>src/domain/goals/index.ts</t>
        </is>
      </c>
      <c r="D379" s="3" t="n">
        <v>292</v>
      </c>
      <c r="E379" s="3" t="inlineStr">
        <is>
          <t>2 · DISPLAYED</t>
        </is>
      </c>
      <c r="F379" s="3" t="inlineStr">
        <is>
          <t>Whole months from `now` to the target month ('YYYY-MM'); &gt;=1, or null if no/!invalid date.</t>
        </is>
      </c>
      <c r="G379" s="11" t="inlineStr">
        <is>
          <t>nothing   when target date is missing
nothing   when y is missing (or m is missing when missing or zero)
max(1, (y − now.get full year()) × 12 + (m − 1 − now.get month()))</t>
        </is>
      </c>
      <c r="H379" s="3" t="inlineStr">
        <is>
          <t>When target date is missing, it answers no answer. When y is missing (or m is missing — when missing or zero), it answers no answer. the larger of 1 and (y minus now.get full year() times 12 plus (m minus 1 minus now.get month())).</t>
        </is>
      </c>
      <c r="I379" s="3" t="inlineStr">
        <is>
          <t>PARTLY READ — some of the code is still showing through; needs a hand pass</t>
        </is>
      </c>
      <c r="J379" s="3" t="inlineStr">
        <is>
          <t>1. targetDate: string | undefined
2. now: Date</t>
        </is>
      </c>
      <c r="K379" s="3" t="inlineStr">
        <is>
          <t>number | null</t>
        </is>
      </c>
      <c r="L379" s="3" t="inlineStr">
        <is>
          <t>NOT FOUND — a screen calls it, but the words printed beside its answer could not be traced automatically. Needs reading.</t>
        </is>
      </c>
      <c r="M379" s="3" t="inlineStr">
        <is>
          <t>· Turns a monthly figure into a year by multiplying by twelve.</t>
        </is>
      </c>
      <c r="N379" s="3" t="inlineStr">
        <is>
          <t>Yes</t>
        </is>
      </c>
      <c r="O379" s="3" t="inlineStr">
        <is>
          <t>MK-CF-F-132 map</t>
        </is>
      </c>
      <c r="P379" s="3" t="n">
        <v>1</v>
      </c>
      <c r="Q379" s="3" t="inlineStr">
        <is>
          <t>MK-CF-F-132 map</t>
        </is>
      </c>
      <c r="R379" s="3" t="inlineStr">
        <is>
          <t>MK-CF-F-132 map → MK-PL-F-018 monthsUntil</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MK-PL-F-019</t>
        </is>
      </c>
      <c r="B380" s="3" t="inlineStr">
        <is>
          <t>goalMonthsRemaining</t>
        </is>
      </c>
      <c r="C380" s="3" t="inlineStr">
        <is>
          <t>src/domain/goals/index.ts</t>
        </is>
      </c>
      <c r="D380" s="3" t="n">
        <v>327</v>
      </c>
      <c r="E380" s="3" t="inlineStr">
        <is>
          <t>3 · DEPENDENT</t>
        </is>
      </c>
      <c r="F380" s="3" t="inlineStr">
        <is>
          <t>Months remaining: from the target date if set, else the goal's `duration` (months).</t>
        </is>
      </c>
      <c r="G380" s="11" t="inlineStr">
        <is>
          <t>from date = months until(target date, now)
from date   when from date ≠ nothing
d = duration read as a number
the answer:
d   if number.is finite(d) and d &gt; 0
nothing   otherwise</t>
        </is>
      </c>
      <c r="H380" s="3" t="inlineStr">
        <is>
          <t>From date is months until(target date, now). When from date is not no answer, it answers from date. D is duration read as a number. The answer is d — when number.is finite(d) and d &gt; 0; no answer — otherwise.</t>
        </is>
      </c>
      <c r="I380" s="3" t="inlineStr">
        <is>
          <t>PARTLY READ — some of the code is still showing through; needs a hand pass</t>
        </is>
      </c>
      <c r="J380" s="3" t="inlineStr">
        <is>
          <t>1. g: GoalLike
2. now: Date = new Date()</t>
        </is>
      </c>
      <c r="K380" s="3" t="inlineStr">
        <is>
          <t>number | null</t>
        </is>
      </c>
      <c r="L380" s="3" t="inlineStr">
        <is>
          <t>—</t>
        </is>
      </c>
      <c r="M380" s="3" t="inlineStr">
        <is>
          <t>· Uses today's date from the device clock, so the answer changes by itself overnight.</t>
        </is>
      </c>
      <c r="N380" s="3" t="inlineStr">
        <is>
          <t>Yes</t>
        </is>
      </c>
      <c r="O380" s="3" t="inlineStr">
        <is>
          <t>MK-PL-F-018 monthsUntil</t>
        </is>
      </c>
      <c r="P380" s="3" t="n">
        <v>2</v>
      </c>
      <c r="Q380" s="3" t="inlineStr">
        <is>
          <t>1. MK-PL-F-018 monthsUntil
2. MK-CF-F-132 map</t>
        </is>
      </c>
      <c r="R380" s="3" t="inlineStr">
        <is>
          <t>MK-CF-F-132 map → MK-PL-F-018 monthsUntil → MK-PL-F-019 goalMonthsRemaining</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MK-PL-F-020</t>
        </is>
      </c>
      <c r="B381" s="3" t="inlineStr">
        <is>
          <t>requiredMonthly</t>
        </is>
      </c>
      <c r="C381" s="3" t="inlineStr">
        <is>
          <t>src/domain/goals/index.ts</t>
        </is>
      </c>
      <c r="D381" s="3" t="n">
        <v>364</v>
      </c>
      <c r="E381" s="3" t="inlineStr">
        <is>
          <t>2 · DISPLAYED</t>
        </is>
      </c>
      <c r="F381" s="3" t="inlineStr">
        <is>
          <t>$/month still needed to hit the target on time (0 if already funded; null if no date/duration).</t>
        </is>
      </c>
      <c r="G381" s="11" t="inlineStr">
        <is>
          <t>remaining = max(0, (target or 0) − (saved or 0))
0   when remaining = 0
months = goal months remaining(g, now)
the answer:
remaining ÷ months   if months
nothing   otherwise</t>
        </is>
      </c>
      <c r="H381" s="3" t="inlineStr">
        <is>
          <t>Remaining is (target or 0, never below zero minus (saved or 0)). When remaining = 0, it answers 0. Months is goal months remaining(g, now). The answer is remaining divided by months — when months; no answer — otherwise.</t>
        </is>
      </c>
      <c r="I381" s="3" t="inlineStr">
        <is>
          <t>READ FROM THE CODE — rendered from the expressions the function runs</t>
        </is>
      </c>
      <c r="J381" s="3" t="inlineStr">
        <is>
          <t>1. g: GoalLike
2. now: Date = new Date()</t>
        </is>
      </c>
      <c r="K381" s="3" t="inlineStr">
        <is>
          <t>number | null</t>
        </is>
      </c>
      <c r="L381" s="3" t="inlineStr">
        <is>
          <t>NOT FOUND — a screen calls it, but the words printed beside its answer could not be traced automatically. Needs reading.</t>
        </is>
      </c>
      <c r="M381"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1" s="3" t="inlineStr">
        <is>
          <t>Yes</t>
        </is>
      </c>
      <c r="O381" s="3" t="inlineStr">
        <is>
          <t>MK-PL-F-019 goalMonthsRemaining</t>
        </is>
      </c>
      <c r="P381" s="3" t="n">
        <v>3</v>
      </c>
      <c r="Q381" s="3" t="inlineStr">
        <is>
          <t>1. MK-PL-F-019 goalMonthsRemaining
2. MK-PL-F-018 monthsUntil
3. MK-CF-F-132 map</t>
        </is>
      </c>
      <c r="R381" s="3" t="inlineStr">
        <is>
          <t>MK-CF-F-132 map → MK-PL-F-018 monthsUntil → MK-PL-F-019 goalMonthsRemaining → MK-PL-F-020 requiredMonthly</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MK-PL-F-021</t>
        </is>
      </c>
      <c r="B382" s="3" t="inlineStr">
        <is>
          <t>monthsToGoal</t>
        </is>
      </c>
      <c r="C382" s="3" t="inlineStr">
        <is>
          <t>src/domain/goals/index.ts</t>
        </is>
      </c>
      <c r="D382" s="3" t="n">
        <v>399</v>
      </c>
      <c r="E382" s="3" t="inlineStr">
        <is>
          <t>2 · DISPLAYED</t>
        </is>
      </c>
      <c r="F382" s="3" t="inlineStr">
        <is>
          <t>Months to reach the goal at a given monthly contribution (0 if funded; null if contribution &lt;= 0).</t>
        </is>
      </c>
      <c r="G382" s="11" t="inlineStr">
        <is>
          <t>remaining = max(0, (target or 0) − (saved or 0))
0   when remaining = 0
the answer:
round up(remaining ÷ monthly contribution)   if monthly contribution &gt; 0
nothing   otherwise</t>
        </is>
      </c>
      <c r="H382" s="3" t="inlineStr">
        <is>
          <t>Remaining is (target or 0, never below zero minus (saved or 0)). When remaining = 0, it answers 0. The answer is remaining divided by monthly contribution, rounded up — when monthly contribution &gt; 0; no answer — otherwise.</t>
        </is>
      </c>
      <c r="I382" s="3" t="inlineStr">
        <is>
          <t>READ FROM THE CODE — rendered from the expressions the function runs</t>
        </is>
      </c>
      <c r="J382" s="3" t="inlineStr">
        <is>
          <t>1. g: GoalLike
2. monthlyContribution: number</t>
        </is>
      </c>
      <c r="K382" s="3" t="inlineStr">
        <is>
          <t>number | null</t>
        </is>
      </c>
      <c r="L382" s="3" t="inlineStr">
        <is>
          <t>NOT FOUND — a screen calls it, but the words printed beside its answer could not be traced automatically. Needs reading.</t>
        </is>
      </c>
      <c r="M382" s="3" t="inlineStr">
        <is>
          <t>1. If target is missing it counts as zero, so nothing recorded and a real zero look the same.
2. If saved is missing it counts as zero, so nothing recorded and a real zero look the same.</t>
        </is>
      </c>
      <c r="N382" s="3" t="inlineStr">
        <is>
          <t>Yes</t>
        </is>
      </c>
      <c r="O382" s="3" t="inlineStr">
        <is>
          <t>—</t>
        </is>
      </c>
      <c r="P382" s="3" t="n">
        <v>0</v>
      </c>
      <c r="Q382" s="3" t="inlineStr">
        <is>
          <t>None — no dependent function stands behind it</t>
        </is>
      </c>
      <c r="R382" s="3" t="inlineStr">
        <is>
          <t>No dependent function — it reads its inputs and answers</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MK-PL-F-022</t>
        </is>
      </c>
      <c r="B383" s="3" t="inlineStr">
        <is>
          <t>goalProgressPct</t>
        </is>
      </c>
      <c r="C383" s="3" t="inlineStr">
        <is>
          <t>src/domain/goals/index.ts</t>
        </is>
      </c>
      <c r="D383" s="3" t="n">
        <v>428</v>
      </c>
      <c r="E383" s="3" t="inlineStr">
        <is>
          <t>3 · DEPENDENT (feeds an action only)</t>
        </is>
      </c>
      <c r="F383" s="3" t="inlineStr">
        <is>
          <t>Funded %, clamped 0–100.</t>
        </is>
      </c>
      <c r="G383" s="11" t="inlineStr">
        <is>
          <t>0   when (target or 0) ≤ 0
min(100, max(0, round(((saved or 0) ÷ target) × 100)))</t>
        </is>
      </c>
      <c r="H383" s="3" t="inlineStr">
        <is>
          <t>When (target or 0) is at most 0, it answers 0. the smaller of 100 and ((saved or 0, to a whole number divided by target, never below zero times 100)).</t>
        </is>
      </c>
      <c r="I383" s="3" t="inlineStr">
        <is>
          <t>READ FROM THE CODE — rendered from the expressions the function runs</t>
        </is>
      </c>
      <c r="J383" s="3" t="inlineStr">
        <is>
          <t>g: GoalLike</t>
        </is>
      </c>
      <c r="K383" s="3" t="inlineStr">
        <is>
          <t>number</t>
        </is>
      </c>
      <c r="L383" s="3" t="inlineStr">
        <is>
          <t>—</t>
        </is>
      </c>
      <c r="M383" s="3" t="inlineStr">
        <is>
          <t>1. If target is missing it counts as zero, so nothing recorded and a real zero look the same.
2. If saved is missing it counts as zero, so nothing recorded and a real zero look the same.
3. Rounds the answer to a whole number.</t>
        </is>
      </c>
      <c r="N383" s="3" t="inlineStr">
        <is>
          <t>No</t>
        </is>
      </c>
      <c r="O383" s="3" t="inlineStr">
        <is>
          <t>MK-CF-F-155 cash</t>
        </is>
      </c>
      <c r="P383" s="3" t="n">
        <v>2</v>
      </c>
      <c r="Q383" s="3" t="inlineStr">
        <is>
          <t>1. MK-CF-F-155 cash
2. MK-XS-F-122 n</t>
        </is>
      </c>
      <c r="R383" s="3" t="inlineStr">
        <is>
          <t>MK-XS-F-122 n → MK-CF-F-155 cash → MK-PL-F-022 goalProgressPct</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MK-PL-F-023</t>
        </is>
      </c>
      <c r="B384" s="3" t="inlineStr">
        <is>
          <t>goalStatus</t>
        </is>
      </c>
      <c r="C384" s="3" t="inlineStr">
        <is>
          <t>src/domain/goals/index.ts</t>
        </is>
      </c>
      <c r="D384" s="3" t="n">
        <v>469</v>
      </c>
      <c r="E384" s="3" t="inlineStr">
        <is>
          <t>2 · DISPLAYED</t>
        </is>
      </c>
      <c r="F384" s="3" t="inlineStr">
        <is>
          <t>NOT DETERMINED — the code carries no note saying what this is for, and it has no row in the old inventory. Needs reading.</t>
        </is>
      </c>
      <c r="G384" s="11" t="inlineStr">
        <is>
          <t>'fully_funded'   when (saved or 0) ≥ (target or 0) and (target or 0) &gt; 0
req = required monthly(g, now)
'no_date'   when req = nothing
'fully_funded'   when req = 0
the answer:
'on_track'   if (funded this month or 0) + 1e − 6 ≥ req
'behind'   otherwise</t>
        </is>
      </c>
      <c r="H384"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4" s="3" t="inlineStr">
        <is>
          <t>READ FROM THE CODE — rendered from the expressions the function runs</t>
        </is>
      </c>
      <c r="J384" s="3" t="inlineStr">
        <is>
          <t>1. g: GoalLike
2. fundedThisMonth: number | null | undefined
3. now: Date = new Date()</t>
        </is>
      </c>
      <c r="K384" s="3" t="inlineStr">
        <is>
          <t>GoalStatus</t>
        </is>
      </c>
      <c r="L384" s="3" t="inlineStr">
        <is>
          <t>"Complete! 🎉" — on the rewards screen</t>
        </is>
      </c>
      <c r="M384"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4" s="3" t="inlineStr">
        <is>
          <t>Yes</t>
        </is>
      </c>
      <c r="O384" s="3" t="inlineStr">
        <is>
          <t>MK-PL-F-020 requiredMonthly</t>
        </is>
      </c>
      <c r="P384" s="3" t="n">
        <v>4</v>
      </c>
      <c r="Q384" s="3" t="inlineStr">
        <is>
          <t>1. MK-PL-F-020 requiredMonthly
2. MK-PL-F-019 goalMonthsRemaining
3. MK-PL-F-018 monthsUntil
4. MK-CF-F-132 map</t>
        </is>
      </c>
      <c r="R384" s="3" t="inlineStr">
        <is>
          <t>MK-CF-F-132 map → MK-PL-F-018 monthsUntil → MK-PL-F-019 goalMonthsRemaining → MK-PL-F-020 requiredMonthly → MK-PL-F-023 goalStatus</t>
        </is>
      </c>
      <c r="S384" s="3" t="inlineStr">
        <is>
          <t>MK-MN-M-009</t>
        </is>
      </c>
      <c r="T384" s="3" t="inlineStr">
        <is>
          <t>—</t>
        </is>
      </c>
      <c r="U384" s="3" t="inlineStr">
        <is>
          <t>ACTIVE</t>
        </is>
      </c>
      <c r="V384" s="3" t="inlineStr">
        <is>
          <t>2026-08-27</t>
        </is>
      </c>
      <c r="W384" s="3" t="n"/>
      <c r="X384" s="3" t="n"/>
      <c r="Y384" s="3" t="inlineStr">
        <is>
          <t>NOTHING OPEN</t>
        </is>
      </c>
    </row>
    <row r="385" ht="60" customHeight="1">
      <c r="A385" s="3" t="inlineStr">
        <is>
          <t>MK-PL-F-024</t>
        </is>
      </c>
      <c r="B385" s="3" t="inlineStr">
        <is>
          <t>oddsLine</t>
        </is>
      </c>
      <c r="C385" s="3" t="inlineStr">
        <is>
          <t>src/domain/planning/hub.ts</t>
        </is>
      </c>
      <c r="D385" s="3" t="n">
        <v>44</v>
      </c>
      <c r="E385" s="3" t="inlineStr">
        <is>
          <t>2 · DISPLAYED</t>
        </is>
      </c>
      <c r="F385" s="3" t="inlineStr">
        <is>
          <t>How do we state the odds in words?</t>
        </is>
      </c>
      <c r="G385" s="11" t="inlineStr">
        <is>
          <t>`${chance}% odds of lasting to age ${horizon age}`</t>
        </is>
      </c>
      <c r="H385" s="3" t="inlineStr">
        <is>
          <t>`${chance}% odds of lasting to age ${horizon age}`.</t>
        </is>
      </c>
      <c r="I385" s="3" t="inlineStr">
        <is>
          <t>PARTLY READ — some of the code is still showing through; needs a hand pass</t>
        </is>
      </c>
      <c r="J385" s="3" t="inlineStr">
        <is>
          <t>1. _lens: 'retired' | string
2. chance: number
3. horizonAge: number</t>
        </is>
      </c>
      <c r="K385" s="3" t="inlineStr">
        <is>
          <t>string</t>
        </is>
      </c>
      <c r="L385" s="3" t="inlineStr">
        <is>
          <t>1. "WILL MY MONEY LAST?" — on a card used on more than one screen (PlanOutcome)
2. "WILL MY MONEY LAST?" — on the Home screen, under "WILL MY MONEY LAST?"</t>
        </is>
      </c>
      <c r="M385" s="3" t="inlineStr">
        <is>
          <t>None found in this function — anything it assumes comes from the functions it depends on.</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ODDS_SENTENCE</t>
        </is>
      </c>
      <c r="U385" s="3" t="inlineStr">
        <is>
          <t>ACTIVE</t>
        </is>
      </c>
      <c r="V385" s="3" t="inlineStr">
        <is>
          <t>2026-08-27</t>
        </is>
      </c>
      <c r="W385" s="3" t="n"/>
      <c r="X385" s="3" t="n"/>
      <c r="Y385" s="3" t="inlineStr">
        <is>
          <t>NOTHING OPEN</t>
        </is>
      </c>
    </row>
    <row r="386" ht="60" customHeight="1">
      <c r="A386" s="3" t="inlineStr">
        <is>
          <t>MK-PL-F-025</t>
        </is>
      </c>
      <c r="B386" s="3" t="inlineStr">
        <is>
          <t>sampleOddsLine</t>
        </is>
      </c>
      <c r="C386" s="3" t="inlineStr">
        <is>
          <t>src/domain/planning/hub.ts</t>
        </is>
      </c>
      <c r="D386" s="3" t="n">
        <v>63</v>
      </c>
      <c r="E386" s="3" t="inlineStr">
        <is>
          <t>2 · DISPLAYED</t>
        </is>
      </c>
      <c r="F386" s="3" t="inlineStr">
        <is>
          <t>The same sentence for the app-wide SAMPLE, always labelled as one.</t>
        </is>
      </c>
      <c r="G386" s="11" t="inlineStr">
        <is>
          <t>`sample: ${SAMPLE_CHANCE}% odds of lasting to age ${horizon age}`</t>
        </is>
      </c>
      <c r="H386" s="3" t="inlineStr">
        <is>
          <t>`sample: ${SAMPLE_CHANCE}% odds of lasting to age ${horizon age}`.</t>
        </is>
      </c>
      <c r="I386" s="3" t="inlineStr">
        <is>
          <t>PARTLY READ — some of the code is still showing through; needs a hand pass</t>
        </is>
      </c>
      <c r="J386" s="3" t="inlineStr">
        <is>
          <t>horizonAge: number = SAMPLE_HORIZON</t>
        </is>
      </c>
      <c r="K386" s="3" t="inlineStr">
        <is>
          <t>string</t>
        </is>
      </c>
      <c r="L386" s="3" t="inlineStr">
        <is>
          <t>1. "WILL MY MONEY LAST?" — on the Plan screen, under "WILL MY MONEY LAST?"
2. "YOUR RETIREMENT PLAN" — on the Net worth screen, under "YOUR RETIREMENT PLAN"</t>
        </is>
      </c>
      <c r="M386" s="3" t="inlineStr">
        <is>
          <t>None found in this function — anything it assumes comes from the functions it depends on.</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SAMPLE_ODDS_SENTENCE</t>
        </is>
      </c>
      <c r="U386" s="3" t="inlineStr">
        <is>
          <t>ACTIVE</t>
        </is>
      </c>
      <c r="V386" s="3" t="inlineStr">
        <is>
          <t>2026-08-27</t>
        </is>
      </c>
      <c r="W386" s="3" t="n"/>
      <c r="X386" s="3" t="n"/>
      <c r="Y386" s="6" t="inlineStr">
        <is>
          <t>TESTED, NOT VERIFIED (Odds — exact, no rounding)</t>
        </is>
      </c>
    </row>
    <row r="387" ht="60" customHeight="1">
      <c r="A387" s="3" t="inlineStr">
        <is>
          <t>MK-PL-F-026</t>
        </is>
      </c>
      <c r="B387" s="3" t="inlineStr">
        <is>
          <t>planDoor</t>
        </is>
      </c>
      <c r="C387" s="3" t="inlineStr">
        <is>
          <t>src/domain/planning/hub.ts</t>
        </is>
      </c>
      <c r="D387" s="3" t="n">
        <v>100</v>
      </c>
      <c r="E387" s="3" t="inlineStr">
        <is>
          <t>2 · DISPLAYED</t>
        </is>
      </c>
      <c r="F387" s="3" t="inlineStr">
        <is>
          <t>Is there enough to show this person their own odds?</t>
        </is>
      </c>
      <c r="G387"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7"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7" s="3" t="inlineStr">
        <is>
          <t>PARTLY READ — some of the code is still showing through; needs a hand pass</t>
        </is>
      </c>
      <c r="J387" s="3" t="inlineStr">
        <is>
          <t>1. op: Record&lt;string, any&gt; | null
2. accounts: AssetAccount[]</t>
        </is>
      </c>
      <c r="K387" s="3" t="inlineStr">
        <is>
          <t>PlanDoor</t>
        </is>
      </c>
      <c r="L387" s="3" t="inlineStr">
        <is>
          <t>"WILL MY MONEY LAST?" — on the Plan screen, under "WILL MY MONEY LAST?"</t>
        </is>
      </c>
      <c r="M387" s="3" t="inlineStr">
        <is>
          <t>· If balance is missing it counts as zero, so nothing recorded and a real zero look the same.</t>
        </is>
      </c>
      <c r="N387" s="3" t="inlineStr">
        <is>
          <t>Yes</t>
        </is>
      </c>
      <c r="O387" s="3" t="inlineStr">
        <is>
          <t>MK-NW-F-033 retirementEarmarkedValue</t>
        </is>
      </c>
      <c r="P387" s="3" t="n">
        <v>16</v>
      </c>
      <c r="Q387"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7"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7" s="3" t="inlineStr">
        <is>
          <t>MK-PL-M-001 · MK-PL-M-002</t>
        </is>
      </c>
      <c r="T387" s="3" t="inlineStr">
        <is>
          <t>WHAT_THE_PLAN_STILL_NEEDS</t>
        </is>
      </c>
      <c r="U387" s="3" t="inlineStr">
        <is>
          <t>ACTIVE</t>
        </is>
      </c>
      <c r="V387" s="3" t="inlineStr">
        <is>
          <t>2026-09-12</t>
        </is>
      </c>
      <c r="W387" s="3" t="n"/>
      <c r="X387" s="3" t="n"/>
      <c r="Y387" s="3" t="inlineStr">
        <is>
          <t>NOTHING OPEN</t>
        </is>
      </c>
    </row>
    <row r="388" ht="60" customHeight="1">
      <c r="A388" s="3" t="inlineStr">
        <is>
          <t>MK-PL-F-027</t>
        </is>
      </c>
      <c r="B388" s="3" t="inlineStr">
        <is>
          <t>nextDecision</t>
        </is>
      </c>
      <c r="C388" s="3" t="inlineStr">
        <is>
          <t>src/domain/planning/hub.ts</t>
        </is>
      </c>
      <c r="D388" s="3" t="n">
        <v>164</v>
      </c>
      <c r="E388" s="3" t="inlineStr">
        <is>
          <t>2 · DISPLAYED</t>
        </is>
      </c>
      <c r="F388" s="3" t="inlineStr">
        <is>
          <t>NOT DETERMINED — the code carries no note saying what this is for, and it has no row in the old inventory. Needs reading.</t>
        </is>
      </c>
      <c r="G388"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8"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8" s="3" t="inlineStr">
        <is>
          <t>PARTLY READ — some of the code is still showing through; needs a hand pass</t>
        </is>
      </c>
      <c r="J388" s="3" t="inlineStr">
        <is>
          <t>Nothing is handed to it</t>
        </is>
      </c>
      <c r="K388" s="3" t="inlineStr">
        <is>
          <t>NOT DECLARED — the code does not say what it gives back</t>
        </is>
      </c>
      <c r="L388" s="3" t="inlineStr">
        <is>
          <t>NOT FOUND — a screen calls it, but the words printed beside its answer could not be traced automatically. Needs reading.</t>
        </is>
      </c>
      <c r="M388" s="3" t="inlineStr">
        <is>
          <t>1. Uses a built-in s a m p l e c h a n c e of 84.
2. Uses a built-in s a m p l e h o r i z o n of 90.
3. Uses today's date from the device clock, so the answer changes by itself overnight.
4. Rounds the answer to a whole number.</t>
        </is>
      </c>
      <c r="N388" s="3" t="inlineStr">
        <is>
          <t>Yes</t>
        </is>
      </c>
      <c r="O388" s="3" t="inlineStr">
        <is>
          <t>1. MK-PL-F-080 rmdRequiredThisYear
2. MK-PL-F-005 rmdStartAgeFor
3. MK-PL-F-009 rmdTakenThisYear</t>
        </is>
      </c>
      <c r="P388" s="3" t="n">
        <v>9</v>
      </c>
      <c r="Q388" s="3" t="inlineStr">
        <is>
          <t>1. MK-PL-F-080 rmdRequiredThisYear
2. MK-PL-F-005 rmdStartAgeFor
3. MK-PL-F-009 rmdTakenThisYear
4. MK-PL-F-007 rmdAtAge
5. MK-ST-F-025 rmdStartAgeFromAge
6. MK-ST-F-056 has
7. MK-CF-F-132 map
8. MK-PL-F-078 rmdDivisorAtAge
9. MK-ST-F-024 rmdStartAge</t>
        </is>
      </c>
      <c r="R388"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8" s="3" t="inlineStr">
        <is>
          <t>—</t>
        </is>
      </c>
      <c r="T388" s="3" t="inlineStr">
        <is>
          <t>—</t>
        </is>
      </c>
      <c r="U388" s="3" t="inlineStr">
        <is>
          <t>ACTIVE</t>
        </is>
      </c>
      <c r="V388" s="3" t="inlineStr">
        <is>
          <t>2026-09-08</t>
        </is>
      </c>
      <c r="W388" s="3" t="n"/>
      <c r="X388" s="3" t="n"/>
      <c r="Y388" s="3" t="inlineStr">
        <is>
          <t>NOTHING OPEN</t>
        </is>
      </c>
    </row>
    <row r="389" ht="60" customHeight="1">
      <c r="A389" s="3" t="inlineStr">
        <is>
          <t>MK-PL-F-028</t>
        </is>
      </c>
      <c r="B389" s="3" t="inlineStr">
        <is>
          <t>sampleAskLine</t>
        </is>
      </c>
      <c r="C389" s="3" t="inlineStr">
        <is>
          <t>src/domain/planning/hub.ts</t>
        </is>
      </c>
      <c r="D389" s="3" t="n">
        <v>260</v>
      </c>
      <c r="E389" s="3" t="inlineStr">
        <is>
          <t>2 · DISPLAYED</t>
        </is>
      </c>
      <c r="F389" s="3" t="inlineStr">
        <is>
          <t>The invitation under a sample: name the answers still missing, so a dead end becomes one tap.</t>
        </is>
      </c>
      <c r="G389"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89"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89" s="3" t="inlineStr">
        <is>
          <t>PARTLY READ — some of the code is still showing through; needs a hand pass</t>
        </is>
      </c>
      <c r="J389" s="3" t="inlineStr">
        <is>
          <t>missing: string[]</t>
        </is>
      </c>
      <c r="K389" s="3" t="inlineStr">
        <is>
          <t>string</t>
        </is>
      </c>
      <c r="L389" s="3" t="inlineStr">
        <is>
          <t>NOT FOUND — a screen calls it, but the words printed beside its answer could not be traced automatically. Needs reading.</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SAMPLE_ASK_SENTENCE</t>
        </is>
      </c>
      <c r="U389" s="3" t="inlineStr">
        <is>
          <t>ACTIVE</t>
        </is>
      </c>
      <c r="V389" s="3" t="inlineStr">
        <is>
          <t>2026-08-27</t>
        </is>
      </c>
      <c r="W389" s="3" t="n"/>
      <c r="X389" s="3" t="n"/>
      <c r="Y389" s="3" t="inlineStr">
        <is>
          <t>NOTHING OPEN</t>
        </is>
      </c>
    </row>
    <row r="390" ht="45" customHeight="1">
      <c r="A390" s="3" t="inlineStr">
        <is>
          <t>MK-PL-F-029</t>
        </is>
      </c>
      <c r="B390" s="3" t="inlineStr">
        <is>
          <t>shortfallAgeFromBand</t>
        </is>
      </c>
      <c r="C390" s="3" t="inlineStr">
        <is>
          <t>src/domain/planning/hub.ts</t>
        </is>
      </c>
      <c r="D390" s="3" t="n">
        <v>285</v>
      </c>
      <c r="E390" s="3" t="inlineStr">
        <is>
          <t>2 · DISPLAYED</t>
        </is>
      </c>
      <c r="F390" s="3" t="inlineStr">
        <is>
          <t>The age the middle path first hits zero, from a simulation band — null while it never does.</t>
        </is>
      </c>
      <c r="G390" s="11" t="inlineStr">
        <is>
          <t>(band ?? []).find((pt) =&gt; pt.p50 ≤ 0).age (or nothing when missing)</t>
        </is>
      </c>
      <c r="H390" s="3" t="inlineStr">
        <is>
          <t>(band ?? []).find((pt) =&gt; pt.p50 is at most 0).age (or no answer — when missing).</t>
        </is>
      </c>
      <c r="I390" s="3" t="inlineStr">
        <is>
          <t>PARTLY READ — some of the code is still showing through; needs a hand pass</t>
        </is>
      </c>
      <c r="J390" s="3" t="inlineStr">
        <is>
          <t>band?: { age: number; p50: number }[] | null</t>
        </is>
      </c>
      <c r="K390" s="3" t="inlineStr">
        <is>
          <t>number | null</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AGE_THE_MONEY_RUNS_OUT</t>
        </is>
      </c>
      <c r="U390" s="3" t="inlineStr">
        <is>
          <t>ACTIVE</t>
        </is>
      </c>
      <c r="V390" s="3" t="inlineStr">
        <is>
          <t>2026-08-27</t>
        </is>
      </c>
      <c r="W390" s="3" t="n"/>
      <c r="X390" s="3" t="n"/>
      <c r="Y390" s="3" t="inlineStr">
        <is>
          <t>NOTHING OPEN</t>
        </is>
      </c>
    </row>
    <row r="391" ht="60" customHeight="1">
      <c r="A391" s="3" t="inlineStr">
        <is>
          <t>MK-PL-F-030</t>
        </is>
      </c>
      <c r="B391" s="3" t="inlineStr">
        <is>
          <t>onCourseSentence</t>
        </is>
      </c>
      <c r="C391" s="3" t="inlineStr">
        <is>
          <t>src/domain/planning/hub.ts</t>
        </is>
      </c>
      <c r="D391" s="3" t="n">
        <v>313</v>
      </c>
      <c r="E391" s="3" t="inlineStr">
        <is>
          <t>2 · DISPLAYED</t>
        </is>
      </c>
      <c r="F391" s="3" t="inlineStr">
        <is>
          <t>In one sentence, how is this plan doing?</t>
        </is>
      </c>
      <c r="G391"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1"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1" s="3" t="inlineStr">
        <is>
          <t>PARTLY READ — some of the code is still showing through; needs a hand pass</t>
        </is>
      </c>
      <c r="J391" s="3" t="inlineStr">
        <is>
          <t>Nothing is handed to it</t>
        </is>
      </c>
      <c r="K391" s="3" t="inlineStr">
        <is>
          <t>NOT DECLARED — the code does not say what it gives back</t>
        </is>
      </c>
      <c r="L391" s="3" t="inlineStr">
        <is>
          <t>NOT FOUND — a screen calls it, but the words printed beside its answer could not be traced automatically. Needs reading.</t>
        </is>
      </c>
      <c r="M391" s="3" t="inlineStr">
        <is>
          <t>1. If leftover at horizon is missing it uses 0.
2. Rounds the answer to a whole number.</t>
        </is>
      </c>
      <c r="N391" s="3" t="inlineStr">
        <is>
          <t>Yes</t>
        </is>
      </c>
      <c r="O391" s="3" t="inlineStr">
        <is>
          <t>MK-ST-F-053 money</t>
        </is>
      </c>
      <c r="P391" s="3" t="n">
        <v>6</v>
      </c>
      <c r="Q391" s="3" t="inlineStr">
        <is>
          <t>1. MK-ST-F-053 money
2. MK-ST-F-049 formatMoney
3. MK-XS-F-122 n
4. MK-ST-F-048 currencySymbol
5. MK-ST-F-039 on
6. MK-ST-F-047 activeCurrency</t>
        </is>
      </c>
      <c r="R391"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1" s="3" t="inlineStr">
        <is>
          <t>—</t>
        </is>
      </c>
      <c r="T391" s="3" t="inlineStr">
        <is>
          <t>ARE_YOU_ON_COURSE</t>
        </is>
      </c>
      <c r="U391" s="3" t="inlineStr">
        <is>
          <t>ACTIVE</t>
        </is>
      </c>
      <c r="V391" s="3" t="inlineStr">
        <is>
          <t>2026-08-27</t>
        </is>
      </c>
      <c r="W391" s="3" t="n"/>
      <c r="X391" s="3" t="n"/>
      <c r="Y391" s="3" t="inlineStr">
        <is>
          <t>NOTHING OPEN</t>
        </is>
      </c>
    </row>
    <row r="392" ht="60" customHeight="1">
      <c r="A392" s="3" t="inlineStr">
        <is>
          <t>MK-PL-F-031</t>
        </is>
      </c>
      <c r="B392" s="3" t="inlineStr">
        <is>
          <t>taxOrganizer</t>
        </is>
      </c>
      <c r="C392" s="3" t="inlineStr">
        <is>
          <t>src/domain/planning/index.ts</t>
        </is>
      </c>
      <c r="D392" s="3" t="n">
        <v>123</v>
      </c>
      <c r="E392" s="3" t="inlineStr">
        <is>
          <t>3 · DEPENDENT</t>
        </is>
      </c>
      <c r="F392" s="3" t="inlineStr">
        <is>
          <t>The year-end summary for the accountant: income lines, the four taxable-income steps, contributions, accounts, documents to gather.</t>
        </is>
      </c>
      <c r="G392"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2"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2" s="3" t="inlineStr">
        <is>
          <t>PARTLY READ — some of the code is still showing through; needs a hand pass</t>
        </is>
      </c>
      <c r="J392" s="3" t="inlineStr">
        <is>
          <t>1. op: OnboardingProfile | null
2. opts: { accounts?: any[]; liabilities?: any[]; actualPassive?: number; year: number }</t>
        </is>
      </c>
      <c r="K392" s="3" t="inlineStr">
        <is>
          <t>TaxOrganizer</t>
        </is>
      </c>
      <c r="L392" s="3" t="inlineStr">
        <is>
          <t>—</t>
        </is>
      </c>
      <c r="M392" s="3" t="inlineStr">
        <is>
          <t>1. If balance is missing it counts as zero, so nothing recorded and a real zero look the same.
2. Turns a monthly figure into a year by multiplying by twelve.</t>
        </is>
      </c>
      <c r="N392" s="3" t="inlineStr">
        <is>
          <t>Yes</t>
        </is>
      </c>
      <c r="O39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2" s="3" t="n">
        <v>54</v>
      </c>
      <c r="Q39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2"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2" s="3" t="inlineStr">
        <is>
          <t>MK-MN-M-027 · MK-MN-M-028</t>
        </is>
      </c>
      <c r="T392" s="3" t="inlineStr">
        <is>
          <t>—</t>
        </is>
      </c>
      <c r="U392" s="3" t="inlineStr">
        <is>
          <t>ACTIVE</t>
        </is>
      </c>
      <c r="V392" s="3" t="inlineStr">
        <is>
          <t>2026-09-28</t>
        </is>
      </c>
      <c r="W392" s="3" t="n"/>
      <c r="X392" s="3" t="n"/>
      <c r="Y392" s="3" t="inlineStr">
        <is>
          <t>NOTHING OPEN</t>
        </is>
      </c>
    </row>
    <row r="393" ht="60" customHeight="1">
      <c r="A393" s="3" t="inlineStr">
        <is>
          <t>MK-PL-F-032</t>
        </is>
      </c>
      <c r="B393" s="3" t="inlineStr">
        <is>
          <t>rothConversionCost</t>
        </is>
      </c>
      <c r="C393" s="3" t="inlineStr">
        <is>
          <t>src/domain/planning/index.ts</t>
        </is>
      </c>
      <c r="D393" s="3" t="n">
        <v>209</v>
      </c>
      <c r="E393" s="3" t="inlineStr">
        <is>
          <t>2 · DISPLAYED</t>
        </is>
      </c>
      <c r="F393" s="3" t="inlineStr">
        <is>
          <t>───────────────────────── Roth conversion (fill a low bracket) ───────────────────────── In a low-income year (e.g.</t>
        </is>
      </c>
      <c r="G393" s="11" t="inlineStr">
        <is>
          <t>tax owed for(gross + amount, status, state rate) − tax owed for(gross, status, state rate)</t>
        </is>
      </c>
      <c r="H393" s="3" t="inlineStr">
        <is>
          <t>tax owed for(gross plus amount, status, state rate) minus tax owed for(gross, status, state rate).</t>
        </is>
      </c>
      <c r="I393" s="3" t="inlineStr">
        <is>
          <t>READ FROM THE CODE — rendered from the expressions the function runs</t>
        </is>
      </c>
      <c r="J393" s="3" t="inlineStr">
        <is>
          <t>1. gross: number
2. amount: number
3. status: import('../income/tax').FilingStatus
4. stateRate: number</t>
        </is>
      </c>
      <c r="K393" s="3" t="inlineStr">
        <is>
          <t>number</t>
        </is>
      </c>
      <c r="L393" s="3" t="inlineStr">
        <is>
          <t>NOT FOUND — a screen calls it, but the words printed beside its answer could not be traced automatically. Needs reading.</t>
        </is>
      </c>
      <c r="M393"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3" s="3" t="inlineStr">
        <is>
          <t>Yes</t>
        </is>
      </c>
      <c r="O393" s="3" t="inlineStr">
        <is>
          <t>MK-CF-F-101 taxOwedFor</t>
        </is>
      </c>
      <c r="P393" s="3" t="n">
        <v>4</v>
      </c>
      <c r="Q393" s="3" t="inlineStr">
        <is>
          <t>1. MK-CF-F-101 taxOwedFor
2. MK-CF-F-100 taxableIncomeFor
3. MK-CF-F-099 deductionFor
4. MK-CF-F-187 seniorDeductionFor</t>
        </is>
      </c>
      <c r="R393" s="3" t="inlineStr">
        <is>
          <t>MK-CF-F-187 seniorDeductionFor → MK-CF-F-099 deductionFor → MK-CF-F-100 taxableIncomeFor → MK-CF-F-101 taxOwedFor → MK-PL-F-032 rothConversionCost</t>
        </is>
      </c>
      <c r="S393" s="3" t="inlineStr">
        <is>
          <t>—</t>
        </is>
      </c>
      <c r="T393" s="3" t="inlineStr">
        <is>
          <t>—</t>
        </is>
      </c>
      <c r="U393" s="3" t="inlineStr">
        <is>
          <t>ACTIVE</t>
        </is>
      </c>
      <c r="V393" s="3" t="inlineStr">
        <is>
          <t>2026-09-09</t>
        </is>
      </c>
      <c r="W393" s="3" t="n"/>
      <c r="X393" s="3" t="n"/>
      <c r="Y393" s="3" t="inlineStr">
        <is>
          <t>NOTHING OPEN</t>
        </is>
      </c>
    </row>
    <row r="394" ht="60" customHeight="1">
      <c r="A394" s="3" t="inlineStr">
        <is>
          <t>MK-PL-F-033</t>
        </is>
      </c>
      <c r="B394" s="3" t="inlineStr">
        <is>
          <t>educationPlan</t>
        </is>
      </c>
      <c r="C394" s="3" t="inlineStr">
        <is>
          <t>src/domain/planning/index.ts</t>
        </is>
      </c>
      <c r="D394" s="3" t="n">
        <v>260</v>
      </c>
      <c r="E394" s="3" t="inlineStr">
        <is>
          <t>2 · DISPLAYED</t>
        </is>
      </c>
      <c r="F394" s="3" t="inlineStr">
        <is>
          <t>NOT DETERMINED — the code carries no note saying what this is for, and it has no row in the old inventory. Needs reading.</t>
        </is>
      </c>
      <c r="G394"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4"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4" s="3" t="inlineStr">
        <is>
          <t>PARTLY READ — the body has a loop the extractor cannot render; the steps shown are the ones before it. Needs a hand pass (G23).</t>
        </is>
      </c>
      <c r="J394" s="3" t="inlineStr">
        <is>
          <t>inp: EduPlanInput</t>
        </is>
      </c>
      <c r="K394" s="3" t="inlineStr">
        <is>
          <t>EduPlan</t>
        </is>
      </c>
      <c r="L394" s="3" t="inlineStr">
        <is>
          <t>"Projected total cost" — on the College costs screen</t>
        </is>
      </c>
      <c r="M394" s="3" t="inlineStr">
        <is>
          <t>1. Uses a built-in future total cost of 0.
2. Turns a monthly figure into a year by multiplying by twelve.
3. Rounds the answer to a whole number.</t>
        </is>
      </c>
      <c r="N394" s="3" t="inlineStr">
        <is>
          <t>Yes</t>
        </is>
      </c>
      <c r="O394" s="3" t="inlineStr">
        <is>
          <t>MK-XS-F-122 n</t>
        </is>
      </c>
      <c r="P394" s="3" t="n">
        <v>1</v>
      </c>
      <c r="Q394" s="3" t="inlineStr">
        <is>
          <t>MK-XS-F-122 n</t>
        </is>
      </c>
      <c r="R394" s="3" t="inlineStr">
        <is>
          <t>MK-XS-F-122 n → MK-PL-F-033 educationPlan</t>
        </is>
      </c>
      <c r="S394" s="3" t="inlineStr">
        <is>
          <t>MK-PL-M-036 · MK-PL-M-037</t>
        </is>
      </c>
      <c r="T394" s="3" t="inlineStr">
        <is>
          <t>—</t>
        </is>
      </c>
      <c r="U394" s="3" t="inlineStr">
        <is>
          <t>ACTIVE</t>
        </is>
      </c>
      <c r="V394" s="3" t="inlineStr">
        <is>
          <t>2026-09-08</t>
        </is>
      </c>
      <c r="W394" s="3" t="n"/>
      <c r="X394" s="3" t="n"/>
      <c r="Y394" s="3" t="inlineStr">
        <is>
          <t>NOTHING OPEN</t>
        </is>
      </c>
    </row>
    <row r="395" ht="60" customHeight="1">
      <c r="A395" s="3" t="inlineStr">
        <is>
          <t>MK-PL-F-034</t>
        </is>
      </c>
      <c r="B395" s="3" t="inlineStr">
        <is>
          <t>lifeInsuranceNeed</t>
        </is>
      </c>
      <c r="C395" s="3" t="inlineStr">
        <is>
          <t>src/domain/planning/index.ts</t>
        </is>
      </c>
      <c r="D395" s="3" t="n">
        <v>323</v>
      </c>
      <c r="E395" s="3" t="inlineStr">
        <is>
          <t>2 · DISPLAYED</t>
        </is>
      </c>
      <c r="F395" s="3" t="inlineStr">
        <is>
          <t>NOT DETERMINED — the code carries no note saying what this is for, and it has no row in the old inventory. Needs reading.</t>
        </is>
      </c>
      <c r="G395" s="11" t="inlineStr">
        <is>
          <t>income replacement = max(0, inp.annual income) × math.max(0, inp.years to replace)
total need = income replacement + max(0, inp.debts) + max(0, inp.future goals) + max(0, inp.final expenses)
covered = max(0, inp.liquid savings) + math.max(0, inp.existing coverage)</t>
        </is>
      </c>
      <c r="H395"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5" s="3" t="inlineStr">
        <is>
          <t>PARTLY READ — some of the code is still showing through; needs a hand pass</t>
        </is>
      </c>
      <c r="J395" s="3" t="inlineStr">
        <is>
          <t>inp: InsuranceInput</t>
        </is>
      </c>
      <c r="K395" s="3" t="inlineStr">
        <is>
          <t>InsuranceNeed</t>
        </is>
      </c>
      <c r="L395" s="3" t="inlineStr">
        <is>
          <t>1. "Gap" — on the Insurance screen
2. "Total need" — on the Insurance screen</t>
        </is>
      </c>
      <c r="M395"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MK-PL-F-035</t>
        </is>
      </c>
      <c r="B396" s="3" t="inlineStr">
        <is>
          <t>retireAgeWithContribution</t>
        </is>
      </c>
      <c r="C396" s="3" t="inlineStr">
        <is>
          <t>src/domain/planning/multiGoal.ts</t>
        </is>
      </c>
      <c r="D396" s="3" t="n">
        <v>67</v>
      </c>
      <c r="E396" s="3" t="inlineStr">
        <is>
          <t>2 · DISPLAYED</t>
        </is>
      </c>
      <c r="F396" s="3" t="inlineStr">
        <is>
          <t>Earliest age the projection covers the need, WITH contributions until that age (F4's before/after).</t>
        </is>
      </c>
      <c r="G396" s="11" t="inlineStr">
        <is>
          <t>p = project nest egg({ ...inp, annual contribution: monthly contribution × 12, retire age: age, guaranteed start age: inp.guaranteed start age })
age   when will have ≥ will need
the answer = nothing</t>
        </is>
      </c>
      <c r="H396" s="3" t="inlineStr">
        <is>
          <t>P is project nest egg({ ...inp, annual contribution: monthly contribution times 12, retire age: age, guaranteed start age: inp.guaranteed start age }). When will have is at least will need, it answers age. The answer is no answer.</t>
        </is>
      </c>
      <c r="I396" s="3" t="inlineStr">
        <is>
          <t>READ FROM THE CODE — rendered from the expressions the function runs</t>
        </is>
      </c>
      <c r="J396" s="3" t="inlineStr">
        <is>
          <t>1. inp: RetirementInputs
2. monthlyContribution: number
3. maxAge = 80</t>
        </is>
      </c>
      <c r="K396" s="3" t="inlineStr">
        <is>
          <t>number | null</t>
        </is>
      </c>
      <c r="L396" s="3" t="inlineStr">
        <is>
          <t>NOT FOUND — a screen calls it, but the words printed beside its answer could not be traced automatically. Needs reading.</t>
        </is>
      </c>
      <c r="M396" s="3" t="inlineStr">
        <is>
          <t>· Turns a monthly figure into a year by multiplying by twelve.</t>
        </is>
      </c>
      <c r="N396" s="3" t="inlineStr">
        <is>
          <t>Yes</t>
        </is>
      </c>
      <c r="O396" s="3" t="inlineStr">
        <is>
          <t>1. MK-PL-F-055 projectNestEgg
2. MK-PL-F-050 simulate
3. MK-PL-F-056 solveRetireAge</t>
        </is>
      </c>
      <c r="P396" s="3" t="n">
        <v>24</v>
      </c>
      <c r="Q396"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6"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MK-PL-F-036</t>
        </is>
      </c>
      <c r="B397" s="3" t="inlineStr">
        <is>
          <t>weighGoals</t>
        </is>
      </c>
      <c r="C397" s="3" t="inlineStr">
        <is>
          <t>src/domain/planning/multiGoal.ts</t>
        </is>
      </c>
      <c r="D397" s="3" t="n">
        <v>117</v>
      </c>
      <c r="E397" s="3" t="inlineStr">
        <is>
          <t>2 · DISPLAYED</t>
        </is>
      </c>
      <c r="F397" s="3" t="inlineStr">
        <is>
          <t>Run the whole combination once.</t>
        </is>
      </c>
      <c r="G397"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7"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7" s="3" t="inlineStr">
        <is>
          <t>PARTLY READ — some of the code is still showing through; needs a hand pass</t>
        </is>
      </c>
      <c r="J397" s="3" t="inlineStr">
        <is>
          <t>w: WeighInputs</t>
        </is>
      </c>
      <c r="K397" s="3" t="inlineStr">
        <is>
          <t>WeighResult</t>
        </is>
      </c>
      <c r="L397" s="3" t="inlineStr">
        <is>
          <t>NOT FOUND — a screen calls it, but the words printed beside its answer could not be traced automatically. Needs reading.</t>
        </is>
      </c>
      <c r="M397"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7" s="3" t="inlineStr">
        <is>
          <t>Yes</t>
        </is>
      </c>
      <c r="O397" s="3" t="inlineStr">
        <is>
          <t>1. MK-PL-F-021 monthsToGoal
2. MK-ST-F-039 on
3. MK-CF-F-034 payoffPlan
4. MK-PL-F-035 retireAgeWithContribution
5. MK-PL-F-050 simulate</t>
        </is>
      </c>
      <c r="P397" s="3" t="n">
        <v>28</v>
      </c>
      <c r="Q397"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7"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7" s="3" t="inlineStr">
        <is>
          <t>—</t>
        </is>
      </c>
      <c r="T397" s="3" t="inlineStr">
        <is>
          <t>—</t>
        </is>
      </c>
      <c r="U397" s="3" t="inlineStr">
        <is>
          <t>ACTIVE</t>
        </is>
      </c>
      <c r="V397" s="3" t="inlineStr">
        <is>
          <t>2026-09-09</t>
        </is>
      </c>
      <c r="W397" s="3" t="n"/>
      <c r="X397" s="3" t="n"/>
      <c r="Y397" s="3" t="inlineStr">
        <is>
          <t>NOTHING OPEN</t>
        </is>
      </c>
    </row>
    <row r="398" ht="60" customHeight="1">
      <c r="A398" s="3" t="inlineStr">
        <is>
          <t>MK-PL-F-037</t>
        </is>
      </c>
      <c r="B398" s="3" t="inlineStr">
        <is>
          <t>trimHints</t>
        </is>
      </c>
      <c r="C398" s="3" t="inlineStr">
        <is>
          <t>src/domain/planning/multiGoal.ts</t>
        </is>
      </c>
      <c r="D398" s="3" t="n">
        <v>193</v>
      </c>
      <c r="E398" s="3" t="inlineStr">
        <is>
          <t>2 · DISPLAYED</t>
        </is>
      </c>
      <c r="F398" s="3" t="inlineStr">
        <is>
          <t>One hint per active goal: the SAME weigher re-run with that dial reduced — a pre-run of the slider, so applying the hint's amount reproduces its numbers exactly (the pin).</t>
        </is>
      </c>
      <c r="G398" s="11" t="inlineStr">
        <is>
          <t>trimmed amount = max(0, round((monthly amount × reduce to) ÷ 100) × 100)
freed = monthly amount − trimmed amount
the answer:
dial id = id
label = label
trimmed amount = trimmed amount
retire age = retire age
chance = chance</t>
        </is>
      </c>
      <c r="H398"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8" s="3" t="inlineStr">
        <is>
          <t>READ FROM THE CODE — rendered from the expressions the function runs</t>
        </is>
      </c>
      <c r="J398" s="3" t="inlineStr">
        <is>
          <t>1. w: WeighInputs
2. reduceTo = 0.6</t>
        </is>
      </c>
      <c r="K398" s="3" t="inlineStr">
        <is>
          <t>TrimHint[]</t>
        </is>
      </c>
      <c r="L398" s="3" t="inlineStr">
        <is>
          <t>NOT FOUND — a screen calls it, but the words printed beside its answer could not be traced automatically. Needs reading.</t>
        </is>
      </c>
      <c r="M398" s="3" t="inlineStr">
        <is>
          <t>· Rounds the answer to a whole number.</t>
        </is>
      </c>
      <c r="N398" s="3" t="inlineStr">
        <is>
          <t>Yes</t>
        </is>
      </c>
      <c r="O398" s="3" t="inlineStr">
        <is>
          <t>1. MK-CF-F-132 map
2. MK-PL-F-036 weighGoals</t>
        </is>
      </c>
      <c r="P398" s="3" t="n">
        <v>29</v>
      </c>
      <c r="Q398"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8"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MK-PL-F-038</t>
        </is>
      </c>
      <c r="B399" s="3" t="inlineStr">
        <is>
          <t>spendMoreState</t>
        </is>
      </c>
      <c r="C399" s="3" t="inlineStr">
        <is>
          <t>src/domain/planning/spendMore.ts</t>
        </is>
      </c>
      <c r="D399" s="3" t="n">
        <v>78</v>
      </c>
      <c r="E399" s="3" t="inlineStr">
        <is>
          <t>2 · DISPLAYED</t>
        </is>
      </c>
      <c r="F399" s="3" t="inlineStr">
        <is>
          <t>How much more she could spend, and how much of it is genuinely free.</t>
        </is>
      </c>
      <c r="G399" s="11" t="inlineStr">
        <is>
          <t>today = base.retire monthly spend today
odds today = odds at(base, today)
free = 0
the answer:
max extra = max extra
free extra = free
odds today = odds today</t>
        </is>
      </c>
      <c r="H399" s="3" t="inlineStr">
        <is>
          <t>Today is base.retire monthly spend today. Odds today is odds at(base, today). Free is 0. The answer is max extra = max extra; free extra = free; odds today = odds today.</t>
        </is>
      </c>
      <c r="I399" s="3" t="inlineStr">
        <is>
          <t>READ FROM THE CODE — rendered from the expressions the function runs</t>
        </is>
      </c>
      <c r="J399" s="3" t="inlineStr">
        <is>
          <t>1. base: RetirementInputs
2. maxExtra: number
3. step = 500</t>
        </is>
      </c>
      <c r="K399" s="3" t="inlineStr">
        <is>
          <t>SpendMoreState</t>
        </is>
      </c>
      <c r="L399" s="3" t="inlineStr">
        <is>
          <t>"Can I spend more?" — on a card used on more than one screen (SpendMoreControl)</t>
        </is>
      </c>
      <c r="M399" s="3" t="inlineStr">
        <is>
          <t>· Uses a built-in free of 0.</t>
        </is>
      </c>
      <c r="N399" s="3" t="inlineStr">
        <is>
          <t>Yes</t>
        </is>
      </c>
      <c r="O399" s="3" t="inlineStr">
        <is>
          <t>MK-PL-F-069 oddsAt</t>
        </is>
      </c>
      <c r="P399" s="3" t="n">
        <v>23</v>
      </c>
      <c r="Q39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99"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MK-PL-F-039</t>
        </is>
      </c>
      <c r="B400" s="3" t="inlineStr">
        <is>
          <t>spendMoreSentence</t>
        </is>
      </c>
      <c r="C400" s="3" t="inlineStr">
        <is>
          <t>src/domain/planning/spendMore.ts</t>
        </is>
      </c>
      <c r="D400" s="3" t="n">
        <v>119</v>
      </c>
      <c r="E400" s="3" t="inlineStr">
        <is>
          <t>2 · DISPLAYED</t>
        </is>
      </c>
      <c r="F400" s="3" t="inlineStr">
        <is>
          <t>What the screen says at a given stepper position — a real run every time, never a bucket.</t>
        </is>
      </c>
      <c r="G400" s="11" t="inlineStr">
        <is>
          <t>chance = odds at(base, base.retire monthly spend today + extra)
failing = round(100 − chance, 6 dp)
the answer:
chance = chance
tone = 'watch'
text = `lasts in almost every simulated future — about ${chance} out of 100.`</t>
        </is>
      </c>
      <c r="H400" s="3" t="inlineStr">
        <is>
          <t>Chance is odds at(base, base.retire monthly spend today plus extra). Failing is 100 minus chance, to 6 decimal places. The answer is chance = chance; tone = 'watch'; text = `lasts in almost every simulated future — about ${chance} out of 100.`.</t>
        </is>
      </c>
      <c r="I400" s="3" t="inlineStr">
        <is>
          <t>PARTLY READ — some of the code is still showing through; needs a hand pass</t>
        </is>
      </c>
      <c r="J400" s="3" t="inlineStr">
        <is>
          <t>1. base: RetirementInputs
2. extra: number
3. horizonAge: number
4. oddsToday: number</t>
        </is>
      </c>
      <c r="K400" s="3" t="inlineStr">
        <is>
          <t>NOT DECLARED — the code does not say what it gives back</t>
        </is>
      </c>
      <c r="L400" s="3" t="inlineStr">
        <is>
          <t>NOT FOUND — a screen calls it, but the words printed beside its answer could not be traced automatically. Needs reading.</t>
        </is>
      </c>
      <c r="M400" s="3" t="inlineStr">
        <is>
          <t>· Rounds the answer to 6 decimal places.</t>
        </is>
      </c>
      <c r="N400" s="3" t="inlineStr">
        <is>
          <t>Yes</t>
        </is>
      </c>
      <c r="O400" s="3" t="inlineStr">
        <is>
          <t>MK-PL-F-069 oddsAt</t>
        </is>
      </c>
      <c r="P400" s="3" t="n">
        <v>23</v>
      </c>
      <c r="Q40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0"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0" s="3" t="inlineStr">
        <is>
          <t>—</t>
        </is>
      </c>
      <c r="T400" s="3" t="inlineStr">
        <is>
          <t>—</t>
        </is>
      </c>
      <c r="U400" s="3" t="inlineStr">
        <is>
          <t>ACTIVE</t>
        </is>
      </c>
      <c r="V400" s="3" t="inlineStr">
        <is>
          <t>2026-09-14</t>
        </is>
      </c>
      <c r="W400" s="3" t="n"/>
      <c r="X400" s="3" t="n"/>
      <c r="Y400" s="3" t="inlineStr">
        <is>
          <t>NOTHING OPEN</t>
        </is>
      </c>
    </row>
    <row r="401" ht="60" customHeight="1">
      <c r="A401" s="3" t="inlineStr">
        <is>
          <t>MK-PL-F-040</t>
        </is>
      </c>
      <c r="B401" s="3" t="inlineStr">
        <is>
          <t>targetAtRetirement</t>
        </is>
      </c>
      <c r="C401" s="3" t="inlineStr">
        <is>
          <t>src/domain/planning/target.ts</t>
        </is>
      </c>
      <c r="D401" s="3" t="n">
        <v>107</v>
      </c>
      <c r="E401" s="3" t="inlineStr">
        <is>
          <t>2 · DISPLAYED</t>
        </is>
      </c>
      <c r="F401" s="3" t="inlineStr">
        <is>
          <t>THE TARGET: the balance on day one of retirement that reaches TARGET_ODDS.</t>
        </is>
      </c>
      <c r="G401"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1"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1" s="3" t="inlineStr">
        <is>
          <t>PARTLY READ — the body has a loop the extractor cannot render; the steps shown are the ones before it. Needs a hand pass (G23).</t>
        </is>
      </c>
      <c r="J401" s="3" t="inlineStr">
        <is>
          <t>base: RetirementInputs</t>
        </is>
      </c>
      <c r="K401" s="3" t="inlineStr">
        <is>
          <t>number | null</t>
        </is>
      </c>
      <c r="L401" s="3" t="inlineStr">
        <is>
          <t>NOT FOUND — a screen calls it, but the words printed beside its answer could not be traced automatically. Needs reading.</t>
        </is>
      </c>
      <c r="M401" s="3" t="inlineStr">
        <is>
          <t>None found in this function — anything it assumes comes from the functions it depends on.</t>
        </is>
      </c>
      <c r="N401" s="3" t="inlineStr">
        <is>
          <t>Yes</t>
        </is>
      </c>
      <c r="O401" s="3" t="inlineStr">
        <is>
          <t>1. MK-CF-O-002 expenses
2. MK-PL-F-071 oddsOf
3. MK-PL-F-070 smallestThatWorks</t>
        </is>
      </c>
      <c r="P401" s="3" t="n">
        <v>24</v>
      </c>
      <c r="Q401"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1"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MK-PL-F-041</t>
        </is>
      </c>
      <c r="B402" s="3" t="inlineStr">
        <is>
          <t>requiredAnnualSaving</t>
        </is>
      </c>
      <c r="C402" s="3" t="inlineStr">
        <is>
          <t>src/domain/planning/target.ts</t>
        </is>
      </c>
      <c r="D402" s="3" t="n">
        <v>161</v>
      </c>
      <c r="E402" s="3" t="inlineStr">
        <is>
          <t>3 · DEPENDENT</t>
        </is>
      </c>
      <c r="F402" s="3" t="inlineStr">
        <is>
          <t>THE YEARLY SAVING: the total annual contribution that reaches TARGET_ODDS on the real plan — the one with their age, their years left, their expenses, their big costs.</t>
        </is>
      </c>
      <c r="G402"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2"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2" s="3" t="inlineStr">
        <is>
          <t>PARTLY READ — the body has a loop the extractor cannot render; the steps shown are the ones before it. Needs a hand pass (G23).</t>
        </is>
      </c>
      <c r="J402" s="3" t="inlineStr">
        <is>
          <t>base: RetirementInputs</t>
        </is>
      </c>
      <c r="K402" s="3" t="inlineStr">
        <is>
          <t>NOT DECLARED — the code does not say what it gives back</t>
        </is>
      </c>
      <c r="L402" s="3" t="inlineStr">
        <is>
          <t>—</t>
        </is>
      </c>
      <c r="M402" s="3" t="inlineStr">
        <is>
          <t>· If annual contribution is missing it uses 0.</t>
        </is>
      </c>
      <c r="N402" s="3" t="inlineStr">
        <is>
          <t>Yes</t>
        </is>
      </c>
      <c r="O402" s="3" t="inlineStr">
        <is>
          <t>1. MK-PL-F-071 oddsOf
2. MK-PL-F-070 smallestThatWorks</t>
        </is>
      </c>
      <c r="P402" s="3" t="n">
        <v>24</v>
      </c>
      <c r="Q402"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2"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2" s="3" t="inlineStr">
        <is>
          <t>—</t>
        </is>
      </c>
      <c r="T402" s="3" t="inlineStr">
        <is>
          <t>—</t>
        </is>
      </c>
      <c r="U402" s="3" t="inlineStr">
        <is>
          <t>ACTIVE</t>
        </is>
      </c>
      <c r="V402" s="3" t="inlineStr">
        <is>
          <t>2026-09-14</t>
        </is>
      </c>
      <c r="W402" s="3" t="n"/>
      <c r="X402" s="3" t="n"/>
      <c r="Y402" s="3" t="inlineStr">
        <is>
          <t>NOTHING OPEN</t>
        </is>
      </c>
    </row>
    <row r="403" ht="60" customHeight="1">
      <c r="A403" s="3" t="inlineStr">
        <is>
          <t>MK-PL-F-042</t>
        </is>
      </c>
      <c r="B403" s="3" t="inlineStr">
        <is>
          <t>savingToReachTarget</t>
        </is>
      </c>
      <c r="C403" s="3" t="inlineStr">
        <is>
          <t>src/domain/planning/target.ts</t>
        </is>
      </c>
      <c r="D403" s="3" t="n">
        <v>220</v>
      </c>
      <c r="E403" s="3" t="inlineStr">
        <is>
          <t>3 · DEPENDENT</t>
        </is>
      </c>
      <c r="F403" s="3" t="inlineStr">
        <is>
          <t>The yearly saving whose PROJECTION reaches a typed target.</t>
        </is>
      </c>
      <c r="G403" s="11" t="inlineStr">
        <is>
          <t>found = smallest that works(0, MAX_SAVING, 500, (x) =&gt; projected with(x) ≥ typed target)
nothing   when found = nothing
total = round up(found ÷ 500) × 500
the answer:
total = total
extra = max(0, total − (base.annual contribution ?? 0))</t>
        </is>
      </c>
      <c r="H403"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3" s="3" t="inlineStr">
        <is>
          <t>PARTLY READ — some of the code is still showing through; needs a hand pass</t>
        </is>
      </c>
      <c r="J403" s="3" t="inlineStr">
        <is>
          <t>1. base: RetirementInputs
2. typedTarget: number</t>
        </is>
      </c>
      <c r="K403" s="3" t="inlineStr">
        <is>
          <t>NOT DECLARED — the code does not say what it gives back</t>
        </is>
      </c>
      <c r="L403" s="3" t="inlineStr">
        <is>
          <t>—</t>
        </is>
      </c>
      <c r="M403" s="3" t="inlineStr">
        <is>
          <t>· If annual contribution is missing it uses 0.</t>
        </is>
      </c>
      <c r="N403" s="3" t="inlineStr">
        <is>
          <t>Yes</t>
        </is>
      </c>
      <c r="O403" s="3" t="inlineStr">
        <is>
          <t>1. MK-PL-F-050 simulate
2. MK-PL-F-070 smallestThatWorks</t>
        </is>
      </c>
      <c r="P403" s="3" t="n">
        <v>23</v>
      </c>
      <c r="Q403"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3"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MK-PL-F-043</t>
        </is>
      </c>
      <c r="B404" s="3" t="inlineStr">
        <is>
          <t>howTheGapCloses</t>
        </is>
      </c>
      <c r="C404" s="3" t="inlineStr">
        <is>
          <t>src/domain/planning/target.ts</t>
        </is>
      </c>
      <c r="D404" s="3" t="n">
        <v>254</v>
      </c>
      <c r="E404" s="3" t="inlineStr">
        <is>
          <t>2 · DISPLAYED</t>
        </is>
      </c>
      <c r="F404" s="3" t="inlineStr">
        <is>
          <t>Where the money to close the gap actually comes from — the breakdown that stops a person subtracting and concluding the app cannot add up (founder, 2026-08-14).</t>
        </is>
      </c>
      <c r="G404" s="11" t="inlineStr">
        <is>
          <t>years = max(0, base.retire age − base.current age)
no saving = simulate({ ...base, annual contribution: 0 }).projected at retirement
with saving = simulate({ ...base, annual contribution: total annual saving }).projected at retirement
put in = total annual saving × years</t>
        </is>
      </c>
      <c r="H404"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4" s="3" t="inlineStr">
        <is>
          <t>PARTLY READ — some of the code is still showing through; needs a hand pass</t>
        </is>
      </c>
      <c r="J404" s="3" t="inlineStr">
        <is>
          <t>1. base: RetirementInputs
2. totalAnnualSaving: number</t>
        </is>
      </c>
      <c r="K404" s="3" t="inlineStr">
        <is>
          <t>NOT DECLARED — the code does not say what it gives back</t>
        </is>
      </c>
      <c r="L404" s="3" t="inlineStr">
        <is>
          <t>NOT FOUND — a screen calls it, but the words printed beside its answer could not be traced automatically. Needs reading.</t>
        </is>
      </c>
      <c r="M404" s="3" t="inlineStr">
        <is>
          <t>None found in this function — anything it assumes comes from the functions it depends on.</t>
        </is>
      </c>
      <c r="N404" s="3" t="inlineStr">
        <is>
          <t>Yes</t>
        </is>
      </c>
      <c r="O404" s="3" t="inlineStr">
        <is>
          <t>1. MK-XS-F-147 call
2. MK-PL-F-050 simulate</t>
        </is>
      </c>
      <c r="P404" s="3" t="n">
        <v>26</v>
      </c>
      <c r="Q404"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4"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4" s="3" t="inlineStr">
        <is>
          <t>—</t>
        </is>
      </c>
      <c r="T404" s="3" t="inlineStr">
        <is>
          <t>—</t>
        </is>
      </c>
      <c r="U404" s="3" t="inlineStr">
        <is>
          <t>ACTIVE</t>
        </is>
      </c>
      <c r="V404" s="3" t="inlineStr">
        <is>
          <t>2026-09-09</t>
        </is>
      </c>
      <c r="W404" s="3" t="n"/>
      <c r="X404" s="3" t="n"/>
      <c r="Y404" s="3" t="inlineStr">
        <is>
          <t>NOTHING OPEN</t>
        </is>
      </c>
    </row>
    <row r="405" ht="60" customHeight="1">
      <c r="A405" s="3" t="inlineStr">
        <is>
          <t>MK-PL-F-044</t>
        </is>
      </c>
      <c r="B405" s="3" t="inlineStr">
        <is>
          <t>planTarget</t>
        </is>
      </c>
      <c r="C405" s="3" t="inlineStr">
        <is>
          <t>src/domain/planning/target.ts</t>
        </is>
      </c>
      <c r="D405" s="3" t="n">
        <v>323</v>
      </c>
      <c r="E405" s="3" t="inlineStr">
        <is>
          <t>2 · DISPLAYED</t>
        </is>
      </c>
      <c r="F405" s="3" t="inlineStr">
        <is>
          <t>One call, everything the second gauge and the bridge sentence need.</t>
        </is>
      </c>
      <c r="G405"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5"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5" s="3" t="inlineStr">
        <is>
          <t>PARTLY READ — some of the code is still showing through; needs a hand pass</t>
        </is>
      </c>
      <c r="J405" s="3" t="inlineStr">
        <is>
          <t>1. base: RetirementInputs
2. annualIncome?: number
3. roomAnnual?: number
4. typedTarget?: number | null</t>
        </is>
      </c>
      <c r="K405" s="3" t="inlineStr">
        <is>
          <t>PlanTarget</t>
        </is>
      </c>
      <c r="L405" s="3" t="inlineStr">
        <is>
          <t>NOT FOUND — a screen calls it, but the words printed beside its answer could not be traced automatically. Needs reading.</t>
        </is>
      </c>
      <c r="M405" s="3" t="inlineStr">
        <is>
          <t>1. If annual contribution is missing it uses 0.
2. Rounds the answer to a whole number.</t>
        </is>
      </c>
      <c r="N405" s="3" t="inlineStr">
        <is>
          <t>Yes</t>
        </is>
      </c>
      <c r="O405" s="3" t="inlineStr">
        <is>
          <t>1. MK-PL-F-041 requiredAnnualSaving
2. MK-PL-F-042 savingToReachTarget
3. MK-PL-F-050 simulate
4. MK-PL-F-040 targetAtRetirement</t>
        </is>
      </c>
      <c r="P405" s="3" t="n">
        <v>27</v>
      </c>
      <c r="Q405"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5"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MK-PL-F-045</t>
        </is>
      </c>
      <c r="B406" s="3" t="inlineStr">
        <is>
          <t>ssUpliftFactor</t>
        </is>
      </c>
      <c r="C406" s="3" t="inlineStr">
        <is>
          <t>src/domain/planning/target.ts</t>
        </is>
      </c>
      <c r="D406" s="3" t="n">
        <v>382</v>
      </c>
      <c r="E406" s="3" t="inlineStr">
        <is>
          <t>3 · DEPENDENT</t>
        </is>
      </c>
      <c r="F406" s="3" t="inlineStr">
        <is>
          <t>Social Security pays roughly 8% more for each year you delay past full retirement age — the claim-later lever has to raise the CHECK, not just move its start date.</t>
        </is>
      </c>
      <c r="G406" s="11" t="inlineStr">
        <is>
          <t>1 + 0.08 × max(0, to age − from age)</t>
        </is>
      </c>
      <c r="H406" s="3" t="inlineStr">
        <is>
          <t>1 plus 0.08 times to age minus from age, never below zero.</t>
        </is>
      </c>
      <c r="I406" s="3" t="inlineStr">
        <is>
          <t>READ FROM THE CODE — rendered from the expressions the function runs</t>
        </is>
      </c>
      <c r="J406" s="3" t="inlineStr">
        <is>
          <t>1. fromAge: number
2. toAge: number</t>
        </is>
      </c>
      <c r="K406" s="3" t="inlineStr">
        <is>
          <t>number</t>
        </is>
      </c>
      <c r="L406" s="3" t="inlineStr">
        <is>
          <t>—</t>
        </is>
      </c>
      <c r="M406" s="3" t="inlineStr">
        <is>
          <t>None found in this function — anything it assumes comes from the functions it depends on.</t>
        </is>
      </c>
      <c r="N406" s="3" t="inlineStr">
        <is>
          <t>Yes</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MK-PL-F-046</t>
        </is>
      </c>
      <c r="B407" s="3" t="inlineStr">
        <is>
          <t>leverDeltas</t>
        </is>
      </c>
      <c r="C407" s="3" t="inlineStr">
        <is>
          <t>src/domain/planning/target.ts</t>
        </is>
      </c>
      <c r="D407" s="3" t="n">
        <v>417</v>
      </c>
      <c r="E407" s="3" t="inlineStr">
        <is>
          <t>2 · DISPLAYED</t>
        </is>
      </c>
      <c r="F407" s="3" t="inlineStr">
        <is>
          <t>NOT DETERMINED — the code carries no note saying what this is for, and it has no row in the old inventory. Needs reading.</t>
        </is>
      </c>
      <c r="G407"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7"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7" s="3" t="inlineStr">
        <is>
          <t>PARTLY READ — some of the code is still showing through; needs a hand pass</t>
        </is>
      </c>
      <c r="J407" s="3" t="inlineStr">
        <is>
          <t>1. base: RetirementInputs
2. opts: { spendCutMonthly?: number; retireLaterYears?: number; claimAge?: number } = {}</t>
        </is>
      </c>
      <c r="K407" s="3" t="inlineStr">
        <is>
          <t>Lever[]</t>
        </is>
      </c>
      <c r="L407" s="3" t="inlineStr">
        <is>
          <t>NOT FOUND — a screen calls it, but the words printed beside its answer could not be traced automatically. Needs reading.</t>
        </is>
      </c>
      <c r="M407" s="3" t="inlineStr">
        <is>
          <t>1. If retire later years is missing it uses 2.
2. If spend cut monthly is missing it uses 400.
3. If claim age is missing it uses 70.
4. If guaranteed monthly income is missing it uses 0.
5. Rounds the answer to a whole number.</t>
        </is>
      </c>
      <c r="N407" s="3" t="inlineStr">
        <is>
          <t>Yes</t>
        </is>
      </c>
      <c r="O407" s="3" t="inlineStr">
        <is>
          <t>1. MK-CF-F-132 map
2. MK-PL-F-071 oddsOf
3. MK-PL-F-051 ssStreamOf
4. MK-PL-F-045 ssUpliftFactor
5. MK-PL-F-052 withSsStream</t>
        </is>
      </c>
      <c r="P407" s="3" t="n">
        <v>26</v>
      </c>
      <c r="Q407"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7"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MK-PL-F-047</t>
        </is>
      </c>
      <c r="B408" s="3" t="inlineStr">
        <is>
          <t>colFactor</t>
        </is>
      </c>
      <c r="C408" s="3" t="inlineStr">
        <is>
          <t>src/domain/retirement/col.ts</t>
        </is>
      </c>
      <c r="D408" s="3" t="n">
        <v>79</v>
      </c>
      <c r="E408" s="3" t="inlineStr">
        <is>
          <t>2 · DISPLAYED</t>
        </is>
      </c>
      <c r="F408" s="3" t="inlineStr">
        <is>
          <t>Cost-of-living factor for a free-text location.</t>
        </is>
      </c>
      <c r="G408" s="11" t="inlineStr">
        <is>
          <t>q = string(location ?? '').trim().to lower case()
factor = 1
name = nothing   when q is missing
the answer:
factor = row.factor
name = row.name
[LOOP — the answer is found inside a loop the extractor cannot render; the steps above are the ones before it. Read by hand.]</t>
        </is>
      </c>
      <c r="H408" s="3" t="inlineStr">
        <is>
          <t>Q is string(location ?? '').trim().to lower case(). When q is missing, it answers factor = 1; name is missing. The answer is factor = row.factor; name = row.name. The answer is found inside a loop that cannot be rendered here; read the code by hand.</t>
        </is>
      </c>
      <c r="I408" s="3" t="inlineStr">
        <is>
          <t>PARTLY READ — the body has a loop the extractor cannot render; the steps shown are the ones before it. Needs a hand pass (G23).</t>
        </is>
      </c>
      <c r="J408" s="3" t="inlineStr">
        <is>
          <t>location?: string | null</t>
        </is>
      </c>
      <c r="K408" s="3" t="inlineStr">
        <is>
          <t>ColMatch</t>
        </is>
      </c>
      <c r="L408" s="3" t="inlineStr">
        <is>
          <t>1. "Country / region" — on the setup questions, which appear on more than one screen
2. "You plan to spend" — on the Retirement cockpit screen</t>
        </is>
      </c>
      <c r="M408" s="3" t="inlineStr">
        <is>
          <t>None found in this function — anything it assumes comes from the functions it depends on.</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COST_OF_LIVING</t>
        </is>
      </c>
      <c r="U408" s="3" t="inlineStr">
        <is>
          <t>ACTIVE</t>
        </is>
      </c>
      <c r="V408" s="3" t="inlineStr">
        <is>
          <t>2026-09-08</t>
        </is>
      </c>
      <c r="W408" s="3" t="n"/>
      <c r="X408" s="3" t="n"/>
      <c r="Y408" s="3" t="inlineStr">
        <is>
          <t>NOTHING OPEN</t>
        </is>
      </c>
    </row>
    <row r="409" ht="60" customHeight="1">
      <c r="A409" s="3" t="inlineStr">
        <is>
          <t>MK-PL-F-048</t>
        </is>
      </c>
      <c r="B409" s="3" t="inlineStr">
        <is>
          <t>capitalNeeded</t>
        </is>
      </c>
      <c r="C409" s="3" t="inlineStr">
        <is>
          <t>src/domain/retirement/index.ts</t>
        </is>
      </c>
      <c r="D409" s="3" t="n">
        <v>61</v>
      </c>
      <c r="E409" s="3" t="inlineStr">
        <is>
          <t>2 · DISPLAYED</t>
        </is>
      </c>
      <c r="F409" s="3" t="inlineStr">
        <is>
          <t>NOT DETERMINED — the code carries no note saying what this is for, and it has no row in the old inventory. Needs reading.</t>
        </is>
      </c>
      <c r="G409"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09"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09" s="3" t="inlineStr">
        <is>
          <t>PARTLY READ — some of the code is still showing through; needs a hand pass</t>
        </is>
      </c>
      <c r="J409" s="3" t="inlineStr">
        <is>
          <t>inp: CapitalNeedInputs</t>
        </is>
      </c>
      <c r="K409" s="3" t="inlineStr">
        <is>
          <t>CapitalNeed</t>
        </is>
      </c>
      <c r="L409"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09" s="3" t="inlineStr">
        <is>
          <t>1. Turns a monthly figure into a year by multiplying by twelve.
2. Never lets r fall below 0.</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MK-PL-F-049</t>
        </is>
      </c>
      <c r="B410" s="3" t="inlineStr">
        <is>
          <t>retirementSpendMonthly</t>
        </is>
      </c>
      <c r="C410" s="3" t="inlineStr">
        <is>
          <t>src/domain/retirement/index.ts</t>
        </is>
      </c>
      <c r="D410" s="3" t="n">
        <v>112</v>
      </c>
      <c r="E410" s="3" t="inlineStr">
        <is>
          <t>2 · DISPLAYED</t>
        </is>
      </c>
      <c r="F410" s="3" t="inlineStr">
        <is>
          <t>All-in monthly retirement spend = base + travel + medical (annual→monthly), adjusted by the expected trajectory (spend less / same / more later) and the retirement location's cost-of-living factor (retLocation).</t>
        </is>
      </c>
      <c r="G410"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0"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0" s="3" t="inlineStr">
        <is>
          <t>PARTLY READ — some of the code is still showing through; needs a hand pass</t>
        </is>
      </c>
      <c r="J410" s="3" t="inlineStr">
        <is>
          <t>op: OnboardingProfile | null</t>
        </is>
      </c>
      <c r="K410" s="3" t="inlineStr">
        <is>
          <t>number</t>
        </is>
      </c>
      <c r="L410" s="3" t="inlineStr">
        <is>
          <t>NOT FOUND — a screen calls it, but the words printed beside its answer could not be traced automatically. Needs reading.</t>
        </is>
      </c>
      <c r="M410" s="3" t="inlineStr">
        <is>
          <t>None found in this function — anything it assumes comes from the functions it depends on.</t>
        </is>
      </c>
      <c r="N410" s="3" t="inlineStr">
        <is>
          <t>Yes</t>
        </is>
      </c>
      <c r="O410" s="3" t="inlineStr">
        <is>
          <t>1. MK-PL-F-047 colFactor
2. MK-CF-O-002 expenses
3. MK-PL-F-001 taxBucketSplit
4. MK-ST-F-052 toNum</t>
        </is>
      </c>
      <c r="P410" s="3" t="n">
        <v>28</v>
      </c>
      <c r="Q410"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0" s="3" t="inlineStr">
        <is>
          <t>MK-PL-M-009</t>
        </is>
      </c>
      <c r="T410" s="3" t="inlineStr">
        <is>
          <t>RETIREMENT_SPENDING</t>
        </is>
      </c>
      <c r="U410" s="3" t="inlineStr">
        <is>
          <t>ACTIVE</t>
        </is>
      </c>
      <c r="V410" s="3" t="inlineStr">
        <is>
          <t>2026-09-12</t>
        </is>
      </c>
      <c r="W410" s="3" t="n"/>
      <c r="X410" s="3" t="n"/>
      <c r="Y410" s="3" t="inlineStr">
        <is>
          <t>NOTHING OPEN</t>
        </is>
      </c>
    </row>
    <row r="411" ht="60" customHeight="1">
      <c r="A411" s="3" t="inlineStr">
        <is>
          <t>MK-PL-F-050</t>
        </is>
      </c>
      <c r="B411" s="3" t="inlineStr">
        <is>
          <t>simulate</t>
        </is>
      </c>
      <c r="C411" s="3" t="inlineStr">
        <is>
          <t>src/domain/retirement/index.ts</t>
        </is>
      </c>
      <c r="D411" s="3" t="n">
        <v>368</v>
      </c>
      <c r="E411" s="3" t="inlineStr">
        <is>
          <t>2 · DISPLAYED</t>
        </is>
      </c>
      <c r="F411" s="3" t="inlineStr">
        <is>
          <t>B4 (founder brief 2026-08-20): the RMD rule lives in the ONE dated, sourced table — the Calculation Module's rmd function.</t>
        </is>
      </c>
      <c r="G411"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1"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1" s="3" t="inlineStr">
        <is>
          <t>PARTLY READ — some of the code is still showing through; needs a hand pass</t>
        </is>
      </c>
      <c r="J411" s="3" t="inlineStr">
        <is>
          <t>inp: RetirementInputs</t>
        </is>
      </c>
      <c r="K411" s="3" t="inlineStr">
        <is>
          <t>NOT DECLARED — the code does not say what it gives back</t>
        </is>
      </c>
      <c r="L411" s="3" t="inlineStr">
        <is>
          <t>1. "Claim at age" — on the Retirement cockpit screen
2. "Run Monte Carlo simulation" — on the Retirement cockpit screen</t>
        </is>
      </c>
      <c r="M411"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1" s="3" t="inlineStr">
        <is>
          <t>Yes</t>
        </is>
      </c>
      <c r="O411" s="3" t="inlineStr">
        <is>
          <t>1. MK-CF-O-002 expenses
2. MK-CF-F-132 map
3. MK-PL-F-074 median
4. MK-PL-F-072 mulberry32
5. MK-XS-F-122 n
6. MK-PL-F-073 normal
7. MK-PL-F-075 pctOfSorted
8. MK-ST-F-025 rmdStartAgeFromAge</t>
        </is>
      </c>
      <c r="P411" s="3" t="n">
        <v>21</v>
      </c>
      <c r="Q411"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1"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1" s="3" t="inlineStr">
        <is>
          <t>MK-CF-M-022 · MK-PL-M-034 · MK-XS-M-002</t>
        </is>
      </c>
      <c r="T411" s="3" t="inlineStr">
        <is>
          <t>WILL_IT_LAST</t>
        </is>
      </c>
      <c r="U411" s="3" t="inlineStr">
        <is>
          <t>ACTIVE</t>
        </is>
      </c>
      <c r="V411" s="3" t="inlineStr">
        <is>
          <t>2026-09-08</t>
        </is>
      </c>
      <c r="W411" s="3" t="n"/>
      <c r="X411" s="3" t="n"/>
      <c r="Y411" s="6" t="inlineStr">
        <is>
          <t>TESTED, NOT VERIFIED (G14, G17, G7, Odds — exact, no rounding)</t>
        </is>
      </c>
    </row>
    <row r="412" ht="60" customHeight="1">
      <c r="A412" s="3" t="inlineStr">
        <is>
          <t>MK-PL-F-051</t>
        </is>
      </c>
      <c r="B412" s="3" t="inlineStr">
        <is>
          <t>ssStreamOf</t>
        </is>
      </c>
      <c r="C412" s="3" t="inlineStr">
        <is>
          <t>src/domain/retirement/index.ts</t>
        </is>
      </c>
      <c r="D412" s="3" t="n">
        <v>517</v>
      </c>
      <c r="E412" s="3" t="inlineStr">
        <is>
          <t>3 · DEPENDENT</t>
        </is>
      </c>
      <c r="F412" s="3" t="inlineStr">
        <is>
          <t>The Social Security stream inside an input set, when streams are in use.</t>
        </is>
      </c>
      <c r="G412" s="11" t="inlineStr">
        <is>
          <t>st = (inp.guaranteed streams ?? []).find((x) =&gt; kind = 'ss')
the answer:
monthly = st.monthly
start age = st.start age   if st
nothing   otherwise</t>
        </is>
      </c>
      <c r="H412" s="3" t="inlineStr">
        <is>
          <t>St is (inp.guaranteed streams ?? []).find((x) =&gt; kind = 'ss'). The answer is monthly = st.monthly; start age = st.start age — when st; no answer — otherwise.</t>
        </is>
      </c>
      <c r="I412" s="3" t="inlineStr">
        <is>
          <t>PARTLY READ — some of the code is still showing through; needs a hand pass</t>
        </is>
      </c>
      <c r="J412" s="3" t="inlineStr">
        <is>
          <t>inp: RetirementInputs</t>
        </is>
      </c>
      <c r="K412" s="3" t="inlineStr">
        <is>
          <t>NOT DECLARED — the code does not say what it gives back</t>
        </is>
      </c>
      <c r="L412" s="3" t="inlineStr">
        <is>
          <t>—</t>
        </is>
      </c>
      <c r="M412" s="3" t="inlineStr">
        <is>
          <t>None found in this function — anything it assumes comes from the functions it depends on.</t>
        </is>
      </c>
      <c r="N412" s="3" t="inlineStr">
        <is>
          <t>Yes</t>
        </is>
      </c>
      <c r="O412" s="3" t="inlineStr">
        <is>
          <t>—</t>
        </is>
      </c>
      <c r="P412" s="3" t="n">
        <v>0</v>
      </c>
      <c r="Q412" s="3" t="inlineStr">
        <is>
          <t>None — no dependent function stands behind it</t>
        </is>
      </c>
      <c r="R412" s="3" t="inlineStr">
        <is>
          <t>No dependent function — it reads its inputs and answers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MK-PL-F-052</t>
        </is>
      </c>
      <c r="B413" s="3" t="inlineStr">
        <is>
          <t>withSsStream</t>
        </is>
      </c>
      <c r="C413" s="3" t="inlineStr">
        <is>
          <t>src/domain/retirement/index.ts</t>
        </is>
      </c>
      <c r="D413" s="3" t="n">
        <v>546</v>
      </c>
      <c r="E413" s="3" t="inlineStr">
        <is>
          <t>2 · DISPLAYED</t>
        </is>
      </c>
      <c r="F413" s="3" t="inlineStr">
        <is>
          <t>An input set with its Social Security stream replaced — the ONE way a decision screen patches a claim scenario, so the flat streams ride along untouched and the legacy fields stay in step for anything still reading them.</t>
        </is>
      </c>
      <c r="G413" s="11" t="inlineStr">
        <is>
          <t>others = inp.guaranteed streams (or none when missing) where kind ! = 'ss'</t>
        </is>
      </c>
      <c r="H413" s="3" t="inlineStr">
        <is>
          <t>Others is inp.guaranteed streams (or none — when missing) where kind ! = 'ss'.</t>
        </is>
      </c>
      <c r="I413" s="3" t="inlineStr">
        <is>
          <t>PARTLY READ — some of the code is still showing through; needs a hand pass</t>
        </is>
      </c>
      <c r="J413" s="3" t="inlineStr">
        <is>
          <t>1. inp: RetirementInputs
2. monthly: number
3. claimAge: number</t>
        </is>
      </c>
      <c r="K413" s="3" t="inlineStr">
        <is>
          <t>RetirementInputs</t>
        </is>
      </c>
      <c r="L413" s="3" t="inlineStr">
        <is>
          <t>NOT FOUND — a screen calls it, but the words printed beside its answer could not be traced automatically. Needs reading.</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MK-PL-F-053</t>
        </is>
      </c>
      <c r="B414" s="3" t="inlineStr">
        <is>
          <t>buildRetirementState</t>
        </is>
      </c>
      <c r="C414" s="3" t="inlineStr">
        <is>
          <t>src/domain/retirement/index.ts</t>
        </is>
      </c>
      <c r="D414" s="3" t="n">
        <v>580</v>
      </c>
      <c r="E414" s="3" t="inlineStr">
        <is>
          <t>3 · DEPENDENT</t>
        </is>
      </c>
      <c r="F414" s="3" t="inlineStr">
        <is>
          <t>NOT DETERMINED — the code carries no note saying what this is for, and it has no row in the old inventory. Needs reading.</t>
        </is>
      </c>
      <c r="G414" s="11" t="inlineStr">
        <is>
          <t>sim = simulate(inp)</t>
        </is>
      </c>
      <c r="H414" s="3" t="inlineStr">
        <is>
          <t>Sim is simulate(inp).</t>
        </is>
      </c>
      <c r="I414" s="3" t="inlineStr">
        <is>
          <t>READ FROM THE CODE — rendered from the expressions the function runs</t>
        </is>
      </c>
      <c r="J414" s="3" t="inlineStr">
        <is>
          <t>1. uid: UserId
2. inp: RetirementInputs</t>
        </is>
      </c>
      <c r="K414" s="3" t="inlineStr">
        <is>
          <t>RetirementState</t>
        </is>
      </c>
      <c r="L414" s="3" t="inlineStr">
        <is>
          <t>—</t>
        </is>
      </c>
      <c r="M414" s="3" t="inlineStr">
        <is>
          <t>· If paths is missing it uses 1000.</t>
        </is>
      </c>
      <c r="N414" s="3" t="inlineStr">
        <is>
          <t>Yes</t>
        </is>
      </c>
      <c r="O414" s="3" t="inlineStr">
        <is>
          <t>1. MK-PL-F-050 simulate
2. MK-XS-F-175 uid</t>
        </is>
      </c>
      <c r="P414" s="3" t="n">
        <v>96</v>
      </c>
      <c r="Q414"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4"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MK-PL-F-054</t>
        </is>
      </c>
      <c r="B415" s="3" t="inlineStr">
        <is>
          <t>growOneYear</t>
        </is>
      </c>
      <c r="C415" s="3" t="inlineStr">
        <is>
          <t>src/domain/retirement/index.ts</t>
        </is>
      </c>
      <c r="D415" s="3" t="n">
        <v>619</v>
      </c>
      <c r="E415" s="3" t="inlineStr">
        <is>
          <t>3 · DEPENDENT</t>
        </is>
      </c>
      <c r="F415" s="3" t="inlineStr">
        <is>
          <t>── Deterministic projection (instant — drives the live sliders; no RNG) ────────────── Assumes the average return every year (no market swings).</t>
        </is>
      </c>
      <c r="G415" s="11" t="inlineStr">
        <is>
          <t>balance × (1 + (rate or 0))</t>
        </is>
      </c>
      <c r="H415" s="3" t="inlineStr">
        <is>
          <t>balance times (1 plus (rate or 0)).</t>
        </is>
      </c>
      <c r="I415" s="3" t="inlineStr">
        <is>
          <t>READ FROM THE CODE — rendered from the expressions the function runs</t>
        </is>
      </c>
      <c r="J415" s="3" t="inlineStr">
        <is>
          <t>1. balance: number
2. rate: number</t>
        </is>
      </c>
      <c r="K415" s="3" t="inlineStr">
        <is>
          <t>number</t>
        </is>
      </c>
      <c r="L415" s="3" t="inlineStr">
        <is>
          <t>—</t>
        </is>
      </c>
      <c r="M415" s="3" t="inlineStr">
        <is>
          <t>· If rate is missing it counts as zero, so nothing recorded and a real zero look the same.</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MK-PL-F-055</t>
        </is>
      </c>
      <c r="B416" s="3" t="inlineStr">
        <is>
          <t>projectNestEgg</t>
        </is>
      </c>
      <c r="C416" s="3" t="inlineStr">
        <is>
          <t>src/domain/retirement/index.ts</t>
        </is>
      </c>
      <c r="D416" s="3" t="n">
        <v>665</v>
      </c>
      <c r="E416" s="3" t="inlineStr">
        <is>
          <t>2 · DISPLAYED</t>
        </is>
      </c>
      <c r="F416" s="3" t="inlineStr">
        <is>
          <t>What will the pot be worth at retirement, and how big does it need to be?</t>
        </is>
      </c>
      <c r="G416" s="11" t="inlineStr">
        <is>
          <t>years to retire  n = max(0, retire age − age today)
pot = start balance × (1 + r)^n
    + Σ for year y = 0 … n−1 of ( contribution × (1 + g)^y × (1 + r)^(n − y − 1) )
where r = the assumed return and g = the rate contributions grow</t>
        </is>
      </c>
      <c r="H416"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6" s="3" t="inlineStr">
        <is>
          <t>READ BY HAND 2026-08-26 — checked line by line against the code</t>
        </is>
      </c>
      <c r="J416" s="3" t="inlineStr">
        <is>
          <t>inp: RetirementInputs</t>
        </is>
      </c>
      <c r="K416" s="3" t="inlineStr">
        <is>
          <t>NestEggProjection</t>
        </is>
      </c>
      <c r="L416" s="3" t="inlineStr">
        <is>
          <t>NOT FOUND — a screen calls it, but the words printed beside its answer could not be traced automatically. Needs reading.</t>
        </is>
      </c>
      <c r="M416"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6" s="3" t="inlineStr">
        <is>
          <t>Yes</t>
        </is>
      </c>
      <c r="O416" s="3" t="inlineStr">
        <is>
          <t>1. MK-CF-F-132 map
2. MK-PL-F-050 simulate</t>
        </is>
      </c>
      <c r="P416" s="3" t="n">
        <v>22</v>
      </c>
      <c r="Q416"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6" s="3" t="inlineStr">
        <is>
          <t>MK-PL-M-026 · MK-PL-M-033</t>
        </is>
      </c>
      <c r="T416" s="3" t="inlineStr">
        <is>
          <t>POT_AT_RETIREMENT</t>
        </is>
      </c>
      <c r="U416" s="3" t="inlineStr">
        <is>
          <t>ACTIVE</t>
        </is>
      </c>
      <c r="V416" s="3" t="inlineStr">
        <is>
          <t>2026-08-27</t>
        </is>
      </c>
      <c r="W416" s="3" t="n"/>
      <c r="X416" s="3" t="n"/>
      <c r="Y416" s="3" t="inlineStr">
        <is>
          <t>NOTHING OPEN</t>
        </is>
      </c>
    </row>
    <row r="417" ht="60" customHeight="1">
      <c r="A417" s="3" t="inlineStr">
        <is>
          <t>MK-PL-F-056</t>
        </is>
      </c>
      <c r="B417" s="3" t="inlineStr">
        <is>
          <t>solveRetireAge</t>
        </is>
      </c>
      <c r="C417" s="3" t="inlineStr">
        <is>
          <t>src/domain/retirement/index.ts</t>
        </is>
      </c>
      <c r="D417" s="3" t="n">
        <v>723</v>
      </c>
      <c r="E417" s="3" t="inlineStr">
        <is>
          <t>2 · DISPLAYED</t>
        </is>
      </c>
      <c r="F417" s="3" t="inlineStr">
        <is>
          <t>"Even if you never save another dollar, you can retire at age Y." Earliest retire age where the current pot (no further contributions) already covers the plan.</t>
        </is>
      </c>
      <c r="G417" s="11" t="inlineStr">
        <is>
          <t>p = project nest egg({ ...inp, annual contribution: 0, retire age: age, guaranteed start age: inp.guaranteed start age })
age   when will have ≥ will need
the answer = nothing</t>
        </is>
      </c>
      <c r="H417" s="3" t="inlineStr">
        <is>
          <t>P is project nest egg({ ...inp, annual contribution: 0, retire age: age, guaranteed start age: inp.guaranteed start age }). When will have is at least will need, it answers age. The answer is no answer.</t>
        </is>
      </c>
      <c r="I417" s="3" t="inlineStr">
        <is>
          <t>READ FROM THE CODE — rendered from the expressions the function runs</t>
        </is>
      </c>
      <c r="J417" s="3" t="inlineStr">
        <is>
          <t>1. inp: RetirementInputs
2. maxAge = 80</t>
        </is>
      </c>
      <c r="K417" s="3" t="inlineStr">
        <is>
          <t>number | null</t>
        </is>
      </c>
      <c r="L417" s="3" t="inlineStr">
        <is>
          <t>"IF YOU NEVER SAVE AGAIN" — on the Retirement cockpit screen</t>
        </is>
      </c>
      <c r="M417" s="3" t="inlineStr">
        <is>
          <t>None found in this function — anything it assumes comes from the functions it depends on.</t>
        </is>
      </c>
      <c r="N417" s="3" t="inlineStr">
        <is>
          <t>Yes</t>
        </is>
      </c>
      <c r="O417" s="3" t="inlineStr">
        <is>
          <t>MK-PL-F-055 projectNestEgg</t>
        </is>
      </c>
      <c r="P417" s="3" t="n">
        <v>23</v>
      </c>
      <c r="Q417"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7"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MK-PL-F-057</t>
        </is>
      </c>
      <c r="B418" s="3" t="inlineStr">
        <is>
          <t>fullRetirementAge</t>
        </is>
      </c>
      <c r="C418" s="3" t="inlineStr">
        <is>
          <t>src/domain/retirement/ssTiming.ts</t>
        </is>
      </c>
      <c r="D418" s="3" t="n">
        <v>47</v>
      </c>
      <c r="E418" s="3" t="inlineStr">
        <is>
          <t>3 · DEPENDENT</t>
        </is>
      </c>
      <c r="F418" s="3" t="inlineStr">
        <is>
          <t>Full retirement age in YEARS (fractional — 66y4m = 66.333…), from the birth year.</t>
        </is>
      </c>
      <c r="G418" s="11" t="inlineStr">
        <is>
          <t>full retirement age = 67                          when born 1960 or later
                      66 + (birth year − 1954) × 2 months   when born 1955-1959
                      66                          when born 1954 or earlier</t>
        </is>
      </c>
      <c r="H418"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8" s="3" t="inlineStr">
        <is>
          <t>READ BY HAND 2026-08-26 — checked line by line against the code</t>
        </is>
      </c>
      <c r="J418" s="3" t="inlineStr">
        <is>
          <t>birthYear?: number | null</t>
        </is>
      </c>
      <c r="K418" s="3" t="inlineStr">
        <is>
          <t>number</t>
        </is>
      </c>
      <c r="L418" s="3" t="inlineStr">
        <is>
          <t>—</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SS_FULL_RETIREMENT_AGE</t>
        </is>
      </c>
      <c r="U418" s="3" t="inlineStr">
        <is>
          <t>ACTIVE</t>
        </is>
      </c>
      <c r="V418" s="3" t="inlineStr">
        <is>
          <t>2026-08-27</t>
        </is>
      </c>
      <c r="W418" s="3" t="n"/>
      <c r="X418" s="3" t="n"/>
      <c r="Y418" s="3" t="inlineStr">
        <is>
          <t>NOTHING OPEN</t>
        </is>
      </c>
    </row>
    <row r="419" ht="60" customHeight="1">
      <c r="A419" s="3" t="inlineStr">
        <is>
          <t>MK-PL-F-058</t>
        </is>
      </c>
      <c r="B419" s="3" t="inlineStr">
        <is>
          <t>ssClaimFactorFor</t>
        </is>
      </c>
      <c r="C419" s="3" t="inlineStr">
        <is>
          <t>src/domain/retirement/ssTiming.ts</t>
        </is>
      </c>
      <c r="D419" s="3" t="n">
        <v>93</v>
      </c>
      <c r="E419" s="3" t="inlineStr">
        <is>
          <t>3 · DEPENDENT</t>
        </is>
      </c>
      <c r="F419" s="3" t="inlineStr">
        <is>
          <t>SSA factor for a claim age (62–70), relative to the statement amount at the person's OWN full retirement age.</t>
        </is>
      </c>
      <c r="G419" s="11" t="inlineStr">
        <is>
          <t>months = round(claim age) × 12 − full retirement age × 12
factor = 1                                                   when months = 0
         1 − (first 36 early months × 5/9 of 1%)
           − (each further early month × 5/12 of 1%)          when claiming early
         1 + (each month claimed late × 2/3 of 1%)            when claiming late</t>
        </is>
      </c>
      <c r="H419"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19" s="3" t="inlineStr">
        <is>
          <t>READ BY HAND 2026-08-26 — checked line by line against the code</t>
        </is>
      </c>
      <c r="J419" s="3" t="inlineStr">
        <is>
          <t>1. claimAge: number
2. birthYear?: number | null</t>
        </is>
      </c>
      <c r="K419" s="3" t="inlineStr">
        <is>
          <t>number</t>
        </is>
      </c>
      <c r="L419" s="3" t="inlineStr">
        <is>
          <t>—</t>
        </is>
      </c>
      <c r="M419" s="3" t="inlineStr">
        <is>
          <t>1. Turns a monthly figure into a year by multiplying by twelve.
2. Caps early at 36.
3. Rounds the answer to a whole number.</t>
        </is>
      </c>
      <c r="N419" s="3" t="inlineStr">
        <is>
          <t>Yes</t>
        </is>
      </c>
      <c r="O419" s="3" t="inlineStr">
        <is>
          <t>MK-PL-F-057 fullRetirementAge</t>
        </is>
      </c>
      <c r="P419" s="3" t="n">
        <v>1</v>
      </c>
      <c r="Q419" s="3" t="inlineStr">
        <is>
          <t>MK-PL-F-057 fullRetirementAge</t>
        </is>
      </c>
      <c r="R419" s="3" t="inlineStr">
        <is>
          <t>MK-PL-F-057 fullRetirementAge → MK-PL-F-058 ssClaimFactorFor</t>
        </is>
      </c>
      <c r="S419" s="3" t="inlineStr">
        <is>
          <t>MK-PL-M-019</t>
        </is>
      </c>
      <c r="T419" s="3" t="inlineStr">
        <is>
          <t>SS_CLAIM_FACTOR</t>
        </is>
      </c>
      <c r="U419" s="3" t="inlineStr">
        <is>
          <t>ACTIVE</t>
        </is>
      </c>
      <c r="V419" s="3" t="inlineStr">
        <is>
          <t>2026-08-27</t>
        </is>
      </c>
      <c r="W419" s="3" t="n"/>
      <c r="X419" s="3" t="n"/>
      <c r="Y419" s="3" t="inlineStr">
        <is>
          <t>NOTHING OPEN</t>
        </is>
      </c>
    </row>
    <row r="420" ht="45" customHeight="1">
      <c r="A420" s="3" t="inlineStr">
        <is>
          <t>MK-PL-F-059</t>
        </is>
      </c>
      <c r="B420" s="3" t="inlineStr">
        <is>
          <t>ssClaimFactor</t>
        </is>
      </c>
      <c r="C420" s="3" t="inlineStr">
        <is>
          <t>src/domain/retirement/ssTiming.ts</t>
        </is>
      </c>
      <c r="D420" s="3" t="n">
        <v>124</v>
      </c>
      <c r="E420" s="3" t="inlineStr">
        <is>
          <t>3 · DEPENDENT (feeds an action only)</t>
        </is>
      </c>
      <c r="F420" s="3" t="inlineStr">
        <is>
          <t>The pre-table factor, anchored at 67 — unchanged behaviour for anyone born 1960+.</t>
        </is>
      </c>
      <c r="G420" s="11" t="inlineStr">
        <is>
          <t>ss claim factor for(claim age, nothing)</t>
        </is>
      </c>
      <c r="H420" s="3" t="inlineStr">
        <is>
          <t>ss claim factor for(claim age, no answer).</t>
        </is>
      </c>
      <c r="I420" s="3" t="inlineStr">
        <is>
          <t>READ FROM THE CODE — rendered from the expressions the function runs</t>
        </is>
      </c>
      <c r="J420" s="3" t="inlineStr">
        <is>
          <t>claimAge: number</t>
        </is>
      </c>
      <c r="K420" s="3" t="inlineStr">
        <is>
          <t>number</t>
        </is>
      </c>
      <c r="L420" s="3" t="inlineStr">
        <is>
          <t>—</t>
        </is>
      </c>
      <c r="M420" s="3" t="inlineStr">
        <is>
          <t>None found in this function — anything it assumes comes from the functions it depends on.</t>
        </is>
      </c>
      <c r="N420" s="3" t="inlineStr">
        <is>
          <t>No</t>
        </is>
      </c>
      <c r="O420" s="3" t="inlineStr">
        <is>
          <t>MK-PL-F-058 ssClaimFactorFor</t>
        </is>
      </c>
      <c r="P420" s="3" t="n">
        <v>2</v>
      </c>
      <c r="Q420" s="3" t="inlineStr">
        <is>
          <t>1. MK-PL-F-058 ssClaimFactorFor
2. MK-PL-F-057 fullRetirementAge</t>
        </is>
      </c>
      <c r="R420" s="3" t="inlineStr">
        <is>
          <t>MK-PL-F-057 fullRetirementAge → MK-PL-F-058 ssClaimFactorFor → MK-PL-F-059 ssClaimFactor</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MK-PL-F-060</t>
        </is>
      </c>
      <c r="B421" s="3" t="inlineStr">
        <is>
          <t>ssBenefitAt</t>
        </is>
      </c>
      <c r="C421" s="3" t="inlineStr">
        <is>
          <t>src/domain/retirement/ssTiming.ts</t>
        </is>
      </c>
      <c r="D421" s="3" t="n">
        <v>155</v>
      </c>
      <c r="E421" s="3" t="inlineStr">
        <is>
          <t>2 · DISPLAYED</t>
        </is>
      </c>
      <c r="F421" s="3" t="inlineStr">
        <is>
          <t>Monthly benefit at a claim age from the at-FRA statement amount (today's dollars, whole $).</t>
        </is>
      </c>
      <c r="G421" s="11" t="inlineStr">
        <is>
          <t>monthly benefit = statement amount at full retirement age × factor(claim age)</t>
        </is>
      </c>
      <c r="H421" s="3" t="inlineStr">
        <is>
          <t>The amount on the Social Security statement, scaled by the claim-age factor and rounded to whole dollars. In today's money — no inflation is applied here.</t>
        </is>
      </c>
      <c r="I421" s="3" t="inlineStr">
        <is>
          <t>READ BY HAND 2026-08-26 — checked line by line against the code</t>
        </is>
      </c>
      <c r="J421" s="3" t="inlineStr">
        <is>
          <t>1. statementMonthly: number
2. claimAge: number
3. birthYear?: number | null</t>
        </is>
      </c>
      <c r="K421" s="3" t="inlineStr">
        <is>
          <t>number</t>
        </is>
      </c>
      <c r="L421" s="3" t="inlineStr">
        <is>
          <t>NOT FOUND — a screen calls it, but the words printed beside its answer could not be traced automatically. Needs reading.</t>
        </is>
      </c>
      <c r="M421" s="3" t="inlineStr">
        <is>
          <t>· If statement monthly is missing it counts as zero, so nothing recorded and a real zero look the same.</t>
        </is>
      </c>
      <c r="N421" s="3" t="inlineStr">
        <is>
          <t>Yes</t>
        </is>
      </c>
      <c r="O421" s="3" t="inlineStr">
        <is>
          <t>MK-PL-F-058 ssClaimFactorFor</t>
        </is>
      </c>
      <c r="P421" s="3" t="n">
        <v>2</v>
      </c>
      <c r="Q421" s="3" t="inlineStr">
        <is>
          <t>1. MK-PL-F-058 ssClaimFactorFor
2. MK-PL-F-057 fullRetirementAge</t>
        </is>
      </c>
      <c r="R421" s="3" t="inlineStr">
        <is>
          <t>MK-PL-F-057 fullRetirementAge → MK-PL-F-058 ssClaimFactorFor → MK-PL-F-060 ssBenefitAt</t>
        </is>
      </c>
      <c r="S421" s="3" t="inlineStr">
        <is>
          <t>MK-PL-M-017 · MK-PL-M-019</t>
        </is>
      </c>
      <c r="T421" s="3" t="inlineStr">
        <is>
          <t>SS_BENEFIT_AT_AGE</t>
        </is>
      </c>
      <c r="U421" s="3" t="inlineStr">
        <is>
          <t>ACTIVE</t>
        </is>
      </c>
      <c r="V421" s="3" t="inlineStr">
        <is>
          <t>2026-09-09</t>
        </is>
      </c>
      <c r="W421" s="3" t="n"/>
      <c r="X421" s="3" t="n"/>
      <c r="Y421" s="3" t="inlineStr">
        <is>
          <t>NOTHING OPEN</t>
        </is>
      </c>
    </row>
    <row r="422" ht="45" customHeight="1">
      <c r="A422" s="3" t="inlineStr">
        <is>
          <t>MK-PL-F-061</t>
        </is>
      </c>
      <c r="B422" s="3" t="inlineStr">
        <is>
          <t>ssBenefitAtClaimAge</t>
        </is>
      </c>
      <c r="C422" s="3" t="inlineStr">
        <is>
          <t>src/domain/retirement/ssTiming.ts</t>
        </is>
      </c>
      <c r="D422" s="3" t="n">
        <v>176</v>
      </c>
      <c r="E422" s="3" t="inlineStr">
        <is>
          <t>2 · DISPLAYED</t>
        </is>
      </c>
      <c r="F422" s="3" t="inlineStr">
        <is>
          <t>Kept for callers not yet passing a birth year (behaves as born-1960+).</t>
        </is>
      </c>
      <c r="G422" s="11" t="inlineStr">
        <is>
          <t>ss benefit at(statement monthly, claim age, nothing)</t>
        </is>
      </c>
      <c r="H422" s="3" t="inlineStr">
        <is>
          <t>ss benefit at(statement monthly, claim age, no answer).</t>
        </is>
      </c>
      <c r="I422" s="3" t="inlineStr">
        <is>
          <t>READ FROM THE CODE — rendered from the expressions the function runs</t>
        </is>
      </c>
      <c r="J422" s="3" t="inlineStr">
        <is>
          <t>1. statementMonthly: number
2. claimAge: number</t>
        </is>
      </c>
      <c r="K422" s="3" t="inlineStr">
        <is>
          <t>number</t>
        </is>
      </c>
      <c r="L422" s="3" t="inlineStr">
        <is>
          <t>"When should I claim Social Security?" — on a card used on more than one screen (ClaimAgeRow)</t>
        </is>
      </c>
      <c r="M422" s="3" t="inlineStr">
        <is>
          <t>None found in this function — anything it assumes comes from the functions it depends on.</t>
        </is>
      </c>
      <c r="N422" s="3" t="inlineStr">
        <is>
          <t>Yes</t>
        </is>
      </c>
      <c r="O422" s="3" t="inlineStr">
        <is>
          <t>MK-PL-F-060 ssBenefitAt</t>
        </is>
      </c>
      <c r="P422" s="3" t="n">
        <v>3</v>
      </c>
      <c r="Q422" s="3" t="inlineStr">
        <is>
          <t>1. MK-PL-F-060 ssBenefitAt
2. MK-PL-F-058 ssClaimFactorFor
3. MK-PL-F-057 fullRetirementAge</t>
        </is>
      </c>
      <c r="R422" s="3" t="inlineStr">
        <is>
          <t>MK-PL-F-057 fullRetirementAge → MK-PL-F-058 ssClaimFactorFor → MK-PL-F-060 ssBenefitAt → MK-PL-F-061 ssBenefitAtClaimAge</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MK-PL-F-062</t>
        </is>
      </c>
      <c r="B423" s="3" t="inlineStr">
        <is>
          <t>ssLifetimeTotal</t>
        </is>
      </c>
      <c r="C423" s="3" t="inlineStr">
        <is>
          <t>src/domain/retirement/ssTiming.ts</t>
        </is>
      </c>
      <c r="D423" s="3" t="n">
        <v>205</v>
      </c>
      <c r="E423" s="3" t="inlineStr">
        <is>
          <t>2 · DISPLAYED</t>
        </is>
      </c>
      <c r="F423" s="3" t="inlineStr">
        <is>
          <t>Total collected from claim age to a live-to age the USER sets (months × monthly, today's dollars).</t>
        </is>
      </c>
      <c r="G423" s="11" t="inlineStr">
        <is>
          <t>months = max(0, round((live to age − claim age) × 12))
the answer = ss benefit at(statement monthly, claim age, birth year) × months</t>
        </is>
      </c>
      <c r="H423" s="3" t="inlineStr">
        <is>
          <t>Months is (live to age minus claim age, to a whole number times 12, never below zero). The answer is ss benefit at(statement monthly, claim age, birth year) times months.</t>
        </is>
      </c>
      <c r="I423" s="3" t="inlineStr">
        <is>
          <t>READ FROM THE CODE — rendered from the expressions the function runs</t>
        </is>
      </c>
      <c r="J423" s="3" t="inlineStr">
        <is>
          <t>1. statementMonthly: number
2. claimAge: number
3. liveToAge: number
4. birthYear?: number | null</t>
        </is>
      </c>
      <c r="K423" s="3" t="inlineStr">
        <is>
          <t>number</t>
        </is>
      </c>
      <c r="L423" s="3" t="inlineStr">
        <is>
          <t>NOT FOUND — a screen calls it, but the words printed beside its answer could not be traced automatically. Needs reading.</t>
        </is>
      </c>
      <c r="M423"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3" s="3" t="inlineStr">
        <is>
          <t>Yes</t>
        </is>
      </c>
      <c r="O423" s="3" t="inlineStr">
        <is>
          <t>MK-PL-F-060 ssBenefitAt</t>
        </is>
      </c>
      <c r="P423" s="3" t="n">
        <v>3</v>
      </c>
      <c r="Q423" s="3" t="inlineStr">
        <is>
          <t>1. MK-PL-F-060 ssBenefitAt
2. MK-PL-F-058 ssClaimFactorFor
3. MK-PL-F-057 fullRetirementAge</t>
        </is>
      </c>
      <c r="R423" s="3" t="inlineStr">
        <is>
          <t>MK-PL-F-057 fullRetirementAge → MK-PL-F-058 ssClaimFactorFor → MK-PL-F-060 ssBenefitAt → MK-PL-F-062 ssLifetimeTotal</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MK-PL-F-063</t>
        </is>
      </c>
      <c r="B424" s="3" t="inlineStr">
        <is>
          <t>fraLabel</t>
        </is>
      </c>
      <c r="C424" s="3" t="inlineStr">
        <is>
          <t>src/domain/retirement/ssTiming.ts</t>
        </is>
      </c>
      <c r="D424" s="3" t="n">
        <v>236</v>
      </c>
      <c r="E424" s="3" t="inlineStr">
        <is>
          <t>2 · DISPLAYED</t>
        </is>
      </c>
      <c r="F424" s="3" t="inlineStr">
        <is>
          <t>The FRA as words a person recognises — "67", or "66 and 4 months".</t>
        </is>
      </c>
      <c r="G424" s="11" t="inlineStr">
        <is>
          <t>fra = full retirement age(birth year)
years = round down(fra)
months = round((fra − years) × 12)
the answer:
string(years)   if months = 0
`${years} and ${months} months`   otherwise</t>
        </is>
      </c>
      <c r="H424" s="3" t="inlineStr">
        <is>
          <t>Fra is full retirement age(birth year). Years is fra, rounded down. Months is (fra minus years, to a whole number times 12). The answer is string(years) — when months = 0; `${years} and ${months} months` — otherwise.</t>
        </is>
      </c>
      <c r="I424" s="3" t="inlineStr">
        <is>
          <t>PARTLY READ — some of the code is still showing through; needs a hand pass</t>
        </is>
      </c>
      <c r="J424" s="3" t="inlineStr">
        <is>
          <t>birthYear?: number | null</t>
        </is>
      </c>
      <c r="K424" s="3" t="inlineStr">
        <is>
          <t>string</t>
        </is>
      </c>
      <c r="L424" s="3" t="inlineStr">
        <is>
          <t>"We lay it out. You decide." — on the Social Security timing screen</t>
        </is>
      </c>
      <c r="M424" s="3" t="inlineStr">
        <is>
          <t>1. Turns a monthly figure into a year by multiplying by twelve.
2. Rounds the answer to a whole number.</t>
        </is>
      </c>
      <c r="N424" s="3" t="inlineStr">
        <is>
          <t>Yes</t>
        </is>
      </c>
      <c r="O424" s="3" t="inlineStr">
        <is>
          <t>MK-PL-F-057 fullRetirementAge</t>
        </is>
      </c>
      <c r="P424" s="3" t="n">
        <v>1</v>
      </c>
      <c r="Q424" s="3" t="inlineStr">
        <is>
          <t>MK-PL-F-057 fullRetirementAge</t>
        </is>
      </c>
      <c r="R424" s="3" t="inlineStr">
        <is>
          <t>MK-PL-F-057 fullRetirementAge → MK-PL-F-063 fraLabel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MK-PL-F-064</t>
        </is>
      </c>
      <c r="B425" s="3" t="inlineStr">
        <is>
          <t>claimWindow</t>
        </is>
      </c>
      <c r="C425" s="3" t="inlineStr">
        <is>
          <t>src/domain/retirement/ssTiming.ts</t>
        </is>
      </c>
      <c r="D425" s="3" t="n">
        <v>268</v>
      </c>
      <c r="E425" s="3" t="inlineStr">
        <is>
          <t>2 · DISPLAYED</t>
        </is>
      </c>
      <c r="F425" s="3" t="inlineStr">
        <is>
          <t>The claim window: the month the person turns 62 → the month they turn 70.</t>
        </is>
      </c>
      <c r="G425"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5"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5" s="3" t="inlineStr">
        <is>
          <t>PARTLY READ — some of the code is still showing through; needs a hand pass</t>
        </is>
      </c>
      <c r="J425" s="3" t="inlineStr">
        <is>
          <t>1. birthYear: number | null
2. birthMonth: number | null</t>
        </is>
      </c>
      <c r="K425" s="3" t="inlineStr">
        <is>
          <t>NOT DECLARED — the code does not say what it gives back</t>
        </is>
      </c>
      <c r="L425" s="3" t="inlineStr">
        <is>
          <t>"Your assumption, not our prediction." — on the Social Security timing screen</t>
        </is>
      </c>
      <c r="M425" s="3" t="inlineStr">
        <is>
          <t>None found in this function — anything it assumes comes from the functions it depends on.</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MK-PL-F-065</t>
        </is>
      </c>
      <c r="B426" s="3" t="inlineStr">
        <is>
          <t>volOf</t>
        </is>
      </c>
      <c r="C426" s="3" t="inlineStr">
        <is>
          <t>src/domain/retirement/willItLast.ts</t>
        </is>
      </c>
      <c r="D426" s="3" t="n">
        <v>83</v>
      </c>
      <c r="E426" s="3" t="inlineStr">
        <is>
          <t>2 · DISPLAYED</t>
        </is>
      </c>
      <c r="F426" s="3" t="inlineStr">
        <is>
          <t>Same volatility convention as the cockpit: higher return ⇒ more volatility.</t>
        </is>
      </c>
      <c r="G426" s="11" t="inlineStr">
        <is>
          <t>hold ret × 1.7 between 0.05 and 0.2</t>
        </is>
      </c>
      <c r="H426" s="3" t="inlineStr">
        <is>
          <t>hold ret times 1.7 between 0.05 and 0.2</t>
        </is>
      </c>
      <c r="I426" s="3" t="inlineStr">
        <is>
          <t>READ FROM THE CODE — rendered from the expressions the function runs</t>
        </is>
      </c>
      <c r="J426" s="3" t="inlineStr">
        <is>
          <t>ret: number</t>
        </is>
      </c>
      <c r="K426" s="3" t="inlineStr">
        <is>
          <t>NOT DECLARED — the code does not say what it gives back</t>
        </is>
      </c>
      <c r="L426" s="3" t="inlineStr">
        <is>
          <t>NOT FOUND — a screen calls it, but the words printed beside its answer could not be traced automatically. Needs reading.</t>
        </is>
      </c>
      <c r="M426" s="3" t="inlineStr">
        <is>
          <t>· Never lets the answer fall below 5% or rise above 20%.</t>
        </is>
      </c>
      <c r="N426" s="3" t="inlineStr">
        <is>
          <t>Yes</t>
        </is>
      </c>
      <c r="O426" s="3" t="inlineStr">
        <is>
          <t>1. MK-PL-F-077 clamp
2. MK-CF-O-002 expenses
3. MK-PL-F-050 simulate</t>
        </is>
      </c>
      <c r="P426" s="3" t="n">
        <v>36</v>
      </c>
      <c r="Q426"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6"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6" s="3" t="inlineStr">
        <is>
          <t>—</t>
        </is>
      </c>
      <c r="T426" s="3" t="inlineStr">
        <is>
          <t>SWING_FROM_RETURN</t>
        </is>
      </c>
      <c r="U426" s="3" t="inlineStr">
        <is>
          <t>ACTIVE</t>
        </is>
      </c>
      <c r="V426" s="3" t="inlineStr">
        <is>
          <t>2026-08-27</t>
        </is>
      </c>
      <c r="W426" s="3" t="n"/>
      <c r="X426" s="3" t="n"/>
      <c r="Y426" s="3" t="inlineStr">
        <is>
          <t>NOTHING OPEN</t>
        </is>
      </c>
    </row>
    <row r="427" ht="60" customHeight="1">
      <c r="A427" s="3" t="inlineStr">
        <is>
          <t>MK-PL-F-066</t>
        </is>
      </c>
      <c r="B427" s="3" t="inlineStr">
        <is>
          <t>displayOdds</t>
        </is>
      </c>
      <c r="C427" s="3" t="inlineStr">
        <is>
          <t>src/domain/retirement/willItLast.ts</t>
        </is>
      </c>
      <c r="D427" s="3" t="n">
        <v>140</v>
      </c>
      <c r="E427" s="3" t="inlineStr">
        <is>
          <t>2 · DISPLAYED</t>
        </is>
      </c>
      <c r="F427" s="3" t="inlineStr">
        <is>
          <t>B6 (founder brief 2026-08-20): the odds a person sees, to the nearest 5 — with one honesty guard at each end: 100 means "every simulated future worked" and 0 means "none did", and neither claim may be minted by rounding.</t>
        </is>
      </c>
      <c r="G427" s="11" t="inlineStr">
        <is>
          <t>min(100, max(0, round(chance, 6 dp)))</t>
        </is>
      </c>
      <c r="H427" s="3" t="inlineStr">
        <is>
          <t>the smaller of 100 and chance, to 6 decimal places, never below zero.</t>
        </is>
      </c>
      <c r="I427" s="3" t="inlineStr">
        <is>
          <t>READ FROM THE CODE — rendered from the expressions the function runs</t>
        </is>
      </c>
      <c r="J427" s="3" t="inlineStr">
        <is>
          <t>chance: number</t>
        </is>
      </c>
      <c r="K427" s="3" t="inlineStr">
        <is>
          <t>number</t>
        </is>
      </c>
      <c r="L427" s="3" t="inlineStr">
        <is>
          <t>"Claim at age" — on the Retirement cockpit screen</t>
        </is>
      </c>
      <c r="M427" s="3" t="inlineStr">
        <is>
          <t>· Rounds the answer to 6 decimal places.</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ODDS_DISPLAY</t>
        </is>
      </c>
      <c r="U427" s="3" t="inlineStr">
        <is>
          <t>ACTIVE</t>
        </is>
      </c>
      <c r="V427" s="3" t="inlineStr">
        <is>
          <t>2026-09-14</t>
        </is>
      </c>
      <c r="W427" s="3" t="n"/>
      <c r="X427" s="3" t="n"/>
      <c r="Y427" s="3" t="inlineStr">
        <is>
          <t>NOTHING OPEN</t>
        </is>
      </c>
    </row>
    <row r="428" ht="60" customHeight="1">
      <c r="A428" s="3" t="inlineStr">
        <is>
          <t>MK-PL-F-067</t>
        </is>
      </c>
      <c r="B428" s="3" t="inlineStr">
        <is>
          <t>willItLastInputs</t>
        </is>
      </c>
      <c r="C428" s="3" t="inlineStr">
        <is>
          <t>src/domain/retirement/willItLast.ts</t>
        </is>
      </c>
      <c r="D428" s="3" t="n">
        <v>193</v>
      </c>
      <c r="E428" s="3" t="inlineStr">
        <is>
          <t>2 · DISPLAYED</t>
        </is>
      </c>
      <c r="F428" s="3" t="inlineStr">
        <is>
          <t>What goes into working out the odds?</t>
        </is>
      </c>
      <c r="G428"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8"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8" s="3" t="inlineStr">
        <is>
          <t>PARTLY READ — some of the code is still showing through; needs a hand pass</t>
        </is>
      </c>
      <c r="J428" s="3" t="inlineStr">
        <is>
          <t>a: WillItLastArgs</t>
        </is>
      </c>
      <c r="K428" s="3" t="inlineStr">
        <is>
          <t>RetirementInputs | null</t>
        </is>
      </c>
      <c r="L428" s="3" t="inlineStr">
        <is>
          <t>NOT FOUND — a screen calls it, but the words printed beside its answer could not be traced automatically. Needs reading.</t>
        </is>
      </c>
      <c r="M428"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8" s="3" t="inlineStr">
        <is>
          <t>Yes</t>
        </is>
      </c>
      <c r="O42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8" s="3" t="n">
        <v>91</v>
      </c>
      <c r="Q42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8"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8" s="3" t="inlineStr">
        <is>
          <t>MK-PL-M-008 · MK-PL-M-011 · MK-PL-M-029</t>
        </is>
      </c>
      <c r="T428" s="3" t="inlineStr">
        <is>
          <t>WILL_IT_LAST_INPUTS</t>
        </is>
      </c>
      <c r="U428" s="3" t="inlineStr">
        <is>
          <t>ACTIVE</t>
        </is>
      </c>
      <c r="V428" s="3" t="inlineStr">
        <is>
          <t>2026-09-12</t>
        </is>
      </c>
      <c r="W428" s="3" t="n"/>
      <c r="X428" s="3" t="n"/>
      <c r="Y428" s="6" t="inlineStr">
        <is>
          <t>TESTED, NOT VERIFIED (G5, G7, G9)</t>
        </is>
      </c>
    </row>
    <row r="429" ht="60" customHeight="1">
      <c r="A429" s="3" t="inlineStr">
        <is>
          <t>MK-PL-F-068</t>
        </is>
      </c>
      <c r="B429" s="3" t="inlineStr">
        <is>
          <t>selectWillItLast</t>
        </is>
      </c>
      <c r="C429" s="3" t="inlineStr">
        <is>
          <t>src/domain/retirement/willItLast.ts</t>
        </is>
      </c>
      <c r="D429" s="3" t="n">
        <v>310</v>
      </c>
      <c r="E429" s="3" t="inlineStr">
        <is>
          <t>2 · DISPLAYED</t>
        </is>
      </c>
      <c r="F429" s="3" t="inlineStr">
        <is>
          <t>The one will-it-last read.</t>
        </is>
      </c>
      <c r="G429"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29"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29" s="3" t="inlineStr">
        <is>
          <t>PARTLY READ — some of the code is still showing through; needs a hand pass</t>
        </is>
      </c>
      <c r="J429" s="3" t="inlineStr">
        <is>
          <t>a: WillItLastArgs</t>
        </is>
      </c>
      <c r="K429" s="3" t="inlineStr">
        <is>
          <t>WillItLastResult</t>
        </is>
      </c>
      <c r="L429" s="3" t="inlineStr">
        <is>
          <t>"Draw from savings" — on the Cash flow screen, under "YOUR FUTURE PAYCHECK"</t>
        </is>
      </c>
      <c r="M429" s="3" t="inlineStr">
        <is>
          <t>None found in this function — anything it assumes comes from the functions it depends on.</t>
        </is>
      </c>
      <c r="N429" s="3" t="inlineStr">
        <is>
          <t>Yes</t>
        </is>
      </c>
      <c r="O429" s="3" t="inlineStr">
        <is>
          <t>1. MK-PL-F-066 displayOdds
2. MK-PL-F-079 numOrZero
3. MK-NW-F-033 retirementEarmarkedValue
4. MK-PL-F-049 retirementSpendMonthly
5. MK-PL-F-050 simulate
6. MK-PL-F-067 willItLastInputs</t>
        </is>
      </c>
      <c r="P429" s="3" t="n">
        <v>93</v>
      </c>
      <c r="Q429"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29"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29" s="3" t="inlineStr">
        <is>
          <t>MK-PL-M-034 · MK-XS-M-002</t>
        </is>
      </c>
      <c r="T429" s="3" t="inlineStr">
        <is>
          <t>WILL_IT_LAST_RESULT</t>
        </is>
      </c>
      <c r="U429" s="3" t="inlineStr">
        <is>
          <t>ACTIVE</t>
        </is>
      </c>
      <c r="V429" s="3" t="inlineStr">
        <is>
          <t>2026-09-12</t>
        </is>
      </c>
      <c r="W429" s="3" t="n"/>
      <c r="X429" s="3" t="n"/>
      <c r="Y429" s="3" t="inlineStr">
        <is>
          <t>NOTHING OPEN</t>
        </is>
      </c>
    </row>
    <row r="430" ht="60" customHeight="1">
      <c r="A430" s="3" t="inlineStr">
        <is>
          <t>MK-PL-F-069</t>
        </is>
      </c>
      <c r="B430" s="3" t="inlineStr">
        <is>
          <t>oddsAt</t>
        </is>
      </c>
      <c r="C430" s="3" t="inlineStr">
        <is>
          <t>src/domain/planning/spendMore.ts</t>
        </is>
      </c>
      <c r="D430" s="3" t="n">
        <v>45</v>
      </c>
      <c r="E430" s="3" t="inlineStr">
        <is>
          <t>1 · ACTION</t>
        </is>
      </c>
      <c r="F430" s="3" t="inlineStr">
        <is>
          <t>NOT DETERMINED — the code carries no note saying what this is for, and it has no row in the old inventory. Needs reading.</t>
        </is>
      </c>
      <c r="G430" s="11" t="inlineStr">
        <is>
          <t>the answer = simulate({ …base, retire monthly spend today: monthly spend }).chance of success</t>
        </is>
      </c>
      <c r="H430" s="3" t="inlineStr">
        <is>
          <t>The odds the money lasts when the monthly expenses in retirement are set to a given figure — one full run of the simulation (MK-PL-F-050) with that one input changed.</t>
        </is>
      </c>
      <c r="I430" s="3" t="inlineStr">
        <is>
          <t>READ BY HAND 2026-08-26 — checked line by line against the code</t>
        </is>
      </c>
      <c r="J430" s="3" t="inlineStr">
        <is>
          <t>1. base: RetirementInputs
2. monthlySpend: number</t>
        </is>
      </c>
      <c r="K430" s="3" t="inlineStr">
        <is>
          <t>NOT DECLARED — the code does not say what it gives back</t>
        </is>
      </c>
      <c r="L430" s="3" t="inlineStr">
        <is>
          <t>—</t>
        </is>
      </c>
      <c r="M430" s="3" t="inlineStr">
        <is>
          <t>None found in this function — anything it assumes comes from the functions it depends on.</t>
        </is>
      </c>
      <c r="N430" s="3" t="inlineStr">
        <is>
          <t>Yes</t>
        </is>
      </c>
      <c r="O430" s="3" t="inlineStr">
        <is>
          <t>MK-PL-F-050 simulate</t>
        </is>
      </c>
      <c r="P430" s="3" t="n">
        <v>22</v>
      </c>
      <c r="Q43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0"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0" s="3" t="inlineStr">
        <is>
          <t>—</t>
        </is>
      </c>
      <c r="T430" s="3" t="inlineStr">
        <is>
          <t>—</t>
        </is>
      </c>
      <c r="U430" s="3" t="inlineStr">
        <is>
          <t>ACTIVE</t>
        </is>
      </c>
      <c r="V430" s="3" t="inlineStr">
        <is>
          <t>2026-09-12</t>
        </is>
      </c>
      <c r="W430" s="3" t="n"/>
      <c r="X430" s="3" t="n"/>
      <c r="Y430" s="3" t="inlineStr">
        <is>
          <t>NOTHING OPEN</t>
        </is>
      </c>
    </row>
    <row r="431" ht="60" customHeight="1">
      <c r="A431" s="3" t="inlineStr">
        <is>
          <t>MK-PL-F-070</t>
        </is>
      </c>
      <c r="B431" s="3" t="inlineStr">
        <is>
          <t>smallestThatWorks</t>
        </is>
      </c>
      <c r="C431" s="3" t="inlineStr">
        <is>
          <t>src/domain/planning/target.ts</t>
        </is>
      </c>
      <c r="D431" s="3" t="n">
        <v>48</v>
      </c>
      <c r="E431" s="3" t="inlineStr">
        <is>
          <t>3 · DEPENDENT</t>
        </is>
      </c>
      <c r="F431" s="3" t="inlineStr">
        <is>
          <t>Smallest x in [lo, hi] where reaching(x) is true, to `tol`.</t>
        </is>
      </c>
      <c r="G431" s="11" t="inlineStr">
        <is>
          <t>lo   when works(lo)
nothing   when !works(hi)
a = lo, b = hi
mid = (a + b) ÷ 2
the answer = b</t>
        </is>
      </c>
      <c r="H431" s="3" t="inlineStr">
        <is>
          <t>When works(lo), it answers lo. When !works(hi), it answers no answer. A is lo, b = hi. Mid is (a plus b) divided by 2. The answer is b.</t>
        </is>
      </c>
      <c r="I431" s="3" t="inlineStr">
        <is>
          <t>READ FROM THE CODE — rendered from the expressions the function runs</t>
        </is>
      </c>
      <c r="J431" s="3" t="inlineStr">
        <is>
          <t>1. lo: number
2. hi: number
3. tol: number
4. works: (x: number) =&gt; boolean</t>
        </is>
      </c>
      <c r="K431" s="3" t="inlineStr">
        <is>
          <t>number | null</t>
        </is>
      </c>
      <c r="L431" s="3" t="inlineStr">
        <is>
          <t>—</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MK-PL-F-071</t>
        </is>
      </c>
      <c r="B432" s="3" t="inlineStr">
        <is>
          <t>oddsOf</t>
        </is>
      </c>
      <c r="C432" s="3" t="inlineStr">
        <is>
          <t>src/domain/planning/target.ts</t>
        </is>
      </c>
      <c r="D432" s="3" t="n">
        <v>79</v>
      </c>
      <c r="E432" s="3" t="inlineStr">
        <is>
          <t>1 · ACTION</t>
        </is>
      </c>
      <c r="F432" s="3" t="inlineStr">
        <is>
          <t>NOT DETERMINED — the code carries no note saying what this is for, and it has no row in the old inventory. Needs reading.</t>
        </is>
      </c>
      <c r="G432" s="11" t="inlineStr">
        <is>
          <t>simulate(inp).chance of success</t>
        </is>
      </c>
      <c r="H432" s="3" t="inlineStr">
        <is>
          <t>simulate(inp).chance of success</t>
        </is>
      </c>
      <c r="I432" s="3" t="inlineStr">
        <is>
          <t>PARTLY READ — some of the code is still showing through; needs a hand pass</t>
        </is>
      </c>
      <c r="J432" s="3" t="inlineStr">
        <is>
          <t>inp: RetirementInputs</t>
        </is>
      </c>
      <c r="K432" s="3" t="inlineStr">
        <is>
          <t>NOT DECLARED — the code does not say what it gives back</t>
        </is>
      </c>
      <c r="L432" s="3" t="inlineStr">
        <is>
          <t>—</t>
        </is>
      </c>
      <c r="M432" s="3" t="inlineStr">
        <is>
          <t>None found in this function — anything it assumes comes from the functions it depends on.</t>
        </is>
      </c>
      <c r="N432" s="3" t="inlineStr">
        <is>
          <t>Yes</t>
        </is>
      </c>
      <c r="O432" s="3" t="inlineStr">
        <is>
          <t>MK-PL-F-050 simulate</t>
        </is>
      </c>
      <c r="P432" s="3" t="n">
        <v>22</v>
      </c>
      <c r="Q43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2"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2" s="3" t="inlineStr">
        <is>
          <t>—</t>
        </is>
      </c>
      <c r="T432" s="3" t="inlineStr">
        <is>
          <t>—</t>
        </is>
      </c>
      <c r="U432" s="3" t="inlineStr">
        <is>
          <t>ACTIVE</t>
        </is>
      </c>
      <c r="V432" s="3" t="inlineStr">
        <is>
          <t>2026-08-27</t>
        </is>
      </c>
      <c r="W432" s="3" t="n"/>
      <c r="X432" s="3" t="n"/>
      <c r="Y432" s="3" t="inlineStr">
        <is>
          <t>NOTHING OPEN</t>
        </is>
      </c>
    </row>
    <row r="433" ht="45" customHeight="1">
      <c r="A433" s="3" t="inlineStr">
        <is>
          <t>MK-PL-F-072</t>
        </is>
      </c>
      <c r="B433" s="3" t="inlineStr">
        <is>
          <t>mulberry32</t>
        </is>
      </c>
      <c r="C433" s="3" t="inlineStr">
        <is>
          <t>src/domain/retirement/index.ts</t>
        </is>
      </c>
      <c r="D433" s="3" t="n">
        <v>217</v>
      </c>
      <c r="E433" s="3" t="inlineStr">
        <is>
          <t>3 · DEPENDENT</t>
        </is>
      </c>
      <c r="F433" s="3" t="inlineStr">
        <is>
          <t>deterministic RNG so results/tests are reproducible</t>
        </is>
      </c>
      <c r="G433" s="11" t="inlineStr">
        <is>
          <t>t = seed += 0x6d2b79f5
the answer = ((t ^ (t &gt;&gt;&gt; 14)) &gt;&gt;&gt; 0) ÷ 4294967296</t>
        </is>
      </c>
      <c r="H433" s="3" t="inlineStr">
        <is>
          <t>T is seed += 0x6d2b79f5. The answer is ((t ^ (t &gt;&gt;&gt; 14)) &gt;&gt;&gt; 0) divided by 4294967296.</t>
        </is>
      </c>
      <c r="I433" s="3" t="inlineStr">
        <is>
          <t>READ FROM THE CODE — rendered from the expressions the function runs</t>
        </is>
      </c>
      <c r="J433" s="3" t="inlineStr">
        <is>
          <t>seed: number</t>
        </is>
      </c>
      <c r="K433" s="3" t="inlineStr">
        <is>
          <t>NOT DECLARED — the code does not say what it gives back</t>
        </is>
      </c>
      <c r="L433" s="3" t="inlineStr">
        <is>
          <t>—</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MK-PL-F-073</t>
        </is>
      </c>
      <c r="B434" s="3" t="inlineStr">
        <is>
          <t>normal</t>
        </is>
      </c>
      <c r="C434" s="3" t="inlineStr">
        <is>
          <t>src/domain/retirement/index.ts</t>
        </is>
      </c>
      <c r="D434" s="3" t="n">
        <v>253</v>
      </c>
      <c r="E434" s="3" t="inlineStr">
        <is>
          <t>3 · DEPENDENT</t>
        </is>
      </c>
      <c r="F434" s="3" t="inlineStr">
        <is>
          <t>NOT DETERMINED — the code carries no note saying what this is for, and it has no row in the old inventory. Needs reading.</t>
        </is>
      </c>
      <c r="G434" s="11" t="inlineStr">
        <is>
          <t>u = 0, v = 0
[LOOP — the answer is found inside a loop the extractor cannot render; the steps above are the ones before it. Read by hand.]</t>
        </is>
      </c>
      <c r="H434" s="3" t="inlineStr">
        <is>
          <t>U is 0, v = 0. The answer is mean plus sd times √(-2 times math.log(u)) times math.cos(2 times math.PI times v). The answer is found inside a loop that cannot be rendered here; read the code by hand.</t>
        </is>
      </c>
      <c r="I434" s="3" t="inlineStr">
        <is>
          <t>PARTLY READ — the body has a loop the extractor cannot render; the steps shown are the ones before it. Needs a hand pass (G23).</t>
        </is>
      </c>
      <c r="J434" s="3" t="inlineStr">
        <is>
          <t>rng: () =&gt; number, mean: number, sd: number</t>
        </is>
      </c>
      <c r="K434" s="3" t="inlineStr">
        <is>
          <t>number</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2026-09-08</t>
        </is>
      </c>
      <c r="W434" s="3" t="n"/>
      <c r="X434" s="3" t="n"/>
      <c r="Y434" s="3" t="inlineStr">
        <is>
          <t>NOTHING OPEN</t>
        </is>
      </c>
    </row>
    <row r="435" ht="60" customHeight="1">
      <c r="A435" s="3" t="inlineStr">
        <is>
          <t>MK-PL-F-074</t>
        </is>
      </c>
      <c r="B435" s="3" t="inlineStr">
        <is>
          <t>median</t>
        </is>
      </c>
      <c r="C435" s="3" t="inlineStr">
        <is>
          <t>src/domain/_shared/num.ts</t>
        </is>
      </c>
      <c r="D435" s="3" t="n">
        <v>156</v>
      </c>
      <c r="E435" s="3" t="inlineStr">
        <is>
          <t>2 · DISPLAYED</t>
        </is>
      </c>
      <c r="F435" s="3" t="inlineStr">
        <is>
          <t>The middle value of a list, 0 when it is empty.</t>
        </is>
      </c>
      <c r="G435" s="11" t="inlineStr">
        <is>
          <t>0   when count of xs is missing
s = [...xs].sort((a, b) =&gt; a − b)
m = round down(length ÷ 2)
the answer:
s[m]   if length % 2
(s[m − 1] + s[m]) ÷ 2   otherwise</t>
        </is>
      </c>
      <c r="H435" s="3" t="inlineStr">
        <is>
          <t>When how many xs is missing there are, it answers 0. S is [...xs].sort((a, b) =&gt; a minus b). M is length divided by 2, rounded down. The answer is s[m] — when length % 2; (s[m minus 1] plus s[m]) divided by 2 — otherwise.</t>
        </is>
      </c>
      <c r="I435" s="3" t="inlineStr">
        <is>
          <t>PARTLY READ — some of the code is still showing through; needs a hand pass</t>
        </is>
      </c>
      <c r="J435" s="3" t="inlineStr">
        <is>
          <t>xs: number[]</t>
        </is>
      </c>
      <c r="K435" s="3" t="inlineStr">
        <is>
          <t>number</t>
        </is>
      </c>
      <c r="L435" s="3" t="inlineStr">
        <is>
          <t>NOT FOUND — a screen calls it, but the words printed beside its answer could not be traced automatically. Needs reading.</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MK-PL-F-075</t>
        </is>
      </c>
      <c r="B436" s="3" t="inlineStr">
        <is>
          <t>pctOfSorted</t>
        </is>
      </c>
      <c r="C436" s="3" t="inlineStr">
        <is>
          <t>src/domain/retirement/index.ts</t>
        </is>
      </c>
      <c r="D436" s="3" t="n">
        <v>292</v>
      </c>
      <c r="E436" s="3" t="inlineStr">
        <is>
          <t>3 · DEPENDENT</t>
        </is>
      </c>
      <c r="F436" s="3" t="inlineStr">
        <is>
          <t>p in [0,1] over a pre-sorted ascending array (nearest-rank)</t>
        </is>
      </c>
      <c r="G436" s="11" t="inlineStr">
        <is>
          <t>0   when count of sorted is missing
idx = min(sorted.length − 1, max(0, round(p × (sorted.length − 1))))
the answer = sorted[idx]</t>
        </is>
      </c>
      <c r="H436" s="3" t="inlineStr">
        <is>
          <t>When how many sorted is missing there are, it answers 0. Idx: the smaller of sorted.length minus 1 and p times (sorted.length minus 1, to a whole number, never below zero). The answer is sorted[idx].</t>
        </is>
      </c>
      <c r="I436" s="3" t="inlineStr">
        <is>
          <t>READ FROM THE CODE — rendered from the expressions the function runs</t>
        </is>
      </c>
      <c r="J436" s="3" t="inlineStr">
        <is>
          <t>1. sorted: number[]
2. p: number</t>
        </is>
      </c>
      <c r="K436" s="3" t="inlineStr">
        <is>
          <t>number</t>
        </is>
      </c>
      <c r="L436" s="3" t="inlineStr">
        <is>
          <t>—</t>
        </is>
      </c>
      <c r="M436" s="3" t="inlineStr">
        <is>
          <t>· Rounds the answer to a whole number.</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MK-PL-F-077</t>
        </is>
      </c>
      <c r="B437" s="3" t="inlineStr">
        <is>
          <t>clamp</t>
        </is>
      </c>
      <c r="C437" s="3" t="inlineStr">
        <is>
          <t>src/domain/retirement/willItLast.ts</t>
        </is>
      </c>
      <c r="D437" s="3" t="n">
        <v>54</v>
      </c>
      <c r="E437" s="3" t="inlineStr">
        <is>
          <t>2 · DISPLAYED</t>
        </is>
      </c>
      <c r="F437" s="3" t="inlineStr">
        <is>
          <t>NOT DETERMINED — the code carries no note saying what this is for, and it has no row in the old inventory. Needs reading.</t>
        </is>
      </c>
      <c r="G437" s="11" t="inlineStr">
        <is>
          <t>max(lo, min(hi, v))</t>
        </is>
      </c>
      <c r="H437" s="3" t="inlineStr">
        <is>
          <t>the larger of lo and the smaller of hi and v</t>
        </is>
      </c>
      <c r="I437" s="3" t="inlineStr">
        <is>
          <t>READ FROM THE CODE — rendered from the expressions the function runs</t>
        </is>
      </c>
      <c r="J437" s="3" t="inlineStr">
        <is>
          <t>1. v: number
2. lo: number
3. hi: number</t>
        </is>
      </c>
      <c r="K437" s="3" t="inlineStr">
        <is>
          <t>NOT DECLARED — the code does not say what it gives back</t>
        </is>
      </c>
      <c r="L437" s="3" t="inlineStr">
        <is>
          <t>1. "Claim at age" — on the Retirement cockpit screen
2. "Save" — on the Retirement cockpit screen
3. "Test retiring earlier, saving more, market ups &amp; downs." — on the Retirement cockpit screen
4. "What counts toward retirement?" — on the Retirement cockpit screen</t>
        </is>
      </c>
      <c r="M437" s="3" t="inlineStr">
        <is>
          <t>None found in this function — anything it assumes comes from the functions it depends on.</t>
        </is>
      </c>
      <c r="N437" s="3" t="inlineStr">
        <is>
          <t>Yes</t>
        </is>
      </c>
      <c r="O437" s="3" t="inlineStr">
        <is>
          <t>MK-NW-F-035 blendedVolatility</t>
        </is>
      </c>
      <c r="P437" s="3" t="n">
        <v>16</v>
      </c>
      <c r="Q437"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7"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MK-PL-F-078</t>
        </is>
      </c>
      <c r="B438" s="3" t="inlineStr">
        <is>
          <t>rmdDivisorAtAge</t>
        </is>
      </c>
      <c r="C438" s="3" t="inlineStr">
        <is>
          <t>src/domain/decumulation/index.ts</t>
        </is>
      </c>
      <c r="D438" s="3" t="n">
        <v>259</v>
      </c>
      <c r="E438" s="3" t="inlineStr">
        <is>
          <t>2 · DISPLAYED</t>
        </is>
      </c>
      <c r="F438" s="3" t="inlineStr">
        <is>
          <t>NOT DETERMINED — the code carries no note saying what this is for, and it has no row in the old inventory. Needs reading.</t>
        </is>
      </c>
      <c r="G438" s="11" t="inlineStr">
        <is>
          <t>table rmd divisor(age, now year − age)</t>
        </is>
      </c>
      <c r="H438" s="3" t="inlineStr">
        <is>
          <t>table rmd divisor(age, now year minus age).</t>
        </is>
      </c>
      <c r="I438" s="3" t="inlineStr">
        <is>
          <t>READ FROM THE CODE — rendered from the expressions the function runs</t>
        </is>
      </c>
      <c r="J438" s="3" t="inlineStr">
        <is>
          <t>1. age: number
2. nowYear = new Date().getFullYear()</t>
        </is>
      </c>
      <c r="K438" s="3" t="inlineStr">
        <is>
          <t>number</t>
        </is>
      </c>
      <c r="L438" s="3" t="inlineStr">
        <is>
          <t>"Suggested withdrawal order" — on the Retirement cockpit screen</t>
        </is>
      </c>
      <c r="M438" s="3" t="inlineStr">
        <is>
          <t>· Uses today's date from the device clock, so the answer changes by itself overnight.</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t>
        </is>
      </c>
      <c r="U438" s="3" t="inlineStr">
        <is>
          <t>ACTIVE</t>
        </is>
      </c>
      <c r="V438" s="3" t="inlineStr">
        <is>
          <t>2026-09-13</t>
        </is>
      </c>
      <c r="W438" s="3" t="n"/>
      <c r="X438" s="3" t="n"/>
      <c r="Y438" s="3" t="inlineStr">
        <is>
          <t>NOTHING OPEN</t>
        </is>
      </c>
    </row>
    <row r="439" ht="60" customHeight="1">
      <c r="A439" s="3" t="inlineStr">
        <is>
          <t>MK-PL-F-079</t>
        </is>
      </c>
      <c r="B439" s="3" t="inlineStr">
        <is>
          <t>numOrZero</t>
        </is>
      </c>
      <c r="C439" s="3" t="inlineStr">
        <is>
          <t>src/domain/retirement/willItLast.ts</t>
        </is>
      </c>
      <c r="D439" s="3" t="n">
        <v>34</v>
      </c>
      <c r="E439" s="3" t="inlineStr">
        <is>
          <t>3 · DEPENDENT</t>
        </is>
      </c>
      <c r="F439" s="3" t="inlineStr">
        <is>
          <t>NOT DETERMINED — the code carries no note saying what this is for, and it has no row in the old inventory. Needs reading.</t>
        </is>
      </c>
      <c r="G439" s="11" t="inlineStr">
        <is>
          <t>n = the number in the text after every character but digits and the decimal point is removed
the answer = 0 when that is not a number, else n</t>
        </is>
      </c>
      <c r="H439" s="3" t="inlineStr">
        <is>
          <t>Reads a typed amount as a number — strips dollar signs, commas and spaces — and gives 0 when nothing numeric is left.</t>
        </is>
      </c>
      <c r="I439" s="3" t="inlineStr">
        <is>
          <t>READ BY HAND 2026-08-26 — checked line by line against the code</t>
        </is>
      </c>
      <c r="J439" s="3" t="inlineStr">
        <is>
          <t>v: any</t>
        </is>
      </c>
      <c r="K439" s="3" t="inlineStr">
        <is>
          <t>n; };</t>
        </is>
      </c>
      <c r="L439" s="3" t="inlineStr">
        <is>
          <t>—</t>
        </is>
      </c>
      <c r="M439" s="3" t="inlineStr">
        <is>
          <t>None found in this function — anything it assumes comes from the functions it depends on.</t>
        </is>
      </c>
      <c r="N439" s="3" t="inlineStr">
        <is>
          <t>Yes</t>
        </is>
      </c>
      <c r="O439" s="3" t="inlineStr">
        <is>
          <t>MK-XS-F-122 n</t>
        </is>
      </c>
      <c r="P439" s="3" t="n">
        <v>1</v>
      </c>
      <c r="Q439" s="3" t="inlineStr">
        <is>
          <t>MK-XS-F-122 n</t>
        </is>
      </c>
      <c r="R439" s="3" t="inlineStr">
        <is>
          <t>MK-XS-F-122 n → MK-PL-F-079 numOrZero</t>
        </is>
      </c>
      <c r="S439" s="3" t="inlineStr">
        <is>
          <t>—</t>
        </is>
      </c>
      <c r="T439" s="3" t="inlineStr">
        <is>
          <t>—</t>
        </is>
      </c>
      <c r="U439" s="3" t="inlineStr">
        <is>
          <t>ACTIVE</t>
        </is>
      </c>
      <c r="V439" s="3" t="inlineStr">
        <is>
          <t>2026-09-12</t>
        </is>
      </c>
      <c r="W439" s="3" t="n"/>
      <c r="X439" s="3" t="n"/>
      <c r="Y439" s="3" t="inlineStr">
        <is>
          <t>NOTHING OPEN</t>
        </is>
      </c>
    </row>
    <row r="440" ht="60" customHeight="1">
      <c r="A440" s="3" t="inlineStr">
        <is>
          <t>MK-PL-F-080</t>
        </is>
      </c>
      <c r="B440" s="3" t="inlineStr">
        <is>
          <t>rmdRequiredThisYear</t>
        </is>
      </c>
      <c r="C440" s="3" t="inlineStr">
        <is>
          <t>src/domain/decumulation/index.ts</t>
        </is>
      </c>
      <c r="D440" s="3" t="n">
        <v>322</v>
      </c>
      <c r="E440" s="3" t="inlineStr">
        <is>
          <t>2 · DISPLAYED</t>
        </is>
      </c>
      <c r="F440" s="3" t="inlineStr">
        <is>
          <t>What must be taken out this year, and which balance is it based on?</t>
        </is>
      </c>
      <c r="G440" s="11" t="inlineStr">
        <is>
          <t>balance used = the pre-tax balance on 31 December last year, when the person entered one (&gt; 0); otherwise today's pre-tax balance
amount = rmd at age(balance used, age)
basis = 'prior_year_end' or 'today' — so the screen can say which</t>
        </is>
      </c>
      <c r="H440" s="3" t="inlineStr">
        <is>
          <t>If the person has entered last 31 December's pre-tax balance, the required amount is that balance divided by the life-expectancy factor for their age. If not, today's balance is used instead, and the answer carries a flag saying so, which the screen prints.</t>
        </is>
      </c>
      <c r="I440" s="3" t="inlineStr">
        <is>
          <t>READ BY HAND 2026-08-26 — checked line by line against the code</t>
        </is>
      </c>
      <c r="J440" s="3" t="inlineStr">
        <is>
          <t>1. preTaxToday: number
2. priorYearEndPreTax: number | null | undefined
3. age: number</t>
        </is>
      </c>
      <c r="K440" s="3" t="inlineStr">
        <is>
          <t>RmdThisYear</t>
        </is>
      </c>
      <c r="L440" s="3" t="inlineStr">
        <is>
          <t>NOT FOUND — a screen calls it, but the words printed beside its answer could not be traced automatically. Needs reading.</t>
        </is>
      </c>
      <c r="M440"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0" s="3" t="inlineStr">
        <is>
          <t>Yes</t>
        </is>
      </c>
      <c r="O440" s="3" t="inlineStr">
        <is>
          <t>MK-PL-F-007 rmdAtAge</t>
        </is>
      </c>
      <c r="P440" s="3" t="n">
        <v>2</v>
      </c>
      <c r="Q440" s="3" t="inlineStr">
        <is>
          <t>1. MK-PL-F-007 rmdAtAge
2. MK-PL-F-078 rmdDivisorAtAge</t>
        </is>
      </c>
      <c r="R440" s="3" t="inlineStr">
        <is>
          <t>MK-PL-F-078 rmdDivisorAtAge → MK-PL-F-007 rmdAtAge → MK-PL-F-080 rmdRequiredThisYear</t>
        </is>
      </c>
      <c r="S440" s="3" t="inlineStr">
        <is>
          <t>MK-PL-M-013</t>
        </is>
      </c>
      <c r="T440" s="3" t="inlineStr">
        <is>
          <t>—</t>
        </is>
      </c>
      <c r="U440" s="3" t="inlineStr">
        <is>
          <t>ACTIVE</t>
        </is>
      </c>
      <c r="V440" s="3" t="inlineStr">
        <is>
          <t>2026-09-08</t>
        </is>
      </c>
      <c r="W440" s="3" t="n"/>
      <c r="X440" s="3" t="n"/>
      <c r="Y440" s="6" t="inlineStr">
        <is>
          <t>TESTED, NOT VERIFIED (G8)</t>
        </is>
      </c>
    </row>
    <row r="441" ht="60" customHeight="1">
      <c r="A441" s="3" t="inlineStr">
        <is>
          <t>MK-PL-F-081</t>
        </is>
      </c>
      <c r="B441" s="3" t="inlineStr">
        <is>
          <t>taxableGainShare</t>
        </is>
      </c>
      <c r="C441" s="3" t="inlineStr">
        <is>
          <t>src/domain/decumulation/index.ts</t>
        </is>
      </c>
      <c r="D441" s="3" t="n">
        <v>530</v>
      </c>
      <c r="E441" s="3" t="inlineStr">
        <is>
          <t>2 · DISPLAYED</t>
        </is>
      </c>
      <c r="F441" s="3" t="inlineStr">
        <is>
          <t>What share of the person's taxable holdings is unrealised gain?</t>
        </is>
      </c>
      <c r="G441" s="11" t="inlineStr">
        <is>
          <t>over every holding in a TAXABLE account that has a price (the broker's mark, else the price feed): value += market value(holding, price) · basis += cost basis(holding)
nothing   when value ≤ 0 (no priced taxable holding)
the answer = min(1, max(0, (value − basis) ÷ value))</t>
        </is>
      </c>
      <c r="H441" s="3" t="inlineStr">
        <is>
          <t>Add up what the taxable holdings are worth today and what was paid for them; the gain share is the difference as a fraction of today's value, never below zero and never above one. With no priced taxable holding there is no answer.</t>
        </is>
      </c>
      <c r="I441" s="3" t="inlineStr">
        <is>
          <t>READ BY HAND 2026-08-26 — checked line by line against the code</t>
        </is>
      </c>
      <c r="J441" s="3" t="inlineStr">
        <is>
          <t>1. accounts: AssetAccount[]
2. priceOf: (ticker: string) =&gt; number | null</t>
        </is>
      </c>
      <c r="K441" s="3" t="inlineStr">
        <is>
          <t>number | null</t>
        </is>
      </c>
      <c r="L441" s="3" t="inlineStr">
        <is>
          <t>NOT FOUND — a screen calls it, but the words printed beside its answer could not be traced automatically. Needs reading.</t>
        </is>
      </c>
      <c r="M441" s="3" t="inlineStr">
        <is>
          <t>1. A holding with no price is left out; no priced taxable holding at all → nothing, never a guessed 50% (founder ruling 2026-09-08, G6).
2. A loss overall counts as a 0% gain share (no tax on drawing at a loss), never negative.</t>
        </is>
      </c>
      <c r="N441" s="3" t="inlineStr">
        <is>
          <t>Yes</t>
        </is>
      </c>
      <c r="O441" s="3" t="inlineStr">
        <is>
          <t>1. MK-PF-F-002 costBasis
2. MK-PF-F-004 marketValue</t>
        </is>
      </c>
      <c r="P441" s="3" t="n">
        <v>4</v>
      </c>
      <c r="Q441" s="3" t="inlineStr">
        <is>
          <t>1. MK-PF-F-002 costBasis
2. MK-PF-F-004 marketValue
3. MK-PF-F-031 contractMultiplier
4. MK-PF-F-001 totalShares</t>
        </is>
      </c>
      <c r="R441" s="3" t="inlineStr">
        <is>
          <t>1. MK-PF-F-031 contractMultiplier → MK-PF-F-002 costBasis → MK-PL-F-081 taxableGainShare
2. MK-PF-F-031 contractMultiplier → MK-PF-F-004 marketValue → MK-PL-F-081 taxableGainShare
3. MK-PF-F-001 totalShares → MK-PF-F-004 marketValue → MK-PL-F-081 taxableGainShare</t>
        </is>
      </c>
      <c r="S441" s="3" t="inlineStr">
        <is>
          <t>—</t>
        </is>
      </c>
      <c r="T441" s="3" t="inlineStr">
        <is>
          <t>—</t>
        </is>
      </c>
      <c r="U441" s="3" t="inlineStr">
        <is>
          <t>ACTIVE</t>
        </is>
      </c>
      <c r="V441" s="3" t="inlineStr">
        <is>
          <t>2026-09-08</t>
        </is>
      </c>
      <c r="W441" s="3" t="n"/>
      <c r="X441" s="3" t="n"/>
      <c r="Y441" s="6" t="inlineStr">
        <is>
          <t>TESTED, NOT VERIFIED (G6)</t>
        </is>
      </c>
    </row>
    <row r="442" ht="60" customHeight="1">
      <c r="A442" s="3" t="inlineStr">
        <is>
          <t>MK-PL-F-082</t>
        </is>
      </c>
      <c r="B442" s="3" t="inlineStr">
        <is>
          <t>taxableIncomeSteps</t>
        </is>
      </c>
      <c r="C442" s="3" t="inlineStr">
        <is>
          <t>src/domain/planning/index.ts</t>
        </is>
      </c>
      <c r="D442" s="3" t="n">
        <v>62</v>
      </c>
      <c r="E442" s="3" t="inlineStr">
        <is>
          <t>3 · DEPENDENT</t>
        </is>
      </c>
      <c r="F442" s="3" t="inlineStr">
        <is>
          <t>From everything earned to what is actually taxed — the four lines a return shows (founder ruling brief Q-46 (2026-08-20), 2026-09-08).</t>
        </is>
      </c>
      <c r="G442"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2"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2" s="3" t="inlineStr">
        <is>
          <t>READ BY HAND 2026-08-26 — checked line by line against the code</t>
        </is>
      </c>
      <c r="J442" s="3" t="inlineStr">
        <is>
          <t>1. op: OnboardingProfile | null
2. grossIncome: number</t>
        </is>
      </c>
      <c r="K442" s="3" t="inlineStr">
        <is>
          <t>TaxableIncomeSteps</t>
        </is>
      </c>
      <c r="L442" s="3" t="inlineStr">
        <is>
          <t>—</t>
        </is>
      </c>
      <c r="M442"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2" s="3" t="inlineStr">
        <is>
          <t>Yes</t>
        </is>
      </c>
      <c r="O442" s="3" t="inlineStr">
        <is>
          <t>1. MK-CF-F-099 deductionFor
2. MK-CF-F-085 filingStatusOf
3. MK-CF-F-188 householdPreTaxContributionsAnnual
4. MK-ST-F-039 on
5. MK-CF-F-089 over65CountOf
6. MK-CF-F-187 seniorDeductionFor</t>
        </is>
      </c>
      <c r="P442" s="3" t="n">
        <v>12</v>
      </c>
      <c r="Q442"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2"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2" s="3" t="inlineStr">
        <is>
          <t>MK-MN-M-027 · MK-MN-M-028</t>
        </is>
      </c>
      <c r="T442" s="3" t="inlineStr">
        <is>
          <t>—</t>
        </is>
      </c>
      <c r="U442" s="3" t="inlineStr">
        <is>
          <t>ACTIVE</t>
        </is>
      </c>
      <c r="V442" s="3" t="inlineStr">
        <is>
          <t>2026-09-08</t>
        </is>
      </c>
      <c r="W442" s="3" t="n"/>
      <c r="X442" s="3" t="n"/>
      <c r="Y442" s="6" t="inlineStr">
        <is>
          <t>TESTED, NOT VERIFIED (G22 / Q46)</t>
        </is>
      </c>
    </row>
    <row r="443" ht="60" customHeight="1">
      <c r="A443" s="3" t="inlineStr">
        <is>
          <t>MK-PL-F-083</t>
        </is>
      </c>
      <c r="B443" s="3" t="inlineStr">
        <is>
          <t>inflationRateInForce</t>
        </is>
      </c>
      <c r="C443" s="3" t="inlineStr">
        <is>
          <t>src/domain/retirement/inflation.ts</t>
        </is>
      </c>
      <c r="D443" s="3" t="n">
        <v>47</v>
      </c>
      <c r="E443" s="3" t="inlineStr">
        <is>
          <t>2 · DISPLAYED</t>
        </is>
      </c>
      <c r="F443" s="3" t="inlineStr">
        <is>
          <t>The inflation rate a plan runs on, and where it came from.</t>
        </is>
      </c>
      <c r="G443"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3" s="3" t="inlineStr">
        <is>
          <t>The person's own inflation rate when they set one on the cockpit; otherwise the dated default — 2.5% a year, the 30-year average of consumer prices — with its source, so the screen can say where the figure came from.</t>
        </is>
      </c>
      <c r="I443" s="3" t="inlineStr">
        <is>
          <t>READ BY HAND 2026-08-26 — checked line by line against the code</t>
        </is>
      </c>
      <c r="J443" s="3" t="inlineStr">
        <is>
          <t>entered: number | null | undefined</t>
        </is>
      </c>
      <c r="K443" s="3" t="inlineStr">
        <is>
          <t>InflationInForce</t>
        </is>
      </c>
      <c r="L443" s="3" t="inlineStr">
        <is>
          <t>NOT FOUND — a screen calls it, but the words printed beside its answer could not be traced automatically. Needs reading.</t>
        </is>
      </c>
      <c r="M443" s="3" t="inlineStr">
        <is>
          <t>· Founder ruling brief Q-50 (2026-08-20), executed 2026-09-08 (G30): the default is the dated 30-year average — 2.5% a year, Bureau of Labor Statistics CPI-U 1996–2025, checked 2026-09-08 — never a live feed; the person's own rate outranks it.</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2026-09-11</t>
        </is>
      </c>
      <c r="W443" s="3" t="n"/>
      <c r="X443" s="3" t="n"/>
      <c r="Y443" s="6" t="inlineStr">
        <is>
          <t>TESTED, NOT VERIFIED (Brief D7 — inflation lever, G30)</t>
        </is>
      </c>
    </row>
    <row r="444" ht="60" customHeight="1">
      <c r="A444" s="3" t="inlineStr">
        <is>
          <t>MK-ST-F-001</t>
        </is>
      </c>
      <c r="B444" s="3" t="inlineStr">
        <is>
          <t>looksFixedIncome</t>
        </is>
      </c>
      <c r="C444" s="3" t="inlineStr">
        <is>
          <t>Calculation Module code/engines/classify.ts</t>
        </is>
      </c>
      <c r="D444" s="3" t="n">
        <v>266</v>
      </c>
      <c r="E444" s="3" t="inlineStr">
        <is>
          <t>3 · DEPENDENT (feeds an action only)</t>
        </is>
      </c>
      <c r="F444" s="3" t="inlineStr">
        <is>
          <t>Fixed income by its words.</t>
        </is>
      </c>
      <c r="G44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4" s="3" t="inlineStr">
        <is>
          <t>PARTLY READ — some of the code is still showing through; needs a hand pass</t>
        </is>
      </c>
      <c r="J444" s="3" t="inlineStr">
        <is>
          <t>text: string</t>
        </is>
      </c>
      <c r="K444" s="3" t="inlineStr">
        <is>
          <t>boolean</t>
        </is>
      </c>
      <c r="L444" s="3" t="inlineStr">
        <is>
          <t>—</t>
        </is>
      </c>
      <c r="M444" s="3" t="inlineStr">
        <is>
          <t>None found in this function — anything it assumes comes from the functions it depends on.</t>
        </is>
      </c>
      <c r="N444" s="3" t="inlineStr">
        <is>
          <t>No</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45" customHeight="1">
      <c r="A445" s="3" t="inlineStr">
        <is>
          <t>MK-ST-F-002</t>
        </is>
      </c>
      <c r="B445" s="3" t="inlineStr">
        <is>
          <t>monthWords</t>
        </is>
      </c>
      <c r="C445" s="3" t="inlineStr">
        <is>
          <t>Calculation Module code/engines/coverage.ts</t>
        </is>
      </c>
      <c r="D445" s="3" t="n">
        <v>55</v>
      </c>
      <c r="E445" s="3" t="inlineStr">
        <is>
          <t>3 · DEPENDENT</t>
        </is>
      </c>
      <c r="F445" s="3" t="inlineStr">
        <is>
          <t>"March 2022" — a month a person reads, not a date stamp.</t>
        </is>
      </c>
      <c r="G445" s="11" t="inlineStr">
        <is>
          <t>''   when iso is missing
`${MONTHS[m − 1]} ${y}`   if m
string(y)   otherwise</t>
        </is>
      </c>
      <c r="H445" s="3" t="inlineStr">
        <is>
          <t>When iso is missing, it answers ''. `${MONTHS[m minus 1]} ${y}` — when m; string(y) — otherwise.</t>
        </is>
      </c>
      <c r="I445" s="3" t="inlineStr">
        <is>
          <t>PARTLY READ — some of the code is still showing through; needs a hand pass</t>
        </is>
      </c>
      <c r="J445" s="3" t="inlineStr">
        <is>
          <t>iso: string | null</t>
        </is>
      </c>
      <c r="K445" s="3" t="inlineStr">
        <is>
          <t>string</t>
        </is>
      </c>
      <c r="L445" s="3" t="inlineStr">
        <is>
          <t>—</t>
        </is>
      </c>
      <c r="M445" s="3" t="inlineStr">
        <is>
          <t>None found in this function — anything it assumes comes from the functions it depends on.</t>
        </is>
      </c>
      <c r="N445" s="3" t="inlineStr">
        <is>
          <t>Yes</t>
        </is>
      </c>
      <c r="O445" s="3" t="inlineStr">
        <is>
          <t>MK-CF-F-132 map</t>
        </is>
      </c>
      <c r="P445" s="3" t="n">
        <v>1</v>
      </c>
      <c r="Q445" s="3" t="inlineStr">
        <is>
          <t>MK-CF-F-132 map</t>
        </is>
      </c>
      <c r="R445" s="3" t="inlineStr">
        <is>
          <t>MK-CF-F-132 map → MK-ST-F-002 monthWords</t>
        </is>
      </c>
      <c r="S445" s="3" t="inlineStr">
        <is>
          <t>—</t>
        </is>
      </c>
      <c r="T445" s="3" t="inlineStr">
        <is>
          <t>—</t>
        </is>
      </c>
      <c r="U445" s="3" t="inlineStr">
        <is>
          <t>ACTIVE</t>
        </is>
      </c>
      <c r="V445" s="3" t="inlineStr">
        <is>
          <t>2026-08-27</t>
        </is>
      </c>
      <c r="W445" s="3" t="n"/>
      <c r="X445" s="3" t="n"/>
      <c r="Y445" s="3" t="inlineStr">
        <is>
          <t>NOTHING OPEN</t>
        </is>
      </c>
    </row>
    <row r="446" ht="45" customHeight="1">
      <c r="A446" s="3" t="inlineStr">
        <is>
          <t>MK-ST-F-003</t>
        </is>
      </c>
      <c r="B446" s="3" t="inlineStr">
        <is>
          <t>dayWords</t>
        </is>
      </c>
      <c r="C446" s="3" t="inlineStr">
        <is>
          <t>Calculation Module code/engines/coverage.ts</t>
        </is>
      </c>
      <c r="D446" s="3" t="n">
        <v>82</v>
      </c>
      <c r="E446" s="3" t="inlineStr">
        <is>
          <t>3 · DEPENDENT</t>
        </is>
      </c>
      <c r="F446" s="3" t="inlineStr">
        <is>
          <t>"14 March 2022".</t>
        </is>
      </c>
      <c r="G446" s="11" t="inlineStr">
        <is>
          <t>''   when iso is missing
`${d} ${MONTHS[m − 1]} ${y}`   if m and d
month words(iso)   otherwise</t>
        </is>
      </c>
      <c r="H446" s="3" t="inlineStr">
        <is>
          <t>When iso is missing, it answers ''. `${d} ${MONTHS[m minus 1]} ${y}` — when m and d; month words(iso) — otherwise.</t>
        </is>
      </c>
      <c r="I446" s="3" t="inlineStr">
        <is>
          <t>PARTLY READ — some of the code is still showing through; needs a hand pass</t>
        </is>
      </c>
      <c r="J446" s="3" t="inlineStr">
        <is>
          <t>iso: string | null</t>
        </is>
      </c>
      <c r="K446" s="3" t="inlineStr">
        <is>
          <t>string</t>
        </is>
      </c>
      <c r="L446" s="3" t="inlineStr">
        <is>
          <t>—</t>
        </is>
      </c>
      <c r="M446" s="3" t="inlineStr">
        <is>
          <t>None found in this function — anything it assumes comes from the functions it depends on.</t>
        </is>
      </c>
      <c r="N446" s="3" t="inlineStr">
        <is>
          <t>Yes</t>
        </is>
      </c>
      <c r="O446" s="3" t="inlineStr">
        <is>
          <t>1. MK-CF-F-132 map
2. MK-ST-F-002 monthWords</t>
        </is>
      </c>
      <c r="P446" s="3" t="n">
        <v>2</v>
      </c>
      <c r="Q446" s="3" t="inlineStr">
        <is>
          <t>1. MK-CF-F-132 map
2. MK-ST-F-002 monthWords</t>
        </is>
      </c>
      <c r="R446" s="3" t="inlineStr">
        <is>
          <t>1. MK-CF-F-132 map → MK-ST-F-003 dayWords
2. MK-CF-F-132 map → MK-ST-F-002 monthWords → MK-ST-F-003 dayWords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MK-ST-F-004</t>
        </is>
      </c>
      <c r="B447" s="3" t="inlineStr">
        <is>
          <t>coverageFor</t>
        </is>
      </c>
      <c r="C447" s="3" t="inlineStr">
        <is>
          <t>Calculation Module code/engines/coverage.ts</t>
        </is>
      </c>
      <c r="D447" s="3" t="n">
        <v>119</v>
      </c>
      <c r="E447" s="3" t="inlineStr">
        <is>
          <t>2 · DISPLAYED</t>
        </is>
      </c>
      <c r="F447" s="3" t="inlineStr">
        <is>
          <t>What can we honestly say about a window starting on `from`?</t>
        </is>
      </c>
      <c r="G44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4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47" s="3" t="inlineStr">
        <is>
          <t>PARTLY READ — some of the code is still showing through; needs a hand pass</t>
        </is>
      </c>
      <c r="J447" s="3" t="inlineStr">
        <is>
          <t>1. days: Dated[]
2. from: string
3. today: string</t>
        </is>
      </c>
      <c r="K447" s="3" t="inlineStr">
        <is>
          <t>Coverage</t>
        </is>
      </c>
      <c r="L447" s="3" t="inlineStr">
        <is>
          <t>NOT FOUND — a screen calls it, but the words printed beside its answer could not be traced automatically. Needs reading.</t>
        </is>
      </c>
      <c r="M447" s="3" t="inlineStr">
        <is>
          <t>None found in this function — anything it assumes comes from the functions it depends on.</t>
        </is>
      </c>
      <c r="N447" s="3" t="inlineStr">
        <is>
          <t>Yes</t>
        </is>
      </c>
      <c r="O447" s="3" t="inlineStr">
        <is>
          <t>1. MK-ST-F-003 dayWords
2. MK-ST-F-034 firstDate
3. MK-ST-F-002 monthWords</t>
        </is>
      </c>
      <c r="P447" s="3" t="n">
        <v>4</v>
      </c>
      <c r="Q447" s="3" t="inlineStr">
        <is>
          <t>1. MK-ST-F-003 dayWords
2. MK-ST-F-034 firstDate
3. MK-ST-F-002 monthWords
4. MK-CF-F-132 map</t>
        </is>
      </c>
      <c r="R447" s="3" t="inlineStr">
        <is>
          <t>1. MK-CF-F-132 map → MK-ST-F-003 dayWords → MK-ST-F-004 coverageFor
2. MK-CF-F-132 map → MK-ST-F-002 monthWords → MK-ST-F-003 dayWords → MK-ST-F-004 coverageFor
3. MK-ST-F-034 firstDate → MK-ST-F-004 coverageFor
4. MK-CF-F-132 map → MK-ST-F-002 monthWords → MK-ST-F-004 coverageFor</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MK-ST-F-005</t>
        </is>
      </c>
      <c r="B448" s="3" t="inlineStr">
        <is>
          <t>measuredFromLabel</t>
        </is>
      </c>
      <c r="C448" s="3" t="inlineStr">
        <is>
          <t>Calculation Module code/engines/coverage.ts</t>
        </is>
      </c>
      <c r="D448" s="3" t="n">
        <v>168</v>
      </c>
      <c r="E448" s="3" t="inlineStr">
        <is>
          <t>2 · DISPLAYED</t>
        </is>
      </c>
      <c r="F448" s="3" t="inlineStr">
        <is>
          <t>The short label that rides beside a change figure, always — whether the window is covered or not.</t>
        </is>
      </c>
      <c r="G448" s="11" t="inlineStr">
        <is>
          <t>start = first date(days)
''   when start is missing
actual = start   if start &gt; from
from   otherwise
the answer = `since ${day words(actual)}`</t>
        </is>
      </c>
      <c r="H448" s="3" t="inlineStr">
        <is>
          <t>Start is first date(days). When start is missing, it answers ''. Actual is start — when start &gt; from; from — otherwise. The answer is `since ${day words(actual)}`.</t>
        </is>
      </c>
      <c r="I448" s="3" t="inlineStr">
        <is>
          <t>PARTLY READ — some of the code is still showing through; needs a hand pass</t>
        </is>
      </c>
      <c r="J448" s="3" t="inlineStr">
        <is>
          <t>1. days: Dated[]
2. from: string</t>
        </is>
      </c>
      <c r="K448" s="3" t="inlineStr">
        <is>
          <t>string</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1. MK-ST-F-003 dayWords
2. MK-ST-F-034 firstDate</t>
        </is>
      </c>
      <c r="P448" s="3" t="n">
        <v>4</v>
      </c>
      <c r="Q448" s="3" t="inlineStr">
        <is>
          <t>1. MK-ST-F-003 dayWords
2. MK-ST-F-034 firstDate
3. MK-CF-F-132 map
4. MK-ST-F-002 monthWords</t>
        </is>
      </c>
      <c r="R448" s="3" t="inlineStr">
        <is>
          <t>1. MK-CF-F-132 map → MK-ST-F-003 dayWords → MK-ST-F-005 measuredFromLabel
2. MK-CF-F-132 map → MK-ST-F-002 monthWords → MK-ST-F-003 dayWords → MK-ST-F-005 measuredFromLabel
3. MK-ST-F-034 firstDate → MK-ST-F-005 measuredFromLabel</t>
        </is>
      </c>
      <c r="S448" s="3" t="inlineStr">
        <is>
          <t>—</t>
        </is>
      </c>
      <c r="T448" s="3" t="inlineStr">
        <is>
          <t>—</t>
        </is>
      </c>
      <c r="U448" s="3" t="inlineStr">
        <is>
          <t>ACTIVE</t>
        </is>
      </c>
      <c r="V448" s="3" t="inlineStr">
        <is>
          <t>2026-08-27</t>
        </is>
      </c>
      <c r="W448" s="3" t="n"/>
      <c r="X448" s="3" t="n"/>
      <c r="Y448" s="3" t="inlineStr">
        <is>
          <t>NOTHING OPEN</t>
        </is>
      </c>
    </row>
    <row r="449" ht="45" customHeight="1">
      <c r="A449" s="3" t="inlineStr">
        <is>
          <t>MK-ST-F-006</t>
        </is>
      </c>
      <c r="B449" s="3" t="inlineStr">
        <is>
          <t>canAnswer</t>
        </is>
      </c>
      <c r="C449" s="3" t="inlineStr">
        <is>
          <t>Calculation Module code/engines/coverage.ts</t>
        </is>
      </c>
      <c r="D449" s="3" t="n">
        <v>192</v>
      </c>
      <c r="E449" s="3" t="inlineStr">
        <is>
          <t>3 · DEPENDENT (feeds an action only)</t>
        </is>
      </c>
      <c r="F449" s="3" t="inlineStr">
        <is>
          <t>Is there any record at all on or before this date?</t>
        </is>
      </c>
      <c r="G449" s="11" t="inlineStr">
        <is>
          <t>on or before(days, from) ≠ nothing</t>
        </is>
      </c>
      <c r="H449" s="3" t="inlineStr">
        <is>
          <t>on or before(days, from) is not no answer.</t>
        </is>
      </c>
      <c r="I449" s="3" t="inlineStr">
        <is>
          <t>READ FROM THE CODE — rendered from the expressions the function runs</t>
        </is>
      </c>
      <c r="J449" s="3" t="inlineStr">
        <is>
          <t>1. days: Dated[]
2. from: string</t>
        </is>
      </c>
      <c r="K449" s="3" t="inlineStr">
        <is>
          <t>boolean</t>
        </is>
      </c>
      <c r="L449" s="3" t="inlineStr">
        <is>
          <t>—</t>
        </is>
      </c>
      <c r="M449" s="3" t="inlineStr">
        <is>
          <t>None found in this function — anything it assumes comes from the functions it depends on.</t>
        </is>
      </c>
      <c r="N449" s="3" t="inlineStr">
        <is>
          <t>No</t>
        </is>
      </c>
      <c r="O449" s="3" t="inlineStr">
        <is>
          <t>1. MK-ST-F-034 firstDate
2. MK-ST-F-033 onOrBefore</t>
        </is>
      </c>
      <c r="P449" s="3" t="n">
        <v>2</v>
      </c>
      <c r="Q449" s="3" t="inlineStr">
        <is>
          <t>1. MK-ST-F-034 firstDate
2. MK-ST-F-033 onOrBefore</t>
        </is>
      </c>
      <c r="R449" s="3" t="inlineStr">
        <is>
          <t>1. MK-ST-F-034 firstDate → MK-ST-F-006 canAnswer
2. MK-ST-F-033 onOrBefore → MK-ST-F-006 canAnswer</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MK-ST-F-007</t>
        </is>
      </c>
      <c r="B450" s="3" t="inlineStr">
        <is>
          <t>classifyEvent</t>
        </is>
      </c>
      <c r="C450" s="3" t="inlineStr">
        <is>
          <t>Calculation Module code/engines/events.ts</t>
        </is>
      </c>
      <c r="D450" s="3" t="n">
        <v>208</v>
      </c>
      <c r="E450" s="3" t="inlineStr">
        <is>
          <t>3 · DEPENDENT (feeds an action only)</t>
        </is>
      </c>
      <c r="F450" s="3" t="inlineStr">
        <is>
          <t>Classify one institution word.</t>
        </is>
      </c>
      <c r="G45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0" s="3" t="inlineStr">
        <is>
          <t>PARTLY READ — the body has a loop the extractor cannot render; the steps shown are the ones before it. Needs a hand pass (G23).</t>
        </is>
      </c>
      <c r="J450" s="3" t="inlineStr">
        <is>
          <t>word: string | null | undefined</t>
        </is>
      </c>
      <c r="K450" s="3" t="inlineStr">
        <is>
          <t>Classified</t>
        </is>
      </c>
      <c r="L450" s="3" t="inlineStr">
        <is>
          <t>—</t>
        </is>
      </c>
      <c r="M450" s="3" t="inlineStr">
        <is>
          <t>None found in this function — anything it assumes comes from the functions it depends on.</t>
        </is>
      </c>
      <c r="N450" s="3" t="inlineStr">
        <is>
          <t>No</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2026-09-08</t>
        </is>
      </c>
      <c r="W450" s="3" t="n"/>
      <c r="X450" s="3" t="n"/>
      <c r="Y450" s="3" t="inlineStr">
        <is>
          <t>NOTHING OPEN</t>
        </is>
      </c>
    </row>
    <row r="451" ht="60" customHeight="1">
      <c r="A451" s="3" t="inlineStr">
        <is>
          <t>MK-ST-F-008</t>
        </is>
      </c>
      <c r="B451" s="3" t="inlineStr">
        <is>
          <t>touches</t>
        </is>
      </c>
      <c r="C451" s="3" t="inlineStr">
        <is>
          <t>Calculation Module code/engines/events.ts</t>
        </is>
      </c>
      <c r="D451" s="3" t="n">
        <v>236</v>
      </c>
      <c r="E451" s="3" t="inlineStr">
        <is>
          <t>3 · DEPENDENT (feeds an action only)</t>
        </is>
      </c>
      <c r="F451" s="3" t="inlineStr">
        <is>
          <t>Does this event add to that total?</t>
        </is>
      </c>
      <c r="G451" s="11" t="inlineStr">
        <is>
          <t>EVENTS[e].totals.includes(total)</t>
        </is>
      </c>
      <c r="H451" s="3" t="inlineStr">
        <is>
          <t>EVENTS[e].totals.includes(total).</t>
        </is>
      </c>
      <c r="I451" s="3" t="inlineStr">
        <is>
          <t>PARTLY READ — some of the code is still showing through; needs a hand pass</t>
        </is>
      </c>
      <c r="J451" s="3" t="inlineStr">
        <is>
          <t>1. e: CanonicalEvent
2. total: 'contributions' | 'withdrawals' | 'income' | 'costs' | 'units' | 'costBasis' | 'realisedGain'</t>
        </is>
      </c>
      <c r="K451" s="3" t="inlineStr">
        <is>
          <t>boolean</t>
        </is>
      </c>
      <c r="L451" s="3" t="inlineStr">
        <is>
          <t>—</t>
        </is>
      </c>
      <c r="M451" s="3" t="inlineStr">
        <is>
          <t>None found in this function — anything it assumes comes from the functions it depends on.</t>
        </is>
      </c>
      <c r="N451" s="3" t="inlineStr">
        <is>
          <t>No</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MK-ST-F-009</t>
        </is>
      </c>
      <c r="B452" s="3" t="inlineStr">
        <is>
          <t>directionOf</t>
        </is>
      </c>
      <c r="C452" s="3" t="inlineStr">
        <is>
          <t>Calculation Module code/engines/events.ts</t>
        </is>
      </c>
      <c r="D452" s="3" t="n">
        <v>256</v>
      </c>
      <c r="E452" s="3" t="inlineStr">
        <is>
          <t>3 · DEPENDENT (feeds an action only)</t>
        </is>
      </c>
      <c r="F452" s="3" t="inlineStr">
        <is>
          <t>The direction an event implies, where the event itself decides it.</t>
        </is>
      </c>
      <c r="G452" s="11" t="inlineStr">
        <is>
          <t>EVENTS[e].direction (or 'NONE' when missing)</t>
        </is>
      </c>
      <c r="H452" s="3" t="inlineStr">
        <is>
          <t>EVENTS[e].direction (or 'NONE' — when missing).</t>
        </is>
      </c>
      <c r="I452" s="3" t="inlineStr">
        <is>
          <t>PARTLY READ — some of the code is still showing through; needs a hand pass</t>
        </is>
      </c>
      <c r="J452" s="3" t="inlineStr">
        <is>
          <t>e: CanonicalEvent</t>
        </is>
      </c>
      <c r="K452" s="3" t="inlineStr">
        <is>
          <t>Money['direction']</t>
        </is>
      </c>
      <c r="L452" s="3" t="inlineStr">
        <is>
          <t>—</t>
        </is>
      </c>
      <c r="M452" s="3" t="inlineStr">
        <is>
          <t>None found in this function — anything it assumes comes from the functions it depends on.</t>
        </is>
      </c>
      <c r="N452" s="3" t="inlineStr">
        <is>
          <t>No</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MK-ST-F-010</t>
        </is>
      </c>
      <c r="B453" s="3" t="inlineStr">
        <is>
          <t>nameEvidence</t>
        </is>
      </c>
      <c r="C453" s="3" t="inlineStr">
        <is>
          <t>Calculation Module code/engines/holding-class.ts</t>
        </is>
      </c>
      <c r="D453" s="3" t="n">
        <v>91</v>
      </c>
      <c r="E453" s="3" t="inlineStr">
        <is>
          <t>3 · DEPENDENT</t>
        </is>
      </c>
      <c r="F453" s="3" t="inlineStr">
        <is>
          <t>What the NAME (symbol + description together) says, or null when it says nothing.</t>
        </is>
      </c>
      <c r="G453"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3"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3" s="3" t="inlineStr">
        <is>
          <t>PARTLY READ — some of the code is still showing through; needs a hand pass</t>
        </is>
      </c>
      <c r="J453" s="3" t="inlineStr">
        <is>
          <t>label?: string | null</t>
        </is>
      </c>
      <c r="K453" s="3" t="inlineStr">
        <is>
          <t>HoldingClass | null</t>
        </is>
      </c>
      <c r="L453" s="3" t="inlineStr">
        <is>
          <t>—</t>
        </is>
      </c>
      <c r="M453" s="3" t="inlineStr">
        <is>
          <t>None found in this function — anything it assumes comes from the functions it depends on.</t>
        </is>
      </c>
      <c r="N453" s="3" t="inlineStr">
        <is>
          <t>Yes</t>
        </is>
      </c>
      <c r="O453" s="3" t="inlineStr">
        <is>
          <t>1. MK-XS-F-147 call
2. MK-ST-F-056 has
3. MK-CF-F-132 map</t>
        </is>
      </c>
      <c r="P453" s="3" t="n">
        <v>6</v>
      </c>
      <c r="Q453" s="3" t="inlineStr">
        <is>
          <t>1. MK-XS-F-147 call
2. MK-ST-F-056 has
3. MK-CF-F-132 map
4. MK-ST-F-027 accountId
5. MK-XS-F-064 currentIdToken
6. MK-XS-F-112 relayUrl</t>
        </is>
      </c>
      <c r="R45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MK-ST-F-011</t>
        </is>
      </c>
      <c r="B454" s="3" t="inlineStr">
        <is>
          <t>classifyHoldingClass</t>
        </is>
      </c>
      <c r="C454" s="3" t="inlineStr">
        <is>
          <t>Calculation Module code/engines/holding-class.ts</t>
        </is>
      </c>
      <c r="D454" s="3" t="n">
        <v>193</v>
      </c>
      <c r="E454" s="3" t="inlineStr">
        <is>
          <t>3 · DEPENDENT</t>
        </is>
      </c>
      <c r="F454" s="3" t="inlineStr">
        <is>
          <t>NOT DETERMINED — the code carries no note saying what this is for, and it has no row in the old inventory. Needs reading.</t>
        </is>
      </c>
      <c r="G45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4" s="3" t="inlineStr">
        <is>
          <t>PARTLY READ — some of the code is still showing through; needs a hand pass</t>
        </is>
      </c>
      <c r="J454" s="3" t="inlineStr">
        <is>
          <t>e: ClassEvidence</t>
        </is>
      </c>
      <c r="K454" s="3" t="inlineStr">
        <is>
          <t>ClassVerdict</t>
        </is>
      </c>
      <c r="L454" s="3" t="inlineStr">
        <is>
          <t>—</t>
        </is>
      </c>
      <c r="M454" s="3" t="inlineStr">
        <is>
          <t>None found in this function — anything it assumes comes from the functions it depends on.</t>
        </is>
      </c>
      <c r="N454" s="3" t="inlineStr">
        <is>
          <t>Yes</t>
        </is>
      </c>
      <c r="O454" s="3" t="inlineStr">
        <is>
          <t>MK-ST-F-010 nameEvidence</t>
        </is>
      </c>
      <c r="P454" s="3" t="n">
        <v>7</v>
      </c>
      <c r="Q454" s="3" t="inlineStr">
        <is>
          <t>1. MK-ST-F-010 nameEvidence
2. MK-XS-F-147 call
3. MK-ST-F-056 has
4. MK-CF-F-132 map
5. MK-ST-F-027 accountId
6. MK-XS-F-064 currentIdToken
7. MK-XS-F-112 relayUrl</t>
        </is>
      </c>
      <c r="R45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MK-ST-F-012</t>
        </is>
      </c>
      <c r="B455" s="3" t="inlineStr">
        <is>
          <t>toLedgerRow</t>
        </is>
      </c>
      <c r="C455" s="3" t="inlineStr">
        <is>
          <t>Calculation Module code/engines/ledger.ts</t>
        </is>
      </c>
      <c r="D455" s="3" t="n">
        <v>131</v>
      </c>
      <c r="E455" s="3" t="inlineStr">
        <is>
          <t>3 · DEPENDENT (feeds an action only)</t>
        </is>
      </c>
      <c r="F455" s="3" t="inlineStr">
        <is>
          <t>Read one institution row into one ledger row.</t>
        </is>
      </c>
      <c r="G455" s="11" t="inlineStr">
        <is>
          <t>c = classify event(raw.word)
money = read money(raw.amount, convention, rule.direction)
units = number or undefined(raw.units)
legacy = TO_LEGACY[event]
is trade = legacy = 'BUY' (or legacy = 'SELL' when missing or zero)</t>
        </is>
      </c>
      <c r="H455" s="3" t="inlineStr">
        <is>
          <t>C is classify event(raw.word). Money is read money(raw.amount, convention, rule.direction). Units is number or undefined(raw.units). Legacy is TO_LEGACY[event]. Is trade is legacy = 'BUY' (or legacy = 'SELL' — when missing or zero).</t>
        </is>
      </c>
      <c r="I455" s="3" t="inlineStr">
        <is>
          <t>PARTLY READ — some of the code is still showing through; needs a hand pass</t>
        </is>
      </c>
      <c r="J455" s="3" t="inlineStr">
        <is>
          <t>1. raw: RawActivity
2. convention: SignConvention</t>
        </is>
      </c>
      <c r="K455" s="3" t="inlineStr">
        <is>
          <t>LedgerRow</t>
        </is>
      </c>
      <c r="L455" s="3" t="inlineStr">
        <is>
          <t>—</t>
        </is>
      </c>
      <c r="M455" s="3" t="inlineStr">
        <is>
          <t>None found in this function — anything it assumes comes from the functions it depends on.</t>
        </is>
      </c>
      <c r="N455" s="3" t="inlineStr">
        <is>
          <t>No</t>
        </is>
      </c>
      <c r="O455" s="3" t="inlineStr">
        <is>
          <t>1. MK-ST-F-007 classifyEvent
2. MK-ST-F-053 money
3. MK-ST-F-058 numberOrUndefined
4. MK-ST-F-018 readMoney
5. MK-ST-F-019 signed
6. MK-ST-F-021 toNumber</t>
        </is>
      </c>
      <c r="P455" s="3" t="n">
        <v>11</v>
      </c>
      <c r="Q455" s="3" t="inlineStr">
        <is>
          <t>1. MK-ST-F-007 classifyEvent
2. MK-ST-F-053 money
3. MK-ST-F-058 numberOrUndefined
4. MK-ST-F-018 readMoney
5. MK-ST-F-019 signed
6. MK-ST-F-021 toNumber
7. MK-ST-F-049 formatMoney
8. MK-XS-F-122 n
9. MK-ST-F-048 currencySymbol
10. MK-ST-F-039 on
11. MK-ST-F-047 activeCurrency</t>
        </is>
      </c>
      <c r="R45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MK-ST-F-013</t>
        </is>
      </c>
      <c r="B456" s="3" t="inlineStr">
        <is>
          <t>personalFlowTotals</t>
        </is>
      </c>
      <c r="C456" s="3" t="inlineStr">
        <is>
          <t>Calculation Module code/engines/ledger.ts</t>
        </is>
      </c>
      <c r="D456" s="3" t="n">
        <v>227</v>
      </c>
      <c r="E456" s="3" t="inlineStr">
        <is>
          <t>2 · DISPLAYED</t>
        </is>
      </c>
      <c r="F456" s="3" t="inlineStr">
        <is>
          <t>NOT DETERMINED — the code carries no note saying what this is for, and it has no row in the old inventory. Needs reading.</t>
        </is>
      </c>
      <c r="G456" s="11" t="inlineStr">
        <is>
          <t>bucket = STORED_TYPE_BUCKET[string(type ?? '')] (or 'none' when missing)
d = dec.parse(amount)
the answer = t</t>
        </is>
      </c>
      <c r="H456" s="3" t="inlineStr">
        <is>
          <t>Bucket is STORED_TYPE_BUCKET[string(type ?? '')] (or 'none' — when missing). D is dec.parse(amount). The answer is t.</t>
        </is>
      </c>
      <c r="I456" s="3" t="inlineStr">
        <is>
          <t>PARTLY READ — some of the code is still showing through; needs a hand pass</t>
        </is>
      </c>
      <c r="J456" s="3" t="inlineStr">
        <is>
          <t>rows: StoredFlowRow[]</t>
        </is>
      </c>
      <c r="K456" s="3" t="inlineStr">
        <is>
          <t>PersonalFlowTotals</t>
        </is>
      </c>
      <c r="L456" s="3" t="inlineStr">
        <is>
          <t>NOT FOUND — a screen calls it, but the words printed beside its answer could not be traced automatically. Needs reading.</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MK-ST-F-014</t>
        </is>
      </c>
      <c r="B457" s="3" t="inlineStr">
        <is>
          <t>importKey</t>
        </is>
      </c>
      <c r="C457" s="3" t="inlineStr">
        <is>
          <t>Calculation Module code/engines/ledger.ts</t>
        </is>
      </c>
      <c r="D457" s="3" t="n">
        <v>279</v>
      </c>
      <c r="E457" s="3" t="inlineStr">
        <is>
          <t>3 · DEPENDENT (feeds an action only)</t>
        </is>
      </c>
      <c r="F457" s="3" t="inlineStr">
        <is>
          <t>NOT DETERMINED — the code carries no note saying what this is for, and it has no row in the old inventory. Needs reading.</t>
        </is>
      </c>
      <c r="G457" s="11" t="inlineStr">
        <is>
          <t>the answer = account | date | WORD | amount | units | security | ref | description, joined with '|' (missing parts empty)</t>
        </is>
      </c>
      <c r="H45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57" s="3" t="inlineStr">
        <is>
          <t>READ BY HAND 2026-08-26 — checked line by line against the code</t>
        </is>
      </c>
      <c r="J457" s="3" t="inlineStr">
        <is>
          <t>id: ImportIdentity</t>
        </is>
      </c>
      <c r="K457" s="3" t="inlineStr">
        <is>
          <t>string</t>
        </is>
      </c>
      <c r="L457" s="3" t="inlineStr">
        <is>
          <t>—</t>
        </is>
      </c>
      <c r="M457" s="3" t="inlineStr">
        <is>
          <t>None found in this function — anything it assumes comes from the functions it depends on.</t>
        </is>
      </c>
      <c r="N457" s="3" t="inlineStr">
        <is>
          <t>No</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2026-09-12</t>
        </is>
      </c>
      <c r="W457" s="3" t="n"/>
      <c r="X457" s="3" t="n"/>
      <c r="Y457" s="3" t="inlineStr">
        <is>
          <t>NOTHING OPEN</t>
        </is>
      </c>
    </row>
    <row r="458" ht="60" customHeight="1">
      <c r="A458" s="3" t="inlineStr">
        <is>
          <t>MK-ST-F-015</t>
        </is>
      </c>
      <c r="B458" s="3" t="inlineStr">
        <is>
          <t>rowsFor</t>
        </is>
      </c>
      <c r="C458" s="3" t="inlineStr">
        <is>
          <t>Calculation Module code/engines/ledger.ts</t>
        </is>
      </c>
      <c r="D458" s="3" t="n">
        <v>310</v>
      </c>
      <c r="E458" s="3" t="inlineStr">
        <is>
          <t>3 · DEPENDENT (feeds an action only)</t>
        </is>
      </c>
      <c r="F458" s="3" t="inlineStr">
        <is>
          <t>NOT DETERMINED — the code carries no note saying what this is for, and it has no row in the old inventory. Needs reading.</t>
        </is>
      </c>
      <c r="G458" s="11" t="inlineStr">
        <is>
          <t>rows where EVENTS[event].totals.includes(total)</t>
        </is>
      </c>
      <c r="H458" s="3" t="inlineStr">
        <is>
          <t>rows where EVENTS[event].totals.includes(total).</t>
        </is>
      </c>
      <c r="I458" s="3" t="inlineStr">
        <is>
          <t>PARTLY READ — some of the code is still showing through; needs a hand pass</t>
        </is>
      </c>
      <c r="J458" s="3" t="inlineStr">
        <is>
          <t>Nothing is handed to it</t>
        </is>
      </c>
      <c r="K458" s="3" t="inlineStr">
        <is>
          <t>NOT DECLARED — the code does not say what it gives back</t>
        </is>
      </c>
      <c r="L458" s="3" t="inlineStr">
        <is>
          <t>—</t>
        </is>
      </c>
      <c r="M458" s="3" t="inlineStr">
        <is>
          <t>None found in this function — anything it assumes comes from the functions it depends on.</t>
        </is>
      </c>
      <c r="N458" s="3" t="inlineStr">
        <is>
          <t>No</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MK-ST-F-016</t>
        </is>
      </c>
      <c r="B459" s="3" t="inlineStr">
        <is>
          <t>totalOf</t>
        </is>
      </c>
      <c r="C459" s="3" t="inlineStr">
        <is>
          <t>Calculation Module code/engines/ledger.ts</t>
        </is>
      </c>
      <c r="D459" s="3" t="n">
        <v>334</v>
      </c>
      <c r="E459" s="3" t="inlineStr">
        <is>
          <t>3 · DEPENDENT (feeds an action only)</t>
        </is>
      </c>
      <c r="F459" s="3" t="inlineStr">
        <is>
          <t>A total, summed SIGNED and EXACT — a reversal reduces its total instead of inflating it.</t>
        </is>
      </c>
      <c r="G459" s="11" t="inlineStr">
        <is>
          <t>dec.sum(rows for(rows, total).map((r) =&gt; signed amount))</t>
        </is>
      </c>
      <c r="H459" s="3" t="inlineStr">
        <is>
          <t>dec.sum(rows for(rows, total).map((r) =&gt; signed amount)).</t>
        </is>
      </c>
      <c r="I459" s="3" t="inlineStr">
        <is>
          <t>PARTLY READ — some of the code is still showing through; needs a hand pass</t>
        </is>
      </c>
      <c r="J459" s="3" t="inlineStr">
        <is>
          <t>1. rows: LedgerRow[]
2. total: 'contributions' | 'withdrawals' | 'income' | 'costs'</t>
        </is>
      </c>
      <c r="K459" s="3" t="inlineStr">
        <is>
          <t>Dec</t>
        </is>
      </c>
      <c r="L459" s="3" t="inlineStr">
        <is>
          <t>—</t>
        </is>
      </c>
      <c r="M459" s="3" t="inlineStr">
        <is>
          <t>None found in this function — anything it assumes comes from the functions it depends on.</t>
        </is>
      </c>
      <c r="N459" s="3" t="inlineStr">
        <is>
          <t>No</t>
        </is>
      </c>
      <c r="O459" s="3" t="inlineStr">
        <is>
          <t>1. MK-CF-F-132 map
2. MK-ST-F-015 rowsFor</t>
        </is>
      </c>
      <c r="P459" s="3" t="n">
        <v>2</v>
      </c>
      <c r="Q459" s="3" t="inlineStr">
        <is>
          <t>1. MK-CF-F-132 map
2. MK-ST-F-015 rowsFor</t>
        </is>
      </c>
      <c r="R459" s="3" t="inlineStr">
        <is>
          <t>1. MK-CF-F-132 map → MK-ST-F-016 totalOf
2. MK-ST-F-015 rowsFor → MK-ST-F-016 totalOf</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MK-ST-F-017</t>
        </is>
      </c>
      <c r="B460" s="3" t="inlineStr">
        <is>
          <t>unclassified</t>
        </is>
      </c>
      <c r="C460" s="3" t="inlineStr">
        <is>
          <t>Calculation Module code/engines/ledger.ts</t>
        </is>
      </c>
      <c r="D460" s="3" t="n">
        <v>354</v>
      </c>
      <c r="E460" s="3" t="inlineStr">
        <is>
          <t>3 · DEPENDENT (feeds an action only)</t>
        </is>
      </c>
      <c r="F460" s="3" t="inlineStr">
        <is>
          <t>Everything we could not name, for the honest line on screen: "12 entries we could not classify".</t>
        </is>
      </c>
      <c r="G460" s="11" t="inlineStr">
        <is>
          <t>rows where recognised is missing</t>
        </is>
      </c>
      <c r="H460" s="3" t="inlineStr">
        <is>
          <t>rows where recognised is missing.</t>
        </is>
      </c>
      <c r="I460" s="3" t="inlineStr">
        <is>
          <t>READ FROM THE CODE — rendered from the expressions the function runs</t>
        </is>
      </c>
      <c r="J460" s="3" t="inlineStr">
        <is>
          <t>rows: LedgerRow[]</t>
        </is>
      </c>
      <c r="K460" s="3" t="inlineStr">
        <is>
          <t>LedgerRow[]</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MK-ST-F-018</t>
        </is>
      </c>
      <c r="B461" s="3" t="inlineStr">
        <is>
          <t>readMoney</t>
        </is>
      </c>
      <c r="C461" s="3" t="inlineStr">
        <is>
          <t>Calculation Module code/engines/money.ts</t>
        </is>
      </c>
      <c r="D461" s="3" t="n">
        <v>65</v>
      </c>
      <c r="E461" s="3" t="inlineStr">
        <is>
          <t>3 · DEPENDENT (feeds an action only)</t>
        </is>
      </c>
      <c r="F461" s="3" t="inlineStr">
        <is>
          <t>Read a raw amount into a Money, given how that source signs things.</t>
        </is>
      </c>
      <c r="G46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1" s="3" t="inlineStr">
        <is>
          <t>PARTLY READ — some of the code is still showing through; needs a hand pass</t>
        </is>
      </c>
      <c r="J461" s="3" t="inlineStr">
        <is>
          <t>Nothing is handed to it</t>
        </is>
      </c>
      <c r="K461" s="3" t="inlineStr">
        <is>
          <t>NOT DECLARED — the code does not say what it gives back</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MK-ST-F-019</t>
        </is>
      </c>
      <c r="B462" s="3" t="inlineStr">
        <is>
          <t>signed</t>
        </is>
      </c>
      <c r="C462" s="3" t="inlineStr">
        <is>
          <t>Calculation Module code/engines/money.ts</t>
        </is>
      </c>
      <c r="D462" s="3" t="n">
        <v>108</v>
      </c>
      <c r="E462" s="3" t="inlineStr">
        <is>
          <t>3 · DEPENDENT (feeds an action only)</t>
        </is>
      </c>
      <c r="F462" s="3" t="inlineStr">
        <is>
          <t>The signed value, for arithmetic.</t>
        </is>
      </c>
      <c r="G462" s="11" t="inlineStr">
        <is>
          <t>amount.neg()   if direction = 'OUT'
amount   if direction = 'IN'
dec.ZERO   otherwise   otherwise</t>
        </is>
      </c>
      <c r="H462" s="3" t="inlineStr">
        <is>
          <t>amount.neg() — when direction = 'OUT'; amount — when direction = 'IN'; dec.ZERO — otherwise — otherwise.</t>
        </is>
      </c>
      <c r="I462" s="3" t="inlineStr">
        <is>
          <t>PARTLY READ — some of the code is still showing through; needs a hand pass</t>
        </is>
      </c>
      <c r="J462" s="3" t="inlineStr">
        <is>
          <t>m: Money</t>
        </is>
      </c>
      <c r="K462" s="3" t="inlineStr">
        <is>
          <t>Dec</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MK-ST-F-020</t>
        </is>
      </c>
      <c r="B463" s="3" t="inlineStr">
        <is>
          <t>sumSigned</t>
        </is>
      </c>
      <c r="C463" s="3" t="inlineStr">
        <is>
          <t>Calculation Module code/engines/money.ts</t>
        </is>
      </c>
      <c r="D463" s="3" t="n">
        <v>129</v>
      </c>
      <c r="E463" s="3" t="inlineStr">
        <is>
          <t>3 · DEPENDENT (feeds an action only)</t>
        </is>
      </c>
      <c r="F463" s="3" t="inlineStr">
        <is>
          <t>Add money SIGNED and EXACTLY — a credit and its reversal cancel to true zero, so a reconciliation can assert equality rather than a tolerance.</t>
        </is>
      </c>
      <c r="G463" s="11" t="inlineStr">
        <is>
          <t>dec.sum(items.map(signed))</t>
        </is>
      </c>
      <c r="H463" s="3" t="inlineStr">
        <is>
          <t>dec.sum(items.map(signed)).</t>
        </is>
      </c>
      <c r="I463" s="3" t="inlineStr">
        <is>
          <t>PARTLY READ — some of the code is still showing through; needs a hand pass</t>
        </is>
      </c>
      <c r="J463" s="3" t="inlineStr">
        <is>
          <t>items: Money[]</t>
        </is>
      </c>
      <c r="K463" s="3" t="inlineStr">
        <is>
          <t>Dec</t>
        </is>
      </c>
      <c r="L463" s="3" t="inlineStr">
        <is>
          <t>—</t>
        </is>
      </c>
      <c r="M463" s="3" t="inlineStr">
        <is>
          <t>None found in this function — anything it assumes comes from the functions it depends on.</t>
        </is>
      </c>
      <c r="N463" s="3" t="inlineStr">
        <is>
          <t>No</t>
        </is>
      </c>
      <c r="O463" s="3" t="inlineStr">
        <is>
          <t>1. MK-CF-F-132 map
2. MK-ST-F-019 signed</t>
        </is>
      </c>
      <c r="P463" s="3" t="n">
        <v>2</v>
      </c>
      <c r="Q463" s="3" t="inlineStr">
        <is>
          <t>1. MK-CF-F-132 map
2. MK-ST-F-019 signed</t>
        </is>
      </c>
      <c r="R463" s="3" t="inlineStr">
        <is>
          <t>1. MK-CF-F-132 map → MK-ST-F-020 sumSigned
2. MK-ST-F-019 signed → MK-ST-F-020 sumSigned</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MK-ST-F-021</t>
        </is>
      </c>
      <c r="B464" s="3" t="inlineStr">
        <is>
          <t>toNumber</t>
        </is>
      </c>
      <c r="C464" s="3" t="inlineStr">
        <is>
          <t>Calculation Module code/engines/money.ts</t>
        </is>
      </c>
      <c r="D464" s="3" t="n">
        <v>173</v>
      </c>
      <c r="E464" s="3" t="inlineStr">
        <is>
          <t>2 · DISPLAYED</t>
        </is>
      </c>
      <c r="F464" s="3" t="inlineStr">
        <is>
          <t>Institution files write money as text: "$8,502.00 ", "($0.53)", "--", "1,234.56".</t>
        </is>
      </c>
      <c r="G46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4" s="3" t="inlineStr">
        <is>
          <t>PARTLY READ — some of the code is still showing through; needs a hand pass</t>
        </is>
      </c>
      <c r="J464" s="3" t="inlineStr">
        <is>
          <t>raw: number | string | null | undefined</t>
        </is>
      </c>
      <c r="K464" s="3" t="inlineStr">
        <is>
          <t>number | null</t>
        </is>
      </c>
      <c r="L464" s="3" t="inlineStr">
        <is>
          <t>NOT FOUND — a screen calls it, but the words printed beside its answer could not be traced automatically. Needs reading.</t>
        </is>
      </c>
      <c r="M464" s="3" t="inlineStr">
        <is>
          <t>None found in this function — anything it assumes comes from the functions it depends on.</t>
        </is>
      </c>
      <c r="N464" s="3" t="inlineStr">
        <is>
          <t>Yes</t>
        </is>
      </c>
      <c r="O464" s="3" t="inlineStr">
        <is>
          <t>MK-XS-F-122 n</t>
        </is>
      </c>
      <c r="P464" s="3" t="n">
        <v>1</v>
      </c>
      <c r="Q464" s="3" t="inlineStr">
        <is>
          <t>MK-XS-F-122 n</t>
        </is>
      </c>
      <c r="R464" s="3" t="inlineStr">
        <is>
          <t>MK-XS-F-122 n → MK-ST-F-021 toNumber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MK-ST-F-022</t>
        </is>
      </c>
      <c r="B465" s="3" t="inlineStr">
        <is>
          <t>reconcileAccountTotal</t>
        </is>
      </c>
      <c r="C465" s="3" t="inlineStr">
        <is>
          <t>Calculation Module code/engines/reconcile.ts</t>
        </is>
      </c>
      <c r="D465" s="3" t="n">
        <v>79</v>
      </c>
      <c r="E465" s="3" t="inlineStr">
        <is>
          <t>3 · DEPENDENT (feeds an action only)</t>
        </is>
      </c>
      <c r="F465" s="3" t="inlineStr">
        <is>
          <t>ASSERTION 1 — holdings + cash = the broker's stated total.</t>
        </is>
      </c>
      <c r="G465" s="11" t="inlineStr">
        <is>
          <t>stated = dec.parse(stated total) (or dec.ZERO when missing)
the answer = verdict(parts, stated, 'what the account holds and the broker\'s own total')</t>
        </is>
      </c>
      <c r="H465" s="3" t="inlineStr">
        <is>
          <t>Stated is dec.parse(stated total) (or dec.ZERO — when missing). The answer is verdict(parts, stated, 'what the account holds and the broker\'s own total').</t>
        </is>
      </c>
      <c r="I465" s="3" t="inlineStr">
        <is>
          <t>PARTLY READ — some of the code is still showing through; needs a hand pass</t>
        </is>
      </c>
      <c r="J465" s="3" t="inlineStr">
        <is>
          <t>Nothing is handed to it</t>
        </is>
      </c>
      <c r="K465" s="3" t="inlineStr">
        <is>
          <t>NOT DECLARED — the code does not say what it gives back</t>
        </is>
      </c>
      <c r="L465" s="3" t="inlineStr">
        <is>
          <t>—</t>
        </is>
      </c>
      <c r="M465" s="3" t="inlineStr">
        <is>
          <t>None found in this function — anything it assumes comes from the functions it depends on.</t>
        </is>
      </c>
      <c r="N465" s="3" t="inlineStr">
        <is>
          <t>No</t>
        </is>
      </c>
      <c r="O465" s="3" t="inlineStr">
        <is>
          <t>1. MK-CF-F-132 map
2. MK-ST-F-060 verdict</t>
        </is>
      </c>
      <c r="P465" s="3" t="n">
        <v>2</v>
      </c>
      <c r="Q465" s="3" t="inlineStr">
        <is>
          <t>1. MK-CF-F-132 map
2. MK-ST-F-060 verdict</t>
        </is>
      </c>
      <c r="R465" s="3" t="inlineStr">
        <is>
          <t>1. MK-CF-F-132 map → MK-ST-F-022 reconcileAccountTotal
2. MK-ST-F-060 verdict → MK-ST-F-022 reconcileAccountTotal</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MK-ST-F-023</t>
        </is>
      </c>
      <c r="B466" s="3" t="inlineStr">
        <is>
          <t>reconcileLedgerIdentity</t>
        </is>
      </c>
      <c r="C466" s="3" t="inlineStr">
        <is>
          <t>Calculation Module code/engines/reconcile.ts</t>
        </is>
      </c>
      <c r="D466" s="3" t="n">
        <v>107</v>
      </c>
      <c r="E466" s="3" t="inlineStr">
        <is>
          <t>3 · DEPENDENT (feeds an action only)</t>
        </is>
      </c>
      <c r="F466" s="3" t="inlineStr">
        <is>
          <t>ASSERTION 2 — the accounting identity every statement satisfies, exactly.</t>
        </is>
      </c>
      <c r="G466" s="11" t="inlineStr">
        <is>
          <t>d = (v: unknown) =&gt; dec.parse(v) (or dec.ZERO when missing)
the answer = verdict(computed, D(ending), 'the change walk and the ending value')</t>
        </is>
      </c>
      <c r="H466" s="3" t="inlineStr">
        <is>
          <t>D is (v: unknown) =&gt; dec.parse(v) (or dec.ZERO — when missing). The answer is verdict(computed, D(ending), 'the change walk and the ending value').</t>
        </is>
      </c>
      <c r="I466" s="3" t="inlineStr">
        <is>
          <t>PARTLY READ — some of the code is still showing through; needs a hand pass</t>
        </is>
      </c>
      <c r="J466" s="3" t="inlineStr">
        <is>
          <t>Nothing is handed to it</t>
        </is>
      </c>
      <c r="K466" s="3" t="inlineStr">
        <is>
          <t>NOT DECLARED — the code does not say what it gives back</t>
        </is>
      </c>
      <c r="L466" s="3" t="inlineStr">
        <is>
          <t>—</t>
        </is>
      </c>
      <c r="M466" s="3" t="inlineStr">
        <is>
          <t>None found in this function — anything it assumes comes from the functions it depends on.</t>
        </is>
      </c>
      <c r="N466" s="3" t="inlineStr">
        <is>
          <t>No</t>
        </is>
      </c>
      <c r="O466" s="3" t="inlineStr">
        <is>
          <t>MK-ST-F-060 verdict</t>
        </is>
      </c>
      <c r="P466" s="3" t="n">
        <v>1</v>
      </c>
      <c r="Q466" s="3" t="inlineStr">
        <is>
          <t>MK-ST-F-060 verdict</t>
        </is>
      </c>
      <c r="R466" s="3" t="inlineStr">
        <is>
          <t>MK-ST-F-060 verdict → MK-ST-F-023 reconcileLedgerIdentity</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MK-ST-F-024</t>
        </is>
      </c>
      <c r="B467" s="3" t="inlineStr">
        <is>
          <t>rmdStartAge</t>
        </is>
      </c>
      <c r="C467" s="3" t="inlineStr">
        <is>
          <t>Calculation Module code/engines/rmd.ts</t>
        </is>
      </c>
      <c r="D467" s="3" t="n">
        <v>55</v>
      </c>
      <c r="E467" s="3" t="inlineStr">
        <is>
          <t>2 · DISPLAYED</t>
        </is>
      </c>
      <c r="F467" s="3" t="inlineStr">
        <is>
          <t>The age required withdrawals begin, by birth year.</t>
        </is>
      </c>
      <c r="G467" s="11" t="inlineStr">
        <is>
          <t>start age = 75   when born 1960 or later
            73   otherwise</t>
        </is>
      </c>
      <c r="H467" s="3" t="inlineStr">
        <is>
          <t>The age required withdrawals begin. Born 1960 or later, 75; everyone else, 73 — including birth years before 1951, whose real start age was 72 or 70 and a half. An unknown birth year silently answers 73 rather than refusing. Finding A36.</t>
        </is>
      </c>
      <c r="I467" s="3" t="inlineStr">
        <is>
          <t>READ BY HAND 2026-08-26 — checked line by line against the code</t>
        </is>
      </c>
      <c r="J467" s="3" t="inlineStr">
        <is>
          <t>birthYear?: number | null</t>
        </is>
      </c>
      <c r="K467" s="3" t="inlineStr">
        <is>
          <t>number</t>
        </is>
      </c>
      <c r="L46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67" s="3" t="inlineStr">
        <is>
          <t>· When the birth year is missing the start age is taken as 73 — the rule for those born 1951–1959, the middle of the 55–70 audience (A36). The whole schedule is coded: 70½ before 1949, 72 for 1949–1950, 73 for 1951–1959, 75 from 1960.</t>
        </is>
      </c>
      <c r="N467" s="3" t="inlineStr">
        <is>
          <t>Yes</t>
        </is>
      </c>
      <c r="O467" s="3" t="inlineStr">
        <is>
          <t>MK-ST-F-056 has</t>
        </is>
      </c>
      <c r="P467" s="3" t="n">
        <v>1</v>
      </c>
      <c r="Q467" s="3" t="inlineStr">
        <is>
          <t>MK-ST-F-056 has</t>
        </is>
      </c>
      <c r="R467" s="3" t="inlineStr">
        <is>
          <t>MK-ST-F-056 has → MK-ST-F-024 rmdStartAge</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MK-ST-F-025</t>
        </is>
      </c>
      <c r="B468" s="3" t="inlineStr">
        <is>
          <t>rmdStartAgeFromAge</t>
        </is>
      </c>
      <c r="C468" s="3" t="inlineStr">
        <is>
          <t>Calculation Module code/engines/rmd.ts</t>
        </is>
      </c>
      <c r="D468" s="3" t="n">
        <v>94</v>
      </c>
      <c r="E468" s="3" t="inlineStr">
        <is>
          <t>3 · DEPENDENT</t>
        </is>
      </c>
      <c r="F468" s="3" t="inlineStr">
        <is>
          <t>The same rule when only an age is known (birth year ≈ this year − age; ±1 year of precision, which is what an age-only caller has).</t>
        </is>
      </c>
      <c r="G468" s="11" t="inlineStr">
        <is>
          <t>rmd start age(now year − age)</t>
        </is>
      </c>
      <c r="H468" s="3" t="inlineStr">
        <is>
          <t>rmd start age(now year minus age).</t>
        </is>
      </c>
      <c r="I468" s="3" t="inlineStr">
        <is>
          <t>READ FROM THE CODE — rendered from the expressions the function runs</t>
        </is>
      </c>
      <c r="J468" s="3" t="inlineStr">
        <is>
          <t>1. age: number
2. nowYear: number</t>
        </is>
      </c>
      <c r="K468" s="3" t="inlineStr">
        <is>
          <t>number</t>
        </is>
      </c>
      <c r="L468" s="3" t="inlineStr">
        <is>
          <t>—</t>
        </is>
      </c>
      <c r="M468" s="3" t="inlineStr">
        <is>
          <t>None found in this function — anything it assumes comes from the functions it depends on.</t>
        </is>
      </c>
      <c r="N468" s="3" t="inlineStr">
        <is>
          <t>Yes</t>
        </is>
      </c>
      <c r="O468" s="3" t="inlineStr">
        <is>
          <t>MK-ST-F-024 rmdStartAge</t>
        </is>
      </c>
      <c r="P468" s="3" t="n">
        <v>2</v>
      </c>
      <c r="Q468" s="3" t="inlineStr">
        <is>
          <t>1. MK-ST-F-024 rmdStartAge
2. MK-ST-F-056 has</t>
        </is>
      </c>
      <c r="R468" s="3" t="inlineStr">
        <is>
          <t>MK-ST-F-056 has → MK-ST-F-024 rmdStartAge → MK-ST-F-025 rmdStartAgeFromAge</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MK-ST-F-026</t>
        </is>
      </c>
      <c r="B469" s="3" t="inlineStr">
        <is>
          <t>holdingId</t>
        </is>
      </c>
      <c r="C469" s="3" t="inlineStr">
        <is>
          <t>Calculation Module code/engines/snapshots.ts</t>
        </is>
      </c>
      <c r="D469" s="3" t="n">
        <v>81</v>
      </c>
      <c r="E469" s="3" t="inlineStr">
        <is>
          <t>1 · ACTION</t>
        </is>
      </c>
      <c r="F469" s="3" t="inlineStr">
        <is>
          <t>NOT DETERMINED — the code carries no note saying what this is for, and it has no row in the old inventory. Needs reading.</t>
        </is>
      </c>
      <c r="G469" s="11" t="inlineStr">
        <is>
          <t>the answer = date | account id | security key</t>
        </is>
      </c>
      <c r="H469" s="3" t="inlineStr">
        <is>
          <t>The identity of one holding snapshot: its date, account and security, joined with vertical bars. No arithmetic.</t>
        </is>
      </c>
      <c r="I469" s="3" t="inlineStr">
        <is>
          <t>READ BY HAND 2026-08-26 — checked line by line against the code</t>
        </is>
      </c>
      <c r="J469" s="3" t="inlineStr">
        <is>
          <t>s: Pick&lt;HoldingSnapshot, 'date' | 'accountId' | 'securityKey'&gt;</t>
        </is>
      </c>
      <c r="K469" s="3" t="inlineStr">
        <is>
          <t>string</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2026-09-12</t>
        </is>
      </c>
      <c r="W469" s="3" t="n"/>
      <c r="X469" s="3" t="n"/>
      <c r="Y469" s="3" t="inlineStr">
        <is>
          <t>NOTHING OPEN</t>
        </is>
      </c>
    </row>
    <row r="470" ht="60" customHeight="1">
      <c r="A470" s="3" t="inlineStr">
        <is>
          <t>MK-ST-F-027</t>
        </is>
      </c>
      <c r="B470" s="3" t="inlineStr">
        <is>
          <t>accountId</t>
        </is>
      </c>
      <c r="C470" s="3" t="inlineStr">
        <is>
          <t>Calculation Module code/engines/snapshots.ts</t>
        </is>
      </c>
      <c r="D470" s="3" t="n">
        <v>118</v>
      </c>
      <c r="E470" s="3" t="inlineStr">
        <is>
          <t>1 · ACTION</t>
        </is>
      </c>
      <c r="F470" s="3" t="inlineStr">
        <is>
          <t>NOT DETERMINED — the code carries no note saying what this is for, and it has no row in the old inventory. Needs reading.</t>
        </is>
      </c>
      <c r="G470" s="11" t="inlineStr">
        <is>
          <t>the answer = date | account id</t>
        </is>
      </c>
      <c r="H470" s="3" t="inlineStr">
        <is>
          <t>The identity of one account snapshot: its date and account, joined with a vertical bar. No arithmetic.</t>
        </is>
      </c>
      <c r="I470" s="3" t="inlineStr">
        <is>
          <t>READ BY HAND 2026-08-26 — checked line by line against the code</t>
        </is>
      </c>
      <c r="J470" s="3" t="inlineStr">
        <is>
          <t>s: Pick&lt;AccountSnapshot, 'date' | 'accountId'&gt;</t>
        </is>
      </c>
      <c r="K470" s="3" t="inlineStr">
        <is>
          <t>string</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2026-09-12</t>
        </is>
      </c>
      <c r="W470" s="3" t="n"/>
      <c r="X470" s="3" t="n"/>
      <c r="Y470" s="3" t="inlineStr">
        <is>
          <t>NOTHING OPEN</t>
        </is>
      </c>
    </row>
    <row r="471" ht="60" customHeight="1">
      <c r="A471" s="3" t="inlineStr">
        <is>
          <t>MK-ST-F-028</t>
        </is>
      </c>
      <c r="B471" s="3" t="inlineStr">
        <is>
          <t>buildDayFromAccounts</t>
        </is>
      </c>
      <c r="C471" s="3" t="inlineStr">
        <is>
          <t>Calculation Module code/engines/snapshots.ts</t>
        </is>
      </c>
      <c r="D471" s="3" t="n">
        <v>191</v>
      </c>
      <c r="E471" s="3" t="inlineStr">
        <is>
          <t>3 · DEPENDENT</t>
        </is>
      </c>
      <c r="F471" s="3" t="inlineStr">
        <is>
          <t>Today's SnapshotDay, observed from the live account state.</t>
        </is>
      </c>
      <c r="G47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1" s="3" t="inlineStr">
        <is>
          <t>READ FROM THE CODE — rendered from the expressions the function runs</t>
        </is>
      </c>
      <c r="J471" s="3" t="inlineStr">
        <is>
          <t>1. accounts: AccountLike[]
2. date: string
3. writtenAt: string</t>
        </is>
      </c>
      <c r="K471" s="3" t="inlineStr">
        <is>
          <t>SnapshotDay</t>
        </is>
      </c>
      <c r="L471" s="3" t="inlineStr">
        <is>
          <t>—</t>
        </is>
      </c>
      <c r="M47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2026-09-12</t>
        </is>
      </c>
      <c r="W471" s="3" t="n"/>
      <c r="X471" s="3" t="n"/>
      <c r="Y471" s="3" t="inlineStr">
        <is>
          <t>NOTHING OPEN</t>
        </is>
      </c>
    </row>
    <row r="472" ht="60" customHeight="1">
      <c r="A472" s="3" t="inlineStr">
        <is>
          <t>MK-ST-F-029</t>
        </is>
      </c>
      <c r="B472" s="3" t="inlineStr">
        <is>
          <t>prune</t>
        </is>
      </c>
      <c r="C472" s="3" t="inlineStr">
        <is>
          <t>Calculation Module code/engines/snapshots.ts</t>
        </is>
      </c>
      <c r="D472" s="3" t="n">
        <v>283</v>
      </c>
      <c r="E472" s="3" t="inlineStr">
        <is>
          <t>3 · DEPENDENT (feeds an action only)</t>
        </is>
      </c>
      <c r="F472" s="3" t="inlineStr">
        <is>
          <t>Which days survive.</t>
        </is>
      </c>
      <c r="G472" s="11" t="inlineStr">
        <is>
          <t>cutoff = the date today
cutoff key = the first 10 of cutoff.to isostring()
all = a list with no repeats of for each of days: date
the answer = days where date ≥ cutoff key (or is month end(date, all) when missing or zero)</t>
        </is>
      </c>
      <c r="H472" s="3" t="inlineStr">
        <is>
          <t>Cutoff: the date today. Cutoff key: the first 10 of cutoff.to isostring(). All is a list with no repeats of for each of days: date. The answer is days where date is at least cutoff key (or is month end(date, all) — when missing or zero).</t>
        </is>
      </c>
      <c r="I472" s="3" t="inlineStr">
        <is>
          <t>PARTLY READ — some of the code is still showing through; needs a hand pass</t>
        </is>
      </c>
      <c r="J472" s="3" t="inlineStr">
        <is>
          <t>1. days: SnapshotDay[]
2. today: string</t>
        </is>
      </c>
      <c r="K472" s="3" t="inlineStr">
        <is>
          <t>SnapshotDay[]</t>
        </is>
      </c>
      <c r="L472" s="3" t="inlineStr">
        <is>
          <t>—</t>
        </is>
      </c>
      <c r="M472" s="3" t="inlineStr">
        <is>
          <t>None found in this function — anything it assumes comes from the functions it depends on.</t>
        </is>
      </c>
      <c r="N472" s="3" t="inlineStr">
        <is>
          <t>No</t>
        </is>
      </c>
      <c r="O472" s="3" t="inlineStr">
        <is>
          <t>1. MK-ST-F-061 isMonthEnd
2. MK-CF-F-132 map</t>
        </is>
      </c>
      <c r="P472" s="3" t="n">
        <v>3</v>
      </c>
      <c r="Q472" s="3" t="inlineStr">
        <is>
          <t>1. MK-ST-F-061 isMonthEnd
2. MK-CF-F-132 map
3. MK-ST-F-056 has</t>
        </is>
      </c>
      <c r="R472" s="3" t="inlineStr">
        <is>
          <t>1. MK-ST-F-056 has → MK-ST-F-061 isMonthEnd → MK-ST-F-029 prune
2. MK-CF-F-132 map → MK-ST-F-061 isMonthEnd → MK-ST-F-029 prune
3. MK-CF-F-132 map → MK-ST-F-029 prune</t>
        </is>
      </c>
      <c r="S472" s="3" t="inlineStr">
        <is>
          <t>—</t>
        </is>
      </c>
      <c r="T472" s="3" t="inlineStr">
        <is>
          <t>—</t>
        </is>
      </c>
      <c r="U472" s="3" t="inlineStr">
        <is>
          <t>ACTIVE</t>
        </is>
      </c>
      <c r="V472" s="3" t="inlineStr">
        <is>
          <t>2026-08-27</t>
        </is>
      </c>
      <c r="W472" s="3" t="n"/>
      <c r="X472" s="3" t="n"/>
      <c r="Y472" s="3" t="inlineStr">
        <is>
          <t>NOTHING OPEN</t>
        </is>
      </c>
    </row>
    <row r="473" ht="45" customHeight="1">
      <c r="A473" s="3" t="inlineStr">
        <is>
          <t>MK-ST-F-030</t>
        </is>
      </c>
      <c r="B473" s="3" t="inlineStr">
        <is>
          <t>record</t>
        </is>
      </c>
      <c r="C473" s="3" t="inlineStr">
        <is>
          <t>Calculation Module code/engines/snapshots.ts</t>
        </is>
      </c>
      <c r="D473" s="3" t="n">
        <v>324</v>
      </c>
      <c r="E473" s="3" t="inlineStr">
        <is>
          <t>2 · DISPLAYED</t>
        </is>
      </c>
      <c r="F473" s="3" t="inlineStr">
        <is>
          <t>── writing ───────────────────────────────────────────────────────────────────────────────────── Add a day.</t>
        </is>
      </c>
      <c r="G473" s="11" t="inlineStr">
        <is>
          <t>rest = days where date ! = day.date
the answer = [...rest, day].sort((a, b) =&gt; date.locale compare(date))</t>
        </is>
      </c>
      <c r="H473" s="3" t="inlineStr">
        <is>
          <t>Rest is days where date ! = day.date. The answer is [...rest, day].sort((a, b) =&gt; date.locale compare(date)).</t>
        </is>
      </c>
      <c r="I473" s="3" t="inlineStr">
        <is>
          <t>PARTLY READ — some of the code is still showing through; needs a hand pass</t>
        </is>
      </c>
      <c r="J473" s="3" t="inlineStr">
        <is>
          <t>1. days: SnapshotDay[]
2. day: SnapshotDay</t>
        </is>
      </c>
      <c r="K473" s="3" t="inlineStr">
        <is>
          <t>SnapshotDay[]</t>
        </is>
      </c>
      <c r="L473" s="3" t="inlineStr">
        <is>
          <t>NOT FOUND — a screen calls it, but the words printed beside its answer could not be traced automatically. Needs reading.</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2026-09-25</t>
        </is>
      </c>
      <c r="W473" s="3" t="n"/>
      <c r="X473" s="3" t="n"/>
      <c r="Y473" s="3" t="inlineStr">
        <is>
          <t>NOTHING OPEN</t>
        </is>
      </c>
    </row>
    <row r="474" ht="60" customHeight="1">
      <c r="A474" s="3" t="inlineStr">
        <is>
          <t>MK-ST-F-031</t>
        </is>
      </c>
      <c r="B474" s="3" t="inlineStr">
        <is>
          <t>valueOn</t>
        </is>
      </c>
      <c r="C474" s="3" t="inlineStr">
        <is>
          <t>Calculation Module code/engines/snapshots.ts</t>
        </is>
      </c>
      <c r="D474" s="3" t="n">
        <v>363</v>
      </c>
      <c r="E474" s="3" t="inlineStr">
        <is>
          <t>2 · DISPLAYED</t>
        </is>
      </c>
      <c r="F474" s="3" t="inlineStr">
        <is>
          <t>── reading ───────────────────────────────────────────────────────────────────────────────────── What one account was worth on a date — the figure the old code had to back-solve.</t>
        </is>
      </c>
      <c r="G474"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4"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4" s="3" t="inlineStr">
        <is>
          <t>PARTLY READ — some of the code is still showing through; needs a hand pass</t>
        </is>
      </c>
      <c r="J474" s="3" t="inlineStr">
        <is>
          <t>1. days: SnapshotDay[]
2. accountIds: Set&lt;string&gt;
3. date: string</t>
        </is>
      </c>
      <c r="K474" s="3" t="inlineStr">
        <is>
          <t>number | null</t>
        </is>
      </c>
      <c r="L474" s="3" t="inlineStr">
        <is>
          <t>NOT FOUND — a screen calls it, but the words printed beside its answer could not be traced automatically. Needs reading.</t>
        </is>
      </c>
      <c r="M474" s="3" t="inlineStr">
        <is>
          <t>· If typed value is missing it uses 0.</t>
        </is>
      </c>
      <c r="N474" s="3" t="inlineStr">
        <is>
          <t>Yes</t>
        </is>
      </c>
      <c r="O474" s="3" t="inlineStr">
        <is>
          <t>1. MK-ST-F-027 accountId
2. MK-CF-F-155 cash
3. MK-ST-F-056 has
4. MK-ST-F-033 onOrBefore</t>
        </is>
      </c>
      <c r="P474" s="3" t="n">
        <v>5</v>
      </c>
      <c r="Q474" s="3" t="inlineStr">
        <is>
          <t>1. MK-ST-F-027 accountId
2. MK-CF-F-155 cash
3. MK-ST-F-056 has
4. MK-ST-F-033 onOrBefore
5. MK-XS-F-122 n</t>
        </is>
      </c>
      <c r="R474" s="3" t="inlineStr">
        <is>
          <t>1. MK-ST-F-027 accountId → MK-ST-F-031 valueOn
2. MK-XS-F-122 n → MK-CF-F-155 cash → MK-ST-F-031 valueOn
3. MK-ST-F-056 has → MK-ST-F-031 valueOn
4. MK-ST-F-033 onOrBefore → MK-ST-F-031 valueOn</t>
        </is>
      </c>
      <c r="S474" s="3" t="inlineStr">
        <is>
          <t>MK-PF-M-001 · MK-PF-M-004</t>
        </is>
      </c>
      <c r="T474" s="3" t="inlineStr">
        <is>
          <t>—</t>
        </is>
      </c>
      <c r="U474" s="3" t="inlineStr">
        <is>
          <t>ACTIVE</t>
        </is>
      </c>
      <c r="V474" s="3" t="inlineStr">
        <is>
          <t>2026-09-09</t>
        </is>
      </c>
      <c r="W474" s="3" t="n"/>
      <c r="X474" s="3" t="n"/>
      <c r="Y474" s="3" t="inlineStr">
        <is>
          <t>NOTHING OPEN</t>
        </is>
      </c>
    </row>
    <row r="475" ht="60" customHeight="1">
      <c r="A475" s="3" t="inlineStr">
        <is>
          <t>MK-ST-F-032</t>
        </is>
      </c>
      <c r="B475" s="3" t="inlineStr">
        <is>
          <t>unitsOn</t>
        </is>
      </c>
      <c r="C475" s="3" t="inlineStr">
        <is>
          <t>Calculation Module code/engines/snapshots.ts</t>
        </is>
      </c>
      <c r="D475" s="3" t="n">
        <v>395</v>
      </c>
      <c r="E475" s="3" t="inlineStr">
        <is>
          <t>3 · DEPENDENT (feeds an action only)</t>
        </is>
      </c>
      <c r="F475" s="3" t="inlineStr">
        <is>
          <t>How many units of one holding were held on a date — what the trend chart needs and never had.</t>
        </is>
      </c>
      <c r="G475" s="11" t="inlineStr">
        <is>
          <t>day = on or before(days, date)
h = day.holdings.find((x) =&gt; account id = acc id and security key = security key)
the answer:
units   if h
nothing   otherwise</t>
        </is>
      </c>
      <c r="H475" s="3" t="inlineStr">
        <is>
          <t>Day is on or before(days, date). H is day.holdings.find((x) =&gt; account id = acc id and security key = security key). The answer is units — when h; no answer — otherwise.</t>
        </is>
      </c>
      <c r="I475" s="3" t="inlineStr">
        <is>
          <t>PARTLY READ — some of the code is still showing through; needs a hand pass</t>
        </is>
      </c>
      <c r="J475" s="3" t="inlineStr">
        <is>
          <t>1. days: SnapshotDay[]
2. accId: string
3. securityKey: string
4. date: string</t>
        </is>
      </c>
      <c r="K475" s="3" t="inlineStr">
        <is>
          <t>number | null</t>
        </is>
      </c>
      <c r="L475" s="3" t="inlineStr">
        <is>
          <t>—</t>
        </is>
      </c>
      <c r="M475" s="3" t="inlineStr">
        <is>
          <t>None found in this function — anything it assumes comes from the functions it depends on.</t>
        </is>
      </c>
      <c r="N475" s="3" t="inlineStr">
        <is>
          <t>No</t>
        </is>
      </c>
      <c r="O475" s="3" t="inlineStr">
        <is>
          <t>MK-ST-F-033 onOrBefore</t>
        </is>
      </c>
      <c r="P475" s="3" t="n">
        <v>1</v>
      </c>
      <c r="Q475" s="3" t="inlineStr">
        <is>
          <t>MK-ST-F-033 onOrBefore</t>
        </is>
      </c>
      <c r="R475" s="3" t="inlineStr">
        <is>
          <t>MK-ST-F-033 onOrBefore → MK-ST-F-032 unitsOn</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MK-ST-F-033</t>
        </is>
      </c>
      <c r="B476" s="3" t="inlineStr">
        <is>
          <t>onOrBefore</t>
        </is>
      </c>
      <c r="C476" s="3" t="inlineStr">
        <is>
          <t>Calculation Module code/engines/snapshots.ts</t>
        </is>
      </c>
      <c r="D476" s="3" t="n">
        <v>425</v>
      </c>
      <c r="E476" s="3" t="inlineStr">
        <is>
          <t>3 · DEPENDENT</t>
        </is>
      </c>
      <c r="F476" s="3" t="inlineStr">
        <is>
          <t>The latest day at or before a date, or nothing when the record does not reach back that far.</t>
        </is>
      </c>
      <c r="G476" s="11" t="inlineStr">
        <is>
          <t>best = nothing
[LOOP — the answer is found inside a loop the extractor cannot render; the steps above are the ones before it. Read by hand.]</t>
        </is>
      </c>
      <c r="H476" s="3" t="inlineStr">
        <is>
          <t>Best is no answer. The answer is best. The answer is found inside a loop that cannot be rendered here; read the code by hand.</t>
        </is>
      </c>
      <c r="I476" s="3" t="inlineStr">
        <is>
          <t>PARTLY READ — the body has a loop the extractor cannot render; the steps shown are the ones before it. Needs a hand pass (G23).</t>
        </is>
      </c>
      <c r="J476" s="3" t="inlineStr">
        <is>
          <t>1. days: T[]
2. date: string</t>
        </is>
      </c>
      <c r="K476" s="3" t="inlineStr">
        <is>
          <t>T | null</t>
        </is>
      </c>
      <c r="L476" s="3" t="inlineStr">
        <is>
          <t>—</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2026-09-08</t>
        </is>
      </c>
      <c r="W476" s="3" t="n"/>
      <c r="X476" s="3" t="n"/>
      <c r="Y476" s="3" t="inlineStr">
        <is>
          <t>NOTHING OPEN</t>
        </is>
      </c>
    </row>
    <row r="477" ht="60" customHeight="1">
      <c r="A477" s="3" t="inlineStr">
        <is>
          <t>MK-ST-F-034</t>
        </is>
      </c>
      <c r="B477" s="3" t="inlineStr">
        <is>
          <t>firstDate</t>
        </is>
      </c>
      <c r="C477" s="3" t="inlineStr">
        <is>
          <t>Calculation Module code/engines/snapshots.ts</t>
        </is>
      </c>
      <c r="D477" s="3" t="n">
        <v>462</v>
      </c>
      <c r="E477" s="3" t="inlineStr">
        <is>
          <t>3 · DEPENDENT</t>
        </is>
      </c>
      <c r="F477" s="3" t="inlineStr">
        <is>
          <t>The first date the record covers — so a change figure can say what it is measured FROM, rather than presenting a figure measured from install day as though it covered the year.</t>
        </is>
      </c>
      <c r="G477" s="11" t="inlineStr">
        <is>
          <t>days.reduce((a, b) =&gt; (date &lt; date ? a : b)).date   if count of days
nothing   otherwise</t>
        </is>
      </c>
      <c r="H477" s="3" t="inlineStr">
        <is>
          <t>days.reduce((a, b) =&gt; (date &lt; date ? a : b)).date — when how many days there are; no answer — otherwise.</t>
        </is>
      </c>
      <c r="I477" s="3" t="inlineStr">
        <is>
          <t>PARTLY READ — some of the code is still showing through; needs a hand pass</t>
        </is>
      </c>
      <c r="J477" s="3" t="inlineStr">
        <is>
          <t>days: T[]</t>
        </is>
      </c>
      <c r="K477" s="3" t="inlineStr">
        <is>
          <t>string | null</t>
        </is>
      </c>
      <c r="L477" s="3" t="inlineStr">
        <is>
          <t>—</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45" customHeight="1">
      <c r="A478" s="3" t="inlineStr">
        <is>
          <t>MK-ST-F-035</t>
        </is>
      </c>
      <c r="B478" s="3" t="inlineStr">
        <is>
          <t>covers</t>
        </is>
      </c>
      <c r="C478" s="3" t="inlineStr">
        <is>
          <t>Calculation Module code/engines/snapshots.ts</t>
        </is>
      </c>
      <c r="D478" s="3" t="n">
        <v>498</v>
      </c>
      <c r="E478" s="3" t="inlineStr">
        <is>
          <t>3 · DEPENDENT (feeds an action only)</t>
        </is>
      </c>
      <c r="F478" s="3" t="inlineStr">
        <is>
          <t>Does the record actually cover this window?</t>
        </is>
      </c>
      <c r="G478" s="11" t="inlineStr">
        <is>
          <t>f = first date(days)
the answer = f ≠ nothing and f ≤ from</t>
        </is>
      </c>
      <c r="H478" s="3" t="inlineStr">
        <is>
          <t>F is first date(days). The answer is f is not no answer and f is at most from.</t>
        </is>
      </c>
      <c r="I478" s="3" t="inlineStr">
        <is>
          <t>READ FROM THE CODE — rendered from the expressions the function runs</t>
        </is>
      </c>
      <c r="J478" s="3" t="inlineStr">
        <is>
          <t>1. days: SnapshotDay[]
2. from: string</t>
        </is>
      </c>
      <c r="K478" s="3" t="inlineStr">
        <is>
          <t>boolean</t>
        </is>
      </c>
      <c r="L478" s="3" t="inlineStr">
        <is>
          <t>—</t>
        </is>
      </c>
      <c r="M478" s="3" t="inlineStr">
        <is>
          <t>None found in this function — anything it assumes comes from the functions it depends on.</t>
        </is>
      </c>
      <c r="N478" s="3" t="inlineStr">
        <is>
          <t>No</t>
        </is>
      </c>
      <c r="O478" s="3" t="inlineStr">
        <is>
          <t>MK-ST-F-034 firstDate</t>
        </is>
      </c>
      <c r="P478" s="3" t="n">
        <v>1</v>
      </c>
      <c r="Q478" s="3" t="inlineStr">
        <is>
          <t>MK-ST-F-034 firstDate</t>
        </is>
      </c>
      <c r="R478" s="3" t="inlineStr">
        <is>
          <t>MK-ST-F-034 firstDate → MK-ST-F-035 covers</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MK-ST-F-036</t>
        </is>
      </c>
      <c r="B479" s="3" t="inlineStr">
        <is>
          <t>reconcile</t>
        </is>
      </c>
      <c r="C479" s="3" t="inlineStr">
        <is>
          <t>Calculation Module code/engines/snapshots.ts</t>
        </is>
      </c>
      <c r="D479" s="3" t="n">
        <v>542</v>
      </c>
      <c r="E479" s="3" t="inlineStr">
        <is>
          <t>3 · DEPENDENT (feeds an action only)</t>
        </is>
      </c>
      <c r="F479" s="3" t="inlineStr">
        <is>
          <t>── the outside check ─────────────────────────────────────────────────────────────────────────── Our figure against the broker's own stated total.</t>
        </is>
      </c>
      <c r="G479" s="11" t="inlineStr">
        <is>
          <t>theirs = day.accounts.find((a) =&gt; account id = acc id).stated total (or nothing when missing)
the answer:
ours = ours
theirs = theirs
difference = nothing   if theirs = nothing
ours − theirs   otherwise</t>
        </is>
      </c>
      <c r="H479" s="3" t="inlineStr">
        <is>
          <t>Theirs is day.accounts.find((a) =&gt; account id = acc id).stated total (or no answer — when missing). The answer is ours = ours; theirs = theirs; difference is missing — when theirs is missing; ours minus theirs — otherwise.</t>
        </is>
      </c>
      <c r="I479" s="3" t="inlineStr">
        <is>
          <t>PARTLY READ — some of the code is still showing through; needs a hand pass</t>
        </is>
      </c>
      <c r="J479" s="3" t="inlineStr">
        <is>
          <t>1. day: SnapshotDay
2. accId: string</t>
        </is>
      </c>
      <c r="K479" s="3" t="inlineStr">
        <is>
          <t>NOT DECLARED — the code does not say what it gives back</t>
        </is>
      </c>
      <c r="L479" s="3" t="inlineStr">
        <is>
          <t>—</t>
        </is>
      </c>
      <c r="M479" s="3" t="inlineStr">
        <is>
          <t>· If cash is missing it uses 0.</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2026-09-09</t>
        </is>
      </c>
      <c r="W479" s="3" t="n"/>
      <c r="X479" s="3" t="n"/>
      <c r="Y479" s="3" t="inlineStr">
        <is>
          <t>NOTHING OPEN</t>
        </is>
      </c>
    </row>
    <row r="480" ht="60" customHeight="1">
      <c r="A480" s="3" t="inlineStr">
        <is>
          <t>MK-ST-F-037</t>
        </is>
      </c>
      <c r="B480" s="3" t="inlineStr">
        <is>
          <t>pendingUpload</t>
        </is>
      </c>
      <c r="C480" s="3" t="inlineStr">
        <is>
          <t>Calculation Module code/engines/snapshots.ts</t>
        </is>
      </c>
      <c r="D480" s="3" t="n">
        <v>570</v>
      </c>
      <c r="E480" s="3" t="inlineStr">
        <is>
          <t>3 · DEPENDENT (feeds an action only)</t>
        </is>
      </c>
      <c r="F480" s="3" t="inlineStr">
        <is>
          <t>── the later cloud sync ──────────────────────────────────────────────────────────────────────── Everything not yet uploaded, oldest first.</t>
        </is>
      </c>
      <c r="G480" s="11" t="inlineStr">
        <is>
          <t>days where last uploaded is missing (or date &gt; last uploaded when missing or zero)</t>
        </is>
      </c>
      <c r="H480" s="3" t="inlineStr">
        <is>
          <t>days where last uploaded is missing (or date &gt; last uploaded — when missing or zero).</t>
        </is>
      </c>
      <c r="I480" s="3" t="inlineStr">
        <is>
          <t>READ FROM THE CODE — rendered from the expressions the function runs</t>
        </is>
      </c>
      <c r="J480" s="3" t="inlineStr">
        <is>
          <t>1. days: SnapshotDay[]
2. lastUploaded: string | null</t>
        </is>
      </c>
      <c r="K480" s="3" t="inlineStr">
        <is>
          <t>SnapshotDay[]</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MK-ST-F-038</t>
        </is>
      </c>
      <c r="B481" s="3" t="inlineStr">
        <is>
          <t>windowBounds</t>
        </is>
      </c>
      <c r="C481" s="3" t="inlineStr">
        <is>
          <t>Calculation Module code/engines/window-return.ts</t>
        </is>
      </c>
      <c r="D481" s="3" t="n">
        <v>109</v>
      </c>
      <c r="E481" s="3" t="inlineStr">
        <is>
          <t>2 · DISPLAYED</t>
        </is>
      </c>
      <c r="F481" s="3" t="inlineStr">
        <is>
          <t>NOT DETERMINED — the code carries no note saying what this is for, and it has no row in the old inventory. Needs reading.</t>
        </is>
      </c>
      <c r="G481" s="11" t="inlineStr">
        <is>
          <t>beginning as of = the day before the start
days = round((end − start) in days) + 1</t>
        </is>
      </c>
      <c r="H481" s="3" t="inlineStr">
        <is>
          <t>The bounds of a return window: the beginning value is read on the day BEFORE the start, and the window's length counts both boundary days (brief D3, 2026-08-20).</t>
        </is>
      </c>
      <c r="I481" s="3" t="inlineStr">
        <is>
          <t>READ BY HAND 2026-08-26 — checked line by line against the code</t>
        </is>
      </c>
      <c r="J481" s="3" t="inlineStr">
        <is>
          <t>1. start: string
2. end: string</t>
        </is>
      </c>
      <c r="K481" s="3" t="inlineStr">
        <is>
          <t>WindowBounds</t>
        </is>
      </c>
      <c r="L481" s="3" t="inlineStr">
        <is>
          <t>NOT FOUND — a screen calls it, but the words printed beside its answer could not be traced automatically. Needs reading.</t>
        </is>
      </c>
      <c r="M481" s="3" t="inlineStr">
        <is>
          <t>· Rounds the answer to a whole number.</t>
        </is>
      </c>
      <c r="N481" s="3" t="inlineStr">
        <is>
          <t>Yes</t>
        </is>
      </c>
      <c r="O481" s="3" t="inlineStr">
        <is>
          <t>1. MK-ST-F-063 shiftDay
2. MK-ST-F-062 toUtc</t>
        </is>
      </c>
      <c r="P481" s="3" t="n">
        <v>2</v>
      </c>
      <c r="Q481" s="3" t="inlineStr">
        <is>
          <t>1. MK-ST-F-063 shiftDay
2. MK-ST-F-062 toUtc</t>
        </is>
      </c>
      <c r="R481" s="3" t="inlineStr">
        <is>
          <t>1. MK-ST-F-062 toUtc → MK-ST-F-063 shiftDay → MK-ST-F-038 windowBounds
2. MK-ST-F-062 toUtc → MK-ST-F-038 windowBounds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MK-ST-F-039</t>
        </is>
      </c>
      <c r="B482" s="3" t="inlineStr">
        <is>
          <t>on</t>
        </is>
      </c>
      <c r="C482" s="3" t="inlineStr">
        <is>
          <t>src/domain/_shared/eventBus.ts</t>
        </is>
      </c>
      <c r="D482" s="3" t="n">
        <v>40</v>
      </c>
      <c r="E482" s="3" t="inlineStr">
        <is>
          <t>2 · DISPLAYED</t>
        </is>
      </c>
      <c r="F482" s="3" t="inlineStr">
        <is>
          <t>NOT DETERMINED — the code carries no note saying what this is for, and it has no row in the old inventory. Needs reading.</t>
        </is>
      </c>
      <c r="G482" s="11" t="inlineStr">
        <is>
          <t>() =&gt; handlers[event type].delete(handler as handler)</t>
        </is>
      </c>
      <c r="H482" s="3" t="inlineStr">
        <is>
          <t>() =&gt; handlers[event type].delete(handler as handler).</t>
        </is>
      </c>
      <c r="I482" s="3" t="inlineStr">
        <is>
          <t>PARTLY READ — some of the code is still showing through; needs a hand pass</t>
        </is>
      </c>
      <c r="J482" s="3" t="inlineStr">
        <is>
          <t>1. eventType: string
2. handler: Handler&lt;T&gt;</t>
        </is>
      </c>
      <c r="K482" s="3" t="inlineStr">
        <is>
          <t>()</t>
        </is>
      </c>
      <c r="L482" s="3" t="inlineStr">
        <is>
          <t>NOT FOUND — a screen calls it, but the words printed beside its answer could not be traced automatically. Needs reading.</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MK-ST-F-040</t>
        </is>
      </c>
      <c r="B483" s="3" t="inlineStr">
        <is>
          <t>emit</t>
        </is>
      </c>
      <c r="C483" s="3" t="inlineStr">
        <is>
          <t>src/domain/_shared/eventBus.ts</t>
        </is>
      </c>
      <c r="D483" s="3" t="n">
        <v>67</v>
      </c>
      <c r="E483" s="3" t="inlineStr">
        <is>
          <t>1 · ACTION</t>
        </is>
      </c>
      <c r="F483" s="3" t="inlineStr">
        <is>
          <t>NOT DETERMINED — the code carries no note saying what this is for, and it has no row in the old inventory. Needs reading.</t>
        </is>
      </c>
      <c r="G483" s="11" t="inlineStr">
        <is>
          <t>It records or announces something and returns no figure — no arithmetic of its own.</t>
        </is>
      </c>
      <c r="H483" s="3" t="inlineStr">
        <is>
          <t>It records or announces something and returns no figure — no arithmetic of its own.</t>
        </is>
      </c>
      <c r="I483" s="3" t="inlineStr">
        <is>
          <t>NO ARITHMETIC — there is no formula to state</t>
        </is>
      </c>
      <c r="J483" s="3" t="inlineStr">
        <is>
          <t>1. eventType: string
2. payload: T</t>
        </is>
      </c>
      <c r="K483" s="3" t="inlineStr">
        <is>
          <t>void</t>
        </is>
      </c>
      <c r="L483" s="3" t="inlineStr">
        <is>
          <t>—</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MK-ST-F-041</t>
        </is>
      </c>
      <c r="B484" s="3" t="inlineStr">
        <is>
          <t>getUserDoc</t>
        </is>
      </c>
      <c r="C484" s="3" t="inlineStr">
        <is>
          <t>src/domain/_shared/firestore.ts</t>
        </is>
      </c>
      <c r="D484" s="3" t="n">
        <v>27</v>
      </c>
      <c r="E484" s="3" t="inlineStr">
        <is>
          <t>4 · BRINGS DATA IN</t>
        </is>
      </c>
      <c r="F484" s="3" t="inlineStr">
        <is>
          <t>Read a single-document-per-user collection (e.g.</t>
        </is>
      </c>
      <c r="G484" s="11" t="inlineStr">
        <is>
          <t>snap = await get doc(doc(db, collection name, uid))
the answer:
snap.data() as T   if snap.exists()
nothing   otherwise</t>
        </is>
      </c>
      <c r="H484" s="3" t="inlineStr">
        <is>
          <t>Snap is await get doc(doc(db, collection name, uid)). The answer is snap.data() as T — when snap.exists(); no answer — otherwise.</t>
        </is>
      </c>
      <c r="I484" s="3" t="inlineStr">
        <is>
          <t>PARTLY READ — some of the code is still showing through; needs a hand pass</t>
        </is>
      </c>
      <c r="J484" s="3" t="inlineStr">
        <is>
          <t>1. collectionName: string
2. uid: UserId</t>
        </is>
      </c>
      <c r="K484" s="3" t="inlineStr">
        <is>
          <t>Promise&lt;T | null&gt;</t>
        </is>
      </c>
      <c r="L484" s="3" t="inlineStr">
        <is>
          <t>—</t>
        </is>
      </c>
      <c r="M484" s="3" t="inlineStr">
        <is>
          <t>None found in this function — anything it assumes comes from the functions it depends on.</t>
        </is>
      </c>
      <c r="N484" s="3" t="inlineStr">
        <is>
          <t>No</t>
        </is>
      </c>
      <c r="O484" s="3" t="inlineStr">
        <is>
          <t>MK-XS-F-175 uid</t>
        </is>
      </c>
      <c r="P484" s="3" t="n">
        <v>80</v>
      </c>
      <c r="Q48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MK-ST-F-042</t>
        </is>
      </c>
      <c r="B485" s="3" t="inlineStr">
        <is>
          <t>setUserDoc</t>
        </is>
      </c>
      <c r="C485" s="3" t="inlineStr">
        <is>
          <t>src/domain/_shared/firestore.ts</t>
        </is>
      </c>
      <c r="D485" s="3" t="n">
        <v>55</v>
      </c>
      <c r="E485" s="3" t="inlineStr">
        <is>
          <t>1 · ACTION</t>
        </is>
      </c>
      <c r="F485" s="3" t="inlineStr">
        <is>
          <t>Write/merge a single-document-per-user collection, stamping last_updated.</t>
        </is>
      </c>
      <c r="G485" s="11" t="inlineStr">
        <is>
          <t>It reaches outside the app for data and hands back what came back — no arithmetic of its own.</t>
        </is>
      </c>
      <c r="H485" s="3" t="inlineStr">
        <is>
          <t>It reaches outside the app for data and hands back what came back — no arithmetic of its own.</t>
        </is>
      </c>
      <c r="I485" s="3" t="inlineStr">
        <is>
          <t>NO ARITHMETIC — there is no formula to state</t>
        </is>
      </c>
      <c r="J485" s="3" t="inlineStr">
        <is>
          <t>1. collectionName: string
2. uid: UserId
3. data: T</t>
        </is>
      </c>
      <c r="K485" s="3" t="inlineStr">
        <is>
          <t>Promise&lt;void&gt;</t>
        </is>
      </c>
      <c r="L485" s="3" t="inlineStr">
        <is>
          <t>—</t>
        </is>
      </c>
      <c r="M485" s="3" t="inlineStr">
        <is>
          <t>None found in this function — anything it assumes comes from the functions it depends on.</t>
        </is>
      </c>
      <c r="N485" s="3" t="inlineStr">
        <is>
          <t>Yes</t>
        </is>
      </c>
      <c r="O485" s="3" t="inlineStr">
        <is>
          <t>MK-XS-F-175 uid</t>
        </is>
      </c>
      <c r="P485" s="3" t="n">
        <v>80</v>
      </c>
      <c r="Q48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5" s="3" t="inlineStr">
        <is>
          <t>—</t>
        </is>
      </c>
      <c r="T485" s="3" t="inlineStr">
        <is>
          <t>—</t>
        </is>
      </c>
      <c r="U485" s="3" t="inlineStr">
        <is>
          <t>ACTIVE</t>
        </is>
      </c>
      <c r="V485" s="3" t="inlineStr">
        <is>
          <t>2026-08-27</t>
        </is>
      </c>
      <c r="W485" s="3" t="n"/>
      <c r="X485" s="3" t="n"/>
      <c r="Y485" s="3" t="inlineStr">
        <is>
          <t>NOTHING OPEN</t>
        </is>
      </c>
    </row>
    <row r="486" ht="45" customHeight="1">
      <c r="A486" s="3" t="inlineStr">
        <is>
          <t>MK-ST-F-043</t>
        </is>
      </c>
      <c r="B486" s="3" t="inlineStr">
        <is>
          <t>newEntityId</t>
        </is>
      </c>
      <c r="C486" s="3" t="inlineStr">
        <is>
          <t>src/domain/_shared/ids.ts</t>
        </is>
      </c>
      <c r="D486" s="3" t="n">
        <v>40</v>
      </c>
      <c r="E486" s="3" t="inlineStr">
        <is>
          <t>2 · DISPLAYED</t>
        </is>
      </c>
      <c r="F486" s="3" t="inlineStr">
        <is>
          <t>What do we call this new thing?</t>
        </is>
      </c>
      <c r="G486" s="11" t="inlineStr">
        <is>
          <t>`${prefix}_${date.now().to string(36)}${math.random().to string(36).slice(2, 8)}`</t>
        </is>
      </c>
      <c r="H486" s="3" t="inlineStr">
        <is>
          <t>`${prefix}_${date.now().to string(36)}${math.random().to string(36).slice(2, 8)}`.</t>
        </is>
      </c>
      <c r="I486" s="3" t="inlineStr">
        <is>
          <t>PARTLY READ — some of the code is still showing through; needs a hand pass</t>
        </is>
      </c>
      <c r="J486" s="3" t="inlineStr">
        <is>
          <t>prefix: string</t>
        </is>
      </c>
      <c r="K486" s="3" t="inlineStr">
        <is>
          <t>EntityId</t>
        </is>
      </c>
      <c r="L486" s="3" t="inlineStr">
        <is>
          <t>NOT FOUND — a screen calls it, but the words printed beside its answer could not be traced automatically. Needs reading.</t>
        </is>
      </c>
      <c r="M486" s="3" t="inlineStr">
        <is>
          <t>· Uses today's date from the device clock, so the answer changes by itself overnight.</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NEW_ID</t>
        </is>
      </c>
      <c r="U486" s="3" t="inlineStr">
        <is>
          <t>ACTIVE</t>
        </is>
      </c>
      <c r="V486" s="3" t="inlineStr">
        <is>
          <t>2026-08-27</t>
        </is>
      </c>
      <c r="W486" s="3" t="n"/>
      <c r="X486" s="3" t="n"/>
      <c r="Y486" s="3" t="inlineStr">
        <is>
          <t>NOTHING OPEN</t>
        </is>
      </c>
    </row>
    <row r="487" ht="60" customHeight="1">
      <c r="A487" s="3" t="inlineStr">
        <is>
          <t>MK-ST-F-044</t>
        </is>
      </c>
      <c r="B487" s="3" t="inlineStr">
        <is>
          <t>setMoneyFormat</t>
        </is>
      </c>
      <c r="C487" s="3" t="inlineStr">
        <is>
          <t>src/domain/_shared/money.ts</t>
        </is>
      </c>
      <c r="D487" s="3" t="n">
        <v>56</v>
      </c>
      <c r="E487" s="3" t="inlineStr">
        <is>
          <t>1 · ACTION</t>
        </is>
      </c>
      <c r="F487" s="3" t="inlineStr">
        <is>
          <t>NOT DETERMINED — the code carries no note saying what this is for, and it has no row in the old inventory. Needs reading.</t>
        </is>
      </c>
      <c r="G487" s="11" t="inlineStr">
        <is>
          <t>c = CURRENCIES.find((x) =&gt; code = currency)</t>
        </is>
      </c>
      <c r="H487" s="3" t="inlineStr">
        <is>
          <t>C is CURRENCIES.find((x) =&gt; code = currency).</t>
        </is>
      </c>
      <c r="I487" s="3" t="inlineStr">
        <is>
          <t>PARTLY READ — some of the code is still showing through; needs a hand pass</t>
        </is>
      </c>
      <c r="J487" s="3" t="inlineStr">
        <is>
          <t>1. currency?: string | null
2. locale?: string | null</t>
        </is>
      </c>
      <c r="K487" s="3" t="inlineStr">
        <is>
          <t>NOT DECLARED — the code does not say what it gives back</t>
        </is>
      </c>
      <c r="L487" s="3" t="inlineStr">
        <is>
          <t>—</t>
        </is>
      </c>
      <c r="M487" s="3" t="inlineStr">
        <is>
          <t>None found in this function — anything it assumes comes from the functions it depends on.</t>
        </is>
      </c>
      <c r="N487" s="3" t="inlineStr">
        <is>
          <t>Yes</t>
        </is>
      </c>
      <c r="O487" s="3" t="inlineStr">
        <is>
          <t>1. MK-ST-F-053 money
2. MK-ST-F-055 round2</t>
        </is>
      </c>
      <c r="P487" s="3" t="n">
        <v>7</v>
      </c>
      <c r="Q487" s="3" t="inlineStr">
        <is>
          <t>1. MK-ST-F-053 money
2. MK-ST-F-055 round2
3. MK-ST-F-049 formatMoney
4. MK-XS-F-122 n
5. MK-ST-F-048 currencySymbol
6. MK-ST-F-039 on
7. MK-ST-F-047 activeCurrency</t>
        </is>
      </c>
      <c r="R48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MK-ST-F-045</t>
        </is>
      </c>
      <c r="B488" s="3" t="inlineStr">
        <is>
          <t>setHideBalances</t>
        </is>
      </c>
      <c r="C488" s="3" t="inlineStr">
        <is>
          <t>src/domain/_shared/money.ts</t>
        </is>
      </c>
      <c r="D488" s="3" t="n">
        <v>88</v>
      </c>
      <c r="E488" s="3" t="inlineStr">
        <is>
          <t>1 · ACTION</t>
        </is>
      </c>
      <c r="F488" s="3" t="inlineStr">
        <is>
          <t>NOT DETERMINED — the code carries no note saying what this is for, and it has no row in the old inventory. Needs reading.</t>
        </is>
      </c>
      <c r="G488" s="11" t="inlineStr">
        <is>
          <t>It records or announces something and returns no figure — no arithmetic of its own.</t>
        </is>
      </c>
      <c r="H488" s="3" t="inlineStr">
        <is>
          <t>It records or announces something and returns no figure — no arithmetic of its own.</t>
        </is>
      </c>
      <c r="I488" s="3" t="inlineStr">
        <is>
          <t>NO ARITHMETIC — there is no formula to state</t>
        </is>
      </c>
      <c r="J488" s="3" t="inlineStr">
        <is>
          <t>b: boolean</t>
        </is>
      </c>
      <c r="K488" s="3" t="inlineStr">
        <is>
          <t>NOT DECLARED — the code does not say what it gives back</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MK-ST-F-046</t>
        </is>
      </c>
      <c r="B489" s="3" t="inlineStr">
        <is>
          <t>balancesHidden</t>
        </is>
      </c>
      <c r="C489" s="3" t="inlineStr">
        <is>
          <t>src/domain/_shared/money.ts</t>
        </is>
      </c>
      <c r="D489" s="3" t="n">
        <v>104</v>
      </c>
      <c r="E489" s="3" t="inlineStr">
        <is>
          <t>3 · DEPENDENT (feeds an action only)</t>
        </is>
      </c>
      <c r="F489" s="3" t="inlineStr">
        <is>
          <t>NOT DETERMINED — the code carries no note saying what this is for, and it has no row in the old inventory. Needs reading.</t>
        </is>
      </c>
      <c r="G489" s="11" t="inlineStr">
        <is>
          <t>the answer = the hide-balances switch</t>
        </is>
      </c>
      <c r="H489" s="3" t="inlineStr">
        <is>
          <t>Whether the person has hidden balances on screen. No arithmetic.</t>
        </is>
      </c>
      <c r="I489" s="3" t="inlineStr">
        <is>
          <t>READ BY HAND 2026-08-26 — checked line by line against the code</t>
        </is>
      </c>
      <c r="J489" s="3" t="inlineStr">
        <is>
          <t>Nothing is handed to it</t>
        </is>
      </c>
      <c r="K489" s="3" t="inlineStr">
        <is>
          <t>boolean</t>
        </is>
      </c>
      <c r="L489" s="3" t="inlineStr">
        <is>
          <t>—</t>
        </is>
      </c>
      <c r="M489" s="3" t="inlineStr">
        <is>
          <t>None found in this function — anything it assumes comes from the functions it depends on.</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2026-09-12</t>
        </is>
      </c>
      <c r="W489" s="3" t="n"/>
      <c r="X489" s="3" t="n"/>
      <c r="Y489" s="3" t="inlineStr">
        <is>
          <t>NOTHING OPEN</t>
        </is>
      </c>
    </row>
    <row r="490" ht="45" customHeight="1">
      <c r="A490" s="3" t="inlineStr">
        <is>
          <t>MK-ST-F-047</t>
        </is>
      </c>
      <c r="B490" s="3" t="inlineStr">
        <is>
          <t>activeCurrency</t>
        </is>
      </c>
      <c r="C490" s="3" t="inlineStr">
        <is>
          <t>src/domain/_shared/money.ts</t>
        </is>
      </c>
      <c r="D490" s="3" t="n">
        <v>133</v>
      </c>
      <c r="E490" s="3" t="inlineStr">
        <is>
          <t>3 · DEPENDENT</t>
        </is>
      </c>
      <c r="F490" s="3" t="inlineStr">
        <is>
          <t>Which currency is the app showing?</t>
        </is>
      </c>
      <c r="G490" s="11" t="inlineStr">
        <is>
          <t>the first of CURRENCIES.find((c) =&gt; code = code) (or CURRENCIES when missing)</t>
        </is>
      </c>
      <c r="H490" s="3" t="inlineStr">
        <is>
          <t>the first of CURRENCIES.find((c) =&gt; code = code) (or CURRENCIES — when missing).</t>
        </is>
      </c>
      <c r="I490" s="3" t="inlineStr">
        <is>
          <t>PARTLY READ — some of the code is still showing through; needs a hand pass</t>
        </is>
      </c>
      <c r="J490" s="3" t="inlineStr">
        <is>
          <t>Nothing is handed to it</t>
        </is>
      </c>
      <c r="K490" s="3" t="inlineStr">
        <is>
          <t>Currency</t>
        </is>
      </c>
      <c r="L490" s="3" t="inlineStr">
        <is>
          <t>—</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CURRENCY</t>
        </is>
      </c>
      <c r="U490" s="3" t="inlineStr">
        <is>
          <t>ACTIVE</t>
        </is>
      </c>
      <c r="V490" s="3" t="inlineStr">
        <is>
          <t>2026-08-27</t>
        </is>
      </c>
      <c r="W490" s="3" t="n"/>
      <c r="X490" s="3" t="n"/>
      <c r="Y490" s="3" t="inlineStr">
        <is>
          <t>NOTHING OPEN</t>
        </is>
      </c>
    </row>
    <row r="491" ht="60" customHeight="1">
      <c r="A491" s="3" t="inlineStr">
        <is>
          <t>MK-ST-F-048</t>
        </is>
      </c>
      <c r="B491" s="3" t="inlineStr">
        <is>
          <t>currencySymbol</t>
        </is>
      </c>
      <c r="C491" s="3" t="inlineStr">
        <is>
          <t>src/domain/_shared/money.ts</t>
        </is>
      </c>
      <c r="D491" s="3" t="n">
        <v>164</v>
      </c>
      <c r="E491" s="3" t="inlineStr">
        <is>
          <t>2 · DISPLAYED</t>
        </is>
      </c>
      <c r="F491" s="3" t="inlineStr">
        <is>
          <t>NOT DETERMINED — the code carries no note saying what this is for, and it has no row in the old inventory. Needs reading.</t>
        </is>
      </c>
      <c r="G491" s="11" t="inlineStr">
        <is>
          <t>active currency().symbol</t>
        </is>
      </c>
      <c r="H491" s="3" t="inlineStr">
        <is>
          <t>active currency().symbol.</t>
        </is>
      </c>
      <c r="I491" s="3" t="inlineStr">
        <is>
          <t>PARTLY READ — some of the code is still showing through; needs a hand pass</t>
        </is>
      </c>
      <c r="J491" s="3" t="inlineStr">
        <is>
          <t>Nothing is handed to it</t>
        </is>
      </c>
      <c r="K491" s="3" t="inlineStr">
        <is>
          <t>string</t>
        </is>
      </c>
      <c r="L491"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91" s="3" t="inlineStr">
        <is>
          <t>None found in this function — anything it assumes comes from the functions it depends on.</t>
        </is>
      </c>
      <c r="N491" s="3" t="inlineStr">
        <is>
          <t>Yes</t>
        </is>
      </c>
      <c r="O491" s="3" t="inlineStr">
        <is>
          <t>MK-ST-F-047 activeCurrency</t>
        </is>
      </c>
      <c r="P491" s="3" t="n">
        <v>1</v>
      </c>
      <c r="Q491" s="3" t="inlineStr">
        <is>
          <t>MK-ST-F-047 activeCurrency</t>
        </is>
      </c>
      <c r="R491" s="3" t="inlineStr">
        <is>
          <t>MK-ST-F-047 activeCurrency → MK-ST-F-048 currencySymbol</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MK-ST-F-049</t>
        </is>
      </c>
      <c r="B492" s="3" t="inlineStr">
        <is>
          <t>formatMoney</t>
        </is>
      </c>
      <c r="C492" s="3" t="inlineStr">
        <is>
          <t>src/domain/_shared/money.ts</t>
        </is>
      </c>
      <c r="D492" s="3" t="n">
        <v>208</v>
      </c>
      <c r="E492" s="3" t="inlineStr">
        <is>
          <t>2 · DISPLAYED</t>
        </is>
      </c>
      <c r="F492" s="3" t="inlineStr">
        <is>
          <t>Full amount, no minor units (matches the app's whole-number money style), locale-grouped.</t>
        </is>
      </c>
      <c r="G492" s="11" t="inlineStr">
        <is>
          <t>BALANCE_MASK   when hide
NOT_A_NUMBER   when !number.is finite(n)
v = round(n)
the answer = new intl.number format(locale, { style: 'currency', currency: code, maximum fraction digits: 0 }).format(v)
neg = '-'   if v &lt; 0
''   otherwise</t>
        </is>
      </c>
      <c r="H492" s="3" t="inlineStr">
        <is>
          <t>When hide, it answers BALANCE_MASK. When !number.is finite(n), it answers NOT_A_NUMBER. V is n, to a whole number. The answer is new intl.number format(locale, { style: 'currency', currency: code, maximum fraction digits: 0 }).format(v). Neg is '-' — when v &lt; 0; '' — otherwise.</t>
        </is>
      </c>
      <c r="I492" s="3" t="inlineStr">
        <is>
          <t>PARTLY READ — some of the code is still showing through; needs a hand pass</t>
        </is>
      </c>
      <c r="J492" s="3" t="inlineStr">
        <is>
          <t>n: number</t>
        </is>
      </c>
      <c r="K492" s="3" t="inlineStr">
        <is>
          <t>string</t>
        </is>
      </c>
      <c r="L492" s="3" t="inlineStr">
        <is>
          <t>NOT FOUND — a screen calls it, but the words printed beside its answer could not be traced automatically. Needs reading.</t>
        </is>
      </c>
      <c r="M492" s="3" t="inlineStr">
        <is>
          <t>· Rounds the answer to a whole number.</t>
        </is>
      </c>
      <c r="N492" s="3" t="inlineStr">
        <is>
          <t>Yes</t>
        </is>
      </c>
      <c r="O492" s="3" t="inlineStr">
        <is>
          <t>1. MK-ST-F-048 currencySymbol
2. MK-XS-F-122 n
3. MK-ST-F-039 on</t>
        </is>
      </c>
      <c r="P492" s="3" t="n">
        <v>4</v>
      </c>
      <c r="Q492" s="3" t="inlineStr">
        <is>
          <t>1. MK-ST-F-048 currencySymbol
2. MK-XS-F-122 n
3. MK-ST-F-039 on
4. MK-ST-F-047 activeCurrency</t>
        </is>
      </c>
      <c r="R492" s="3" t="inlineStr">
        <is>
          <t>1. MK-ST-F-047 activeCurrency → MK-ST-F-048 currencySymbol → MK-ST-F-049 formatMoney
2. MK-XS-F-122 n → MK-ST-F-049 formatMoney
3. MK-ST-F-039 on → MK-ST-F-049 formatMoney</t>
        </is>
      </c>
      <c r="S492" s="3" t="inlineStr">
        <is>
          <t>—</t>
        </is>
      </c>
      <c r="T492" s="3" t="inlineStr">
        <is>
          <t>MONEY_IN_WORDS</t>
        </is>
      </c>
      <c r="U492" s="3" t="inlineStr">
        <is>
          <t>ACTIVE</t>
        </is>
      </c>
      <c r="V492" s="3" t="inlineStr">
        <is>
          <t>2026-08-27</t>
        </is>
      </c>
      <c r="W492" s="3" t="n"/>
      <c r="X492" s="3" t="n"/>
      <c r="Y492" s="3" t="inlineStr">
        <is>
          <t>NOTHING OPEN</t>
        </is>
      </c>
    </row>
    <row r="493" ht="60" customHeight="1">
      <c r="A493" s="3" t="inlineStr">
        <is>
          <t>MK-ST-F-050</t>
        </is>
      </c>
      <c r="B493" s="3" t="inlineStr">
        <is>
          <t>formatMoneyCents</t>
        </is>
      </c>
      <c r="C493" s="3" t="inlineStr">
        <is>
          <t>src/domain/_shared/money.ts</t>
        </is>
      </c>
      <c r="D493" s="3" t="n">
        <v>247</v>
      </c>
      <c r="E493" s="3" t="inlineStr">
        <is>
          <t>3 · DEPENDENT</t>
        </is>
      </c>
      <c r="F493" s="3" t="inlineStr">
        <is>
          <t>Same as formatMoney but keeps 2 decimal places — for precise amounts (transactions, holdings, recurring lines).</t>
        </is>
      </c>
      <c r="G493" s="11" t="inlineStr">
        <is>
          <t>BALANCE_MASK   when hide
NOT_A_NUMBER   when !number.is finite(n)
v = n
the answer = new intl.number format(locale, { style: 'currency', currency: code, minimum fraction digits: 2, maximum fraction digits: 2 }).format(v)
neg = '-'   if v &lt; 0
''   otherwise</t>
        </is>
      </c>
      <c r="H49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3" s="3" t="inlineStr">
        <is>
          <t>PARTLY READ — some of the code is still showing through; needs a hand pass</t>
        </is>
      </c>
      <c r="J493" s="3" t="inlineStr">
        <is>
          <t>n: number</t>
        </is>
      </c>
      <c r="K493" s="3" t="inlineStr">
        <is>
          <t>string</t>
        </is>
      </c>
      <c r="L493" s="3" t="inlineStr">
        <is>
          <t>—</t>
        </is>
      </c>
      <c r="M493" s="3" t="inlineStr">
        <is>
          <t>None found in this function — anything it assumes comes from the functions it depends on.</t>
        </is>
      </c>
      <c r="N493" s="3" t="inlineStr">
        <is>
          <t>Yes</t>
        </is>
      </c>
      <c r="O493" s="3" t="inlineStr">
        <is>
          <t>1. MK-ST-F-048 currencySymbol
2. MK-XS-F-122 n</t>
        </is>
      </c>
      <c r="P493" s="3" t="n">
        <v>3</v>
      </c>
      <c r="Q493" s="3" t="inlineStr">
        <is>
          <t>1. MK-ST-F-048 currencySymbol
2. MK-XS-F-122 n
3. MK-ST-F-047 activeCurrency</t>
        </is>
      </c>
      <c r="R493" s="3" t="inlineStr">
        <is>
          <t>1. MK-ST-F-047 activeCurrency → MK-ST-F-048 currencySymbol → MK-ST-F-050 formatMoneyCents
2. MK-XS-F-122 n → MK-ST-F-050 formatMoneyCents</t>
        </is>
      </c>
      <c r="S493" s="3" t="inlineStr">
        <is>
          <t>—</t>
        </is>
      </c>
      <c r="T493" s="3" t="inlineStr">
        <is>
          <t>MONEY_IN_WORDS_WITH_CENTS</t>
        </is>
      </c>
      <c r="U493" s="3" t="inlineStr">
        <is>
          <t>ACTIVE</t>
        </is>
      </c>
      <c r="V493" s="3" t="inlineStr">
        <is>
          <t>2026-08-27</t>
        </is>
      </c>
      <c r="W493" s="3" t="n"/>
      <c r="X493" s="3" t="n"/>
      <c r="Y493" s="3" t="inlineStr">
        <is>
          <t>NOTHING OPEN</t>
        </is>
      </c>
    </row>
    <row r="494" ht="60" customHeight="1">
      <c r="A494" s="3" t="inlineStr">
        <is>
          <t>MK-ST-F-051</t>
        </is>
      </c>
      <c r="B494" s="3" t="inlineStr">
        <is>
          <t>moneyCompact</t>
        </is>
      </c>
      <c r="C494" s="3" t="inlineStr">
        <is>
          <t>src/domain/_shared/money.ts</t>
        </is>
      </c>
      <c r="D494" s="3" t="n">
        <v>287</v>
      </c>
      <c r="E494" s="3" t="inlineStr">
        <is>
          <t>2 · DISPLAYED</t>
        </is>
      </c>
      <c r="F494" s="3" t="inlineStr">
        <is>
          <t>Compact form for tight spaces (chart labels, donut center).</t>
        </is>
      </c>
      <c r="G494" s="11" t="inlineStr">
        <is>
          <t>BALANCE_MASK   when hide
s = currency symbol()
neg = '-'   if n &lt; 0
''   otherwise
a = size of(n)
`${neg}${s}${(a ÷ 1e6).to fixed(2).replace( ÷ \.?0+$ ÷ , '')}${style}`   when a ≥ 1e6
`${neg}${s}${math.round(a ÷ 1e3)}K`   when a ≥ 1e3
the answer = `${neg}${s}${math.round(a)}`</t>
        </is>
      </c>
      <c r="H49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4" s="3" t="inlineStr">
        <is>
          <t>PARTLY READ — some of the code is still showing through; needs a hand pass</t>
        </is>
      </c>
      <c r="J494" s="3" t="inlineStr">
        <is>
          <t>1. n: number
2. style: 'M' | 'MM' = 'MM'</t>
        </is>
      </c>
      <c r="K494" s="3" t="inlineStr">
        <is>
          <t>string</t>
        </is>
      </c>
      <c r="L49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4" s="3" t="inlineStr">
        <is>
          <t>1. Rounds the answer to a whole number.
2. Shows 2 decimal places.</t>
        </is>
      </c>
      <c r="N494" s="3" t="inlineStr">
        <is>
          <t>Yes</t>
        </is>
      </c>
      <c r="O494" s="3" t="inlineStr">
        <is>
          <t>1. MK-ST-F-048 currencySymbol
2. MK-XS-F-122 n</t>
        </is>
      </c>
      <c r="P494" s="3" t="n">
        <v>3</v>
      </c>
      <c r="Q494" s="3" t="inlineStr">
        <is>
          <t>1. MK-ST-F-048 currencySymbol
2. MK-XS-F-122 n
3. MK-ST-F-047 activeCurrency</t>
        </is>
      </c>
      <c r="R494" s="3" t="inlineStr">
        <is>
          <t>1. MK-ST-F-047 activeCurrency → MK-ST-F-048 currencySymbol → MK-ST-F-051 moneyCompact
2. MK-XS-F-122 n → MK-ST-F-051 moneyCompact</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MK-ST-F-052</t>
        </is>
      </c>
      <c r="B495" s="3" t="inlineStr">
        <is>
          <t>toNum</t>
        </is>
      </c>
      <c r="C495" s="3" t="inlineStr">
        <is>
          <t>src/domain/_shared/num.ts</t>
        </is>
      </c>
      <c r="D495" s="3" t="n">
        <v>66</v>
      </c>
      <c r="E495" s="3" t="inlineStr">
        <is>
          <t>3 · DEPENDENT</t>
        </is>
      </c>
      <c r="F495" s="3" t="inlineStr">
        <is>
          <t>What number did the person actually type?</t>
        </is>
      </c>
      <c r="G495" s="11" t="inlineStr">
        <is>
          <t>n = parse float(string(v ?? '').replace( ÷ [^0 − 9.\-] ÷ g, ''))
the answer:
n   if number.is finite(n)
0   otherwise</t>
        </is>
      </c>
      <c r="H495" s="3" t="inlineStr">
        <is>
          <t>N is parse float(string(v ?? '').replace( divided by [^0 minus 9.\-] divided by g, '')). The answer is n — when number.is finite(n); 0 — otherwise.</t>
        </is>
      </c>
      <c r="I495" s="3" t="inlineStr">
        <is>
          <t>PARTLY READ — some of the code is still showing through; needs a hand pass</t>
        </is>
      </c>
      <c r="J495" s="3" t="inlineStr">
        <is>
          <t>v: any</t>
        </is>
      </c>
      <c r="K495" s="3" t="inlineStr">
        <is>
          <t>number</t>
        </is>
      </c>
      <c r="L495" s="3" t="inlineStr">
        <is>
          <t>—</t>
        </is>
      </c>
      <c r="M495" s="3" t="inlineStr">
        <is>
          <t>None found in this function — anything it assumes comes from the functions it depends on.</t>
        </is>
      </c>
      <c r="N495" s="3" t="inlineStr">
        <is>
          <t>Yes</t>
        </is>
      </c>
      <c r="O495" s="3" t="inlineStr">
        <is>
          <t>MK-XS-F-122 n</t>
        </is>
      </c>
      <c r="P495" s="3" t="n">
        <v>1</v>
      </c>
      <c r="Q495" s="3" t="inlineStr">
        <is>
          <t>MK-XS-F-122 n</t>
        </is>
      </c>
      <c r="R495" s="3" t="inlineStr">
        <is>
          <t>MK-XS-F-122 n → MK-ST-F-052 toNum</t>
        </is>
      </c>
      <c r="S495" s="3" t="inlineStr">
        <is>
          <t>—</t>
        </is>
      </c>
      <c r="T495" s="3" t="inlineStr">
        <is>
          <t>READ_A_NUMBER</t>
        </is>
      </c>
      <c r="U495" s="3" t="inlineStr">
        <is>
          <t>ACTIVE</t>
        </is>
      </c>
      <c r="V495" s="3" t="inlineStr">
        <is>
          <t>2026-08-27</t>
        </is>
      </c>
      <c r="W495" s="3" t="n"/>
      <c r="X495" s="3" t="n"/>
      <c r="Y495" s="3" t="inlineStr">
        <is>
          <t>NOTHING OPEN</t>
        </is>
      </c>
    </row>
    <row r="496" ht="60" customHeight="1">
      <c r="A496" s="3" t="inlineStr">
        <is>
          <t>MK-ST-F-053</t>
        </is>
      </c>
      <c r="B496" s="3" t="inlineStr">
        <is>
          <t>money</t>
        </is>
      </c>
      <c r="C496" s="3" t="inlineStr">
        <is>
          <t>src/domain/_shared/num.ts</t>
        </is>
      </c>
      <c r="D496" s="3" t="n">
        <v>103</v>
      </c>
      <c r="E496" s="3" t="inlineStr">
        <is>
          <t>1 · ACTION</t>
        </is>
      </c>
      <c r="F496" s="3" t="inlineStr">
        <is>
          <t>Currency/locale-aware (delegates to the active money format; defaults to USD/en-US).</t>
        </is>
      </c>
      <c r="G496" s="11" t="inlineStr">
        <is>
          <t>format money(n)</t>
        </is>
      </c>
      <c r="H496" s="3" t="inlineStr">
        <is>
          <t>format money(n)</t>
        </is>
      </c>
      <c r="I496" s="3" t="inlineStr">
        <is>
          <t>READ FROM THE CODE — rendered from the expressions the function runs</t>
        </is>
      </c>
      <c r="J496" s="3" t="inlineStr">
        <is>
          <t>n: number</t>
        </is>
      </c>
      <c r="K496" s="3" t="inlineStr">
        <is>
          <t>string</t>
        </is>
      </c>
      <c r="L496"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6" s="3" t="inlineStr">
        <is>
          <t>None found in this function — anything it assumes comes from the functions it depends on.</t>
        </is>
      </c>
      <c r="N496" s="3" t="inlineStr">
        <is>
          <t>Yes</t>
        </is>
      </c>
      <c r="O496" s="3" t="inlineStr">
        <is>
          <t>1. MK-ST-F-049 formatMoney
2. MK-XS-F-122 n</t>
        </is>
      </c>
      <c r="P496" s="3" t="n">
        <v>5</v>
      </c>
      <c r="Q496" s="3" t="inlineStr">
        <is>
          <t>1. MK-ST-F-049 formatMoney
2. MK-XS-F-122 n
3. MK-ST-F-048 currencySymbol
4. MK-ST-F-039 on
5. MK-ST-F-047 activeCurrency</t>
        </is>
      </c>
      <c r="R496" s="3" t="inlineStr">
        <is>
          <t>1. MK-ST-F-047 activeCurrency → MK-ST-F-048 currencySymbol → MK-ST-F-049 formatMoney → MK-ST-F-053 money
2. MK-XS-F-122 n → MK-ST-F-049 formatMoney → MK-ST-F-053 money
3. MK-ST-F-039 on → MK-ST-F-049 formatMoney → MK-ST-F-053 money
4. MK-XS-F-122 n → MK-ST-F-053 money</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MK-ST-F-054</t>
        </is>
      </c>
      <c r="B497" s="3" t="inlineStr">
        <is>
          <t>money2</t>
        </is>
      </c>
      <c r="C497" s="3" t="inlineStr">
        <is>
          <t>src/domain/_shared/num.ts</t>
        </is>
      </c>
      <c r="D497" s="3" t="n">
        <v>120</v>
      </c>
      <c r="E497" s="3" t="inlineStr">
        <is>
          <t>1 · ACTION</t>
        </is>
      </c>
      <c r="F497" s="3" t="inlineStr">
        <is>
          <t>Same, but keeps cents — for precise amounts (transactions, holdings).</t>
        </is>
      </c>
      <c r="G497" s="11" t="inlineStr">
        <is>
          <t>format money cents(n)</t>
        </is>
      </c>
      <c r="H497" s="3" t="inlineStr">
        <is>
          <t>format money cents(n)</t>
        </is>
      </c>
      <c r="I497" s="3" t="inlineStr">
        <is>
          <t>READ FROM THE CODE — rendered from the expressions the function runs</t>
        </is>
      </c>
      <c r="J497" s="3" t="inlineStr">
        <is>
          <t>n: number</t>
        </is>
      </c>
      <c r="K497" s="3" t="inlineStr">
        <is>
          <t>string</t>
        </is>
      </c>
      <c r="L497" s="3" t="inlineStr">
        <is>
          <t>1. "Monthly equivalent" — on the income screen
2. "No transactions yet." — on the Performance screen
3. "Total" — on the Import holdings screen
4. "Value" — on the Import holdings screen, under "REVIEW YOUR HOLDINGS"
5. "You earned" — on the income screen</t>
        </is>
      </c>
      <c r="M497" s="3" t="inlineStr">
        <is>
          <t>None found in this function — anything it assumes comes from the functions it depends on.</t>
        </is>
      </c>
      <c r="N497" s="3" t="inlineStr">
        <is>
          <t>Yes</t>
        </is>
      </c>
      <c r="O497" s="3" t="inlineStr">
        <is>
          <t>1. MK-ST-F-050 formatMoneyCents
2. MK-XS-F-122 n</t>
        </is>
      </c>
      <c r="P497" s="3" t="n">
        <v>4</v>
      </c>
      <c r="Q497" s="3" t="inlineStr">
        <is>
          <t>1. MK-ST-F-050 formatMoneyCents
2. MK-XS-F-122 n
3. MK-ST-F-048 currencySymbol
4. MK-ST-F-047 activeCurrency</t>
        </is>
      </c>
      <c r="R497" s="3" t="inlineStr">
        <is>
          <t>1. MK-ST-F-047 activeCurrency → MK-ST-F-048 currencySymbol → MK-ST-F-050 formatMoneyCents → MK-ST-F-054 money2
2. MK-XS-F-122 n → MK-ST-F-050 formatMoneyCents → MK-ST-F-054 money2
3. MK-XS-F-122 n → MK-ST-F-054 money2</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MK-ST-F-055</t>
        </is>
      </c>
      <c r="B498" s="3" t="inlineStr">
        <is>
          <t>round2</t>
        </is>
      </c>
      <c r="C498" s="3" t="inlineStr">
        <is>
          <t>Calculation Module code/engines/money.ts</t>
        </is>
      </c>
      <c r="D498" s="3" t="n">
        <v>218</v>
      </c>
      <c r="E498" s="3" t="inlineStr">
        <is>
          <t>3 · DEPENDENT</t>
        </is>
      </c>
      <c r="F498" s="3" t="inlineStr">
        <is>
          <t>Rounds a money figure to the cent — two decimals.</t>
        </is>
      </c>
      <c r="G498" s="11" t="inlineStr">
        <is>
          <t>round2(n) = round(n × 100) ÷ 100</t>
        </is>
      </c>
      <c r="H498" s="3" t="inlineStr">
        <is>
          <t>Rounds to two decimal places — the cent. The hundred is the rounding scale, nothing to do with percentages or with an option contract being a hundred shares.</t>
        </is>
      </c>
      <c r="I498" s="3" t="inlineStr">
        <is>
          <t>READ BY HAND 2026-08-26 — checked line by line against the code</t>
        </is>
      </c>
      <c r="J498" s="3" t="inlineStr">
        <is>
          <t>n: number</t>
        </is>
      </c>
      <c r="K498" s="3" t="inlineStr">
        <is>
          <t>number</t>
        </is>
      </c>
      <c r="L498" s="3" t="inlineStr">
        <is>
          <t>—</t>
        </is>
      </c>
      <c r="M498" s="3" t="inlineStr">
        <is>
          <t>· Rounds the answer to two decimals (cents).</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2026-09-08</t>
        </is>
      </c>
      <c r="W498" s="3" t="inlineStr">
        <is>
          <t>[from MK-NW-M-043, Assumptions; typed A15] does it round to 2 decimals or a whole number? Two contradicting statements.</t>
        </is>
      </c>
      <c r="X498" s="6" t="inlineStr">
        <is>
          <t>Two decimals: round(n × 100) ÷ 100. Both file lines are false (A15, C4); the generator misreads the idiom. Fix the generator and re-extract; the row then reads 'Rounds to two decimals (cents)'. Code right.</t>
        </is>
      </c>
      <c r="Y498" s="6" t="inlineStr">
        <is>
          <t>WAITING ON YOU — answer to read · CODED, NOT TESTED (C4)</t>
        </is>
      </c>
    </row>
    <row r="499" ht="60" customHeight="1">
      <c r="A499" s="3" t="inlineStr">
        <is>
          <t>MK-ST-F-056</t>
        </is>
      </c>
      <c r="B499" s="3" t="inlineStr">
        <is>
          <t>has</t>
        </is>
      </c>
      <c r="C499" s="3" t="inlineStr">
        <is>
          <t>Calculation Module code/engines/classify.ts</t>
        </is>
      </c>
      <c r="D499" s="3" t="n">
        <v>121</v>
      </c>
      <c r="E499" s="3" t="inlineStr">
        <is>
          <t>1 · ACTION</t>
        </is>
      </c>
      <c r="F499" s="3" t="inlineStr">
        <is>
          <t>NOT DETERMINED — the code carries no note saying what this is for, and it has no row in the old inventory. Needs reading.</t>
        </is>
      </c>
      <c r="G499" s="11" t="inlineStr">
        <is>
          <t>re.test(s)</t>
        </is>
      </c>
      <c r="H499" s="3" t="inlineStr">
        <is>
          <t>re.test(s)</t>
        </is>
      </c>
      <c r="I499" s="3" t="inlineStr">
        <is>
          <t>PARTLY READ — some of the code is still showing through; needs a hand pass</t>
        </is>
      </c>
      <c r="J499" s="3" t="inlineStr">
        <is>
          <t>1. s: string
2. re: RegExp</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MK-ST-F-057</t>
        </is>
      </c>
      <c r="B500" s="3" t="inlineStr">
        <is>
          <t>divRounded</t>
        </is>
      </c>
      <c r="C500" s="3" t="inlineStr">
        <is>
          <t>Calculation Module code/engines/decimal.ts</t>
        </is>
      </c>
      <c r="D500" s="3" t="n">
        <v>127</v>
      </c>
      <c r="E500" s="3" t="inlineStr">
        <is>
          <t>3 · DEPENDENT (feeds an action only)</t>
        </is>
      </c>
      <c r="F500" s="3" t="inlineStr">
        <is>
          <t>Round-half-even division on bigints.</t>
        </is>
      </c>
      <c r="G500" s="11" t="inlineStr">
        <is>
          <t>negative = (num &lt; 0n) ! = (den &lt; 0n)
n = -num   if num &lt; 0n
-den   if num, d = den &lt; 0n
den   otherwise   otherwise
q = n ÷ d, r = (n % d) × 2n
out = q
the answer:
-out   if negative
out   otherwise</t>
        </is>
      </c>
      <c r="H500" s="3" t="inlineStr">
        <is>
          <t>Negative is (num &lt; 0n) ! = (den &lt; 0n). N is -num — when num &lt; 0n; -den — when num, d = den &lt; 0n; den — otherwise — otherwise. Q is n divided by d, r = (n % d) times 2n. Out is q. The answer is -out — when negative; out — otherwise.</t>
        </is>
      </c>
      <c r="I500" s="3" t="inlineStr">
        <is>
          <t>READ FROM THE CODE — rendered from the expressions the function runs</t>
        </is>
      </c>
      <c r="J500" s="3" t="inlineStr">
        <is>
          <t>1. num: bigint
2. den: bigint</t>
        </is>
      </c>
      <c r="K500" s="3" t="inlineStr">
        <is>
          <t>bigint</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MK-ST-F-058</t>
        </is>
      </c>
      <c r="B501" s="3" t="inlineStr">
        <is>
          <t>numberOrUndefined</t>
        </is>
      </c>
      <c r="C501" s="3" t="inlineStr">
        <is>
          <t>Calculation Module code/engines/ledger.ts</t>
        </is>
      </c>
      <c r="D501" s="3" t="n">
        <v>381</v>
      </c>
      <c r="E501" s="3" t="inlineStr">
        <is>
          <t>3 · DEPENDENT (feeds an action only)</t>
        </is>
      </c>
      <c r="F501" s="3" t="inlineStr">
        <is>
          <t>NOT DETERMINED — the code carries no note saying what this is for, and it has no row in the old inventory. Needs reading.</t>
        </is>
      </c>
      <c r="G501" s="11" t="inlineStr">
        <is>
          <t>n = v   if v is a number
na n   if v = nothing
parse float(string(v).replace( ÷ [$,\s] ÷ g, ''))   otherwise   otherwise
the answer:
n   if number.is finite(n)
undefined   otherwise</t>
        </is>
      </c>
      <c r="H501" s="3" t="inlineStr">
        <is>
          <t>N is v — when v is a number; na n — when v is missing; parse float(string(v).replace( divided by [$,\s] divided by g, '')) — otherwise — otherwise. The answer is n — when number.is finite(n); undefined — otherwise.</t>
        </is>
      </c>
      <c r="I501" s="3" t="inlineStr">
        <is>
          <t>PARTLY READ — some of the code is still showing through; needs a hand pass</t>
        </is>
      </c>
      <c r="J501" s="3" t="inlineStr">
        <is>
          <t>v: unknown</t>
        </is>
      </c>
      <c r="K501" s="3" t="inlineStr">
        <is>
          <t>number | undefined</t>
        </is>
      </c>
      <c r="L501" s="3" t="inlineStr">
        <is>
          <t>—</t>
        </is>
      </c>
      <c r="M501" s="3" t="inlineStr">
        <is>
          <t>None found in this function — anything it assumes comes from the functions it depends on.</t>
        </is>
      </c>
      <c r="N501" s="3" t="inlineStr">
        <is>
          <t>No</t>
        </is>
      </c>
      <c r="O501" s="3" t="inlineStr">
        <is>
          <t>MK-XS-F-122 n</t>
        </is>
      </c>
      <c r="P501" s="3" t="n">
        <v>1</v>
      </c>
      <c r="Q501" s="3" t="inlineStr">
        <is>
          <t>MK-XS-F-122 n</t>
        </is>
      </c>
      <c r="R501" s="3" t="inlineStr">
        <is>
          <t>MK-XS-F-122 n → MK-ST-F-058 numberOrUndefined</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MK-ST-F-059</t>
        </is>
      </c>
      <c r="B502" s="3" t="inlineStr">
        <is>
          <t>round8</t>
        </is>
      </c>
      <c r="C502" s="3" t="inlineStr">
        <is>
          <t>Calculation Module code/engines/ledger.ts</t>
        </is>
      </c>
      <c r="D502" s="3" t="n">
        <v>403</v>
      </c>
      <c r="E502" s="3" t="inlineStr">
        <is>
          <t>1 · ACTION</t>
        </is>
      </c>
      <c r="F502" s="3" t="inlineStr">
        <is>
          <t>NOT DETERMINED — the code carries no note saying what this is for, and it has no row in the old inventory. Needs reading.</t>
        </is>
      </c>
      <c r="G502" s="11" t="inlineStr">
        <is>
          <t>round(n × 1e8) ÷ 1e8</t>
        </is>
      </c>
      <c r="H502" s="3" t="inlineStr">
        <is>
          <t>n times 1e8, to a whole number divided by 1e8</t>
        </is>
      </c>
      <c r="I502" s="3" t="inlineStr">
        <is>
          <t>READ FROM THE CODE — rendered from the expressions the function runs</t>
        </is>
      </c>
      <c r="J502" s="3" t="inlineStr">
        <is>
          <t>n: number</t>
        </is>
      </c>
      <c r="K502" s="3" t="inlineStr">
        <is>
          <t>NOT DECLARED — the code does not say what it gives back</t>
        </is>
      </c>
      <c r="L502" s="3" t="inlineStr">
        <is>
          <t>—</t>
        </is>
      </c>
      <c r="M502" s="3" t="inlineStr">
        <is>
          <t>· Rounds the answer to 8 decimal places.</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MK-ST-F-060</t>
        </is>
      </c>
      <c r="B503" s="3" t="inlineStr">
        <is>
          <t>verdict</t>
        </is>
      </c>
      <c r="C503" s="3" t="inlineStr">
        <is>
          <t>Calculation Module code/engines/reconcile.ts</t>
        </is>
      </c>
      <c r="D503" s="3" t="n">
        <v>47</v>
      </c>
      <c r="E503" s="3" t="inlineStr">
        <is>
          <t>2 · DISPLAYED</t>
        </is>
      </c>
      <c r="F503" s="3" t="inlineStr">
        <is>
          <t>NOT DETERMINED — the code carries no note saying what this is for, and it has no row in the old inventory. Needs reading.</t>
        </is>
      </c>
      <c r="G503" s="11" t="inlineStr">
        <is>
          <t>difference = computed.sub(stated)</t>
        </is>
      </c>
      <c r="H503" s="3" t="inlineStr">
        <is>
          <t>Difference is computed.sub(stated).</t>
        </is>
      </c>
      <c r="I503" s="3" t="inlineStr">
        <is>
          <t>PARTLY READ — some of the code is still showing through; needs a hand pass</t>
        </is>
      </c>
      <c r="J503" s="3" t="inlineStr">
        <is>
          <t>1. computed: Dec
2. stated: Dec
3. what: string</t>
        </is>
      </c>
      <c r="K503" s="3" t="inlineStr">
        <is>
          <t>Reconciliation</t>
        </is>
      </c>
      <c r="L503" s="3" t="inlineStr">
        <is>
          <t>NOT FOUND — a screen calls it, but the words printed beside its answer could not be traced automatically. Needs reading.</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MK-ST-F-061</t>
        </is>
      </c>
      <c r="B504" s="3" t="inlineStr">
        <is>
          <t>isMonthEnd</t>
        </is>
      </c>
      <c r="C504" s="3" t="inlineStr">
        <is>
          <t>Calculation Module code/engines/snapshots.ts</t>
        </is>
      </c>
      <c r="D504" s="3" t="n">
        <v>251</v>
      </c>
      <c r="E504" s="3" t="inlineStr">
        <is>
          <t>3 · DEPENDENT (feeds an action only)</t>
        </is>
      </c>
      <c r="F504" s="3" t="inlineStr">
        <is>
          <t>NOT DETERMINED — the code carries no note saying what this is for, and it has no row in the old inventory. Needs reading.</t>
        </is>
      </c>
      <c r="G504" s="11" t="inlineStr">
        <is>
          <t>last = the date y, m, 0).get date(
false   when the first 7)}-${string(d).pad start(2, '0')}` of all dates.has(`${date
the answer = true</t>
        </is>
      </c>
      <c r="H504" s="3" t="inlineStr">
        <is>
          <t>Last: the date y, m, 0).get date(. When the first 7)}-${string(d).pad start(2, '0')}` of all dates.has(`${date, it answers false. The answer is true.</t>
        </is>
      </c>
      <c r="I504" s="3" t="inlineStr">
        <is>
          <t>PARTLY READ — some of the code is still showing through; needs a hand pass</t>
        </is>
      </c>
      <c r="J504" s="3" t="inlineStr">
        <is>
          <t>1. date: string
2. allDates: Set&lt;string&gt;</t>
        </is>
      </c>
      <c r="K504" s="3" t="inlineStr">
        <is>
          <t>boolean</t>
        </is>
      </c>
      <c r="L504" s="3" t="inlineStr">
        <is>
          <t>—</t>
        </is>
      </c>
      <c r="M504" s="3" t="inlineStr">
        <is>
          <t>None found in this function — anything it assumes comes from the functions it depends on.</t>
        </is>
      </c>
      <c r="N504" s="3" t="inlineStr">
        <is>
          <t>No</t>
        </is>
      </c>
      <c r="O504" s="3" t="inlineStr">
        <is>
          <t>1. MK-ST-F-056 has
2. MK-CF-F-132 map</t>
        </is>
      </c>
      <c r="P504" s="3" t="n">
        <v>2</v>
      </c>
      <c r="Q504" s="3" t="inlineStr">
        <is>
          <t>1. MK-ST-F-056 has
2. MK-CF-F-132 map</t>
        </is>
      </c>
      <c r="R504" s="3" t="inlineStr">
        <is>
          <t>1. MK-ST-F-056 has → MK-ST-F-061 isMonthEnd
2. MK-CF-F-132 map → MK-ST-F-061 isMonthEnd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MK-ST-F-062</t>
        </is>
      </c>
      <c r="B505" s="3" t="inlineStr">
        <is>
          <t>toUtc</t>
        </is>
      </c>
      <c r="C505" s="3" t="inlineStr">
        <is>
          <t>Calculation Module code/engines/window-return.ts</t>
        </is>
      </c>
      <c r="D505" s="3" t="n">
        <v>54</v>
      </c>
      <c r="E505" s="3" t="inlineStr">
        <is>
          <t>1 · ACTION</t>
        </is>
      </c>
      <c r="F505" s="3" t="inlineStr">
        <is>
          <t>NOT DETERMINED — the code carries no note saying what this is for, and it has no row in the old inventory. Needs reading.</t>
        </is>
      </c>
      <c r="G505" s="11" t="inlineStr">
        <is>
          <t>the answer = the milliseconds since 1970 of the date at midnight UTC</t>
        </is>
      </c>
      <c r="H505" s="3" t="inlineStr">
        <is>
          <t>A 'YYYY-MM-DD' text as a moment in time at midnight UTC, so day arithmetic is unaffected by the device's timezone.</t>
        </is>
      </c>
      <c r="I505" s="3" t="inlineStr">
        <is>
          <t>READ BY HAND 2026-08-26 — checked line by line against the code</t>
        </is>
      </c>
      <c r="J505" s="3" t="inlineStr">
        <is>
          <t>d: string</t>
        </is>
      </c>
      <c r="K505" s="3" t="inlineStr">
        <is>
          <t>00:00Z`);</t>
        </is>
      </c>
      <c r="L505" s="3" t="inlineStr">
        <is>
          <t>—</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2026-09-12</t>
        </is>
      </c>
      <c r="W505" s="3" t="n"/>
      <c r="X505" s="3" t="n"/>
      <c r="Y505" s="3" t="inlineStr">
        <is>
          <t>NOTHING OPEN</t>
        </is>
      </c>
    </row>
    <row r="506" ht="60" customHeight="1">
      <c r="A506" s="3" t="inlineStr">
        <is>
          <t>MK-ST-F-063</t>
        </is>
      </c>
      <c r="B506" s="3" t="inlineStr">
        <is>
          <t>shiftDay</t>
        </is>
      </c>
      <c r="C506" s="3" t="inlineStr">
        <is>
          <t>Calculation Module code/engines/window-return.ts</t>
        </is>
      </c>
      <c r="D506" s="3" t="n">
        <v>76</v>
      </c>
      <c r="E506" s="3" t="inlineStr">
        <is>
          <t>1 · ACTION</t>
        </is>
      </c>
      <c r="F506" s="3" t="inlineStr">
        <is>
          <t>NOT DETERMINED — the code carries no note saying what this is for, and it has no row in the old inventory. Needs reading.</t>
        </is>
      </c>
      <c r="G506" s="11" t="inlineStr">
        <is>
          <t>the first 10 of the date to utc(d) + by × day ms).to isostring(</t>
        </is>
      </c>
      <c r="H506" s="3" t="inlineStr">
        <is>
          <t>the first 10 of the date to utc(d) plus by times day ms).to isostring(</t>
        </is>
      </c>
      <c r="I506" s="3" t="inlineStr">
        <is>
          <t>PARTLY READ — some of the code is still showing through; needs a hand pass</t>
        </is>
      </c>
      <c r="J506" s="3" t="inlineStr">
        <is>
          <t>1. d: string
2. by: number</t>
        </is>
      </c>
      <c r="K506" s="3" t="inlineStr">
        <is>
          <t>NOT DECLARED — the code does not say what it gives back</t>
        </is>
      </c>
      <c r="L506" s="3" t="inlineStr">
        <is>
          <t>—</t>
        </is>
      </c>
      <c r="M506" s="3" t="inlineStr">
        <is>
          <t>None found in this function — anything it assumes comes from the functions it depends on.</t>
        </is>
      </c>
      <c r="N506" s="3" t="inlineStr">
        <is>
          <t>Yes</t>
        </is>
      </c>
      <c r="O506" s="3" t="inlineStr">
        <is>
          <t>MK-ST-F-062 toUtc</t>
        </is>
      </c>
      <c r="P506" s="3" t="n">
        <v>1</v>
      </c>
      <c r="Q506" s="3" t="inlineStr">
        <is>
          <t>MK-ST-F-062 toUtc</t>
        </is>
      </c>
      <c r="R506" s="3" t="inlineStr">
        <is>
          <t>MK-ST-F-062 toUtc → MK-ST-F-063 shiftDay</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MK-ST-F-064</t>
        </is>
      </c>
      <c r="B507" s="3" t="inlineStr">
        <is>
          <t>modifiedDietzOverWindow</t>
        </is>
      </c>
      <c r="C507" s="3" t="inlineStr">
        <is>
          <t>Calculation Module code/engines/window-return.ts</t>
        </is>
      </c>
      <c r="D507" s="3" t="n">
        <v>170</v>
      </c>
      <c r="E507" s="3" t="inlineStr">
        <is>
          <t>2 · DISPLAYED</t>
        </is>
      </c>
      <c r="F507" s="3" t="inlineStr">
        <is>
          <t>NOT DETERMINED — the code carries no note saying what this is for, and it has no row in the old inventory. Needs reading.</t>
        </is>
      </c>
      <c r="G507"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07"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1. "Return" — on the Account detail screen, under "THE HOLDINGS
2. $"</t>
        </is>
      </c>
      <c r="M507" s="3" t="inlineStr">
        <is>
          <t>· Rounds the answer to a whole number.</t>
        </is>
      </c>
      <c r="N507" s="3" t="inlineStr">
        <is>
          <t>Yes</t>
        </is>
      </c>
      <c r="O507" s="3" t="inlineStr">
        <is>
          <t>1. MK-CF-F-132 map
2. MK-ST-F-053 money
3. MK-ST-F-021 toNumber
4. MK-ST-F-062 toUtc
5. MK-ST-F-038 windowBounds</t>
        </is>
      </c>
      <c r="P507" s="3" t="n">
        <v>11</v>
      </c>
      <c r="Q507" s="3" t="inlineStr">
        <is>
          <t>1. MK-CF-F-132 map
2. MK-ST-F-053 money
3. MK-ST-F-021 toNumber
4. MK-ST-F-062 toUtc
5. MK-ST-F-038 windowBounds
6. MK-ST-F-049 formatMoney
7. MK-XS-F-122 n
8. MK-ST-F-063 shiftDay
9. MK-ST-F-048 currencySymbol
10. MK-ST-F-039 on
11. MK-ST-F-047 activeCurrency</t>
        </is>
      </c>
      <c r="R507"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MK-ST-F-065</t>
        </is>
      </c>
      <c r="B508" s="3" t="inlineStr">
        <is>
          <t>isoLocalDate</t>
        </is>
      </c>
      <c r="C508" s="3" t="inlineStr">
        <is>
          <t>src/domain/_shared/dates.ts</t>
        </is>
      </c>
      <c r="D508" s="3" t="n">
        <v>36</v>
      </c>
      <c r="E508" s="3" t="inlineStr">
        <is>
          <t>2 · DISPLAYED</t>
        </is>
      </c>
      <c r="F508" s="3" t="inlineStr">
        <is>
          <t>THE DATE A PERSON IS LIVING IN, not the one UTC is.</t>
        </is>
      </c>
      <c r="G508" s="11" t="inlineStr">
        <is>
          <t>`${get full year()}-${string(get month() + 1).pad start(2, '0')}-${string(get date()).pad start(2, '0')}`</t>
        </is>
      </c>
      <c r="H508" s="3" t="inlineStr">
        <is>
          <t>`${get full year()}-${string(get month() plus 1).pad start(2, '0')}-${string(get date()).pad start(2, '0')}`.</t>
        </is>
      </c>
      <c r="I508" s="3" t="inlineStr">
        <is>
          <t>PARTLY READ — some of the code is still showing through; needs a hand pass</t>
        </is>
      </c>
      <c r="J508" s="3" t="inlineStr">
        <is>
          <t>d: Date</t>
        </is>
      </c>
      <c r="K508" s="3" t="inlineStr">
        <is>
          <t>string</t>
        </is>
      </c>
      <c r="L508" s="3" t="inlineStr">
        <is>
          <t>1. "Date (opt)" — on the Performance screen
2. "Nothing needs you today — nice." — on the Home screen, under "CHIEF OF STAFF — WHAT NEEDS YOU $"</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MK-ST-F-066</t>
        </is>
      </c>
      <c r="B509" s="3" t="inlineStr">
        <is>
          <t>isDayKey</t>
        </is>
      </c>
      <c r="C509" s="3" t="inlineStr">
        <is>
          <t>Calculation Module code/engines/rebuild-history.ts</t>
        </is>
      </c>
      <c r="D509" s="3" t="n">
        <v>70</v>
      </c>
      <c r="E509" s="3" t="inlineStr">
        <is>
          <t>1 · ACTION</t>
        </is>
      </c>
      <c r="F509" s="3" t="inlineStr">
        <is>
          <t>NOT DETERMINED — the code carries no note saying what this is for, and it has no row in the old inventory. Needs reading.</t>
        </is>
      </c>
      <c r="G509" s="11" t="inlineStr">
        <is>
          <t>NOT READ YET — the body is not a shape this can render faithfully, so nothing is claimed rather than something being guessed. It needs reading by hand.</t>
        </is>
      </c>
      <c r="H509" s="3" t="inlineStr">
        <is>
          <t>NOT READ YET — the body is not a shape this can render faithfully, so nothing is claimed rather than something being guessed. It needs reading by hand.</t>
        </is>
      </c>
      <c r="I509" s="3" t="inlineStr">
        <is>
          <t>NOT READ — nothing is claimed rather than something guessed</t>
        </is>
      </c>
      <c r="J509" s="3" t="inlineStr">
        <is>
          <t>d: unknown</t>
        </is>
      </c>
      <c r="K509" s="3" t="inlineStr">
        <is>
          <t>d is string</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2026-09-25</t>
        </is>
      </c>
      <c r="W509" s="3" t="n"/>
      <c r="X509" s="3" t="n"/>
      <c r="Y509" s="3" t="inlineStr">
        <is>
          <t>NOTHING OPEN</t>
        </is>
      </c>
    </row>
    <row r="510" ht="60" customHeight="1">
      <c r="A510" s="3" t="inlineStr">
        <is>
          <t>MK-ST-F-067</t>
        </is>
      </c>
      <c r="B510" s="3" t="inlineStr">
        <is>
          <t>utcOfDay</t>
        </is>
      </c>
      <c r="C510" s="3" t="inlineStr">
        <is>
          <t>Calculation Module code/engines/rebuild-history.ts</t>
        </is>
      </c>
      <c r="D510" s="3" t="n">
        <v>98</v>
      </c>
      <c r="E510" s="3" t="inlineStr">
        <is>
          <t>1 · ACTION</t>
        </is>
      </c>
      <c r="F510" s="3" t="inlineStr">
        <is>
          <t>NOT DETERMINED — the code carries no note saying what this is for, and it has no row in the old inventory. Needs reading.</t>
        </is>
      </c>
      <c r="G510" s="11" t="inlineStr">
        <is>
          <t>the first 4), +slice(5, 7) − 1, +slice(8, 10) of date.UTC(+d</t>
        </is>
      </c>
      <c r="H510" s="3" t="inlineStr">
        <is>
          <t>the first 4), +slice(5, 7) minus 1, +slice(8, 10) of date.UTC(+d</t>
        </is>
      </c>
      <c r="I510" s="3" t="inlineStr">
        <is>
          <t>PARTLY READ — some of the code is still showing through; needs a hand pass</t>
        </is>
      </c>
      <c r="J510" s="3" t="inlineStr">
        <is>
          <t>d: string</t>
        </is>
      </c>
      <c r="K510" s="3" t="inlineStr">
        <is>
          <t>NOT DECLARED — the code does not say what it gives back</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2026-09-25</t>
        </is>
      </c>
      <c r="W510" s="3" t="n"/>
      <c r="X510" s="3" t="n"/>
      <c r="Y510" s="3" t="inlineStr">
        <is>
          <t>NOTHING OPEN</t>
        </is>
      </c>
    </row>
    <row r="511" ht="60" customHeight="1">
      <c r="A511" s="3" t="inlineStr">
        <is>
          <t>MK-ST-F-068</t>
        </is>
      </c>
      <c r="B511" s="3" t="inlineStr">
        <is>
          <t>stepDay</t>
        </is>
      </c>
      <c r="C511" s="3" t="inlineStr">
        <is>
          <t>Calculation Module code/engines/rebuild-history.ts</t>
        </is>
      </c>
      <c r="D511" s="3" t="n">
        <v>126</v>
      </c>
      <c r="E511" s="3" t="inlineStr">
        <is>
          <t>1 · ACTION</t>
        </is>
      </c>
      <c r="F511" s="3" t="inlineStr">
        <is>
          <t>NOT DETERMINED — the code carries no note saying what this is for, and it has no row in the old inventory. Needs reading.</t>
        </is>
      </c>
      <c r="G511" s="11" t="inlineStr">
        <is>
          <t>the first 10 of the date utc of day(d) + days × DAY).to isostring(</t>
        </is>
      </c>
      <c r="H511" s="3" t="inlineStr">
        <is>
          <t>the first 10 of the date utc of day(d) plus days times DAY).to isostring(</t>
        </is>
      </c>
      <c r="I511" s="3" t="inlineStr">
        <is>
          <t>PARTLY READ — some of the code is still showing through; needs a hand pass</t>
        </is>
      </c>
      <c r="J511" s="3" t="inlineStr">
        <is>
          <t>1. d: string
2. days: number</t>
        </is>
      </c>
      <c r="K511" s="3" t="inlineStr">
        <is>
          <t>NOT DECLARED — the code does not say what it gives back</t>
        </is>
      </c>
      <c r="L511" s="3" t="inlineStr">
        <is>
          <t>—</t>
        </is>
      </c>
      <c r="M511" s="3" t="inlineStr">
        <is>
          <t>None found in this function — anything it assumes comes from the functions it depends on.</t>
        </is>
      </c>
      <c r="N511" s="3" t="inlineStr">
        <is>
          <t>Yes</t>
        </is>
      </c>
      <c r="O511" s="3" t="inlineStr">
        <is>
          <t>MK-ST-F-067 utcOfDay</t>
        </is>
      </c>
      <c r="P511" s="3" t="n">
        <v>1</v>
      </c>
      <c r="Q511" s="3" t="inlineStr">
        <is>
          <t>MK-ST-F-067 utcOfDay</t>
        </is>
      </c>
      <c r="R511" s="3" t="inlineStr">
        <is>
          <t>MK-ST-F-067 utcOfDay → MK-ST-F-068 stepDay</t>
        </is>
      </c>
      <c r="S511" s="3" t="inlineStr">
        <is>
          <t>—</t>
        </is>
      </c>
      <c r="T511" s="3" t="inlineStr">
        <is>
          <t>—</t>
        </is>
      </c>
      <c r="U511" s="3" t="inlineStr">
        <is>
          <t>ACTIVE</t>
        </is>
      </c>
      <c r="V511" s="3" t="inlineStr">
        <is>
          <t>2026-09-25</t>
        </is>
      </c>
      <c r="W511" s="3" t="n"/>
      <c r="X511" s="3" t="n"/>
      <c r="Y511" s="3" t="inlineStr">
        <is>
          <t>NOTHING OPEN</t>
        </is>
      </c>
    </row>
    <row r="512" ht="60" customHeight="1">
      <c r="A512" s="3" t="inlineStr">
        <is>
          <t>MK-ST-F-069</t>
        </is>
      </c>
      <c r="B512" s="3" t="inlineStr">
        <is>
          <t>amountOf</t>
        </is>
      </c>
      <c r="C512" s="3" t="inlineStr">
        <is>
          <t>Calculation Module code/engines/rebuild-history.ts</t>
        </is>
      </c>
      <c r="D512" s="3" t="n">
        <v>155</v>
      </c>
      <c r="E512" s="3" t="inlineStr">
        <is>
          <t>1 · ACTION</t>
        </is>
      </c>
      <c r="F512" s="3" t="inlineStr">
        <is>
          <t>NOT DETERMINED — the code carries no note saying what this is for, and it has no row in the old inventory. Needs reading.</t>
        </is>
      </c>
      <c r="G512" s="11" t="inlineStr">
        <is>
          <t>v   if typeof v = 'number' and number.is finite(v)
0   otherwise</t>
        </is>
      </c>
      <c r="H512" s="3" t="inlineStr">
        <is>
          <t>v — when typeof v = 'number' and number.is finite(v); 0 — otherwise</t>
        </is>
      </c>
      <c r="I512" s="3" t="inlineStr">
        <is>
          <t>PARTLY READ — some of the code is still showing through; needs a hand pass</t>
        </is>
      </c>
      <c r="J512" s="3" t="inlineStr">
        <is>
          <t>v: unknown</t>
        </is>
      </c>
      <c r="K512" s="3" t="inlineStr">
        <is>
          <t>0);</t>
        </is>
      </c>
      <c r="L512"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2026-09-28</t>
        </is>
      </c>
      <c r="W512" s="3" t="n"/>
      <c r="X512" s="3" t="n"/>
      <c r="Y512" s="3" t="inlineStr">
        <is>
          <t>NOTHING OPEN</t>
        </is>
      </c>
    </row>
    <row r="513" ht="45" customHeight="1">
      <c r="A513" s="3" t="inlineStr">
        <is>
          <t>MK-ST-F-070</t>
        </is>
      </c>
      <c r="B513" s="3" t="inlineStr">
        <is>
          <t>isOpening</t>
        </is>
      </c>
      <c r="C513" s="3" t="inlineStr">
        <is>
          <t>Calculation Module code/engines/rebuild-history.ts</t>
        </is>
      </c>
      <c r="D513" s="3" t="n">
        <v>186</v>
      </c>
      <c r="E513" s="3" t="inlineStr">
        <is>
          <t>1 · ACTION</t>
        </is>
      </c>
      <c r="F513" s="3" t="inlineStr">
        <is>
          <t>An opening row is the first capture of something that already existed — proof that the records do NOT reach behind it.</t>
        </is>
      </c>
      <c r="G513" s="11" t="inlineStr">
        <is>
          <t>type = 'OPENING_POSITION' (or type = 'OPENING_CASH' when missing or zero)</t>
        </is>
      </c>
      <c r="H513" s="3" t="inlineStr">
        <is>
          <t>type = 'OPENING_POSITION' (or type = 'OPENING_CASH' — when missing or zero)</t>
        </is>
      </c>
      <c r="I513" s="3" t="inlineStr">
        <is>
          <t>READ FROM THE CODE — rendered from the expressions the function runs</t>
        </is>
      </c>
      <c r="J513" s="3" t="inlineStr">
        <is>
          <t>t: RebuildTxn</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MK-ST-F-071</t>
        </is>
      </c>
      <c r="B514" s="3" t="inlineStr">
        <is>
          <t>rebuildableFrom</t>
        </is>
      </c>
      <c r="C514" s="3" t="inlineStr">
        <is>
          <t>Calculation Module code/engines/rebuild-history.ts</t>
        </is>
      </c>
      <c r="D514" s="3" t="n">
        <v>227</v>
      </c>
      <c r="E514" s="3" t="inlineStr">
        <is>
          <t>3 · DEPENDENT</t>
        </is>
      </c>
      <c r="F514" s="3" t="inlineStr">
        <is>
          <t>The earliest day this account's past can honestly be rebuilt to: the first record it gave us, but never behind an opening capture, because nothing explains what sat there before it.</t>
        </is>
      </c>
      <c r="G514" s="11" t="inlineStr">
        <is>
          <t>first = nothing
last opening = nothing
nothing   when first = nothing
the answer:
last opening   if last opening ≠ nothing and last opening &gt; first
first   otherwise</t>
        </is>
      </c>
      <c r="H514" s="3" t="inlineStr">
        <is>
          <t>First is no answer. Last opening is no answer. When first is missing, it answers no answer. The answer is last opening — when last opening is not no answer and last opening &gt; first; first — otherwise.</t>
        </is>
      </c>
      <c r="I514" s="3" t="inlineStr">
        <is>
          <t>READ FROM THE CODE — rendered from the expressions the function runs</t>
        </is>
      </c>
      <c r="J514" s="3" t="inlineStr">
        <is>
          <t>1. txns: RebuildTxn[]
2. accountId: string</t>
        </is>
      </c>
      <c r="K514" s="3" t="inlineStr">
        <is>
          <t>string | null</t>
        </is>
      </c>
      <c r="L514" s="3" t="inlineStr">
        <is>
          <t>—</t>
        </is>
      </c>
      <c r="M514" s="3" t="inlineStr">
        <is>
          <t>None found in this function — anything it assumes comes from the functions it depends on.</t>
        </is>
      </c>
      <c r="N514" s="3" t="inlineStr">
        <is>
          <t>Yes</t>
        </is>
      </c>
      <c r="O514" s="3" t="inlineStr">
        <is>
          <t>1. MK-ST-F-066 isDayKey
2. MK-ST-F-070 isOpening</t>
        </is>
      </c>
      <c r="P514" s="3" t="n">
        <v>2</v>
      </c>
      <c r="Q514" s="3" t="inlineStr">
        <is>
          <t>1. MK-ST-F-066 isDayKey
2. MK-ST-F-070 isOpening</t>
        </is>
      </c>
      <c r="R514" s="3" t="inlineStr">
        <is>
          <t>1. MK-ST-F-066 isDayKey → MK-ST-F-071 rebuildableFrom
2. MK-ST-F-070 isOpening → MK-ST-F-071 rebuildableFrom</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MK-ST-F-072</t>
        </is>
      </c>
      <c r="B515" s="3" t="inlineStr">
        <is>
          <t>undo</t>
        </is>
      </c>
      <c r="C515" s="3" t="inlineStr">
        <is>
          <t>Calculation Module code/engines/rebuild-history.ts</t>
        </is>
      </c>
      <c r="D515" s="3" t="n">
        <v>275</v>
      </c>
      <c r="E515" s="3" t="inlineStr">
        <is>
          <t>1 · ACTION</t>
        </is>
      </c>
      <c r="F515" s="3" t="inlineStr">
        <is>
          <t>Undo one record: take the state on the day AFTER it back to the state before it happened.</t>
        </is>
      </c>
      <c r="G515" s="11" t="inlineStr">
        <is>
          <t>acc = account id
key = (ticker ?? '').trim().to upper case()
cash = (id: string, by: number) =&gt; cash of.set(id, (cash of.get(id) ?? 0) + by)
m = `${id}|${k}`
cur = held.get(m) (or units = 0 when missing)</t>
        </is>
      </c>
      <c r="H515" s="3" t="inlineStr">
        <is>
          <t>Acc is account id. Key is (ticker ?? '').trim().to upper case(). Cash is (id: string, by: number) =&gt; cash of.set(id, (cash of.get(id) ?? 0) plus by). M is `${id}|${k}`. Cur is held.get(m) (or units = 0 — when missing).</t>
        </is>
      </c>
      <c r="I515" s="3" t="inlineStr">
        <is>
          <t>PARTLY READ — some of the code is still showing through; needs a hand pass</t>
        </is>
      </c>
      <c r="J515" s="3" t="inlineStr">
        <is>
          <t>1. t: RebuildTxn
2. held: Map&lt;string, Held&gt;
3. cashOf: Map&lt;string, number&gt;</t>
        </is>
      </c>
      <c r="K515" s="3" t="inlineStr">
        <is>
          <t>void</t>
        </is>
      </c>
      <c r="L515" s="3" t="inlineStr">
        <is>
          <t>—</t>
        </is>
      </c>
      <c r="M515" s="3" t="inlineStr">
        <is>
          <t>None found in this function — anything it assumes comes from the functions it depends on.</t>
        </is>
      </c>
      <c r="N515" s="3" t="inlineStr">
        <is>
          <t>Yes</t>
        </is>
      </c>
      <c r="O515" s="3" t="inlineStr">
        <is>
          <t>1. MK-ST-F-069 amountOf
2. MK-CF-F-155 cash
3. MK-ST-F-035 covers</t>
        </is>
      </c>
      <c r="P515" s="3" t="n">
        <v>5</v>
      </c>
      <c r="Q515" s="3" t="inlineStr">
        <is>
          <t>1. MK-ST-F-069 amountOf
2. MK-CF-F-155 cash
3. MK-ST-F-035 covers
4. MK-XS-F-122 n
5. MK-ST-F-034 firstDate</t>
        </is>
      </c>
      <c r="R515" s="3" t="inlineStr">
        <is>
          <t>1. MK-ST-F-069 amountOf → MK-ST-F-072 undo
2. MK-XS-F-122 n → MK-CF-F-155 cash → MK-ST-F-072 undo
3. MK-ST-F-034 firstDate → MK-ST-F-035 covers → MK-ST-F-072 undo</t>
        </is>
      </c>
      <c r="S515" s="3" t="inlineStr">
        <is>
          <t>—</t>
        </is>
      </c>
      <c r="T515" s="3" t="inlineStr">
        <is>
          <t>—</t>
        </is>
      </c>
      <c r="U515" s="3" t="inlineStr">
        <is>
          <t>ACTIVE</t>
        </is>
      </c>
      <c r="V515" s="3" t="inlineStr">
        <is>
          <t>2026-09-25</t>
        </is>
      </c>
      <c r="W515" s="3" t="n"/>
      <c r="X515" s="3" t="n"/>
      <c r="Y515" s="3" t="inlineStr">
        <is>
          <t>NOTHING OPEN</t>
        </is>
      </c>
    </row>
    <row r="516" ht="60" customHeight="1">
      <c r="A516" s="3" t="inlineStr">
        <is>
          <t>MK-ST-F-073</t>
        </is>
      </c>
      <c r="B516" s="3" t="inlineStr">
        <is>
          <t>rebuildDays</t>
        </is>
      </c>
      <c r="C516" s="3" t="inlineStr">
        <is>
          <t>Calculation Module code/engines/rebuild-history.ts</t>
        </is>
      </c>
      <c r="D516" s="3" t="n">
        <v>407</v>
      </c>
      <c r="E516" s="3" t="inlineStr">
        <is>
          <t>3 · DEPENDENT</t>
        </is>
      </c>
      <c r="F516" s="3" t="inlineStr">
        <is>
          <t>Rebuild the daily record backwards from today, for the accounts whose records can explain it.</t>
        </is>
      </c>
      <c r="G516"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6"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6" s="3" t="inlineStr">
        <is>
          <t>PARTLY READ — some of the code is still showing through; needs a hand pass</t>
        </is>
      </c>
      <c r="J516" s="3" t="inlineStr">
        <is>
          <t>input: RebuildInput</t>
        </is>
      </c>
      <c r="K516" s="3" t="inlineStr">
        <is>
          <t>RebuildResult</t>
        </is>
      </c>
      <c r="L516" s="3" t="inlineStr">
        <is>
          <t>—</t>
        </is>
      </c>
      <c r="M516" s="3" t="inlineStr">
        <is>
          <t>· Uses a built-in cursor of 0.</t>
        </is>
      </c>
      <c r="N516" s="3" t="inlineStr">
        <is>
          <t>Yes</t>
        </is>
      </c>
      <c r="O516" s="3" t="inlineStr">
        <is>
          <t>1. MK-ST-F-069 amountOf
2. MK-CF-F-133 cashOf
3. MK-ST-F-056 has
4. MK-ST-F-066 isDayKey
5. MK-ST-F-070 isOpening
6. MK-CF-F-132 map
7. MK-ST-F-071 rebuildableFrom
8. MK-ST-F-068 stepDay
9. MK-ST-F-072 undo</t>
        </is>
      </c>
      <c r="P516" s="3" t="n">
        <v>14</v>
      </c>
      <c r="Q516"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6"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MK-ST-F-074</t>
        </is>
      </c>
      <c r="B517" s="3" t="inlineStr">
        <is>
          <t>rebuiltSentence</t>
        </is>
      </c>
      <c r="C517" s="3" t="inlineStr">
        <is>
          <t>Calculation Module code/engines/rebuild-history.ts</t>
        </is>
      </c>
      <c r="D517" s="3" t="n">
        <v>518</v>
      </c>
      <c r="E517" s="3" t="inlineStr">
        <is>
          <t>2 · DISPLAYED</t>
        </is>
      </c>
      <c r="F517" s="3" t="inlineStr">
        <is>
          <t>The one sentence the screen says about a rebuilt line: where it came from and where it starts.</t>
        </is>
      </c>
      <c r="G517" s="11" t="inlineStr">
        <is>
          <t>''   when from is missing
who = (institution ?? '').trim()
day = the date `${from}T12:00:00`).to locale date string('en − US', { month: 'short', day: 'numeric', year: 'numeric' }</t>
        </is>
      </c>
      <c r="H517" s="3" t="inlineStr">
        <is>
          <t>When from is missing, it answers ''. Who is (institution ?? '').trim(). Day: the date `${from}T12:00:00`).to locale date string('en minus US', { month: 'short', day: 'numeric', year: 'numeric' }.</t>
        </is>
      </c>
      <c r="I517" s="3" t="inlineStr">
        <is>
          <t>PARTLY READ — some of the code is still showing through; needs a hand pass</t>
        </is>
      </c>
      <c r="J517" s="3" t="inlineStr">
        <is>
          <t>1. institution: string | null | undefined
2. from: string | null</t>
        </is>
      </c>
      <c r="K517" s="3" t="inlineStr">
        <is>
          <t>string</t>
        </is>
      </c>
      <c r="L517" s="3" t="inlineStr">
        <is>
          <t>NOT FOUND — a screen calls it, but the words printed beside its answer could not be traced automatically. Needs reading.</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MK-XS-F-001</t>
        </is>
      </c>
      <c r="B518" s="3" t="inlineStr">
        <is>
          <t>planCompleteness</t>
        </is>
      </c>
      <c r="C518" s="3" t="inlineStr">
        <is>
          <t>src/domain/completeness/index.ts</t>
        </is>
      </c>
      <c r="D518" s="3" t="n">
        <v>40</v>
      </c>
      <c r="E518" s="3" t="inlineStr">
        <is>
          <t>2 · DISPLAYED</t>
        </is>
      </c>
      <c r="F518" s="3" t="inlineStr">
        <is>
          <t>NOT DETERMINED — the code carries no note saying what this is for, and it has no row in the old inventory. Needs reading.</t>
        </is>
      </c>
      <c r="G518" s="11" t="inlineStr">
        <is>
          <t>done count = checks where donecount of 
total = count of checks
the answer:
checks = checks
done count = done count
total = total
pct = round((done count ÷ total) × 100)</t>
        </is>
      </c>
      <c r="H518" s="3" t="inlineStr">
        <is>
          <t>Done count is checks where donecount of. Total: how many checks there are. The answer is checks = checks; done count = done count; total = total; pct = (done count divided by total, to a whole number times 100).</t>
        </is>
      </c>
      <c r="I518" s="3" t="inlineStr">
        <is>
          <t>READ FROM THE CODE — rendered from the expressions the function runs</t>
        </is>
      </c>
      <c r="J518" s="3" t="inlineStr">
        <is>
          <t>i: CompletenessInput</t>
        </is>
      </c>
      <c r="K518" s="3" t="inlineStr">
        <is>
          <t>NOT DECLARED — the code does not say what it gives back</t>
        </is>
      </c>
      <c r="L518" s="3" t="inlineStr">
        <is>
          <t>NOT FOUND — a screen calls it, but the words printed beside its answer could not be traced automatically. Needs reading.</t>
        </is>
      </c>
      <c r="M518" s="3" t="inlineStr">
        <is>
          <t>· Rounds the answer to a whole number.</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MK-XS-F-002</t>
        </is>
      </c>
      <c r="B519" s="3" t="inlineStr">
        <is>
          <t>dataGaps</t>
        </is>
      </c>
      <c r="C519" s="3" t="inlineStr">
        <is>
          <t>src/domain/gaps/index.ts</t>
        </is>
      </c>
      <c r="D519" s="3" t="n">
        <v>174</v>
      </c>
      <c r="E519" s="3" t="inlineStr">
        <is>
          <t>2 · DISPLAYED</t>
        </is>
      </c>
      <c r="F519" s="3" t="inlineStr">
        <is>
          <t>Every incomplete promise across the given accounts.</t>
        </is>
      </c>
      <c r="G519"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19"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19" s="3" t="inlineStr">
        <is>
          <t>PARTLY READ — some of the code is still showing through; needs a hand pass</t>
        </is>
      </c>
      <c r="J519" s="3" t="inlineStr">
        <is>
          <t>Nothing is handed to it</t>
        </is>
      </c>
      <c r="K519" s="3" t="inlineStr">
        <is>
          <t>NOT DECLARED — the code does not say what it gives back</t>
        </is>
      </c>
      <c r="L519" s="3" t="inlineStr">
        <is>
          <t>NOT FOUND — a screen calls it, but the words printed beside its answer could not be traced automatically. Needs reading.</t>
        </is>
      </c>
      <c r="M519" s="3" t="inlineStr">
        <is>
          <t>1. If shares is missing it uses 0.
2. Treats a year as 365 days.
3. Uses today's date from the device clock, so the answer changes by itself overnight.</t>
        </is>
      </c>
      <c r="N519" s="3" t="inlineStr">
        <is>
          <t>Yes</t>
        </is>
      </c>
      <c r="O519" s="3" t="inlineStr">
        <is>
          <t>1. MK-XS-F-170 daysSince
2. MK-NW-F-046 historyCoverage
3. MK-CF-F-204 line
4. MK-XS-F-120 nameOf
5. MK-XS-F-119 namesFor
6. MK-XS-F-118 prettyDate</t>
        </is>
      </c>
      <c r="P519" s="3" t="n">
        <v>113</v>
      </c>
      <c r="Q519"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MK-NW-O-001 theBonds
43. MK-CF-F-193 inflowSourceWord
44. MK-CF-F-092 incomeMonthlyGrid
45. MK-CF-F-011 savingsByMonth
46. MK-NW-F-057 annualCoupon
47. MK-ST-F-048 currencySymbol
48. MK-ST-F-039 on
49. MK-ST-F-027 accountId
50. MK-NW-F-056 bondInfo
51. MK-NW-F-064 bondRateSensitivity
52. MK-NW-F-061 bondSummary
53. MK-NW-F-055 isBond
54. MK-NW-F-072 rowOf
55. MK-CF-F-069 benefitActiveMonths
56. MK-CF-F-072 currentRetirementIncomeMonthly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MK-CF-F-062 equityRowValue
79. MK-CF-F-070 benefitAnnual
80. MK-CF-F-176 sumMonthsOverEarners
81. MK-CF-F-177 wageGrossByMonth
82. MK-CF-F-090 effectiveRate
83. MK-CF-F-085 filingStatusOf
84. MK-CF-F-089 over65CountOf
85. MK-CF-F-098 progressiveMonthlyTax
86. MK-CF-F-086 stateRateOf
87. MK-CF-F-173 earnerWages
88. MK-CF-F-102 effectiveRateOnGrossFor
89. MK-CF-F-180 enteredLandsAnnual
90. MK-CF-F-082 salaryAnnual
91. MK-CF-F-084 taxableAnnual
92. MK-CF-F-067 rentalList
93. MK-CF-F-063 rowVestYear
94. MK-CF-F-120 pctBaseMonthly
95. MK-CF-F-004 spendBuckets
96. MK-NW-F-008 incomeBearingClassOf
97. MK-CF-F-130 enteredMonthlyRaw
98. MK-CF-F-166 hasMonthlySalaryTable
99. MK-ST-F-036 reconcile
100. MK-CF-F-167 salaryCalendarYear
101. MK-CF-F-101 taxOwedFor
102. MK-CF-F-100 taxableIncomeFor
103. MK-CF-F-172 hasWage
104. MK-CF-F-074 tipsAnnual
105. MK-CF-F-003 categoryMonthly
106. MK-ST-F-010 nameEvidence
107. MK-CF-F-165 salaryMonths
108. MK-CF-F-099 deductionFor
109. MK-CF-F-081 salaryActiveMonths
110. MK-XS-F-147 call
111. MK-CF-F-187 seniorDeductionFor
112. MK-XS-F-064 currentIdToken
113. MK-XS-F-112 relayUrl</t>
        </is>
      </c>
      <c r="R519"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MK-CF-F-151 actualSpending → MK-CF-O-002 expenses → MK-CF-O-010 theMonth → MK-CF-F-203 MONTH → MK-CF-F-204 line → MK-XS-F-002 dataGaps
6. MK-CF-F-150 debtPaymentsCountedAsExpenses → MK-CF-O-002 expenses → MK-CF-O-010 theMonth → MK-CF-F-203 MONTH → MK-CF-F-204 line → MK-XS-F-002 dataGaps
7. MK-CF-F-153 radar → MK-CF-O-002 expenses → MK-CF-O-010 theMonth → MK-CF-F-203 MONTH → MK-CF-F-204 line → MK-XS-F-002 dataGaps
8. MK-CF-F-149 recurringDebtPayments → MK-CF-O-002 expenses → MK-CF-O-010 theMonth → MK-CF-F-203 MONTH → MK-CF-F-204 line → MK-XS-F-002 dataGaps
9. … and 5 more paths</t>
        </is>
      </c>
      <c r="S519" s="3" t="inlineStr">
        <is>
          <t>—</t>
        </is>
      </c>
      <c r="T519" s="3" t="inlineStr">
        <is>
          <t>WHAT_IS_MISSING</t>
        </is>
      </c>
      <c r="U519" s="3" t="inlineStr">
        <is>
          <t>ACTIVE</t>
        </is>
      </c>
      <c r="V519" s="3" t="inlineStr">
        <is>
          <t>2026-08-27</t>
        </is>
      </c>
      <c r="W519" s="3" t="n"/>
      <c r="X519" s="3" t="n"/>
      <c r="Y519" s="3" t="inlineStr">
        <is>
          <t>NOTHING OPEN</t>
        </is>
      </c>
    </row>
    <row r="520" ht="60" customHeight="1">
      <c r="A520" s="3" t="inlineStr">
        <is>
          <t>MK-XS-F-003</t>
        </is>
      </c>
      <c r="B520" s="3" t="inlineStr">
        <is>
          <t>gapsHeadline</t>
        </is>
      </c>
      <c r="C520" s="3" t="inlineStr">
        <is>
          <t>src/domain/gaps/index.ts</t>
        </is>
      </c>
      <c r="D520" s="3" t="n">
        <v>287</v>
      </c>
      <c r="E520" s="3" t="inlineStr">
        <is>
          <t>2 · DISPLAYED (presentation only)</t>
        </is>
      </c>
      <c r="F520" s="3" t="inlineStr">
        <is>
          <t>The banner sentence — plural-correct, and absent (null) when nothing is missing.</t>
        </is>
      </c>
      <c r="G520" s="11" t="inlineStr">
        <is>
          <t>nothing   when count of gaps is missing
'1 number needs more information'   if gaps.length = 1
`${gaps.length} numbers need more information`   otherwise</t>
        </is>
      </c>
      <c r="H520" s="3" t="inlineStr">
        <is>
          <t>When how many gaps is missing there are, it answers no answer. '1 number needs more information' — when gaps.length = 1; `${gaps.length} numbers need more information` — otherwise.</t>
        </is>
      </c>
      <c r="I520" s="3" t="inlineStr">
        <is>
          <t>PARTLY READ — some of the code is still showing through; needs a hand pass</t>
        </is>
      </c>
      <c r="J520" s="3" t="inlineStr">
        <is>
          <t>gaps: DataGap[]</t>
        </is>
      </c>
      <c r="K520" s="3" t="inlineStr">
        <is>
          <t>string | null</t>
        </is>
      </c>
      <c r="L520" s="3" t="inlineStr">
        <is>
          <t>NOT FOUND — a screen calls it, but the words printed beside its answer could not be traced automatically. Needs reading.</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MK-XS-F-004</t>
        </is>
      </c>
      <c r="B521" s="3" t="inlineStr">
        <is>
          <t>buildDatedGrid</t>
        </is>
      </c>
      <c r="C521" s="3" t="inlineStr">
        <is>
          <t>src/domain/grid/index.ts</t>
        </is>
      </c>
      <c r="D521" s="3" t="n">
        <v>113</v>
      </c>
      <c r="E521" s="3" t="inlineStr">
        <is>
          <t>2 · DISPLAYED</t>
        </is>
      </c>
      <c r="F521" s="3" t="inlineStr">
        <is>
          <t>Build the dated 12-month grid.</t>
        </is>
      </c>
      <c r="G521"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1"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1" s="3" t="inlineStr">
        <is>
          <t>PARTLY READ — the body has a loop the extractor cannot render; the steps shown are the ones before it. Needs a hand pass (G23).</t>
        </is>
      </c>
      <c r="J521" s="3" t="inlineStr">
        <is>
          <t>1. op: OnboardingProfile | null
2. opts: GridOptions = {}</t>
        </is>
      </c>
      <c r="K521" s="3" t="inlineStr">
        <is>
          <t>DatedGrid</t>
        </is>
      </c>
      <c r="L521" s="3" t="inlineStr">
        <is>
          <t>NOT FOUND — a screen calls it, but the words printed beside its answer could not be traced automatically. Needs reading.</t>
        </is>
      </c>
      <c r="M521"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1" s="3" t="inlineStr">
        <is>
          <t>Yes</t>
        </is>
      </c>
      <c r="O521"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1" s="3" t="n">
        <v>105</v>
      </c>
      <c r="Q521"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MK-CF-O-003 thisMonth
66. MK-ST-F-047 activeCurrency
67. MK-CF-F-099 deductionFor
68. MK-CF-F-172 hasWage
69. MK-CF-F-074 tipsAnnual
70. MK-CF-F-070 benefitAnnual
71. MK-CF-F-165 salaryMonths
72. MK-CF-F-077 scholarshipByCalendarMonth
73. MK-PL-F-012 waterfall
74. MK-XS-F-027 takeHomeMonthly
75. MK-CF-F-005 actualMonthFlow
76. MK-CF-F-156 plannedMonthFlow
77. MK-CF-F-187 seniorDeductionFor
78. MK-CF-F-081 salaryActiveMonths
79. MK-CF-F-011 savingsByMonth
80. MK-NW-F-078 ONE
81. MK-CF-F-155 cash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21"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1" s="3" t="inlineStr">
        <is>
          <t>—</t>
        </is>
      </c>
      <c r="T521" s="3" t="inlineStr">
        <is>
          <t>—</t>
        </is>
      </c>
      <c r="U521" s="3" t="inlineStr">
        <is>
          <t>ACTIVE</t>
        </is>
      </c>
      <c r="V521" s="3" t="inlineStr">
        <is>
          <t>2026-09-08</t>
        </is>
      </c>
      <c r="W521" s="3" t="n"/>
      <c r="X521" s="3" t="n"/>
      <c r="Y521" s="3" t="inlineStr">
        <is>
          <t>NOTHING OPEN</t>
        </is>
      </c>
    </row>
    <row r="522" ht="60" customHeight="1">
      <c r="A522" s="3" t="inlineStr">
        <is>
          <t>MK-XS-F-005</t>
        </is>
      </c>
      <c r="B522" s="3" t="inlineStr">
        <is>
          <t>trendPoints</t>
        </is>
      </c>
      <c r="C522" s="3" t="inlineStr">
        <is>
          <t>src/domain/history.ts</t>
        </is>
      </c>
      <c r="D522" s="3" t="n">
        <v>64</v>
      </c>
      <c r="E522" s="3" t="inlineStr">
        <is>
          <t>2 · DISPLAYED</t>
        </is>
      </c>
      <c r="F522" s="3" t="inlineStr">
        <is>
          <t>Chart series = monthly snapshots + daily points, chronological ('YYYY-MM' sorts before its days).</t>
        </is>
      </c>
      <c r="G522" s="11" t="inlineStr">
        <is>
          <t>pts = for each of read history(monthly): key = month
nw = net worth
the answer = pts.sort((a, b) =&gt; key.locale compare(key))</t>
        </is>
      </c>
      <c r="H522" s="3" t="inlineStr">
        <is>
          <t>Pts is for each of read history(monthly): key = month; nw = net worth. The answer is pts.sort((a, b) =&gt; key.locale compare(key)).</t>
        </is>
      </c>
      <c r="I522" s="3" t="inlineStr">
        <is>
          <t>PARTLY READ — some of the code is still showing through; needs a hand pass</t>
        </is>
      </c>
      <c r="J522" s="3" t="inlineStr">
        <is>
          <t>Nothing is handed to it</t>
        </is>
      </c>
      <c r="K522" s="3" t="inlineStr">
        <is>
          <t>NOT DECLARED — the code does not say what it gives back</t>
        </is>
      </c>
      <c r="L522" s="3" t="inlineStr">
        <is>
          <t>NOT FOUND — a screen calls it, but the words printed beside its answer could not be traced automatically. Needs reading.</t>
        </is>
      </c>
      <c r="M522" s="3" t="inlineStr">
        <is>
          <t>None found in this function — anything it assumes comes from the functions it depends on.</t>
        </is>
      </c>
      <c r="N522" s="3" t="inlineStr">
        <is>
          <t>Yes</t>
        </is>
      </c>
      <c r="O522" s="3" t="inlineStr">
        <is>
          <t>1. MK-CF-F-132 map
2. MK-XS-F-009 readHistory</t>
        </is>
      </c>
      <c r="P522" s="3" t="n">
        <v>6</v>
      </c>
      <c r="Q522" s="3" t="inlineStr">
        <is>
          <t>1. MK-CF-F-132 map
2. MK-XS-F-009 readHistory
3. MK-XS-F-008 normalizeSnapshot
4. MK-CF-F-191 ym
5. MK-XS-F-121 isYm
6. MK-XS-F-122 n</t>
        </is>
      </c>
      <c r="R522"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2" s="3" t="inlineStr">
        <is>
          <t>—</t>
        </is>
      </c>
      <c r="T522" s="3" t="inlineStr">
        <is>
          <t>TREND_SERIES</t>
        </is>
      </c>
      <c r="U522" s="3" t="inlineStr">
        <is>
          <t>ACTIVE</t>
        </is>
      </c>
      <c r="V522" s="3" t="inlineStr">
        <is>
          <t>2026-08-27</t>
        </is>
      </c>
      <c r="W522" s="3" t="n"/>
      <c r="X522" s="3" t="n"/>
      <c r="Y522" s="3" t="inlineStr">
        <is>
          <t>NOTHING OPEN</t>
        </is>
      </c>
    </row>
    <row r="523" ht="60" customHeight="1">
      <c r="A523" s="3" t="inlineStr">
        <is>
          <t>MK-XS-F-006</t>
        </is>
      </c>
      <c r="B523" s="3" t="inlineStr">
        <is>
          <t>pruneDaily</t>
        </is>
      </c>
      <c r="C523" s="3" t="inlineStr">
        <is>
          <t>src/domain/history.ts</t>
        </is>
      </c>
      <c r="D523" s="3" t="n">
        <v>106</v>
      </c>
      <c r="E523" s="3" t="inlineStr">
        <is>
          <t>3 · DEPENDENT</t>
        </is>
      </c>
      <c r="F523" s="3" t="inlineStr">
        <is>
          <t>Prune helper for the store writer: newest DAILY_KEEP days survive.</t>
        </is>
      </c>
      <c r="G523" s="11" t="inlineStr">
        <is>
          <t>keys = the names in daily, in order
daily   when keys.length ≤ DAILY_KEEP
keep = a list with no repeats of keys.slice(-DAILY_KEEP)
the answer = object.from entries(object.entries(daily).filter(([k]) =&gt; keep.has(k)))</t>
        </is>
      </c>
      <c r="H523" s="3" t="inlineStr">
        <is>
          <t>Keys: the names in daily, in order. When keys.length is at most DAILY_KEEP, it answers daily. Keep is a list with no repeats of keys.slice(-DAILY_KEEP). The answer is object.from entries(object.entries(daily).filter(([k]) =&gt; keep.has(k))).</t>
        </is>
      </c>
      <c r="I523" s="3" t="inlineStr">
        <is>
          <t>PARTLY READ — some of the code is still showing through; needs a hand pass</t>
        </is>
      </c>
      <c r="J523" s="3" t="inlineStr">
        <is>
          <t>daily: Record&lt;string, number&gt;</t>
        </is>
      </c>
      <c r="K523" s="3" t="inlineStr">
        <is>
          <t>Record&lt;string, number&gt;</t>
        </is>
      </c>
      <c r="L523" s="3" t="inlineStr">
        <is>
          <t>—</t>
        </is>
      </c>
      <c r="M523" s="3" t="inlineStr">
        <is>
          <t>None found in this function — anything it assumes comes from the functions it depends on.</t>
        </is>
      </c>
      <c r="N523" s="3" t="inlineStr">
        <is>
          <t>Yes</t>
        </is>
      </c>
      <c r="O523" s="3" t="inlineStr">
        <is>
          <t>MK-ST-F-056 has</t>
        </is>
      </c>
      <c r="P523" s="3" t="n">
        <v>1</v>
      </c>
      <c r="Q523" s="3" t="inlineStr">
        <is>
          <t>MK-ST-F-056 has</t>
        </is>
      </c>
      <c r="R523" s="3" t="inlineStr">
        <is>
          <t>MK-ST-F-056 has → MK-XS-F-006 pruneDaily</t>
        </is>
      </c>
      <c r="S523" s="3" t="inlineStr">
        <is>
          <t>—</t>
        </is>
      </c>
      <c r="T523" s="3" t="inlineStr">
        <is>
          <t>—</t>
        </is>
      </c>
      <c r="U523" s="3" t="inlineStr">
        <is>
          <t>ACTIVE</t>
        </is>
      </c>
      <c r="V523" s="3" t="inlineStr">
        <is>
          <t>2026-09-12</t>
        </is>
      </c>
      <c r="W523" s="3" t="n"/>
      <c r="X523" s="3" t="n"/>
      <c r="Y523" s="3" t="inlineStr">
        <is>
          <t>NOTHING OPEN</t>
        </is>
      </c>
    </row>
    <row r="524" ht="60" customHeight="1">
      <c r="A524" s="3" t="inlineStr">
        <is>
          <t>MK-XS-F-007</t>
        </is>
      </c>
      <c r="B524" s="3" t="inlineStr">
        <is>
          <t>makeMonthlySnapshot</t>
        </is>
      </c>
      <c r="C524" s="3" t="inlineStr">
        <is>
          <t>src/domain/history.ts</t>
        </is>
      </c>
      <c r="D524" s="3" t="n">
        <v>194</v>
      </c>
      <c r="E524" s="3" t="inlineStr">
        <is>
          <t>2 · DISPLAYED</t>
        </is>
      </c>
      <c r="F524" s="3" t="inlineStr">
        <is>
          <t>The ONE writer — stamps the version and keeps the arithmetic identity by construction.</t>
        </is>
      </c>
      <c r="G524" s="11" t="inlineStr">
        <is>
          <t>net worth = gross assets − gross debt
v = the snapshot version</t>
        </is>
      </c>
      <c r="H524" s="3" t="inlineStr">
        <is>
          <t>Builds a month-end snapshot: net worth is assets minus debts, computed here and never stored as a third figure that could disagree with its own halves.</t>
        </is>
      </c>
      <c r="I524" s="3" t="inlineStr">
        <is>
          <t>READ BY HAND 2026-08-26 — checked line by line against the code</t>
        </is>
      </c>
      <c r="J524" s="3" t="inlineStr">
        <is>
          <t>i: Omit&lt;MonthlySnapshot, 'v' | 'net_worth'&gt; &amp; { net_worth?: number }</t>
        </is>
      </c>
      <c r="K524" s="3" t="inlineStr">
        <is>
          <t>MonthlySnapshot</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MK-XS-F-122 n</t>
        </is>
      </c>
      <c r="P524" s="3" t="n">
        <v>1</v>
      </c>
      <c r="Q524" s="3" t="inlineStr">
        <is>
          <t>MK-XS-F-122 n</t>
        </is>
      </c>
      <c r="R524" s="3" t="inlineStr">
        <is>
          <t>MK-XS-F-122 n → MK-XS-F-007 makeMonthlySnapshot</t>
        </is>
      </c>
      <c r="S524" s="3" t="inlineStr">
        <is>
          <t>—</t>
        </is>
      </c>
      <c r="T524" s="3" t="inlineStr">
        <is>
          <t>—</t>
        </is>
      </c>
      <c r="U524" s="3" t="inlineStr">
        <is>
          <t>ACTIVE</t>
        </is>
      </c>
      <c r="V524" s="3" t="inlineStr">
        <is>
          <t>2026-09-12</t>
        </is>
      </c>
      <c r="W524" s="3" t="n"/>
      <c r="X524" s="3" t="n"/>
      <c r="Y524" s="3" t="inlineStr">
        <is>
          <t>NOTHING OPEN</t>
        </is>
      </c>
    </row>
    <row r="525" ht="60" customHeight="1">
      <c r="A525" s="3" t="inlineStr">
        <is>
          <t>MK-XS-F-008</t>
        </is>
      </c>
      <c r="B525" s="3" t="inlineStr">
        <is>
          <t>normalizeSnapshot</t>
        </is>
      </c>
      <c r="C525" s="3" t="inlineStr">
        <is>
          <t>src/domain/history.ts</t>
        </is>
      </c>
      <c r="D525" s="3" t="n">
        <v>234</v>
      </c>
      <c r="E525" s="3" t="inlineStr">
        <is>
          <t>3 · DEPENDENT</t>
        </is>
      </c>
      <c r="F525" s="3" t="inlineStr">
        <is>
          <t>Normalize ONE stored entry: v1 passes validated; a legacy blob (no `v`) maps best-effort; anything without a real month + net worth is dropped (null), never charted.</t>
        </is>
      </c>
      <c r="G525"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25"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25" s="3" t="inlineStr">
        <is>
          <t>PARTLY READ — some of the code is still showing through; needs a hand pass</t>
        </is>
      </c>
      <c r="J525" s="3" t="inlineStr">
        <is>
          <t>1. ym: string
2. raw: unknown</t>
        </is>
      </c>
      <c r="K525" s="3" t="inlineStr">
        <is>
          <t>MonthlySnapshot | null</t>
        </is>
      </c>
      <c r="L525" s="3" t="inlineStr">
        <is>
          <t>—</t>
        </is>
      </c>
      <c r="M525" s="3" t="inlineStr">
        <is>
          <t>None found in this function — anything it assumes comes from the functions it depends on.</t>
        </is>
      </c>
      <c r="N525" s="3" t="inlineStr">
        <is>
          <t>Yes</t>
        </is>
      </c>
      <c r="O525" s="3" t="inlineStr">
        <is>
          <t>1. MK-XS-F-121 isYm
2. MK-XS-F-122 n
3. MK-CF-F-191 ym</t>
        </is>
      </c>
      <c r="P525" s="3" t="n">
        <v>3</v>
      </c>
      <c r="Q525" s="3" t="inlineStr">
        <is>
          <t>1. MK-XS-F-121 isYm
2. MK-XS-F-122 n
3. MK-CF-F-191 ym</t>
        </is>
      </c>
      <c r="R525" s="3" t="inlineStr">
        <is>
          <t>1. MK-XS-F-121 isYm → MK-XS-F-008 normalizeSnapshot
2. MK-XS-F-122 n → MK-XS-F-008 normalizeSnapshot
3. MK-CF-F-191 ym → MK-XS-F-008 normalizeSnapshot</t>
        </is>
      </c>
      <c r="S525" s="3" t="inlineStr">
        <is>
          <t>—</t>
        </is>
      </c>
      <c r="T525" s="3" t="inlineStr">
        <is>
          <t>SNAPSHOT_READ_ONE</t>
        </is>
      </c>
      <c r="U525" s="3" t="inlineStr">
        <is>
          <t>ACTIVE</t>
        </is>
      </c>
      <c r="V525" s="3" t="inlineStr">
        <is>
          <t>2026-09-09</t>
        </is>
      </c>
      <c r="W525" s="3" t="n"/>
      <c r="X525" s="3" t="n"/>
      <c r="Y525" s="3" t="inlineStr">
        <is>
          <t>NOTHING OPEN</t>
        </is>
      </c>
    </row>
    <row r="526" ht="60" customHeight="1">
      <c r="A526" s="3" t="inlineStr">
        <is>
          <t>MK-XS-F-009</t>
        </is>
      </c>
      <c r="B526" s="3" t="inlineStr">
        <is>
          <t>readHistory</t>
        </is>
      </c>
      <c r="C526" s="3" t="inlineStr">
        <is>
          <t>src/domain/history.ts</t>
        </is>
      </c>
      <c r="D526" s="3" t="n">
        <v>285</v>
      </c>
      <c r="E526" s="3" t="inlineStr">
        <is>
          <t>2 · DISPLAYED</t>
        </is>
      </c>
      <c r="F526" s="3" t="inlineStr">
        <is>
          <t>The ONE reader every history surface uses: normalized, garbage-free, sorted by month.</t>
        </is>
      </c>
      <c r="G526" s="11" t="inlineStr">
        <is>
          <t>for each stored month: normalize snapshot(month, value); drop the unreadable ones; sort by month, oldest first</t>
        </is>
      </c>
      <c r="H526" s="3" t="inlineStr">
        <is>
          <t>Reads the stored monthly snapshots, drops any that cannot be read, and sorts them oldest first. No arithmetic beyond the ordering.</t>
        </is>
      </c>
      <c r="I526" s="3" t="inlineStr">
        <is>
          <t>READ BY HAND 2026-08-26 — checked line by line against the code</t>
        </is>
      </c>
      <c r="J526" s="3" t="inlineStr">
        <is>
          <t>raw: Record&lt;string, unknown&gt; | null | undefined</t>
        </is>
      </c>
      <c r="K526" s="3" t="inlineStr">
        <is>
          <t>MonthlySnapshot[]</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1. MK-CF-F-132 map
2. MK-XS-F-008 normalizeSnapshot
3. MK-CF-F-191 ym</t>
        </is>
      </c>
      <c r="P526" s="3" t="n">
        <v>5</v>
      </c>
      <c r="Q526" s="3" t="inlineStr">
        <is>
          <t>1. MK-CF-F-132 map
2. MK-XS-F-008 normalizeSnapshot
3. MK-CF-F-191 ym
4. MK-XS-F-121 isYm
5. MK-XS-F-122 n</t>
        </is>
      </c>
      <c r="R526"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26" s="3" t="inlineStr">
        <is>
          <t>—</t>
        </is>
      </c>
      <c r="T526" s="3" t="inlineStr">
        <is>
          <t>SNAPSHOT_READ_ALL</t>
        </is>
      </c>
      <c r="U526" s="3" t="inlineStr">
        <is>
          <t>ACTIVE</t>
        </is>
      </c>
      <c r="V526" s="3" t="inlineStr">
        <is>
          <t>2026-09-12</t>
        </is>
      </c>
      <c r="W526" s="3" t="n"/>
      <c r="X526" s="3" t="n"/>
      <c r="Y526" s="3" t="inlineStr">
        <is>
          <t>NOTHING OPEN</t>
        </is>
      </c>
    </row>
    <row r="527" ht="60" customHeight="1">
      <c r="A527" s="3" t="inlineStr">
        <is>
          <t>MK-XS-F-010</t>
        </is>
      </c>
      <c r="B527" s="3" t="inlineStr">
        <is>
          <t>investableChangePct</t>
        </is>
      </c>
      <c r="C527" s="3" t="inlineStr">
        <is>
          <t>src/domain/history.ts</t>
        </is>
      </c>
      <c r="D527" s="3" t="n">
        <v>319</v>
      </c>
      <c r="E527" s="3" t="inlineStr">
        <is>
          <t>3 · DEPENDENT</t>
        </is>
      </c>
      <c r="F527" s="3" t="inlineStr">
        <is>
          <t>FOUNDER RULE 2026-08-04: the NW change PERCENT is measured on cash + investments only — property values move only when someone retypes them, so a total-net-worth percent is noise.</t>
        </is>
      </c>
      <c r="G527"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27"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27" s="3" t="inlineStr">
        <is>
          <t>READ FROM THE CODE — rendered from the expressions the function runs</t>
        </is>
      </c>
      <c r="J527" s="3" t="inlineStr">
        <is>
          <t>Nothing is handed to it</t>
        </is>
      </c>
      <c r="K527" s="3" t="inlineStr">
        <is>
          <t>NOT DECLARED — the code does not say what it gives back</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NW_CHANGE_PCT</t>
        </is>
      </c>
      <c r="U527" s="3" t="inlineStr">
        <is>
          <t>ACTIVE</t>
        </is>
      </c>
      <c r="V527" s="3" t="inlineStr">
        <is>
          <t>2026-09-27</t>
        </is>
      </c>
      <c r="W527" s="3" t="n"/>
      <c r="X527" s="3" t="n"/>
      <c r="Y527" s="3" t="inlineStr">
        <is>
          <t>NOTHING OPEN</t>
        </is>
      </c>
    </row>
    <row r="528" ht="60" customHeight="1">
      <c r="A528" s="3" t="inlineStr">
        <is>
          <t>MK-XS-F-011</t>
        </is>
      </c>
      <c r="B528" s="3" t="inlineStr">
        <is>
          <t>buildChangeWalk</t>
        </is>
      </c>
      <c r="C528" s="3" t="inlineStr">
        <is>
          <t>src/domain/history.ts</t>
        </is>
      </c>
      <c r="D528" s="3" t="n">
        <v>381</v>
      </c>
      <c r="E528" s="3" t="inlineStr">
        <is>
          <t>2 · DISPLAYED</t>
        </is>
      </c>
      <c r="F528" s="3" t="inlineStr">
        <is>
          <t>My net worth changed since last time — what actually caused it?</t>
        </is>
      </c>
      <c r="G528"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28"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28" s="3" t="inlineStr">
        <is>
          <t>PARTLY READ — some of the code is still showing through; needs a hand pass</t>
        </is>
      </c>
      <c r="J528" s="3" t="inlineStr">
        <is>
          <t>Nothing is handed to it</t>
        </is>
      </c>
      <c r="K528" s="3" t="inlineStr">
        <is>
          <t>NOT DECLARED — the code does not say what it gives back</t>
        </is>
      </c>
      <c r="L528" s="3" t="inlineStr">
        <is>
          <t>1. "Wealth generated" — on the Account detail screen, under "THE HOLDINGS
2. $"</t>
        </is>
      </c>
      <c r="M528" s="3" t="inlineStr">
        <is>
          <t>1. If contributions is missing it uses 0.
2. If withdrawals is missing it uses 0.
3. If dividends is missing it uses 0.
4. If interest is missing it uses 0.
5. If debt principal is missing it uses 0.</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NW_CHANGE_WALK</t>
        </is>
      </c>
      <c r="U528" s="3" t="inlineStr">
        <is>
          <t>ACTIVE</t>
        </is>
      </c>
      <c r="V528" s="3" t="inlineStr">
        <is>
          <t>2026-09-09</t>
        </is>
      </c>
      <c r="W528" s="3" t="n"/>
      <c r="X528" s="3" t="n"/>
      <c r="Y528" s="3" t="inlineStr">
        <is>
          <t>NOTHING OPEN</t>
        </is>
      </c>
    </row>
    <row r="529" ht="60" customHeight="1">
      <c r="A529" s="3" t="inlineStr">
        <is>
          <t>MK-XS-F-012</t>
        </is>
      </c>
      <c r="B529" s="3" t="inlineStr">
        <is>
          <t>decodeCsvBase64</t>
        </is>
      </c>
      <c r="C529" s="3" t="inlineStr">
        <is>
          <t>src/domain/import/holdingsImport.ts</t>
        </is>
      </c>
      <c r="D529" s="3" t="n">
        <v>149</v>
      </c>
      <c r="E529" s="3" t="inlineStr">
        <is>
          <t>2 · DISPLAYED</t>
        </is>
      </c>
      <c r="F529" s="3" t="inlineStr">
        <is>
          <t>What is the text of the file that was picked?</t>
        </is>
      </c>
      <c r="G529"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29"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29" s="3" t="inlineStr">
        <is>
          <t>PARTLY READ — the body has a loop the extractor cannot render; the steps shown are the ones before it. Needs a hand pass (G23).</t>
        </is>
      </c>
      <c r="J529" s="3" t="inlineStr">
        <is>
          <t>b64: string</t>
        </is>
      </c>
      <c r="K529" s="3" t="inlineStr">
        <is>
          <t>string</t>
        </is>
      </c>
      <c r="L529" s="3" t="inlineStr">
        <is>
          <t>NOT FOUND — a screen calls it, but the words printed beside its answer could not be traced automatically. Needs reading.</t>
        </is>
      </c>
      <c r="M529" s="3" t="inlineStr">
        <is>
          <t>1. Uses a built-in start of 0.
2. Uses a built-in nul of 0.
3. Caps length at 400.</t>
        </is>
      </c>
      <c r="N529" s="3" t="inlineStr">
        <is>
          <t>Yes</t>
        </is>
      </c>
      <c r="O529" s="3" t="inlineStr">
        <is>
          <t>1. MK-XS-F-123 base64ToBytes
2. MK-XS-F-125 decodeUtf16
3. MK-XS-F-124 decodeUtf8</t>
        </is>
      </c>
      <c r="P529" s="3" t="n">
        <v>3</v>
      </c>
      <c r="Q529" s="3" t="inlineStr">
        <is>
          <t>1. MK-XS-F-123 base64ToBytes
2. MK-XS-F-125 decodeUtf16
3. MK-XS-F-124 decodeUtf8</t>
        </is>
      </c>
      <c r="R529" s="3" t="inlineStr">
        <is>
          <t>1. MK-XS-F-123 base64ToBytes → MK-XS-F-012 decodeCsvBase64
2. MK-XS-F-125 decodeUtf16 → MK-XS-F-012 decodeCsvBase64
3. MK-XS-F-124 decodeUtf8 → MK-XS-F-012 decodeCsvBase64</t>
        </is>
      </c>
      <c r="S529" s="3" t="inlineStr">
        <is>
          <t>—</t>
        </is>
      </c>
      <c r="T529" s="3" t="inlineStr">
        <is>
          <t>FILE_DECODE</t>
        </is>
      </c>
      <c r="U529" s="3" t="inlineStr">
        <is>
          <t>ACTIVE</t>
        </is>
      </c>
      <c r="V529" s="3" t="inlineStr">
        <is>
          <t>2026-09-08</t>
        </is>
      </c>
      <c r="W529" s="3" t="n"/>
      <c r="X529" s="3" t="n"/>
      <c r="Y529" s="3" t="inlineStr">
        <is>
          <t>NOTHING OPEN</t>
        </is>
      </c>
    </row>
    <row r="530" ht="60" customHeight="1">
      <c r="A530" s="3" t="inlineStr">
        <is>
          <t>MK-XS-F-013</t>
        </is>
      </c>
      <c r="B530" s="3" t="inlineStr">
        <is>
          <t>parseCsv</t>
        </is>
      </c>
      <c r="C530" s="3" t="inlineStr">
        <is>
          <t>src/domain/import/holdingsImport.ts</t>
        </is>
      </c>
      <c r="D530" s="3" t="n">
        <v>186</v>
      </c>
      <c r="E530" s="3" t="inlineStr">
        <is>
          <t>3 · DEPENDENT</t>
        </is>
      </c>
      <c r="F530" s="3" t="inlineStr">
        <is>
          <t>Minimal RFC-4180-ish CSV parser: handles quoted fields, embedded commas, "" escapes, CR/LF, BOM.</t>
        </is>
      </c>
      <c r="G530" s="11" t="inlineStr">
        <is>
          <t>rows = []
row = []
field = ''
in quotes = false
s = (text.char code at(0) = 0xFEFF ? text.slice(1) : text).replace( ÷ \r\n ÷ g, "\n").replace( ÷ \r ÷ g, "\n")
c = s[i]
the answer = rows where some((cell) =&gt; cell.trim() ! = '')</t>
        </is>
      </c>
      <c r="H530" s="3" t="inlineStr">
        <is>
          <t>Rows is []. Row is []. Field is ''. In quotes is false. S is (text.char code at(0) = 0xFEFF ? text.slice(1) : text).replace( divided by \r\n divided by g, "\n").replace( divided by \r divided by g, "\n"). C is s[i]. The answer is rows where some((cell) =&gt; cell.trim() ! = '').</t>
        </is>
      </c>
      <c r="I530" s="3" t="inlineStr">
        <is>
          <t>PARTLY READ — some of the code is still showing through; needs a hand pass</t>
        </is>
      </c>
      <c r="J530" s="3" t="inlineStr">
        <is>
          <t>text: string</t>
        </is>
      </c>
      <c r="K530" s="3" t="inlineStr">
        <is>
          <t>string[][]</t>
        </is>
      </c>
      <c r="L530" s="3" t="inlineStr">
        <is>
          <t>—</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FILE_PARSE</t>
        </is>
      </c>
      <c r="U530" s="3" t="inlineStr">
        <is>
          <t>ACTIVE</t>
        </is>
      </c>
      <c r="V530" s="3" t="inlineStr">
        <is>
          <t>2026-08-27</t>
        </is>
      </c>
      <c r="W530" s="3" t="n"/>
      <c r="X530" s="3" t="n"/>
      <c r="Y530" s="3" t="inlineStr">
        <is>
          <t>NOTHING OPEN</t>
        </is>
      </c>
    </row>
    <row r="531" ht="60" customHeight="1">
      <c r="A531" s="3" t="inlineStr">
        <is>
          <t>MK-XS-F-014</t>
        </is>
      </c>
      <c r="B531" s="3" t="inlineStr">
        <is>
          <t>classifyHolding</t>
        </is>
      </c>
      <c r="C531" s="3" t="inlineStr">
        <is>
          <t>Calculation Module code/engines/classify.ts</t>
        </is>
      </c>
      <c r="D531" s="3" t="n">
        <v>151</v>
      </c>
      <c r="E531" s="3" t="inlineStr">
        <is>
          <t>3 · DEPENDENT (feeds an action only)</t>
        </is>
      </c>
      <c r="F531" s="3" t="inlineStr">
        <is>
          <t>For a line in a FILE you upload: which class is it?</t>
        </is>
      </c>
      <c r="G531"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1"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1" s="3" t="inlineStr">
        <is>
          <t>PARTLY READ — some of the code is still showing through; needs a hand pass</t>
        </is>
      </c>
      <c r="J531" s="3" t="inlineStr">
        <is>
          <t>input: ClassifyInput</t>
        </is>
      </c>
      <c r="K531" s="3" t="inlineStr">
        <is>
          <t>Classified</t>
        </is>
      </c>
      <c r="L531" s="3" t="inlineStr">
        <is>
          <t>—</t>
        </is>
      </c>
      <c r="M531" s="3" t="inlineStr">
        <is>
          <t>None found in this function — anything it assumes comes from the functions it depends on.</t>
        </is>
      </c>
      <c r="N531" s="3" t="inlineStr">
        <is>
          <t>No</t>
        </is>
      </c>
      <c r="O531" s="3" t="inlineStr">
        <is>
          <t>1. MK-XS-F-147 call
2. MK-ST-F-056 has
3. MK-ST-F-001 looksFixedIncome</t>
        </is>
      </c>
      <c r="P531" s="3" t="n">
        <v>6</v>
      </c>
      <c r="Q531" s="3" t="inlineStr">
        <is>
          <t>1. MK-XS-F-147 call
2. MK-ST-F-056 has
3. MK-ST-F-001 looksFixedIncome
4. MK-ST-F-027 accountId
5. MK-XS-F-064 currentIdToken
6. MK-XS-F-112 relayUrl</t>
        </is>
      </c>
      <c r="R531"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1" s="3" t="inlineStr">
        <is>
          <t>—</t>
        </is>
      </c>
      <c r="T531" s="3" t="inlineStr">
        <is>
          <t>CLASS_FROM_FILE</t>
        </is>
      </c>
      <c r="U531" s="3" t="inlineStr">
        <is>
          <t>ACTIVE</t>
        </is>
      </c>
      <c r="V531" s="3" t="inlineStr">
        <is>
          <t>2026-08-27</t>
        </is>
      </c>
      <c r="W531" s="3" t="n"/>
      <c r="X531" s="3" t="n"/>
      <c r="Y531" s="3" t="inlineStr">
        <is>
          <t>NOTHING OPEN</t>
        </is>
      </c>
    </row>
    <row r="532" ht="60" customHeight="1">
      <c r="A532" s="3" t="inlineStr">
        <is>
          <t>MK-XS-F-015</t>
        </is>
      </c>
      <c r="B532" s="3" t="inlineStr">
        <is>
          <t>importHoldings</t>
        </is>
      </c>
      <c r="C532" s="3" t="inlineStr">
        <is>
          <t>src/domain/import/holdingsImport.ts</t>
        </is>
      </c>
      <c r="D532" s="3" t="n">
        <v>426</v>
      </c>
      <c r="E532" s="3" t="inlineStr">
        <is>
          <t>2 · DISPLAYED</t>
        </is>
      </c>
      <c r="F532" s="3" t="inlineStr">
        <is>
          <t>What holdings are in this file?</t>
        </is>
      </c>
      <c r="G532"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2"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2" s="3" t="inlineStr">
        <is>
          <t>PARTLY READ — some of the code is still showing through; needs a hand pass</t>
        </is>
      </c>
      <c r="J532" s="3" t="inlineStr">
        <is>
          <t>text: string</t>
        </is>
      </c>
      <c r="K532" s="3" t="inlineStr">
        <is>
          <t>ImportResult</t>
        </is>
      </c>
      <c r="L532" s="3" t="inlineStr">
        <is>
          <t>NOT FOUND — a screen calls it, but the words printed beside its answer could not be traced automatically. Needs reading.</t>
        </is>
      </c>
      <c r="M532" s="3" t="inlineStr">
        <is>
          <t>· Uses a built-in skipped of 0.</t>
        </is>
      </c>
      <c r="N532" s="3" t="inlineStr">
        <is>
          <t>Yes</t>
        </is>
      </c>
      <c r="O532" s="3" t="inlineStr">
        <is>
          <t>1. MK-XS-F-172 assetClassForSymbol
2. MK-XS-F-128 cleanTicker
3. MK-XS-F-126 findCol
4. MK-XS-F-129 findHeaderRow
5. MK-CF-F-132 map
6. MK-XS-F-171 numOrNaN
7. MK-XS-F-013 parseCsv
8. MK-XS-F-127 toIsoDate</t>
        </is>
      </c>
      <c r="P532" s="3" t="n">
        <v>16</v>
      </c>
      <c r="Q532"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2"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2" s="3" t="inlineStr">
        <is>
          <t>—</t>
        </is>
      </c>
      <c r="T532" s="3" t="inlineStr">
        <is>
          <t>FILE_IMPORT</t>
        </is>
      </c>
      <c r="U532" s="3" t="inlineStr">
        <is>
          <t>ACTIVE</t>
        </is>
      </c>
      <c r="V532" s="3" t="inlineStr">
        <is>
          <t>2026-08-27</t>
        </is>
      </c>
      <c r="W532" s="3" t="n"/>
      <c r="X532" s="3" t="n"/>
      <c r="Y532" s="3" t="inlineStr">
        <is>
          <t>NOTHING OPEN</t>
        </is>
      </c>
    </row>
    <row r="533" ht="45" customHeight="1">
      <c r="A533" s="3" t="inlineStr">
        <is>
          <t>MK-XS-F-016</t>
        </is>
      </c>
      <c r="B533" s="3" t="inlineStr">
        <is>
          <t>matchImportAccount</t>
        </is>
      </c>
      <c r="C533" s="3" t="inlineStr">
        <is>
          <t>src/domain/import/holdingsImport.ts</t>
        </is>
      </c>
      <c r="D533" s="3" t="n">
        <v>538</v>
      </c>
      <c r="E533" s="3" t="inlineStr">
        <is>
          <t>2 · DISPLAYED</t>
        </is>
      </c>
      <c r="F533" s="3" t="inlineStr">
        <is>
          <t>The existing account a fresh import from `institution` should offer to update (or null).</t>
        </is>
      </c>
      <c r="G533" s="11" t="inlineStr">
        <is>
          <t>target = norm inst(institution)
nothing   when target is missing
nothing   when count of candidates is missing</t>
        </is>
      </c>
      <c r="H533" s="3" t="inlineStr">
        <is>
          <t>Target is norm inst(institution). When target is missing, it answers no answer. When how many candidates is missing there are, it answers no answer.</t>
        </is>
      </c>
      <c r="I533" s="3" t="inlineStr">
        <is>
          <t>READ FROM THE CODE — rendered from the expressions the function runs</t>
        </is>
      </c>
      <c r="J533" s="3" t="inlineStr">
        <is>
          <t>1. accounts: AssetAccount[]
2. institution: string</t>
        </is>
      </c>
      <c r="K533" s="3" t="inlineStr">
        <is>
          <t>AssetAccount | null</t>
        </is>
      </c>
      <c r="L533" s="3" t="inlineStr">
        <is>
          <t>"Account name" — on the Import holdings screen, under "REVIEW YOUR HOLDINGS"</t>
        </is>
      </c>
      <c r="M533" s="3" t="inlineStr">
        <is>
          <t>· If balance is missing it counts as zero, so nothing recorded and a real zero look the same.</t>
        </is>
      </c>
      <c r="N533" s="3" t="inlineStr">
        <is>
          <t>Yes</t>
        </is>
      </c>
      <c r="O533" s="3" t="inlineStr">
        <is>
          <t>MK-XS-F-130 normInst</t>
        </is>
      </c>
      <c r="P533" s="3" t="n">
        <v>1</v>
      </c>
      <c r="Q533" s="3" t="inlineStr">
        <is>
          <t>MK-XS-F-130 normInst</t>
        </is>
      </c>
      <c r="R533" s="3" t="inlineStr">
        <is>
          <t>MK-XS-F-130 normInst → MK-XS-F-016 matchImportAccount</t>
        </is>
      </c>
      <c r="S533" s="3" t="inlineStr">
        <is>
          <t>—</t>
        </is>
      </c>
      <c r="T533" s="3" t="inlineStr">
        <is>
          <t>IMPORT_ACCOUNT_MATCH</t>
        </is>
      </c>
      <c r="U533" s="3" t="inlineStr">
        <is>
          <t>ACTIVE</t>
        </is>
      </c>
      <c r="V533" s="3" t="inlineStr">
        <is>
          <t>2026-08-27</t>
        </is>
      </c>
      <c r="W533" s="3" t="n"/>
      <c r="X533" s="3" t="n"/>
      <c r="Y533" s="3" t="inlineStr">
        <is>
          <t>NOTHING OPEN</t>
        </is>
      </c>
    </row>
    <row r="534" ht="60" customHeight="1">
      <c r="A534" s="3" t="inlineStr">
        <is>
          <t>MK-XS-F-017</t>
        </is>
      </c>
      <c r="B534" s="3" t="inlineStr">
        <is>
          <t>currentAge</t>
        </is>
      </c>
      <c r="C534" s="3" t="inlineStr">
        <is>
          <t>src/domain/profile/calc.ts</t>
        </is>
      </c>
      <c r="D534" s="3" t="n">
        <v>35</v>
      </c>
      <c r="E534" s="3" t="inlineStr">
        <is>
          <t>3 · DEPENDENT</t>
        </is>
      </c>
      <c r="F534" s="3" t="inlineStr">
        <is>
          <t>Age in whole years from birth month/year, as of `asOf` (defaults to now).</t>
        </is>
      </c>
      <c r="G534" s="11" t="inlineStr">
        <is>
          <t>nothing   when birth year is missing (or birth month is missing when missing or zero)
age = as of.get full year() − birth year
month idx = birth month − 1
the answer:
age   if age ≥ 0
nothing   otherwise</t>
        </is>
      </c>
      <c r="H534" s="3" t="inlineStr">
        <is>
          <t>When birth year is missing (or birth month is missing — when missing or zero), it answers no answer. Age is as of.get full year() minus birth year. Month idx is birth month minus 1. The answer is age — when age is at least 0; no answer — otherwise.</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t>
        </is>
      </c>
      <c r="M534" s="3" t="inlineStr">
        <is>
          <t>· Uses today's date from the device clock, so the answer changes by itself overnight.</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6" t="inlineStr">
        <is>
          <t>TESTED, NOT VERIFIED (G9)</t>
        </is>
      </c>
    </row>
    <row r="535" ht="60" customHeight="1">
      <c r="A535" s="3" t="inlineStr">
        <is>
          <t>MK-XS-F-018</t>
        </is>
      </c>
      <c r="B535" s="3" t="inlineStr">
        <is>
          <t>yearsToRetirement</t>
        </is>
      </c>
      <c r="C535" s="3" t="inlineStr">
        <is>
          <t>src/domain/profile/calc.ts</t>
        </is>
      </c>
      <c r="D535" s="3" t="n">
        <v>107</v>
      </c>
      <c r="E535" s="3" t="inlineStr">
        <is>
          <t>3 · DEPENDENT</t>
        </is>
      </c>
      <c r="F535" s="3" t="inlineStr">
        <is>
          <t>Years until the target retirement age (never negative).</t>
        </is>
      </c>
      <c r="G535" s="11" t="inlineStr">
        <is>
          <t>nothing   when age = nothing (or target retirement age is missing when missing or zero)
max(0, target retirement age − age)</t>
        </is>
      </c>
      <c r="H535" s="3" t="inlineStr">
        <is>
          <t>When age is missing (or target retirement age is missing — when missing or zero), it answers no answer. target retirement age minus age, never below zero.</t>
        </is>
      </c>
      <c r="I535" s="3" t="inlineStr">
        <is>
          <t>READ FROM THE CODE — rendered from the expressions the function runs</t>
        </is>
      </c>
      <c r="J535" s="3" t="inlineStr">
        <is>
          <t>1. age: number | null
2. targetRetirementAge: number | null</t>
        </is>
      </c>
      <c r="K535" s="3" t="inlineStr">
        <is>
          <t>number | null</t>
        </is>
      </c>
      <c r="L535" s="3" t="inlineStr">
        <is>
          <t>—</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MK-XS-F-019</t>
        </is>
      </c>
      <c r="B536" s="3" t="inlineStr">
        <is>
          <t>retirementHorizonYears</t>
        </is>
      </c>
      <c r="C536" s="3" t="inlineStr">
        <is>
          <t>src/domain/profile/calc.ts</t>
        </is>
      </c>
      <c r="D536" s="3" t="n">
        <v>137</v>
      </c>
      <c r="E536" s="3" t="inlineStr">
        <is>
          <t>3 · DEPENDENT</t>
        </is>
      </c>
      <c r="F536" s="3" t="inlineStr">
        <is>
          <t>Years the money must last: retirement → plan-to age (default horizon if unset).</t>
        </is>
      </c>
      <c r="G536" s="11" t="inlineStr">
        <is>
          <t>nothing   when target retirement age is missing
horizon = (plan to age ?? DEFAULT_PLAN_TO_AGE) − target retirement age
the answer:
horizon   if horizon &gt; 0
nothing   otherwise</t>
        </is>
      </c>
      <c r="H536" s="3" t="inlineStr">
        <is>
          <t>When target retirement age is missing, it answers no answer. Horizon is (plan to age ?? DEFAULT_PLAN_TO_AGE) minus target retirement age. The answer is horizon — when horizon &gt; 0; no answer — otherwise.</t>
        </is>
      </c>
      <c r="I536" s="3" t="inlineStr">
        <is>
          <t>PARTLY READ — some of the code is still showing through; needs a hand pass</t>
        </is>
      </c>
      <c r="J536" s="3" t="inlineStr">
        <is>
          <t>1. targetRetirementAge: number | null
2. planToAge: number | null</t>
        </is>
      </c>
      <c r="K536" s="3" t="inlineStr">
        <is>
          <t>number | null</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MK-XS-F-020</t>
        </is>
      </c>
      <c r="B537" s="3" t="inlineStr">
        <is>
          <t>toReadModel</t>
        </is>
      </c>
      <c r="C537" s="3" t="inlineStr">
        <is>
          <t>src/domain/profile/calc.ts</t>
        </is>
      </c>
      <c r="D537" s="3" t="n">
        <v>167</v>
      </c>
      <c r="E537" s="3" t="inlineStr">
        <is>
          <t>3 · DEPENDENT</t>
        </is>
      </c>
      <c r="F537" s="3" t="inlineStr">
        <is>
          <t>Build the public read-model (profile + derived planning values).</t>
        </is>
      </c>
      <c r="G537" s="11" t="inlineStr">
        <is>
          <t>age = current age(birth year, birth month, as of)</t>
        </is>
      </c>
      <c r="H537" s="3" t="inlineStr">
        <is>
          <t>Age is current age(birth year, birth month, as of).</t>
        </is>
      </c>
      <c r="I537" s="3" t="inlineStr">
        <is>
          <t>READ FROM THE CODE — rendered from the expressions the function runs</t>
        </is>
      </c>
      <c r="J537" s="3" t="inlineStr">
        <is>
          <t>1. p: Profile
2. asOf: Date = new Date()</t>
        </is>
      </c>
      <c r="K537" s="3" t="inlineStr">
        <is>
          <t>ProfileReadModel</t>
        </is>
      </c>
      <c r="L537" s="3" t="inlineStr">
        <is>
          <t>—</t>
        </is>
      </c>
      <c r="M537" s="3" t="inlineStr">
        <is>
          <t>· Uses today's date from the device clock, so the answer changes by itself overnight.</t>
        </is>
      </c>
      <c r="N537" s="3" t="inlineStr">
        <is>
          <t>Yes</t>
        </is>
      </c>
      <c r="O537" s="3" t="inlineStr">
        <is>
          <t>1. MK-XS-F-017 currentAge
2. MK-XS-F-019 retirementHorizonYears
3. MK-XS-F-018 yearsToRetirement</t>
        </is>
      </c>
      <c r="P537" s="3" t="n">
        <v>3</v>
      </c>
      <c r="Q537" s="3" t="inlineStr">
        <is>
          <t>1. MK-XS-F-017 currentAge
2. MK-XS-F-019 retirementHorizonYears
3. MK-XS-F-018 yearsToRetirement</t>
        </is>
      </c>
      <c r="R537" s="3" t="inlineStr">
        <is>
          <t>1. MK-XS-F-017 currentAge → MK-XS-F-020 toReadModel
2. MK-XS-F-019 retirementHorizonYears → MK-XS-F-020 toReadModel
3. MK-XS-F-018 yearsToRetirement → MK-XS-F-020 toReadModel</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MK-XS-F-021</t>
        </is>
      </c>
      <c r="B538" s="3" t="inlineStr">
        <is>
          <t>loadProfile</t>
        </is>
      </c>
      <c r="C538" s="3" t="inlineStr">
        <is>
          <t>src/domain/profile/index.ts</t>
        </is>
      </c>
      <c r="D538" s="3" t="n">
        <v>35</v>
      </c>
      <c r="E538" s="3" t="inlineStr">
        <is>
          <t>3 · DEPENDENT (feeds an action only)</t>
        </is>
      </c>
      <c r="F538" s="3" t="inlineStr">
        <is>
          <t>NOT DETERMINED — the code carries no note saying what this is for, and it has no row in the old inventory. Needs reading.</t>
        </is>
      </c>
      <c r="G538" s="11" t="inlineStr">
        <is>
          <t>get user doc&lt;profile&gt;(COLLECTION, uid)</t>
        </is>
      </c>
      <c r="H538" s="3" t="inlineStr">
        <is>
          <t>get user doc&lt;profile&gt;(COLLECTION, uid).</t>
        </is>
      </c>
      <c r="I538" s="3" t="inlineStr">
        <is>
          <t>READ FROM THE CODE — rendered from the expressions the function runs</t>
        </is>
      </c>
      <c r="J538" s="3" t="inlineStr">
        <is>
          <t>uid: UserId</t>
        </is>
      </c>
      <c r="K538" s="3" t="inlineStr">
        <is>
          <t>Promise&lt;Profile | null&gt;</t>
        </is>
      </c>
      <c r="L538" s="3" t="inlineStr">
        <is>
          <t>—</t>
        </is>
      </c>
      <c r="M538" s="3" t="inlineStr">
        <is>
          <t>None found in this function — anything it assumes comes from the functions it depends on.</t>
        </is>
      </c>
      <c r="N538" s="3" t="inlineStr">
        <is>
          <t>No</t>
        </is>
      </c>
      <c r="O538" s="3" t="inlineStr">
        <is>
          <t>MK-XS-F-175 uid</t>
        </is>
      </c>
      <c r="P538" s="3" t="n">
        <v>80</v>
      </c>
      <c r="Q53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38"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MK-XS-F-022</t>
        </is>
      </c>
      <c r="B539" s="3" t="inlineStr">
        <is>
          <t>saveProfile</t>
        </is>
      </c>
      <c r="C539" s="3" t="inlineStr">
        <is>
          <t>src/domain/profile/index.ts</t>
        </is>
      </c>
      <c r="D539" s="3" t="n">
        <v>54</v>
      </c>
      <c r="E539" s="3" t="inlineStr">
        <is>
          <t>1 · ACTION</t>
        </is>
      </c>
      <c r="F539" s="3" t="inlineStr">
        <is>
          <t>NOT DETERMINED — the code carries no note saying what this is for, and it has no row in the old inventory. Needs reading.</t>
        </is>
      </c>
      <c r="G539" s="11" t="inlineStr">
        <is>
          <t>It records or announces something and returns no figure — no arithmetic of its own.</t>
        </is>
      </c>
      <c r="H539" s="3" t="inlineStr">
        <is>
          <t>It records or announces something and returns no figure — no arithmetic of its own.</t>
        </is>
      </c>
      <c r="I539" s="3" t="inlineStr">
        <is>
          <t>NO ARITHMETIC — there is no formula to state</t>
        </is>
      </c>
      <c r="J539" s="3" t="inlineStr">
        <is>
          <t>profile: Profile</t>
        </is>
      </c>
      <c r="K539" s="3" t="inlineStr">
        <is>
          <t>Promise&lt;void&gt;</t>
        </is>
      </c>
      <c r="L539" s="3" t="inlineStr">
        <is>
          <t>—</t>
        </is>
      </c>
      <c r="M539" s="3" t="inlineStr">
        <is>
          <t>None found in this function — anything it assumes comes from the functions it depends on.</t>
        </is>
      </c>
      <c r="N539" s="3" t="inlineStr">
        <is>
          <t>Yes</t>
        </is>
      </c>
      <c r="O539" s="3" t="inlineStr">
        <is>
          <t>1. MK-ST-F-040 emit
2. MK-ST-F-042 setUserDoc</t>
        </is>
      </c>
      <c r="P539" s="3" t="n">
        <v>82</v>
      </c>
      <c r="Q539"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39"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MK-XS-F-023</t>
        </is>
      </c>
      <c r="B540" s="3" t="inlineStr">
        <is>
          <t>getProfileReadModel</t>
        </is>
      </c>
      <c r="C540" s="3" t="inlineStr">
        <is>
          <t>src/domain/profile/index.ts</t>
        </is>
      </c>
      <c r="D540" s="3" t="n">
        <v>78</v>
      </c>
      <c r="E540" s="3" t="inlineStr">
        <is>
          <t>3 · DEPENDENT (feeds an action only)</t>
        </is>
      </c>
      <c r="F540" s="3" t="inlineStr">
        <is>
          <t>Profile + derived planning values (current age, years to retirement, horizon).</t>
        </is>
      </c>
      <c r="G540" s="11" t="inlineStr">
        <is>
          <t>p = await load profile(uid)
the answer:
to read model(p)   if p
nothing   otherwise</t>
        </is>
      </c>
      <c r="H540" s="3" t="inlineStr">
        <is>
          <t>P is await load profile(uid). The answer is to read model(p) — when p; no answer — otherwise.</t>
        </is>
      </c>
      <c r="I540" s="3" t="inlineStr">
        <is>
          <t>READ FROM THE CODE — rendered from the expressions the function runs</t>
        </is>
      </c>
      <c r="J540" s="3" t="inlineStr">
        <is>
          <t>uid: UserId</t>
        </is>
      </c>
      <c r="K540" s="3" t="inlineStr">
        <is>
          <t>Promise&lt;ProfileReadModel | null&gt;</t>
        </is>
      </c>
      <c r="L540" s="3" t="inlineStr">
        <is>
          <t>—</t>
        </is>
      </c>
      <c r="M540" s="3" t="inlineStr">
        <is>
          <t>None found in this function — anything it assumes comes from the functions it depends on.</t>
        </is>
      </c>
      <c r="N540" s="3" t="inlineStr">
        <is>
          <t>No</t>
        </is>
      </c>
      <c r="O540" s="3" t="inlineStr">
        <is>
          <t>1. MK-XS-F-021 loadProfile
2. MK-XS-F-020 toReadModel
3. MK-XS-F-175 uid</t>
        </is>
      </c>
      <c r="P540" s="3" t="n">
        <v>85</v>
      </c>
      <c r="Q540"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0"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MK-XS-F-024</t>
        </is>
      </c>
      <c r="B541" s="3" t="inlineStr">
        <is>
          <t>resolveLens</t>
        </is>
      </c>
      <c r="C541" s="3" t="inlineStr">
        <is>
          <t>src/domain/profile/lens.ts</t>
        </is>
      </c>
      <c r="D541" s="3" t="n">
        <v>48</v>
      </c>
      <c r="E541" s="3" t="inlineStr">
        <is>
          <t>2 · DISPLAYED</t>
        </is>
      </c>
      <c r="F541" s="3" t="inlineStr">
        <is>
          <t>The person's explicit choice (first-run stage question / Settings → Your setup) wins.</t>
        </is>
      </c>
      <c r="G541" s="11" t="inlineStr">
        <is>
          <t>override   when override = 'working' (or override = 'retired' when missing or zero)
status = op.status
'retired'   when status = 'retired'
'retired'   when status = 'partial' and current retirement income monthly(op ?? {}) &gt; 0
the answer = 'working'</t>
        </is>
      </c>
      <c r="H541"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1" s="3" t="inlineStr">
        <is>
          <t>PARTLY READ — some of the code is still showing through; needs a hand pass</t>
        </is>
      </c>
      <c r="J541" s="3" t="inlineStr">
        <is>
          <t>1. op: Record&lt;string, any&gt; | null | undefined
2. override?: Lens | null</t>
        </is>
      </c>
      <c r="K541" s="3" t="inlineStr">
        <is>
          <t>Lens</t>
        </is>
      </c>
      <c r="L541" s="3" t="inlineStr">
        <is>
          <t>1. "WILL MY MONEY LAST?" — on the Home screen, under "WILL MY MONEY LAST?"
2. "YOUR FIVE TABS — same order as the bar below" — on a card used on more than one screen (TopBar)</t>
        </is>
      </c>
      <c r="M541" s="3" t="inlineStr">
        <is>
          <t>None found in this function — anything it assumes comes from the functions it depends on.</t>
        </is>
      </c>
      <c r="N541" s="3" t="inlineStr">
        <is>
          <t>Yes</t>
        </is>
      </c>
      <c r="O541" s="3" t="inlineStr">
        <is>
          <t>MK-CF-F-072 currentRetirementIncomeMonthly</t>
        </is>
      </c>
      <c r="P541" s="3" t="n">
        <v>4</v>
      </c>
      <c r="Q541" s="3" t="inlineStr">
        <is>
          <t>1. MK-CF-F-072 currentRetirementIncomeMonthly
2. MK-CF-F-075 retirementIncomeMonthly
3. MK-ST-F-052 toNum
4. MK-XS-F-122 n</t>
        </is>
      </c>
      <c r="R541" s="3" t="inlineStr">
        <is>
          <t>MK-XS-F-122 n → MK-ST-F-052 toNum → MK-CF-F-075 retirementIncomeMonthly → MK-CF-F-072 currentRetirementIncomeMonthly → MK-XS-F-024 resolveLens</t>
        </is>
      </c>
      <c r="S541" s="3" t="inlineStr">
        <is>
          <t>—</t>
        </is>
      </c>
      <c r="T541" s="3" t="inlineStr">
        <is>
          <t>WHICH_VIEW</t>
        </is>
      </c>
      <c r="U541" s="3" t="inlineStr">
        <is>
          <t>ACTIVE</t>
        </is>
      </c>
      <c r="V541" s="3" t="inlineStr">
        <is>
          <t>2026-08-27</t>
        </is>
      </c>
      <c r="W541" s="3" t="n"/>
      <c r="X541" s="3" t="n"/>
      <c r="Y541" s="3" t="inlineStr">
        <is>
          <t>NOTHING OPEN</t>
        </is>
      </c>
    </row>
    <row r="542" ht="45" customHeight="1">
      <c r="A542" s="3" t="inlineStr">
        <is>
          <t>MK-XS-F-025</t>
        </is>
      </c>
      <c r="B542" s="3" t="inlineStr">
        <is>
          <t>tabOrder</t>
        </is>
      </c>
      <c r="C542" s="3" t="inlineStr">
        <is>
          <t>src/domain/profile/lens.ts</t>
        </is>
      </c>
      <c r="D542" s="3" t="n">
        <v>79</v>
      </c>
      <c r="E542" s="3" t="inlineStr">
        <is>
          <t>2 · DISPLAYED</t>
        </is>
      </c>
      <c r="F542" s="3" t="inlineStr">
        <is>
          <t>Bottom-bar order per lens (design pin: "Tab order is set once from stage; identical across sessions").</t>
        </is>
      </c>
      <c r="G542" s="11" t="inlineStr">
        <is>
          <t>retired → home, cashflow, analytics, plan, invest
otherwise → home, analytics, invest, cashflow, plan</t>
        </is>
      </c>
      <c r="H542" s="3" t="inlineStr">
        <is>
          <t>The order of the tabs for the person's lens — cash flow comes second for someone retired. No arithmetic.</t>
        </is>
      </c>
      <c r="I542" s="3" t="inlineStr">
        <is>
          <t>READ BY HAND 2026-08-26 — checked line by line against the code</t>
        </is>
      </c>
      <c r="J542" s="3" t="inlineStr">
        <is>
          <t>lens: Lens</t>
        </is>
      </c>
      <c r="K542" s="3" t="inlineStr">
        <is>
          <t>FccTab[]</t>
        </is>
      </c>
      <c r="L542" s="3" t="inlineStr">
        <is>
          <t>"YOUR FIVE TABS — same order as the bar below" — on a card used on more than one screen (TopBar)</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2026-09-12</t>
        </is>
      </c>
      <c r="W542" s="3" t="n"/>
      <c r="X542" s="3" t="n"/>
      <c r="Y542" s="3" t="inlineStr">
        <is>
          <t>NOTHING OPEN</t>
        </is>
      </c>
    </row>
    <row r="543" ht="60" customHeight="1">
      <c r="A543" s="3" t="inlineStr">
        <is>
          <t>MK-XS-F-026</t>
        </is>
      </c>
      <c r="B543" s="3" t="inlineStr">
        <is>
          <t>profileFromOnboarding</t>
        </is>
      </c>
      <c r="C543" s="3" t="inlineStr">
        <is>
          <t>src/domain/profile/onboarding.ts</t>
        </is>
      </c>
      <c r="D543" s="3" t="n">
        <v>55</v>
      </c>
      <c r="E543" s="3" t="inlineStr">
        <is>
          <t>2 · DISPLAYED</t>
        </is>
      </c>
      <c r="F543" s="3" t="inlineStr">
        <is>
          <t>`op` is the consolidated onboardingProfile: { status, name, ...answers }.</t>
        </is>
      </c>
      <c r="G543" s="11" t="inlineStr">
        <is>
          <t>a = op (or none when missing)</t>
        </is>
      </c>
      <c r="H543" s="3" t="inlineStr">
        <is>
          <t>A is op (or none — when missing).</t>
        </is>
      </c>
      <c r="I543" s="3" t="inlineStr">
        <is>
          <t>READ FROM THE CODE — rendered from the expressions the function runs</t>
        </is>
      </c>
      <c r="J543" s="3" t="inlineStr">
        <is>
          <t>1. uid: UserId
2. op: Record&lt;string, any&gt; | null</t>
        </is>
      </c>
      <c r="K543" s="3" t="inlineStr">
        <is>
          <t>Profile</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1. MK-XS-F-131 toInt
2. MK-XS-F-175 uid</t>
        </is>
      </c>
      <c r="P543" s="3" t="n">
        <v>81</v>
      </c>
      <c r="Q543"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43"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MK-XS-F-027</t>
        </is>
      </c>
      <c r="B544" s="3" t="inlineStr">
        <is>
          <t>takeHomeMonthly</t>
        </is>
      </c>
      <c r="C544" s="3" t="inlineStr">
        <is>
          <t>src/domain/savings/index.ts</t>
        </is>
      </c>
      <c r="D544" s="3" t="n">
        <v>42</v>
      </c>
      <c r="E544" s="3" t="inlineStr">
        <is>
          <t>2 · DISPLAYED</t>
        </is>
      </c>
      <c r="F544" s="3" t="inlineStr">
        <is>
          <t>True take-home per month: after tax AND after the 401(k) deduction (the cash that hits your account).</t>
        </is>
      </c>
      <c r="G544" s="11" t="inlineStr">
        <is>
          <t>grid = income monthly grid(op, 'available')
the answer = Σ over grid of (amount)÷ 12</t>
        </is>
      </c>
      <c r="H544" s="3" t="inlineStr">
        <is>
          <t>Grid is income monthly grid(op, 'available'). The answer: the amount added up across grid÷ 12.</t>
        </is>
      </c>
      <c r="I544" s="3" t="inlineStr">
        <is>
          <t>READ FROM THE CODE — rendered from the expressions the function runs</t>
        </is>
      </c>
      <c r="J544" s="3" t="inlineStr">
        <is>
          <t>op: OnboardingProfile | null</t>
        </is>
      </c>
      <c r="K544" s="3" t="inlineStr">
        <is>
          <t>number</t>
        </is>
      </c>
      <c r="L544" s="3" t="inlineStr">
        <is>
          <t>"Income (take-home)" — on the budget screen</t>
        </is>
      </c>
      <c r="M544" s="3" t="inlineStr">
        <is>
          <t>None found in this function — anything it assumes comes from the functions it depends on.</t>
        </is>
      </c>
      <c r="N544" s="3" t="inlineStr">
        <is>
          <t>Yes</t>
        </is>
      </c>
      <c r="O544" s="3" t="inlineStr">
        <is>
          <t>1. MK-CF-F-092 incomeMonthlyGrid
2. MK-CF-F-011 savingsByMonth</t>
        </is>
      </c>
      <c r="P544" s="3" t="n">
        <v>100</v>
      </c>
      <c r="Q544"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MK-CF-F-155 cash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44"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44" s="3" t="inlineStr">
        <is>
          <t>—</t>
        </is>
      </c>
      <c r="T544" s="3" t="inlineStr">
        <is>
          <t>—</t>
        </is>
      </c>
      <c r="U544" s="3" t="inlineStr">
        <is>
          <t>ACTIVE</t>
        </is>
      </c>
      <c r="V544" s="3" t="inlineStr">
        <is>
          <t>2026-09-09</t>
        </is>
      </c>
      <c r="W544" s="3" t="n"/>
      <c r="X544" s="3" t="n"/>
      <c r="Y544" s="3" t="inlineStr">
        <is>
          <t>NOTHING OPEN</t>
        </is>
      </c>
    </row>
    <row r="545" ht="60" customHeight="1">
      <c r="A545" s="3" t="inlineStr">
        <is>
          <t>MK-XS-F-028</t>
        </is>
      </c>
      <c r="B545" s="3" t="inlineStr">
        <is>
          <t>surplusByMonth</t>
        </is>
      </c>
      <c r="C545" s="3" t="inlineStr">
        <is>
          <t>src/domain/savings/index.ts</t>
        </is>
      </c>
      <c r="D545" s="3" t="n">
        <v>71</v>
      </c>
      <c r="E545" s="3" t="inlineStr">
        <is>
          <t>2 · DISPLAYED</t>
        </is>
      </c>
      <c r="F545" s="3" t="inlineStr">
        <is>
          <t>Planned SURPLUS, month by month, AFTER debt (the canonical word, per the 2026-06-23 decision).</t>
        </is>
      </c>
      <c r="G545" s="11" t="inlineStr">
        <is>
          <t>debt = actual debt payment(debts)
the answer:
for each of savings by month(op): label = label
amount = amount − debt</t>
        </is>
      </c>
      <c r="H545" s="3" t="inlineStr">
        <is>
          <t>Debt is actual debt payment(debts). The answer is for each of savings by month(op): label = label; amount = amount minus debt.</t>
        </is>
      </c>
      <c r="I545" s="3" t="inlineStr">
        <is>
          <t>READ FROM THE CODE — rendered from the expressions the function runs</t>
        </is>
      </c>
      <c r="J545" s="3" t="inlineStr">
        <is>
          <t>1. op: OnboardingProfile | null
2. debts: Debt[] = []</t>
        </is>
      </c>
      <c r="K545" s="3" t="inlineStr">
        <is>
          <t>NOT DECLARED — the code does not say what it gives back</t>
        </is>
      </c>
      <c r="L545" s="3" t="inlineStr">
        <is>
          <t>"Plan" — on the Goals screen</t>
        </is>
      </c>
      <c r="M545" s="3" t="inlineStr">
        <is>
          <t>None found in this function — anything it assumes comes from the functions it depends on.</t>
        </is>
      </c>
      <c r="N545" s="3" t="inlineStr">
        <is>
          <t>Yes</t>
        </is>
      </c>
      <c r="O545" s="3" t="inlineStr">
        <is>
          <t>1. MK-CF-F-026 actualDebtPayment
2. MK-CF-F-132 map
3. MK-ST-F-036 reconcile
4. MK-CF-F-011 savingsByMonth</t>
        </is>
      </c>
      <c r="P545" s="3" t="n">
        <v>124</v>
      </c>
      <c r="Q545"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MK-CF-O-003 thisMonth
78. MK-CF-F-099 deductionFor
79. MK-CF-F-081 salaryActiveMonths
80. MK-CF-F-148 inMonth
81. MK-CF-F-191 ym
82. MK-CF-F-152 isRadarItem
83. MK-ST-F-034 firstDate
84. MK-CF-F-143 annualisedGross
85. MK-CF-F-145 deductionsFromPay
86. MK-CF-F-128 grossByMonth
87. MK-CF-F-146 payFiguresAgree
88. MK-CF-F-144 takeHomeAsEntered
89. MK-ST-F-049 formatMoney
90. MK-CF-F-155 cash
91. MK-HM-F-005 pctTxt
92. MK-CF-F-005 actualMonthFlow
93. MK-CF-F-156 plannedMonthFlow
94. MK-CF-F-187 seniorDeductionFor
95. MK-CF-F-142 monthsOf
96. MK-CF-F-141 perMonth
97. MK-ST-F-048 currencySymbol
98. MK-NW-F-078 ONE
99. MK-CF-F-157 debtPaymentsByDebt
100. MK-CF-F-192 inflowLabel
101. MK-CF-F-140 periodsAYear
102. MK-ST-F-047 activeCurrency
103. MK-NW-F-077 ALL
104. MK-NW-F-059 currentYield
105. MK-NW-O-001 theBonds
106. MK-CF-F-193 inflowSourceWord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45"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45" s="3" t="inlineStr">
        <is>
          <t>—</t>
        </is>
      </c>
      <c r="T545" s="3" t="inlineStr">
        <is>
          <t>—</t>
        </is>
      </c>
      <c r="U545" s="3" t="inlineStr">
        <is>
          <t>ACTIVE</t>
        </is>
      </c>
      <c r="V545" s="3" t="inlineStr">
        <is>
          <t>2026-09-09</t>
        </is>
      </c>
      <c r="W545" s="3" t="n"/>
      <c r="X545" s="3" t="n"/>
      <c r="Y545" s="3" t="inlineStr">
        <is>
          <t>NOTHING OPEN</t>
        </is>
      </c>
    </row>
    <row r="546" ht="60" customHeight="1">
      <c r="A546" s="3" t="inlineStr">
        <is>
          <t>MK-XS-F-029</t>
        </is>
      </c>
      <c r="B546" s="3" t="inlineStr">
        <is>
          <t>monthlySavings</t>
        </is>
      </c>
      <c r="C546" s="3" t="inlineStr">
        <is>
          <t>src/domain/savings/index.ts</t>
        </is>
      </c>
      <c r="D546" s="3" t="n">
        <v>95</v>
      </c>
      <c r="E546" s="3" t="inlineStr">
        <is>
          <t>2 · DISPLAYED</t>
        </is>
      </c>
      <c r="F546" s="3" t="inlineStr">
        <is>
          <t>Monthly savings (the FLOW) — Build-47 walk row 7: DERIVED as the 12-month average of surplusByMonth, so the flat figure and the by-month figures can never drift apart (they used to be two parallel formulas that merely CLAIMED to reconcile).</t>
        </is>
      </c>
      <c r="G546" s="11" t="inlineStr">
        <is>
          <t>months = surplus by month(op, debts)
the answer = Σ over months of (amount)÷ 12</t>
        </is>
      </c>
      <c r="H546" s="3" t="inlineStr">
        <is>
          <t>Months is surplus by month(op, debts). The answer: the amount added up across months÷ 12.</t>
        </is>
      </c>
      <c r="I546" s="3" t="inlineStr">
        <is>
          <t>READ FROM THE CODE — rendered from the expressions the function runs</t>
        </is>
      </c>
      <c r="J546" s="3" t="inlineStr">
        <is>
          <t>1. op: OnboardingProfile | null
2. debts: Debt[] = []</t>
        </is>
      </c>
      <c r="K546" s="3" t="inlineStr">
        <is>
          <t>number</t>
        </is>
      </c>
      <c r="L546" s="3" t="inlineStr">
        <is>
          <t>"Free to put to work each month" — on the Goals together screen, under "CAN YOU DO IT ALL?"</t>
        </is>
      </c>
      <c r="M546" s="3" t="inlineStr">
        <is>
          <t>None found in this function — anything it assumes comes from the functions it depends on.</t>
        </is>
      </c>
      <c r="N546" s="3" t="inlineStr">
        <is>
          <t>Yes</t>
        </is>
      </c>
      <c r="O546" s="3" t="inlineStr">
        <is>
          <t>MK-XS-F-028 surplusByMonth</t>
        </is>
      </c>
      <c r="P546" s="3" t="n">
        <v>125</v>
      </c>
      <c r="Q546"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MK-CF-F-155 cash
92. MK-HM-F-005 pctTxt
93. MK-CF-F-005 actualMonthFlow
94. MK-CF-F-156 plannedMonthFlow
95. MK-CF-F-187 seniorDeductionFor
96. MK-CF-F-142 monthsOf
97. MK-CF-F-141 perMonth
98. MK-ST-F-048 currencySymbol
99. MK-NW-F-078 ONE
100. MK-CF-F-157 debtPaymentsByDebt
101. MK-CF-F-192 inflowLabel
102. MK-CF-F-140 periodsAYear
103. MK-ST-F-047 activeCurrency
104. MK-NW-F-077 ALL
105. MK-NW-F-059 currentYield
106. MK-NW-O-001 theBonds
107. MK-CF-F-193 inflowSourceWord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46"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46" s="3" t="inlineStr">
        <is>
          <t>—</t>
        </is>
      </c>
      <c r="T546" s="3" t="inlineStr">
        <is>
          <t>—</t>
        </is>
      </c>
      <c r="U546" s="3" t="inlineStr">
        <is>
          <t>ACTIVE</t>
        </is>
      </c>
      <c r="V546" s="3" t="inlineStr">
        <is>
          <t>2026-09-09</t>
        </is>
      </c>
      <c r="W546" s="3" t="n"/>
      <c r="X546" s="3" t="n"/>
      <c r="Y546" s="3" t="inlineStr">
        <is>
          <t>NOTHING OPEN</t>
        </is>
      </c>
    </row>
    <row r="547" ht="60" customHeight="1">
      <c r="A547" s="3" t="inlineStr">
        <is>
          <t>MK-XS-F-030</t>
        </is>
      </c>
      <c r="B547" s="3" t="inlineStr">
        <is>
          <t>effectiveAnnualContribution</t>
        </is>
      </c>
      <c r="C547" s="3" t="inlineStr">
        <is>
          <t>src/domain/snapshot.ts</t>
        </is>
      </c>
      <c r="D547" s="3" t="n">
        <v>65</v>
      </c>
      <c r="E547" s="3" t="inlineStr">
        <is>
          <t>3 · DEPENDENT</t>
        </is>
      </c>
      <c r="F547" s="3" t="inlineStr">
        <is>
          <t>NEGATIVE CASH FLOW DRAINS WEALTH — committed contributions don't create money.</t>
        </is>
      </c>
      <c r="G547"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47"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47" s="3" t="inlineStr">
        <is>
          <t>PARTLY READ — some of the code is still showing through; needs a hand pass</t>
        </is>
      </c>
      <c r="J547" s="3" t="inlineStr">
        <is>
          <t>op: Record&lt;string, any&gt; | null</t>
        </is>
      </c>
      <c r="K547" s="3" t="inlineStr">
        <is>
          <t>number</t>
        </is>
      </c>
      <c r="L547" s="3" t="inlineStr">
        <is>
          <t>—</t>
        </is>
      </c>
      <c r="M547" s="3" t="inlineStr">
        <is>
          <t>· Turns a monthly figure into a year by multiplying by twelve.</t>
        </is>
      </c>
      <c r="N547" s="3" t="inlineStr">
        <is>
          <t>Yes</t>
        </is>
      </c>
      <c r="O547" s="3" t="inlineStr">
        <is>
          <t>1. MK-NW-F-041 monthlyContributionsFromOnboarding
2. MK-CF-F-011 savingsByMonth
3. MK-ST-F-052 toNum</t>
        </is>
      </c>
      <c r="P547" s="3" t="n">
        <v>105</v>
      </c>
      <c r="Q547"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MK-CF-O-003 thisMonth
65. MK-CF-F-099 deductionFor
66. MK-CF-F-081 salaryActiveMonths
67. MK-CF-F-148 inMonth
68. MK-CF-F-191 ym
69. MK-CF-F-022 paymentShape
70. MK-CF-F-152 isRadarItem
71. MK-CF-F-023 requiredPayment
72. MK-CF-F-005 actualMonthFlow
73. MK-CF-F-156 plannedMonthFlow
74. MK-CF-F-187 seniorDeductionFor
75. MK-CF-F-021 defaultPaymentType
76. MK-NW-F-078 ONE
77. MK-CF-F-155 cash
78. MK-CF-F-157 debtPaymentsByDebt
79. MK-CF-F-192 inflowLabel
80. MK-NW-F-077 ALL
81. MK-NW-F-059 currentYield
82. MK-XS-F-180 declareFigures
83. MK-ST-F-049 formatMoney
84. MK-NW-O-001 theBonds
85. MK-CF-F-193 inflowSourceWord
86. MK-NW-F-057 annualCoupon
87. MK-ST-F-048 currencySymbol
88. MK-ST-F-027 accountId
89. MK-NW-F-056 bondInfo
90. MK-NW-F-064 bondRateSensitivity
91. MK-NW-F-061 bondSummary
92. MK-NW-F-055 isBond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47"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47" s="3" t="inlineStr">
        <is>
          <t>—</t>
        </is>
      </c>
      <c r="T547" s="3" t="inlineStr">
        <is>
          <t>—</t>
        </is>
      </c>
      <c r="U547" s="3" t="inlineStr">
        <is>
          <t>ACTIVE</t>
        </is>
      </c>
      <c r="V547" s="3" t="inlineStr">
        <is>
          <t>2026-09-12</t>
        </is>
      </c>
      <c r="W547" s="3" t="n"/>
      <c r="X547" s="3" t="n"/>
      <c r="Y547" s="3" t="inlineStr">
        <is>
          <t>NOTHING OPEN</t>
        </is>
      </c>
    </row>
    <row r="548" ht="60" customHeight="1">
      <c r="A548" s="3" t="inlineStr">
        <is>
          <t>MK-XS-F-031</t>
        </is>
      </c>
      <c r="B548" s="3" t="inlineStr">
        <is>
          <t>buildSnapshot</t>
        </is>
      </c>
      <c r="C548" s="3" t="inlineStr">
        <is>
          <t>src/domain/snapshot.ts</t>
        </is>
      </c>
      <c r="D548" s="3" t="n">
        <v>124</v>
      </c>
      <c r="E548" s="3" t="inlineStr">
        <is>
          <t>2 · DISPLAYED</t>
        </is>
      </c>
      <c r="F548" s="3" t="inlineStr">
        <is>
          <t>Build a snapshot from EXPLICIT net-worth rows.</t>
        </is>
      </c>
      <c r="G548"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48"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48" s="3" t="inlineStr">
        <is>
          <t>READ FROM THE CODE — rendered from the expressions the function runs</t>
        </is>
      </c>
      <c r="J548" s="3" t="inlineStr">
        <is>
          <t>Nothing is handed to it</t>
        </is>
      </c>
      <c r="K548" s="3" t="inlineStr">
        <is>
          <t>NOT DECLARED — the code does not say what it gives back</t>
        </is>
      </c>
      <c r="L548" s="3" t="inlineStr">
        <is>
          <t>NOT FOUND — a screen calls it, but the words printed beside its answer could not be traced automatically. Needs reading.</t>
        </is>
      </c>
      <c r="M548" s="3" t="inlineStr">
        <is>
          <t>1. If current age is missing it uses 35.
2. If target retirement age is missing it uses 65.
3. If plan to age is missing it uses 90.</t>
        </is>
      </c>
      <c r="N548" s="3" t="inlineStr">
        <is>
          <t>Yes</t>
        </is>
      </c>
      <c r="O54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48" s="3" t="n">
        <v>225</v>
      </c>
      <c r="Q54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MK-NW-F-078 ONE
206. MK-CF-F-157 debtPaymentsByDebt
207. MK-CF-F-192 inflowLabel
208. MK-CF-F-142 monthsOf
209. MK-CF-F-141 perMonth
210. MK-NW-F-077 ALL
211. MK-NW-F-059 currentYield
212. MK-NW-O-001 theBonds
213. MK-CF-F-193 inflowSourceWord
214. MK-CF-F-140 periodsAYear
215. MK-NW-F-057 annualCoupon
216. MK-NW-F-056 bondInfo
217. MK-NW-F-064 bondRateSensitivity
218. MK-NW-F-061 bondSummary
219. MK-NW-F-055 isBond
220. MK-NW-F-072 rowOf
221. MK-NW-F-060 approxYTM
222. MK-NW-F-069 priceAtYield
223. MK-NW-F-070 accruedInterestCaveat
224. MK-NW-F-071 isCertificateOfDeposit
225. MK-NW-F-058 yearsToMaturity</t>
        </is>
      </c>
      <c r="R548"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MK-XS-F-032</t>
        </is>
      </c>
      <c r="B549" s="3" t="inlineStr">
        <is>
          <t>snapshotFromOnboarding</t>
        </is>
      </c>
      <c r="C549" s="3" t="inlineStr">
        <is>
          <t>src/domain/snapshot.ts</t>
        </is>
      </c>
      <c r="D549" s="3" t="n">
        <v>198</v>
      </c>
      <c r="E549" s="3" t="inlineStr">
        <is>
          <t>3 · DEPENDENT (feeds an action only)</t>
        </is>
      </c>
      <c r="F549" s="3" t="inlineStr">
        <is>
          <t>Snapshot from onboarding answers alone — for headless/test callers (and any surface that runs before Net Worth is set up).</t>
        </is>
      </c>
      <c r="G549" s="11" t="inlineStr">
        <is>
          <t>build snapshot(uid, op, econ, assets from onboarding(uid, op).accounts, debts from onboarding(uid, op).debts)</t>
        </is>
      </c>
      <c r="H549" s="3" t="inlineStr">
        <is>
          <t>build snapshot(uid, op, econ, assets from onboarding(uid, op).accounts, debts from onboarding(uid, op).debts).</t>
        </is>
      </c>
      <c r="I549" s="3" t="inlineStr">
        <is>
          <t>PARTLY READ — some of the code is still showing through; needs a hand pass</t>
        </is>
      </c>
      <c r="J549" s="3" t="inlineStr">
        <is>
          <t>1. uid: UserId
2. op: Record&lt;string, any&gt; | null
3. econ: EconomicData</t>
        </is>
      </c>
      <c r="K549" s="3" t="inlineStr">
        <is>
          <t>FinancialSnapshot</t>
        </is>
      </c>
      <c r="L549" s="3" t="inlineStr">
        <is>
          <t>—</t>
        </is>
      </c>
      <c r="M549" s="3" t="inlineStr">
        <is>
          <t>None found in this function — anything it assumes comes from the functions it depends on.</t>
        </is>
      </c>
      <c r="N549" s="3" t="inlineStr">
        <is>
          <t>No</t>
        </is>
      </c>
      <c r="O549" s="3" t="inlineStr">
        <is>
          <t>1. MK-NW-F-040 assetsFromOnboarding
2. MK-XS-F-031 buildSnapshot
3. MK-CF-F-038 debtsFromOnboarding
4. MK-XS-F-175 uid</t>
        </is>
      </c>
      <c r="P549" s="3" t="n">
        <v>226</v>
      </c>
      <c r="Q549"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MK-NW-F-078 ONE
207. MK-CF-F-157 debtPaymentsByDebt
208. MK-CF-F-192 inflowLabel
209. MK-CF-F-142 monthsOf
210. MK-CF-F-141 perMonth
211. MK-NW-F-077 ALL
212. MK-NW-F-059 currentYield
213. MK-NW-O-001 theBonds
214. MK-CF-F-193 inflowSourceWord
215. MK-CF-F-140 periodsAYear
216. MK-NW-F-057 annualCoupon
217. MK-NW-F-056 bondInfo
218. MK-NW-F-064 bondRateSensitivity
219. MK-NW-F-061 bondSummary
220. MK-NW-F-055 isBond
221. MK-NW-F-072 rowOf
222. MK-NW-F-060 approxYTM
223. MK-NW-F-069 priceAtYield
224. MK-NW-F-070 accruedInterestCaveat
225. MK-NW-F-071 isCertificateOfDeposit
226. MK-NW-F-058 yearsToMaturity</t>
        </is>
      </c>
      <c r="R549"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MK-XS-F-033</t>
        </is>
      </c>
      <c r="B550" s="3" t="inlineStr">
        <is>
          <t>resolveNetWorthRows</t>
        </is>
      </c>
      <c r="C550" s="3" t="inlineStr">
        <is>
          <t>src/domain/snapshot.ts</t>
        </is>
      </c>
      <c r="D550" s="3" t="n">
        <v>226</v>
      </c>
      <c r="E550" s="3" t="inlineStr">
        <is>
          <t>2 · DISPLAYED</t>
        </is>
      </c>
      <c r="F550" s="3" t="inlineStr">
        <is>
          <t>The single rule for which net-worth rows a live UI surface should use, so Home + TopBar + the Net Worth screen never disagree (B-49).</t>
        </is>
      </c>
      <c r="G550" s="11" t="inlineStr">
        <is>
          <t>use live = nw seeded (or live accounts.length &gt; 0 (or live liabilities.length &gt; 0 when missing or zero) when missing or zero)</t>
        </is>
      </c>
      <c r="H550" s="3" t="inlineStr">
        <is>
          <t>Use live is nw seeded (or live accounts.length &gt; 0 (or live liabilities.length &gt; 0 — when missing or zero) — when missing or zero).</t>
        </is>
      </c>
      <c r="I550" s="3" t="inlineStr">
        <is>
          <t>READ FROM THE CODE — rendered from the expressions the function runs</t>
        </is>
      </c>
      <c r="J550" s="3" t="inlineStr">
        <is>
          <t>Nothing is handed to it</t>
        </is>
      </c>
      <c r="K550" s="3" t="inlineStr">
        <is>
          <t>NOT DECLARED — the code does not say what it gives back</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1. MK-NW-F-040 assetsFromOnboarding
2. MK-CF-F-038 debtsFromOnboarding
3. MK-XS-F-175 uid</t>
        </is>
      </c>
      <c r="P550" s="3" t="n">
        <v>80</v>
      </c>
      <c r="Q550"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0"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50" s="3" t="inlineStr">
        <is>
          <t>—</t>
        </is>
      </c>
      <c r="T550" s="3" t="inlineStr">
        <is>
          <t>NET_WORTH_ROWS</t>
        </is>
      </c>
      <c r="U550" s="3" t="inlineStr">
        <is>
          <t>ACTIVE</t>
        </is>
      </c>
      <c r="V550" s="3" t="inlineStr">
        <is>
          <t>2026-08-27</t>
        </is>
      </c>
      <c r="W550" s="3" t="n"/>
      <c r="X550" s="3" t="n"/>
      <c r="Y550" s="3" t="inlineStr">
        <is>
          <t>NOTHING OPEN</t>
        </is>
      </c>
    </row>
    <row r="551" ht="45" customHeight="1">
      <c r="A551" s="3" t="inlineStr">
        <is>
          <t>MK-XS-F-034</t>
        </is>
      </c>
      <c r="B551" s="3" t="inlineStr">
        <is>
          <t>isLockAvailable</t>
        </is>
      </c>
      <c r="C551" s="3" t="inlineStr">
        <is>
          <t>src/services/appLock.ts</t>
        </is>
      </c>
      <c r="D551" s="3" t="n">
        <v>54</v>
      </c>
      <c r="E551" s="3" t="inlineStr">
        <is>
          <t>2 · DISPLAYED</t>
        </is>
      </c>
      <c r="F551" s="3" t="inlineStr">
        <is>
          <t>True only when the device has biometric hardware AND the user has enrolled a biometric/passcode.</t>
        </is>
      </c>
      <c r="G551" s="11" t="inlineStr">
        <is>
          <t>m = load()
false   when has hardware async is missing
the answer = !!has hw and !!enrolled</t>
        </is>
      </c>
      <c r="H551" s="3" t="inlineStr">
        <is>
          <t>M is load(). When has hardware async is missing, it answers false. The answer is !!has hw and !!enrolled.</t>
        </is>
      </c>
      <c r="I551" s="3" t="inlineStr">
        <is>
          <t>READ FROM THE CODE — rendered from the expressions the function runs</t>
        </is>
      </c>
      <c r="J551" s="3" t="inlineStr">
        <is>
          <t>Nothing is handed to it</t>
        </is>
      </c>
      <c r="K551" s="3" t="inlineStr">
        <is>
          <t>Promise&lt;boolean&gt;</t>
        </is>
      </c>
      <c r="L551" s="3" t="inlineStr">
        <is>
          <t>NOT FOUND — a screen calls it, but the words printed beside its answer could not be traced automatically. Needs reading.</t>
        </is>
      </c>
      <c r="M551" s="3" t="inlineStr">
        <is>
          <t>None found in this function — anything it assumes comes from the functions it depends on.</t>
        </is>
      </c>
      <c r="N551" s="3" t="inlineStr">
        <is>
          <t>Yes</t>
        </is>
      </c>
      <c r="O551" s="3" t="inlineStr">
        <is>
          <t>MK-XS-F-132 load</t>
        </is>
      </c>
      <c r="P551" s="3" t="n">
        <v>1</v>
      </c>
      <c r="Q551" s="3" t="inlineStr">
        <is>
          <t>MK-XS-F-132 load</t>
        </is>
      </c>
      <c r="R551" s="3" t="inlineStr">
        <is>
          <t>MK-XS-F-132 load → MK-XS-F-034 isLockAvailable</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MK-XS-F-035</t>
        </is>
      </c>
      <c r="B552" s="3" t="inlineStr">
        <is>
          <t>authenticate</t>
        </is>
      </c>
      <c r="C552" s="3" t="inlineStr">
        <is>
          <t>src/services/appLock.ts</t>
        </is>
      </c>
      <c r="D552" s="3" t="n">
        <v>87</v>
      </c>
      <c r="E552" s="3" t="inlineStr">
        <is>
          <t>2 · DISPLAYED</t>
        </is>
      </c>
      <c r="F552" s="3" t="inlineStr">
        <is>
          <t>Prompt for Face ID / Touch ID / device passcode.</t>
        </is>
      </c>
      <c r="G552" s="11" t="inlineStr">
        <is>
          <t>m = load()
false   when authenticate async is missing
res = await authenticate async({ prompt message: reason, disable device fallback: false })
the answer = !!res.success</t>
        </is>
      </c>
      <c r="H552" s="3" t="inlineStr">
        <is>
          <t>M is load(). When authenticate async is missing, it answers false. Res is await authenticate async({ prompt message: reason, disable device fallback: false }). The answer is !!res.success.</t>
        </is>
      </c>
      <c r="I552" s="3" t="inlineStr">
        <is>
          <t>READ FROM THE CODE — rendered from the expressions the function runs</t>
        </is>
      </c>
      <c r="J552" s="3" t="inlineStr">
        <is>
          <t>reason = 'Unlock MoneyKeel'</t>
        </is>
      </c>
      <c r="K552" s="3" t="inlineStr">
        <is>
          <t>Promise&lt;boolean&gt;</t>
        </is>
      </c>
      <c r="L552" s="3" t="inlineStr">
        <is>
          <t>NOT FOUND — a screen calls it, but the words printed beside its answer could not be traced automatically. Needs reading.</t>
        </is>
      </c>
      <c r="M552" s="3" t="inlineStr">
        <is>
          <t>None found in this function — anything it assumes comes from the functions it depends on.</t>
        </is>
      </c>
      <c r="N552" s="3" t="inlineStr">
        <is>
          <t>Yes</t>
        </is>
      </c>
      <c r="O552" s="3" t="inlineStr">
        <is>
          <t>MK-XS-F-132 load</t>
        </is>
      </c>
      <c r="P552" s="3" t="n">
        <v>1</v>
      </c>
      <c r="Q552" s="3" t="inlineStr">
        <is>
          <t>MK-XS-F-132 load</t>
        </is>
      </c>
      <c r="R552" s="3" t="inlineStr">
        <is>
          <t>MK-XS-F-132 load → MK-XS-F-035 authenticate</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MK-XS-F-036</t>
        </is>
      </c>
      <c r="B553" s="3" t="inlineStr">
        <is>
          <t>initCrashReporting</t>
        </is>
      </c>
      <c r="C553" s="3" t="inlineStr">
        <is>
          <t>src/services/crashReporter.ts</t>
        </is>
      </c>
      <c r="D553" s="3" t="n">
        <v>57</v>
      </c>
      <c r="E553" s="3" t="inlineStr">
        <is>
          <t>1 · ACTION</t>
        </is>
      </c>
      <c r="F553" s="3" t="inlineStr">
        <is>
          <t>Initialise crash reporting once, at app start.</t>
        </is>
      </c>
      <c r="G553" s="11" t="inlineStr">
        <is>
          <t>dsn = (constants.expo config.extra as any).SENTRY_DSN (or process.env.SENTRY_DSN (or '' when missing or zero) when missing or zero)
s = load sentry()</t>
        </is>
      </c>
      <c r="H553" s="3" t="inlineStr">
        <is>
          <t>Dsn is (constants.expo config.extra as any).SENTRY_DSN (or process.env.SENTRY_DSN (or '' — when missing or zero) — when missing or zero). S is load sentry().</t>
        </is>
      </c>
      <c r="I553" s="3" t="inlineStr">
        <is>
          <t>PARTLY READ — some of the code is still showing through; needs a hand pass</t>
        </is>
      </c>
      <c r="J553" s="3" t="inlineStr">
        <is>
          <t>Nothing is handed to it</t>
        </is>
      </c>
      <c r="K553" s="3" t="inlineStr">
        <is>
          <t>void</t>
        </is>
      </c>
      <c r="L553" s="3" t="inlineStr">
        <is>
          <t>—</t>
        </is>
      </c>
      <c r="M553" s="3" t="inlineStr">
        <is>
          <t>None found in this function — anything it assumes comes from the functions it depends on.</t>
        </is>
      </c>
      <c r="N553" s="3" t="inlineStr">
        <is>
          <t>Yes</t>
        </is>
      </c>
      <c r="O553" s="3" t="inlineStr">
        <is>
          <t>1. MK-XS-F-037 captureException
2. MK-XS-F-134 installGlobalHandler
3. MK-XS-F-133 loadSentry</t>
        </is>
      </c>
      <c r="P553" s="3" t="n">
        <v>3</v>
      </c>
      <c r="Q553" s="3" t="inlineStr">
        <is>
          <t>1. MK-XS-F-037 captureException
2. MK-XS-F-134 installGlobalHandler
3. MK-XS-F-133 loadSentry</t>
        </is>
      </c>
      <c r="R553" s="3" t="inlineStr">
        <is>
          <t>1. MK-XS-F-037 captureException → MK-XS-F-036 initCrashReporting
2. MK-XS-F-037 captureException → MK-XS-F-134 installGlobalHandler → MK-XS-F-036 initCrashReporting
3. MK-XS-F-133 loadSentry → MK-XS-F-036 initCrashReporting</t>
        </is>
      </c>
      <c r="S553" s="3" t="inlineStr">
        <is>
          <t>—</t>
        </is>
      </c>
      <c r="T553" s="3" t="inlineStr">
        <is>
          <t>—</t>
        </is>
      </c>
      <c r="U553" s="3" t="inlineStr">
        <is>
          <t>ACTIVE</t>
        </is>
      </c>
      <c r="V553" s="3" t="inlineStr">
        <is>
          <t>2026-08-27</t>
        </is>
      </c>
      <c r="W553" s="3" t="n"/>
      <c r="X553" s="3" t="n"/>
      <c r="Y553" s="3" t="inlineStr">
        <is>
          <t>NOTHING OPEN</t>
        </is>
      </c>
    </row>
    <row r="554" ht="30" customHeight="1">
      <c r="A554" s="3" t="inlineStr">
        <is>
          <t>MK-XS-F-037</t>
        </is>
      </c>
      <c r="B554" s="3" t="inlineStr">
        <is>
          <t>captureException</t>
        </is>
      </c>
      <c r="C554" s="3" t="inlineStr">
        <is>
          <t>src/services/crashReporter.ts</t>
        </is>
      </c>
      <c r="D554" s="3" t="n">
        <v>126</v>
      </c>
      <c r="E554" s="3" t="inlineStr">
        <is>
          <t>1 · ACTION</t>
        </is>
      </c>
      <c r="F554" s="3" t="inlineStr">
        <is>
          <t>Report a caught error.</t>
        </is>
      </c>
      <c r="G554" s="11" t="inlineStr">
        <is>
          <t>It records or announces something and returns no figure — no arithmetic of its own.</t>
        </is>
      </c>
      <c r="H554" s="3" t="inlineStr">
        <is>
          <t>It records or announces something and returns no figure — no arithmetic of its own.</t>
        </is>
      </c>
      <c r="I554" s="3" t="inlineStr">
        <is>
          <t>NO ARITHMETIC — there is no formula to state</t>
        </is>
      </c>
      <c r="J554" s="3" t="inlineStr">
        <is>
          <t>1. error: unknown
2. extra?: Extra</t>
        </is>
      </c>
      <c r="K554" s="3" t="inlineStr">
        <is>
          <t>void</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c r="W554" s="3" t="n"/>
      <c r="X554" s="3" t="n"/>
      <c r="Y554" s="3" t="inlineStr">
        <is>
          <t>NOTHING OPEN</t>
        </is>
      </c>
    </row>
    <row r="555" ht="30" customHeight="1">
      <c r="A555" s="3" t="inlineStr">
        <is>
          <t>MK-XS-F-038</t>
        </is>
      </c>
      <c r="B555" s="3" t="inlineStr">
        <is>
          <t>setUserScope</t>
        </is>
      </c>
      <c r="C555" s="3" t="inlineStr">
        <is>
          <t>src/services/crashReporter.ts</t>
        </is>
      </c>
      <c r="D555" s="3" t="n">
        <v>154</v>
      </c>
      <c r="E555" s="3" t="inlineStr">
        <is>
          <t>1 · ACTION</t>
        </is>
      </c>
      <c r="F555" s="3" t="inlineStr">
        <is>
          <t>Tag the current user on reports (call after login; pass null on logout).</t>
        </is>
      </c>
      <c r="G555" s="11" t="inlineStr">
        <is>
          <t>It records or announces something and returns no figure — no arithmetic of its own.</t>
        </is>
      </c>
      <c r="H555" s="3" t="inlineStr">
        <is>
          <t>It records or announces something and returns no figure — no arithmetic of its own.</t>
        </is>
      </c>
      <c r="I555" s="3" t="inlineStr">
        <is>
          <t>NO ARITHMETIC — there is no formula to state</t>
        </is>
      </c>
      <c r="J555" s="3" t="inlineStr">
        <is>
          <t>uid: string | null</t>
        </is>
      </c>
      <c r="K555" s="3" t="inlineStr">
        <is>
          <t>void</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45" customHeight="1">
      <c r="A556" s="3" t="inlineStr">
        <is>
          <t>MK-XS-F-039</t>
        </is>
      </c>
      <c r="B556" s="3" t="inlineStr">
        <is>
          <t>crashReportingEnabled</t>
        </is>
      </c>
      <c r="C556" s="3" t="inlineStr">
        <is>
          <t>src/services/crashReporter.ts</t>
        </is>
      </c>
      <c r="D556" s="3" t="n">
        <v>180</v>
      </c>
      <c r="E556" s="3" t="inlineStr">
        <is>
          <t>3 · DEPENDENT (feeds an action only)</t>
        </is>
      </c>
      <c r="F556" s="3" t="inlineStr">
        <is>
          <t>Whether reports are actually shipping to Sentry (DSN + SDK present).</t>
        </is>
      </c>
      <c r="G556" s="11" t="inlineStr">
        <is>
          <t>enabled</t>
        </is>
      </c>
      <c r="H556" s="3" t="inlineStr">
        <is>
          <t>enabled.</t>
        </is>
      </c>
      <c r="I556" s="3" t="inlineStr">
        <is>
          <t>READ FROM THE CODE — rendered from the expressions the function runs</t>
        </is>
      </c>
      <c r="J556" s="3" t="inlineStr">
        <is>
          <t>Nothing is handed to it</t>
        </is>
      </c>
      <c r="K556" s="3" t="inlineStr">
        <is>
          <t>boolean</t>
        </is>
      </c>
      <c r="L556" s="3" t="inlineStr">
        <is>
          <t>—</t>
        </is>
      </c>
      <c r="M556" s="3" t="inlineStr">
        <is>
          <t>None found in this function — anything it assumes comes from the functions it depends on.</t>
        </is>
      </c>
      <c r="N556" s="3" t="inlineStr">
        <is>
          <t>No</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MK-XS-F-040</t>
        </is>
      </c>
      <c r="B557" s="3" t="inlineStr">
        <is>
          <t>sendTestReport</t>
        </is>
      </c>
      <c r="C557" s="3" t="inlineStr">
        <is>
          <t>src/services/crashReporter.ts</t>
        </is>
      </c>
      <c r="D557" s="3" t="n">
        <v>202</v>
      </c>
      <c r="E557" s="3" t="inlineStr">
        <is>
          <t>2 · DISPLAYED</t>
        </is>
      </c>
      <c r="F557" s="3" t="inlineStr">
        <is>
          <t>B-L2 verification: send a harmless test event so you can confirm wiring in the Sentry dashboard (works on the production/TestFlight build).</t>
        </is>
      </c>
      <c r="G557" s="11" t="inlineStr">
        <is>
          <t>enabled</t>
        </is>
      </c>
      <c r="H557" s="3" t="inlineStr">
        <is>
          <t>enabled.</t>
        </is>
      </c>
      <c r="I557" s="3" t="inlineStr">
        <is>
          <t>READ FROM THE CODE — rendered from the expressions the function runs</t>
        </is>
      </c>
      <c r="J557" s="3" t="inlineStr">
        <is>
          <t>Nothing is handed to it</t>
        </is>
      </c>
      <c r="K557" s="3" t="inlineStr">
        <is>
          <t>boolean</t>
        </is>
      </c>
      <c r="L557" s="3" t="inlineStr">
        <is>
          <t>"Hide balances" — on the Settings screen, under "Security"</t>
        </is>
      </c>
      <c r="M557" s="3" t="inlineStr">
        <is>
          <t>None found in this function — anything it assumes comes from the functions it depends on.</t>
        </is>
      </c>
      <c r="N557" s="3" t="inlineStr">
        <is>
          <t>Yes</t>
        </is>
      </c>
      <c r="O557" s="3" t="inlineStr">
        <is>
          <t>MK-XS-F-037 captureException</t>
        </is>
      </c>
      <c r="P557" s="3" t="n">
        <v>1</v>
      </c>
      <c r="Q557" s="3" t="inlineStr">
        <is>
          <t>MK-XS-F-037 captureException</t>
        </is>
      </c>
      <c r="R557" s="3" t="inlineStr">
        <is>
          <t>MK-XS-F-037 captureException → MK-XS-F-040 sendTestReport</t>
        </is>
      </c>
      <c r="S557" s="3" t="inlineStr">
        <is>
          <t>—</t>
        </is>
      </c>
      <c r="T557" s="3" t="inlineStr">
        <is>
          <t>—</t>
        </is>
      </c>
      <c r="U557" s="3" t="inlineStr">
        <is>
          <t>ACTIVE</t>
        </is>
      </c>
      <c r="V557" s="3" t="inlineStr">
        <is>
          <t>2026-08-27</t>
        </is>
      </c>
      <c r="W557" s="3" t="n"/>
      <c r="X557" s="3" t="n"/>
      <c r="Y557" s="3" t="inlineStr">
        <is>
          <t>NOTHING OPEN</t>
        </is>
      </c>
    </row>
    <row r="558" ht="45" customHeight="1">
      <c r="A558" s="3" t="inlineStr">
        <is>
          <t>MK-XS-F-041</t>
        </is>
      </c>
      <c r="B558" s="3" t="inlineStr">
        <is>
          <t>cacheDataKey</t>
        </is>
      </c>
      <c r="C558" s="3" t="inlineStr">
        <is>
          <t>src/services/dataCrypto.ts</t>
        </is>
      </c>
      <c r="D558" s="3" t="n">
        <v>122</v>
      </c>
      <c r="E558" s="3" t="inlineStr">
        <is>
          <t>1 · ACTION</t>
        </is>
      </c>
      <c r="F558" s="3" t="inlineStr">
        <is>
          <t>── DEK lifecycle (the cached, unwrapped key the sync layer uses) ───── Cache the unwrapped DEK (memory + keychain).</t>
        </is>
      </c>
      <c r="G558" s="11" t="inlineStr">
        <is>
          <t>keeps the data-encryption key in memory and in the device's secure store</t>
        </is>
      </c>
      <c r="H558" s="3" t="inlineStr">
        <is>
          <t>Stores the data-encryption key in memory and in the secure keychain. Not a calculation.</t>
        </is>
      </c>
      <c r="I558" s="3" t="inlineStr">
        <is>
          <t>READ BY HAND 2026-08-26 — checked line by line against the code</t>
        </is>
      </c>
      <c r="J558" s="3" t="inlineStr">
        <is>
          <t>dek: string</t>
        </is>
      </c>
      <c r="K558" s="3" t="inlineStr">
        <is>
          <t>Promise&lt;void&gt;</t>
        </is>
      </c>
      <c r="L558" s="3" t="inlineStr">
        <is>
          <t>—</t>
        </is>
      </c>
      <c r="M558" s="3" t="inlineStr">
        <is>
          <t>None found in this function — anything it assumes comes from the functions it depends on.</t>
        </is>
      </c>
      <c r="N558" s="3" t="inlineStr">
        <is>
          <t>Yes</t>
        </is>
      </c>
      <c r="O558" s="3" t="inlineStr">
        <is>
          <t>MK-XS-F-136 secureSet</t>
        </is>
      </c>
      <c r="P558" s="3" t="n">
        <v>1</v>
      </c>
      <c r="Q558" s="3" t="inlineStr">
        <is>
          <t>MK-XS-F-136 secureSet</t>
        </is>
      </c>
      <c r="R558" s="3" t="inlineStr">
        <is>
          <t>MK-XS-F-136 secureSet → MK-XS-F-041 cacheDataKey</t>
        </is>
      </c>
      <c r="S558" s="3" t="inlineStr">
        <is>
          <t>—</t>
        </is>
      </c>
      <c r="T558" s="3" t="inlineStr">
        <is>
          <t>—</t>
        </is>
      </c>
      <c r="U558" s="3" t="inlineStr">
        <is>
          <t>ACTIVE</t>
        </is>
      </c>
      <c r="V558" s="3" t="inlineStr">
        <is>
          <t>2026-09-12</t>
        </is>
      </c>
      <c r="W558" s="3" t="n"/>
      <c r="X558" s="3" t="n"/>
      <c r="Y558" s="3" t="inlineStr">
        <is>
          <t>NOTHING OPEN</t>
        </is>
      </c>
    </row>
    <row r="559" ht="45" customHeight="1">
      <c r="A559" s="3" t="inlineStr">
        <is>
          <t>MK-XS-F-042</t>
        </is>
      </c>
      <c r="B559" s="3" t="inlineStr">
        <is>
          <t>getDataKey</t>
        </is>
      </c>
      <c r="C559" s="3" t="inlineStr">
        <is>
          <t>src/services/dataCrypto.ts</t>
        </is>
      </c>
      <c r="D559" s="3" t="n">
        <v>150</v>
      </c>
      <c r="E559" s="3" t="inlineStr">
        <is>
          <t>3 · DEPENDENT</t>
        </is>
      </c>
      <c r="F559" s="3" t="inlineStr">
        <is>
          <t>The cached DEK (memory → keychain), or null if it hasn't been unwrapped on this install yet.</t>
        </is>
      </c>
      <c r="G559" s="11" t="inlineStr">
        <is>
          <t>cached key   when cached key
cached key</t>
        </is>
      </c>
      <c r="H559" s="3" t="inlineStr">
        <is>
          <t>When cached key, it answers cached key. cached key.</t>
        </is>
      </c>
      <c r="I559" s="3" t="inlineStr">
        <is>
          <t>READ FROM THE CODE — rendered from the expressions the function runs</t>
        </is>
      </c>
      <c r="J559" s="3" t="inlineStr">
        <is>
          <t>Nothing is handed to it</t>
        </is>
      </c>
      <c r="K559" s="3" t="inlineStr">
        <is>
          <t>Promise&lt;string | null&gt;</t>
        </is>
      </c>
      <c r="L559" s="3" t="inlineStr">
        <is>
          <t>—</t>
        </is>
      </c>
      <c r="M559" s="3" t="inlineStr">
        <is>
          <t>None found in this function — anything it assumes comes from the functions it depends on.</t>
        </is>
      </c>
      <c r="N559" s="3" t="inlineStr">
        <is>
          <t>Yes</t>
        </is>
      </c>
      <c r="O559" s="3" t="inlineStr">
        <is>
          <t>MK-XS-F-135 secureGet</t>
        </is>
      </c>
      <c r="P559" s="3" t="n">
        <v>1</v>
      </c>
      <c r="Q559" s="3" t="inlineStr">
        <is>
          <t>MK-XS-F-135 secureGet</t>
        </is>
      </c>
      <c r="R559" s="3" t="inlineStr">
        <is>
          <t>MK-XS-F-135 secureGet → MK-XS-F-042 getDataKey</t>
        </is>
      </c>
      <c r="S559" s="3" t="inlineStr">
        <is>
          <t>—</t>
        </is>
      </c>
      <c r="T559" s="3" t="inlineStr">
        <is>
          <t>—</t>
        </is>
      </c>
      <c r="U559" s="3" t="inlineStr">
        <is>
          <t>ACTIVE</t>
        </is>
      </c>
      <c r="V559" s="3" t="inlineStr">
        <is>
          <t>2026-08-27</t>
        </is>
      </c>
      <c r="W559" s="3" t="n"/>
      <c r="X559" s="3" t="n"/>
      <c r="Y559" s="3" t="inlineStr">
        <is>
          <t>NOTHING OPEN</t>
        </is>
      </c>
    </row>
    <row r="560" ht="45" customHeight="1">
      <c r="A560" s="3" t="inlineStr">
        <is>
          <t>MK-XS-F-043</t>
        </is>
      </c>
      <c r="B560" s="3" t="inlineStr">
        <is>
          <t>clearDataKey</t>
        </is>
      </c>
      <c r="C560" s="3" t="inlineStr">
        <is>
          <t>src/services/dataCrypto.ts</t>
        </is>
      </c>
      <c r="D560" s="3" t="n">
        <v>174</v>
      </c>
      <c r="E560" s="3" t="inlineStr">
        <is>
          <t>1 · ACTION</t>
        </is>
      </c>
      <c r="F560" s="3" t="inlineStr">
        <is>
          <t>Forget the DEK (on logout / account deletion).</t>
        </is>
      </c>
      <c r="G560" s="11" t="inlineStr">
        <is>
          <t>forgets the data-encryption key in memory and in the secure store</t>
        </is>
      </c>
      <c r="H560" s="3" t="inlineStr">
        <is>
          <t>Removes the data-encryption key from memory and the secure keychain — done at sign-out. Not a calculation.</t>
        </is>
      </c>
      <c r="I560" s="3" t="inlineStr">
        <is>
          <t>READ BY HAND 2026-08-26 — checked line by line against the code</t>
        </is>
      </c>
      <c r="J560" s="3" t="inlineStr">
        <is>
          <t>Nothing is handed to it</t>
        </is>
      </c>
      <c r="K560" s="3" t="inlineStr">
        <is>
          <t>Promise&lt;void&gt;</t>
        </is>
      </c>
      <c r="L560" s="3" t="inlineStr">
        <is>
          <t>—</t>
        </is>
      </c>
      <c r="M560" s="3" t="inlineStr">
        <is>
          <t>None found in this function — anything it assumes comes from the functions it depends on.</t>
        </is>
      </c>
      <c r="N560" s="3" t="inlineStr">
        <is>
          <t>Yes</t>
        </is>
      </c>
      <c r="O560" s="3" t="inlineStr">
        <is>
          <t>MK-XS-F-137 secureDelete</t>
        </is>
      </c>
      <c r="P560" s="3" t="n">
        <v>1</v>
      </c>
      <c r="Q560" s="3" t="inlineStr">
        <is>
          <t>MK-XS-F-137 secureDelete</t>
        </is>
      </c>
      <c r="R560" s="3" t="inlineStr">
        <is>
          <t>MK-XS-F-137 secureDelete → MK-XS-F-043 clearDataKey</t>
        </is>
      </c>
      <c r="S560" s="3" t="inlineStr">
        <is>
          <t>—</t>
        </is>
      </c>
      <c r="T560" s="3" t="inlineStr">
        <is>
          <t>—</t>
        </is>
      </c>
      <c r="U560" s="3" t="inlineStr">
        <is>
          <t>ACTIVE</t>
        </is>
      </c>
      <c r="V560" s="3" t="inlineStr">
        <is>
          <t>2026-09-12</t>
        </is>
      </c>
      <c r="W560" s="3" t="n"/>
      <c r="X560" s="3" t="n"/>
      <c r="Y560" s="3" t="inlineStr">
        <is>
          <t>NOTHING OPEN</t>
        </is>
      </c>
    </row>
    <row r="561" ht="45" customHeight="1">
      <c r="A561" s="3" t="inlineStr">
        <is>
          <t>MK-XS-F-044</t>
        </is>
      </c>
      <c r="B561" s="3" t="inlineStr">
        <is>
          <t>generateDataKey</t>
        </is>
      </c>
      <c r="C561" s="3" t="inlineStr">
        <is>
          <t>src/services/dataCrypto.ts</t>
        </is>
      </c>
      <c r="D561" s="3" t="n">
        <v>199</v>
      </c>
      <c r="E561" s="3" t="inlineStr">
        <is>
          <t>3 · DEPENDENT</t>
        </is>
      </c>
      <c r="F561" s="3" t="inlineStr">
        <is>
          <t>── Key generation ─────────────────────────────────────────────────── A fresh random 256-bit data key (hex).</t>
        </is>
      </c>
      <c r="G561" s="11" t="inlineStr">
        <is>
          <t>crypto js.lib.word array.random(32).to string(crypto js.enc.hex)</t>
        </is>
      </c>
      <c r="H561" s="3" t="inlineStr">
        <is>
          <t>crypto js.lib.word array.random(32).to string(crypto js.enc.hex).</t>
        </is>
      </c>
      <c r="I561" s="3" t="inlineStr">
        <is>
          <t>PARTLY READ — some of the code is still showing through; needs a hand pass</t>
        </is>
      </c>
      <c r="J561" s="3" t="inlineStr">
        <is>
          <t>Nothing is handed to it</t>
        </is>
      </c>
      <c r="K561" s="3" t="inlineStr">
        <is>
          <t>string</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MK-XS-F-045</t>
        </is>
      </c>
      <c r="B562" s="3" t="inlineStr">
        <is>
          <t>generateRecoveryCode</t>
        </is>
      </c>
      <c r="C562" s="3" t="inlineStr">
        <is>
          <t>src/services/dataCrypto.ts</t>
        </is>
      </c>
      <c r="D562" s="3" t="n">
        <v>227</v>
      </c>
      <c r="E562" s="3" t="inlineStr">
        <is>
          <t>3 · DEPENDENT</t>
        </is>
      </c>
      <c r="F562" s="3" t="inlineStr">
        <is>
          <t>A human-friendly recovery code, e.g.</t>
        </is>
      </c>
      <c r="G562" s="11" t="inlineStr">
        <is>
          <t>bytes = crypto js.lib.word array.random(20)
words = bytes.words
out = ''
byte = (words[i &gt;&gt;&gt; 2] &gt;&gt;&gt; (24 − (i % 4) × 8)) &amp; 0xff
the answer = (out.match( ÷ .{1,4} ÷ g) as string[]).join('-')</t>
        </is>
      </c>
      <c r="H562" s="3" t="inlineStr">
        <is>
          <t>Bytes is crypto js.lib.word array.random(20). Words is bytes.words. Out is ''. Byte is (words[i &gt;&gt;&gt; 2] &gt;&gt;&gt; (24 minus (i % 4) times 8)) &amp; 0xff. The answer is (out.match( divided by .{1,4} divided by g) as string[]).join('-').</t>
        </is>
      </c>
      <c r="I562" s="3" t="inlineStr">
        <is>
          <t>PARTLY READ — some of the code is still showing through; needs a hand pass</t>
        </is>
      </c>
      <c r="J562" s="3" t="inlineStr">
        <is>
          <t>Nothing is handed to it</t>
        </is>
      </c>
      <c r="K562" s="3" t="inlineStr">
        <is>
          <t>string</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MK-XS-F-046</t>
        </is>
      </c>
      <c r="B563" s="3" t="inlineStr">
        <is>
          <t>makeEnvelope</t>
        </is>
      </c>
      <c r="C563" s="3" t="inlineStr">
        <is>
          <t>src/services/dataCrypto.ts</t>
        </is>
      </c>
      <c r="D563" s="3" t="n">
        <v>310</v>
      </c>
      <c r="E563" s="3" t="inlineStr">
        <is>
          <t>3 · DEPENDENT</t>
        </is>
      </c>
      <c r="F563" s="3" t="inlineStr">
        <is>
          <t>Build the stored envelope: the DEK locked by both the password and the recovery code.</t>
        </is>
      </c>
      <c r="G563" s="11" t="inlineStr">
        <is>
          <t>p = wrap with secret(dek, uid, password)
r = wrap with secret(dek, uid, recovery code)</t>
        </is>
      </c>
      <c r="H563" s="3" t="inlineStr">
        <is>
          <t>p = wrap with secret(dek, uid, password); r = wrap with secret(dek, uid, recovery code).</t>
        </is>
      </c>
      <c r="I563" s="3" t="inlineStr">
        <is>
          <t>READ FROM THE CODE — rendered from the expressions the function runs</t>
        </is>
      </c>
      <c r="J563" s="3" t="inlineStr">
        <is>
          <t>1. dek: string
2. uid: string
3. password: string
4. recoveryCode: string</t>
        </is>
      </c>
      <c r="K563" s="3" t="inlineStr">
        <is>
          <t>KeyEnvelope</t>
        </is>
      </c>
      <c r="L563" s="3" t="inlineStr">
        <is>
          <t>—</t>
        </is>
      </c>
      <c r="M563" s="3" t="inlineStr">
        <is>
          <t>None found in this function — anything it assumes comes from the functions it depends on.</t>
        </is>
      </c>
      <c r="N563" s="3" t="inlineStr">
        <is>
          <t>Yes</t>
        </is>
      </c>
      <c r="O563" s="3" t="inlineStr">
        <is>
          <t>1. MK-XS-F-175 uid
2. MK-XS-F-139 wrapWithSecret</t>
        </is>
      </c>
      <c r="P563" s="3" t="n">
        <v>83</v>
      </c>
      <c r="Q563"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3"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MK-XS-F-047</t>
        </is>
      </c>
      <c r="B564" s="3" t="inlineStr">
        <is>
          <t>unwrapWithPassword</t>
        </is>
      </c>
      <c r="C564" s="3" t="inlineStr">
        <is>
          <t>src/services/dataCrypto.ts</t>
        </is>
      </c>
      <c r="D564" s="3" t="n">
        <v>333</v>
      </c>
      <c r="E564" s="3" t="inlineStr">
        <is>
          <t>3 · DEPENDENT</t>
        </is>
      </c>
      <c r="F564" s="3" t="inlineStr">
        <is>
          <t>Unlock the DEK with the password (null if the password is wrong / was reset).</t>
        </is>
      </c>
      <c r="G564" s="11" t="inlineStr">
        <is>
          <t>decrypt with key(env.p, derive key from secret(password, uid))   if env.p
nothing   otherwise</t>
        </is>
      </c>
      <c r="H564" s="3" t="inlineStr">
        <is>
          <t>decrypt with key(env.p, derive key from secret(password, uid)) — when env.p; no answer — otherwise.</t>
        </is>
      </c>
      <c r="I564" s="3" t="inlineStr">
        <is>
          <t>READ FROM THE CODE — rendered from the expressions the function runs</t>
        </is>
      </c>
      <c r="J564" s="3" t="inlineStr">
        <is>
          <t>1. env: KeyEnvelope
2. uid: string
3. password: string</t>
        </is>
      </c>
      <c r="K564" s="3" t="inlineStr">
        <is>
          <t>string | null</t>
        </is>
      </c>
      <c r="L564" s="3" t="inlineStr">
        <is>
          <t>—</t>
        </is>
      </c>
      <c r="M564" s="3" t="inlineStr">
        <is>
          <t>None found in this function — anything it assumes comes from the functions it depends on.</t>
        </is>
      </c>
      <c r="N564" s="3" t="inlineStr">
        <is>
          <t>Yes</t>
        </is>
      </c>
      <c r="O564" s="3" t="inlineStr">
        <is>
          <t>1. MK-XS-F-053 decryptWithKey
2. MK-XS-F-138 deriveKeyFromSecret
3. MK-XS-F-175 uid</t>
        </is>
      </c>
      <c r="P564" s="3" t="n">
        <v>83</v>
      </c>
      <c r="Q56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4"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MK-XS-F-048</t>
        </is>
      </c>
      <c r="B565" s="3" t="inlineStr">
        <is>
          <t>unwrapWithRecovery</t>
        </is>
      </c>
      <c r="C565" s="3" t="inlineStr">
        <is>
          <t>src/services/dataCrypto.ts</t>
        </is>
      </c>
      <c r="D565" s="3" t="n">
        <v>356</v>
      </c>
      <c r="E565" s="3" t="inlineStr">
        <is>
          <t>3 · DEPENDENT</t>
        </is>
      </c>
      <c r="F565" s="3" t="inlineStr">
        <is>
          <t>Unlock the DEK with the recovery code (null if the code is wrong).</t>
        </is>
      </c>
      <c r="G565" s="11" t="inlineStr">
        <is>
          <t>decrypt with key(env.r, derive key from secret(recovery code, uid))   if env.r
nothing   otherwise</t>
        </is>
      </c>
      <c r="H565" s="3" t="inlineStr">
        <is>
          <t>decrypt with key(env.r, derive key from secret(recovery code, uid)) — when env.r; no answer — otherwise.</t>
        </is>
      </c>
      <c r="I565" s="3" t="inlineStr">
        <is>
          <t>READ FROM THE CODE — rendered from the expressions the function runs</t>
        </is>
      </c>
      <c r="J565" s="3" t="inlineStr">
        <is>
          <t>1. env: KeyEnvelope
2. uid: string
3. recoveryCode: string</t>
        </is>
      </c>
      <c r="K565" s="3" t="inlineStr">
        <is>
          <t>string | null</t>
        </is>
      </c>
      <c r="L565" s="3" t="inlineStr">
        <is>
          <t>—</t>
        </is>
      </c>
      <c r="M565" s="3" t="inlineStr">
        <is>
          <t>None found in this function — anything it assumes comes from the functions it depends on.</t>
        </is>
      </c>
      <c r="N565" s="3" t="inlineStr">
        <is>
          <t>Yes</t>
        </is>
      </c>
      <c r="O565" s="3" t="inlineStr">
        <is>
          <t>1. MK-XS-F-053 decryptWithKey
2. MK-XS-F-138 deriveKeyFromSecret
3. MK-XS-F-175 uid</t>
        </is>
      </c>
      <c r="P565" s="3" t="n">
        <v>83</v>
      </c>
      <c r="Q56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5"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MK-XS-F-049</t>
        </is>
      </c>
      <c r="B566" s="3" t="inlineStr">
        <is>
          <t>rewrapPassword</t>
        </is>
      </c>
      <c r="C566" s="3" t="inlineStr">
        <is>
          <t>src/services/dataCrypto.ts</t>
        </is>
      </c>
      <c r="D566" s="3" t="n">
        <v>379</v>
      </c>
      <c r="E566" s="3" t="inlineStr">
        <is>
          <t>3 · DEPENDENT</t>
        </is>
      </c>
      <c r="F566" s="3" t="inlineStr">
        <is>
          <t>Re-lock an existing envelope's password copy under a new password (after a recovery-code restore).</t>
        </is>
      </c>
      <c r="G566" s="11" t="inlineStr">
        <is>
          <t>...env = ...env
p = wrap with secret(dek, uid, new password)</t>
        </is>
      </c>
      <c r="H566" s="3" t="inlineStr">
        <is>
          <t>...env = ...env; p = wrap with secret(dek, uid, new password).</t>
        </is>
      </c>
      <c r="I566" s="3" t="inlineStr">
        <is>
          <t>PARTLY READ — some of the code is still showing through; needs a hand pass</t>
        </is>
      </c>
      <c r="J566" s="3" t="inlineStr">
        <is>
          <t>1. env: KeyEnvelope
2. dek: string
3. uid: string
4. newPassword: string</t>
        </is>
      </c>
      <c r="K566" s="3" t="inlineStr">
        <is>
          <t>KeyEnvelope</t>
        </is>
      </c>
      <c r="L566" s="3" t="inlineStr">
        <is>
          <t>—</t>
        </is>
      </c>
      <c r="M566" s="3" t="inlineStr">
        <is>
          <t>None found in this function — anything it assumes comes from the functions it depends on.</t>
        </is>
      </c>
      <c r="N566" s="3" t="inlineStr">
        <is>
          <t>Yes</t>
        </is>
      </c>
      <c r="O566" s="3" t="inlineStr">
        <is>
          <t>1. MK-XS-F-175 uid
2. MK-XS-F-139 wrapWithSecret</t>
        </is>
      </c>
      <c r="P566" s="3" t="n">
        <v>83</v>
      </c>
      <c r="Q566"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6"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MK-XS-F-050</t>
        </is>
      </c>
      <c r="B567" s="3" t="inlineStr">
        <is>
          <t>rewrapRecovery</t>
        </is>
      </c>
      <c r="C567" s="3" t="inlineStr">
        <is>
          <t>src/services/dataCrypto.ts</t>
        </is>
      </c>
      <c r="D567" s="3" t="n">
        <v>402</v>
      </c>
      <c r="E567" s="3" t="inlineStr">
        <is>
          <t>3 · DEPENDENT</t>
        </is>
      </c>
      <c r="F567" s="3" t="inlineStr">
        <is>
          <t>Replace an envelope's recovery copy with a new recovery code (rotate the code).</t>
        </is>
      </c>
      <c r="G567" s="11" t="inlineStr">
        <is>
          <t>...env = ...env
r = wrap with secret(dek, uid, recovery code)</t>
        </is>
      </c>
      <c r="H567" s="3" t="inlineStr">
        <is>
          <t>...env = ...env; r = wrap with secret(dek, uid, recovery code).</t>
        </is>
      </c>
      <c r="I567" s="3" t="inlineStr">
        <is>
          <t>READ FROM THE CODE — rendered from the expressions the function runs</t>
        </is>
      </c>
      <c r="J567" s="3" t="inlineStr">
        <is>
          <t>1. env: KeyEnvelope
2. dek: string
3. uid: string
4. recoveryCode: string</t>
        </is>
      </c>
      <c r="K567" s="3" t="inlineStr">
        <is>
          <t>KeyEnvelope</t>
        </is>
      </c>
      <c r="L567" s="3" t="inlineStr">
        <is>
          <t>—</t>
        </is>
      </c>
      <c r="M567" s="3" t="inlineStr">
        <is>
          <t>None found in this function — anything it assumes comes from the functions it depends on.</t>
        </is>
      </c>
      <c r="N567" s="3" t="inlineStr">
        <is>
          <t>Yes</t>
        </is>
      </c>
      <c r="O567" s="3" t="inlineStr">
        <is>
          <t>1. MK-XS-F-175 uid
2. MK-XS-F-139 wrapWithSecret</t>
        </is>
      </c>
      <c r="P567" s="3" t="n">
        <v>83</v>
      </c>
      <c r="Q567"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7"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67" s="3" t="inlineStr">
        <is>
          <t>—</t>
        </is>
      </c>
      <c r="T567" s="3" t="inlineStr">
        <is>
          <t>—</t>
        </is>
      </c>
      <c r="U567" s="3" t="inlineStr">
        <is>
          <t>ACTIVE</t>
        </is>
      </c>
      <c r="V567" s="3" t="inlineStr">
        <is>
          <t>2026-08-27</t>
        </is>
      </c>
      <c r="W567" s="3" t="n"/>
      <c r="X567" s="3" t="n"/>
      <c r="Y567" s="3" t="inlineStr">
        <is>
          <t>NOTHING OPEN</t>
        </is>
      </c>
    </row>
    <row r="568" ht="45" customHeight="1">
      <c r="A568" s="3" t="inlineStr">
        <is>
          <t>MK-XS-F-051</t>
        </is>
      </c>
      <c r="B568" s="3" t="inlineStr">
        <is>
          <t>isEncrypted</t>
        </is>
      </c>
      <c r="C568" s="3" t="inlineStr">
        <is>
          <t>src/services/dataCrypto.ts</t>
        </is>
      </c>
      <c r="D568" s="3" t="n">
        <v>429</v>
      </c>
      <c r="E568" s="3" t="inlineStr">
        <is>
          <t>3 · DEPENDENT</t>
        </is>
      </c>
      <c r="F568" s="3" t="inlineStr">
        <is>
          <t>── Low-level AES helpers (also used to wrap the DEK) ─────────────────</t>
        </is>
      </c>
      <c r="G568" s="11" t="inlineStr">
        <is>
          <t>typeof v = 'string' and (v as string).starts with(PREFIX)</t>
        </is>
      </c>
      <c r="H568" s="3" t="inlineStr">
        <is>
          <t>typeof v = 'string' and (v as string).starts with(PREFIX).</t>
        </is>
      </c>
      <c r="I568" s="3" t="inlineStr">
        <is>
          <t>PARTLY READ — some of the code is still showing through; needs a hand pass</t>
        </is>
      </c>
      <c r="J568" s="3" t="inlineStr">
        <is>
          <t>v: unknown</t>
        </is>
      </c>
      <c r="K568" s="3" t="inlineStr">
        <is>
          <t>boolean</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MK-XS-F-052</t>
        </is>
      </c>
      <c r="B569" s="3" t="inlineStr">
        <is>
          <t>encryptWithKey</t>
        </is>
      </c>
      <c r="C569" s="3" t="inlineStr">
        <is>
          <t>src/services/dataCrypto.ts</t>
        </is>
      </c>
      <c r="D569" s="3" t="n">
        <v>454</v>
      </c>
      <c r="E569" s="3" t="inlineStr">
        <is>
          <t>3 · DEPENDENT</t>
        </is>
      </c>
      <c r="F569" s="3" t="inlineStr">
        <is>
          <t>NOT DETERMINED — the code carries no note saying what this is for, and it has no row in the old inventory. Needs reading.</t>
        </is>
      </c>
      <c r="G569" s="11" t="inlineStr">
        <is>
          <t>PREFIX + crypto js.AES.encrypt(JSON.stringify(obj), key hex).to string()</t>
        </is>
      </c>
      <c r="H569" s="3" t="inlineStr">
        <is>
          <t>PREFIX plus crypto js.AES.encrypt(JSON.stringify(obj), key hex).to string().</t>
        </is>
      </c>
      <c r="I569" s="3" t="inlineStr">
        <is>
          <t>PARTLY READ — some of the code is still showing through; needs a hand pass</t>
        </is>
      </c>
      <c r="J569" s="3" t="inlineStr">
        <is>
          <t>1. obj: unknown
2. keyHex: string</t>
        </is>
      </c>
      <c r="K569" s="3" t="inlineStr">
        <is>
          <t>string</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MK-XS-F-053</t>
        </is>
      </c>
      <c r="B570" s="3" t="inlineStr">
        <is>
          <t>decryptWithKey</t>
        </is>
      </c>
      <c r="C570" s="3" t="inlineStr">
        <is>
          <t>src/services/dataCrypto.ts</t>
        </is>
      </c>
      <c r="D570" s="3" t="n">
        <v>485</v>
      </c>
      <c r="E570" s="3" t="inlineStr">
        <is>
          <t>3 · DEPENDENT</t>
        </is>
      </c>
      <c r="F570" s="3" t="inlineStr">
        <is>
          <t>Decrypt an 'enc:'-tagged blob.</t>
        </is>
      </c>
      <c r="G570" s="11" t="inlineStr">
        <is>
          <t>nothing   when !is encrypted(blob)
plain = crypto js.AES.decrypt(blob.slice(PREFIX.length), key hex).to string(crypto js.enc.utf8)
the answer:
JSON.parse(plain)   if plain
nothing   otherwise</t>
        </is>
      </c>
      <c r="H570" s="3" t="inlineStr">
        <is>
          <t>When !is encrypted(blob), it answers no answer. Plain is crypto js.AES.decrypt(blob.slice(PREFIX.length), key hex).to string(crypto js.enc.utf8). The answer is JSON.parse(plain) — when plain; no answer — otherwise.</t>
        </is>
      </c>
      <c r="I570" s="3" t="inlineStr">
        <is>
          <t>PARTLY READ — some of the code is still showing through; needs a hand pass</t>
        </is>
      </c>
      <c r="J570" s="3" t="inlineStr">
        <is>
          <t>1. blob: string
2. keyHex: string</t>
        </is>
      </c>
      <c r="K570" s="3" t="inlineStr">
        <is>
          <t>any | null</t>
        </is>
      </c>
      <c r="L570" s="3" t="inlineStr">
        <is>
          <t>—</t>
        </is>
      </c>
      <c r="M570" s="3" t="inlineStr">
        <is>
          <t>None found in this function — anything it assumes comes from the functions it depends on.</t>
        </is>
      </c>
      <c r="N570" s="3" t="inlineStr">
        <is>
          <t>Yes</t>
        </is>
      </c>
      <c r="O570" s="3" t="inlineStr">
        <is>
          <t>MK-XS-F-051 isEncrypted</t>
        </is>
      </c>
      <c r="P570" s="3" t="n">
        <v>1</v>
      </c>
      <c r="Q570" s="3" t="inlineStr">
        <is>
          <t>MK-XS-F-051 isEncrypted</t>
        </is>
      </c>
      <c r="R570" s="3" t="inlineStr">
        <is>
          <t>MK-XS-F-051 isEncrypted → MK-XS-F-053 decryptWithKey</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MK-XS-F-054</t>
        </is>
      </c>
      <c r="B571" s="3" t="inlineStr">
        <is>
          <t>encryptForSync</t>
        </is>
      </c>
      <c r="C571" s="3" t="inlineStr">
        <is>
          <t>src/services/dataCrypto.ts</t>
        </is>
      </c>
      <c r="D571" s="3" t="n">
        <v>519</v>
      </c>
      <c r="E571" s="3" t="inlineStr">
        <is>
          <t>3 · DEPENDENT</t>
        </is>
      </c>
      <c r="F571" s="3" t="inlineStr">
        <is>
          <t>── The sync layer's interface (operates on the cached DEK) ─────────── Encrypt a payload with the cached DEK.</t>
        </is>
      </c>
      <c r="G571" s="11" t="inlineStr">
        <is>
          <t>key = await get data key()
the answer:
encrypt with key(obj, key)   if key
nothing   otherwise</t>
        </is>
      </c>
      <c r="H571" s="3" t="inlineStr">
        <is>
          <t>Key is await get data key(). The answer is encrypt with key(obj, key) — when key; no answer — otherwise.</t>
        </is>
      </c>
      <c r="I571" s="3" t="inlineStr">
        <is>
          <t>READ FROM THE CODE — rendered from the expressions the function runs</t>
        </is>
      </c>
      <c r="J571" s="3" t="inlineStr">
        <is>
          <t>obj: unknown</t>
        </is>
      </c>
      <c r="K571" s="3" t="inlineStr">
        <is>
          <t>Promise&lt;string | null&gt;</t>
        </is>
      </c>
      <c r="L571" s="3" t="inlineStr">
        <is>
          <t>—</t>
        </is>
      </c>
      <c r="M571" s="3" t="inlineStr">
        <is>
          <t>None found in this function — anything it assumes comes from the functions it depends on.</t>
        </is>
      </c>
      <c r="N571" s="3" t="inlineStr">
        <is>
          <t>Yes</t>
        </is>
      </c>
      <c r="O571" s="3" t="inlineStr">
        <is>
          <t>1. MK-XS-F-052 encryptWithKey
2. MK-XS-F-042 getDataKey</t>
        </is>
      </c>
      <c r="P571" s="3" t="n">
        <v>3</v>
      </c>
      <c r="Q571" s="3" t="inlineStr">
        <is>
          <t>1. MK-XS-F-052 encryptWithKey
2. MK-XS-F-042 getDataKey
3. MK-XS-F-135 secureGet</t>
        </is>
      </c>
      <c r="R571" s="3" t="inlineStr">
        <is>
          <t>1. MK-XS-F-052 encryptWithKey → MK-XS-F-054 encryptForSync
2. MK-XS-F-135 secureGet → MK-XS-F-042 getDataKey → MK-XS-F-054 encryptForSync</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MK-XS-F-055</t>
        </is>
      </c>
      <c r="B572" s="3" t="inlineStr">
        <is>
          <t>decryptFromSync</t>
        </is>
      </c>
      <c r="C572" s="3" t="inlineStr">
        <is>
          <t>src/services/dataCrypto.ts</t>
        </is>
      </c>
      <c r="D572" s="3" t="n">
        <v>549</v>
      </c>
      <c r="E572" s="3" t="inlineStr">
        <is>
          <t>3 · DEPENDENT</t>
        </is>
      </c>
      <c r="F572" s="3" t="inlineStr">
        <is>
          <t>Decrypt a synced value: ciphertext → object; legacy plaintext object → returned as-is; null if it's ciphertext we can't decrypt (no key).</t>
        </is>
      </c>
      <c r="G572" s="11" t="inlineStr">
        <is>
          <t>nothing   when value = nothing
value   when !is encrypted(value)
key = await get data key()
the answer:
decrypt with key(value as string, key)   if key
nothing   otherwise</t>
        </is>
      </c>
      <c r="H572" s="3" t="inlineStr">
        <is>
          <t>When value is missing, it answers no answer. When !is encrypted(value), it answers value. Key is await get data key(). The answer is decrypt with key(value as string, key) — when key; no answer — otherwise.</t>
        </is>
      </c>
      <c r="I572" s="3" t="inlineStr">
        <is>
          <t>READ FROM THE CODE — rendered from the expressions the function runs</t>
        </is>
      </c>
      <c r="J572" s="3" t="inlineStr">
        <is>
          <t>value: unknown</t>
        </is>
      </c>
      <c r="K572" s="3" t="inlineStr">
        <is>
          <t>Promise&lt;any | null&gt;</t>
        </is>
      </c>
      <c r="L572" s="3" t="inlineStr">
        <is>
          <t>—</t>
        </is>
      </c>
      <c r="M572" s="3" t="inlineStr">
        <is>
          <t>None found in this function — anything it assumes comes from the functions it depends on.</t>
        </is>
      </c>
      <c r="N572" s="3" t="inlineStr">
        <is>
          <t>Yes</t>
        </is>
      </c>
      <c r="O572" s="3" t="inlineStr">
        <is>
          <t>1. MK-XS-F-053 decryptWithKey
2. MK-XS-F-042 getDataKey
3. MK-XS-F-051 isEncrypted</t>
        </is>
      </c>
      <c r="P572" s="3" t="n">
        <v>4</v>
      </c>
      <c r="Q572" s="3" t="inlineStr">
        <is>
          <t>1. MK-XS-F-053 decryptWithKey
2. MK-XS-F-042 getDataKey
3. MK-XS-F-051 isEncrypted
4. MK-XS-F-135 secureGet</t>
        </is>
      </c>
      <c r="R572" s="3" t="inlineStr">
        <is>
          <t>1. MK-XS-F-051 isEncrypted → MK-XS-F-053 decryptWithKey → MK-XS-F-055 decryptFromSync
2. MK-XS-F-135 secureGet → MK-XS-F-042 getDataKey → MK-XS-F-055 decryptFromSync
3. MK-XS-F-051 isEncrypted → MK-XS-F-055 decryptFromSync</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MK-XS-F-056</t>
        </is>
      </c>
      <c r="B573" s="3" t="inlineStr">
        <is>
          <t>fetchEconomicData</t>
        </is>
      </c>
      <c r="C573" s="3" t="inlineStr">
        <is>
          <t>src/services/economicData.ts</t>
        </is>
      </c>
      <c r="D573" s="3" t="n">
        <v>69</v>
      </c>
      <c r="E573" s="3" t="inlineStr">
        <is>
          <t>3 · DEPENDENT (feeds an action only)</t>
        </is>
      </c>
      <c r="F573" s="3" t="inlineStr">
        <is>
          <t>What are inflation and the 10-year Treasury yield?</t>
        </is>
      </c>
      <c r="G573" s="11" t="inlineStr">
        <is>
          <t>inflation rate = the fetched figure, or the fallback when the fetch failed
treasury yield = the fetched figure, or the fallback when the fetch failed
fetched at = now; each fallback flagged</t>
        </is>
      </c>
      <c r="H573" s="3" t="inlineStr">
        <is>
          <t>Fetches the inflation rate and the ten-year Treasury yield; when either fetch fails its fallback is used and FLAGGED as a fallback, never passed off as live.</t>
        </is>
      </c>
      <c r="I573" s="3" t="inlineStr">
        <is>
          <t>READ BY HAND 2026-08-26 — checked line by line against the code</t>
        </is>
      </c>
      <c r="J573" s="3" t="inlineStr">
        <is>
          <t>Nothing is handed to it</t>
        </is>
      </c>
      <c r="K573" s="3" t="inlineStr">
        <is>
          <t>Promise&lt;EconomicData&gt;</t>
        </is>
      </c>
      <c r="L573" s="3" t="inlineStr">
        <is>
          <t>—</t>
        </is>
      </c>
      <c r="M573" s="3" t="inlineStr">
        <is>
          <t>· Uses today's date from the device clock, so the answer changes by itself overnight.</t>
        </is>
      </c>
      <c r="N573" s="3" t="inlineStr">
        <is>
          <t>No</t>
        </is>
      </c>
      <c r="O573" s="3" t="inlineStr">
        <is>
          <t>1. MK-XS-F-140 fetchInflation
2. MK-XS-F-141 fetchTreasuryYield</t>
        </is>
      </c>
      <c r="P573" s="3" t="n">
        <v>2</v>
      </c>
      <c r="Q573" s="3" t="inlineStr">
        <is>
          <t>1. MK-XS-F-140 fetchInflation
2. MK-XS-F-141 fetchTreasuryYield</t>
        </is>
      </c>
      <c r="R573" s="3" t="inlineStr">
        <is>
          <t>1. MK-XS-F-140 fetchInflation → MK-XS-F-056 fetchEconomicData
2. MK-XS-F-141 fetchTreasuryYield → MK-XS-F-056 fetchEconomicData</t>
        </is>
      </c>
      <c r="S573" s="3" t="inlineStr">
        <is>
          <t>—</t>
        </is>
      </c>
      <c r="T573" s="3" t="inlineStr">
        <is>
          <t>ECONOMIC_FIGURES</t>
        </is>
      </c>
      <c r="U573" s="3" t="inlineStr">
        <is>
          <t>ACTIVE</t>
        </is>
      </c>
      <c r="V573" s="3" t="inlineStr">
        <is>
          <t>2026-09-12</t>
        </is>
      </c>
      <c r="W573" s="3" t="n"/>
      <c r="X573" s="3" t="n"/>
      <c r="Y573" s="3" t="inlineStr">
        <is>
          <t>NOTHING OPEN</t>
        </is>
      </c>
    </row>
    <row r="574" ht="60" customHeight="1">
      <c r="A574" s="3" t="inlineStr">
        <is>
          <t>MK-XS-F-057</t>
        </is>
      </c>
      <c r="B574" s="3" t="inlineStr">
        <is>
          <t>analyzeExpenses</t>
        </is>
      </c>
      <c r="C574" s="3" t="inlineStr">
        <is>
          <t>src/services/economicData.ts</t>
        </is>
      </c>
      <c r="D574" s="3" t="n">
        <v>202</v>
      </c>
      <c r="E574" s="3" t="inlineStr">
        <is>
          <t>4 · BRINGS DATA IN</t>
        </is>
      </c>
      <c r="F574" s="3" t="inlineStr">
        <is>
          <t>What is worth saying about this expenses?</t>
        </is>
      </c>
      <c r="G574" s="11" t="inlineStr">
        <is>
          <t>data = await res.json()
the answer = data as expense analysis</t>
        </is>
      </c>
      <c r="H574" s="3" t="inlineStr">
        <is>
          <t>Data is await res.json(). The answer is data as expense analysis.</t>
        </is>
      </c>
      <c r="I574" s="3" t="inlineStr">
        <is>
          <t>PARTLY READ — some of the code is still showing through; needs a hand pass</t>
        </is>
      </c>
      <c r="J574" s="3" t="inlineStr">
        <is>
          <t>Nothing is handed to it</t>
        </is>
      </c>
      <c r="K574" s="3" t="inlineStr">
        <is>
          <t>NOT DECLARED — the code does not say what it gives back</t>
        </is>
      </c>
      <c r="L574" s="3" t="inlineStr">
        <is>
          <t>—</t>
        </is>
      </c>
      <c r="M574" s="3" t="inlineStr">
        <is>
          <t>None found in this function — anything it assumes comes from the functions it depends on.</t>
        </is>
      </c>
      <c r="N574" s="3" t="inlineStr">
        <is>
          <t>No</t>
        </is>
      </c>
      <c r="O574" s="3" t="inlineStr">
        <is>
          <t>MK-CF-O-002 expenses</t>
        </is>
      </c>
      <c r="P574" s="3" t="n">
        <v>15</v>
      </c>
      <c r="Q57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74"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74" s="3" t="inlineStr">
        <is>
          <t>—</t>
        </is>
      </c>
      <c r="T574" s="3" t="inlineStr">
        <is>
          <t>EXPENSE_COMMENTARY</t>
        </is>
      </c>
      <c r="U574" s="3" t="inlineStr">
        <is>
          <t>ACTIVE</t>
        </is>
      </c>
      <c r="V574" s="3" t="inlineStr">
        <is>
          <t>2026-08-27</t>
        </is>
      </c>
      <c r="W574" s="3" t="n"/>
      <c r="X574" s="3" t="n"/>
      <c r="Y574" s="3" t="inlineStr">
        <is>
          <t>NOTHING OPEN</t>
        </is>
      </c>
    </row>
    <row r="575" ht="60" customHeight="1">
      <c r="A575" s="3" t="inlineStr">
        <is>
          <t>MK-XS-F-058</t>
        </is>
      </c>
      <c r="B575" s="3" t="inlineStr">
        <is>
          <t>parseReceipt</t>
        </is>
      </c>
      <c r="C575" s="3" t="inlineStr">
        <is>
          <t>src/services/receiptScan.ts</t>
        </is>
      </c>
      <c r="D575" s="3" t="n">
        <v>106</v>
      </c>
      <c r="E575" s="3" t="inlineStr">
        <is>
          <t>3 · DEPENDENT</t>
        </is>
      </c>
      <c r="F575" s="3" t="inlineStr">
        <is>
          <t>Heuristic parse of receipt text → total amount + merchant.</t>
        </is>
      </c>
      <c r="G575"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75"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75" s="3" t="inlineStr">
        <is>
          <t>PARTLY READ — some of the code is still showing through; needs a hand pass</t>
        </is>
      </c>
      <c r="J575" s="3" t="inlineStr">
        <is>
          <t>text: string</t>
        </is>
      </c>
      <c r="K575" s="3" t="inlineStr">
        <is>
          <t>NOT DECLARED — the code does not say what it gives back</t>
        </is>
      </c>
      <c r="L575" s="3" t="inlineStr">
        <is>
          <t>—</t>
        </is>
      </c>
      <c r="M575" s="3" t="inlineStr">
        <is>
          <t>None found in this function — anything it assumes comes from the functions it depends on.</t>
        </is>
      </c>
      <c r="N575" s="3" t="inlineStr">
        <is>
          <t>Yes</t>
        </is>
      </c>
      <c r="O575" s="3" t="inlineStr">
        <is>
          <t>1. MK-CF-F-204 line
2. MK-CF-F-132 map
3. MK-XS-F-093 stripNonMoney
4. MK-ST-F-052 toNum</t>
        </is>
      </c>
      <c r="P575" s="3" t="n">
        <v>103</v>
      </c>
      <c r="Q575" s="3" t="inlineStr">
        <is>
          <t>1. MK-CF-F-204 line
2. MK-CF-F-132 map
3. MK-XS-F-093 stripNonMoney
4. MK-ST-F-052 toNum
5. MK-CF-F-203 MONTH
6. MK-XS-F-180 declareFigures
7. MK-XS-F-122 n
8. MK-CF-O-010 theMonth
9. MK-CF-O-002 expenses
10. MK-CF-O-003 thisMonth
11. MK-CF-F-151 actualSpending
12. MK-CF-F-150 debtPaymentsCountedAsExpenses
13. MK-CF-F-153 radar
14. MK-CF-F-149 recurringDebtPayments
15. MK-CF-F-005 actualMonthFlow
16. MK-CF-F-156 plannedMonthFlow
17. MK-CF-F-148 inMonth
18. MK-CF-F-191 ym
19. MK-ST-F-056 has
20. MK-CF-F-022 paymentShape
21. MK-CF-F-152 isRadarItem
22. MK-CF-F-023 requiredPayment
23. MK-NW-F-078 ONE
24. MK-CF-F-155 cash
25. MK-CF-F-157 debtPaymentsByDebt
26. MK-CF-F-192 inflowLabel
27. MK-XS-F-027 takeHomeMonthly
28. MK-CF-F-021 defaultPaymentType
29. MK-NW-F-077 ALL
30. MK-NW-F-059 currentYield
31. MK-ST-F-049 formatMoney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575" s="3" t="inlineStr">
        <is>
          <t>1. MONTH (already above — a loop) → MK-CF-O-010 theMonth → MK-CF-F-203 MONTH → MK-CF-F-204 line → MK-XS-F-058 parseReceipt
2. MK-CF-F-151 actualSpending → MK-CF-O-002 expenses → MK-CF-O-010 theMonth → MK-CF-F-203 MONTH → MK-CF-F-204 line → MK-XS-F-058 parseReceipt
3. MK-CF-F-150 debtPaymentsCountedAsExpenses → MK-CF-O-002 expenses → MK-CF-O-010 theMonth → MK-CF-F-203 MONTH → MK-CF-F-204 line → MK-XS-F-058 parseReceipt
4. MK-CF-F-153 radar → MK-CF-O-002 expenses → MK-CF-O-010 theMonth → MK-CF-F-203 MONTH → MK-CF-F-204 line → MK-XS-F-058 parseReceipt
5. MK-CF-F-149 recurringDebtPayments → MK-CF-O-002 expenses → MK-CF-O-010 theMonth → MK-CF-F-203 MONTH → MK-CF-F-204 line → MK-XS-F-058 parseReceipt
6. MK-CF-F-005 actualMonthFlow → MK-CF-O-003 thisMonth → MK-CF-O-010 theMonth → MK-CF-F-203 MONTH → MK-CF-F-204 line → MK-XS-F-058 parseReceipt
7. MK-CF-F-156 plannedMonthFlow → MK-CF-O-003 thisMonth → MK-CF-O-010 theMonth → MK-CF-F-203 MONTH → MK-CF-F-204 line → MK-XS-F-058 parseReceipt
8. MK-XS-F-180 declareFigures → MK-CF-F-204 line → MK-XS-F-058 parseReceipt
9. … and 3 more paths</t>
        </is>
      </c>
      <c r="S575" s="3" t="inlineStr">
        <is>
          <t>—</t>
        </is>
      </c>
      <c r="T575" s="3" t="inlineStr">
        <is>
          <t>READ_A_RECEIPT</t>
        </is>
      </c>
      <c r="U575" s="3" t="inlineStr">
        <is>
          <t>ACTIVE</t>
        </is>
      </c>
      <c r="V575" s="3" t="inlineStr">
        <is>
          <t>2026-08-27</t>
        </is>
      </c>
      <c r="W575" s="3" t="n"/>
      <c r="X575" s="3" t="n"/>
      <c r="Y575" s="3" t="inlineStr">
        <is>
          <t>NOTHING OPEN</t>
        </is>
      </c>
    </row>
    <row r="576" ht="60" customHeight="1">
      <c r="A576" s="3" t="inlineStr">
        <is>
          <t>MK-XS-F-059</t>
        </is>
      </c>
      <c r="B576" s="3" t="inlineStr">
        <is>
          <t>readFileString</t>
        </is>
      </c>
      <c r="C576" s="3" t="inlineStr">
        <is>
          <t>src/services/fileRead.ts</t>
        </is>
      </c>
      <c r="D576" s="3" t="n">
        <v>22</v>
      </c>
      <c r="E576" s="3" t="inlineStr">
        <is>
          <t>4 · BRINGS DATA IN</t>
        </is>
      </c>
      <c r="F576" s="3" t="inlineStr">
        <is>
          <t>NOT DETERMINED — the code carries no note saying what this is for, and it has no row in the old inventory. Needs reading.</t>
        </is>
      </c>
      <c r="G576" s="11" t="inlineStr">
        <is>
          <t>read as string async(uri, { encoding: encoding = 'base64' ? encoding type.base64 : encoding type.UTF8 })</t>
        </is>
      </c>
      <c r="H576" s="3" t="inlineStr">
        <is>
          <t>read as string async(uri, { encoding: encoding = 'base64' ? encoding type.base64 : encoding type.UTF8 }).</t>
        </is>
      </c>
      <c r="I576" s="3" t="inlineStr">
        <is>
          <t>READ FROM THE CODE — rendered from the expressions the function runs</t>
        </is>
      </c>
      <c r="J576" s="3" t="inlineStr">
        <is>
          <t>1. uri: string
2. encoding: 'utf8' | 'base64' = 'utf8'</t>
        </is>
      </c>
      <c r="K576" s="3" t="inlineStr">
        <is>
          <t>Promise&lt;string&gt;</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MK-XS-F-060</t>
        </is>
      </c>
      <c r="B577" s="3" t="inlineStr">
        <is>
          <t>registerUser</t>
        </is>
      </c>
      <c r="C577" s="3" t="inlineStr">
        <is>
          <t>src/services/firebase.ts</t>
        </is>
      </c>
      <c r="D577" s="3" t="n">
        <v>88</v>
      </c>
      <c r="E577" s="3" t="inlineStr">
        <is>
          <t>2 · DISPLAYED</t>
        </is>
      </c>
      <c r="F577" s="3" t="inlineStr">
        <is>
          <t>Returns the new user AND a one-time recovery code the caller MUST show the user to save.</t>
        </is>
      </c>
      <c r="G577"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77"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77" s="3" t="inlineStr">
        <is>
          <t>READ FROM THE CODE — rendered from the expressions the function runs</t>
        </is>
      </c>
      <c r="J577" s="3" t="inlineStr">
        <is>
          <t>1. email: string
2. password: string
3. name: string
4. onCodeReady?: (code: string) =&gt; void</t>
        </is>
      </c>
      <c r="K577" s="3" t="inlineStr">
        <is>
          <t>NOT DECLARED — the code does not say what it gives back</t>
        </is>
      </c>
      <c r="L577" s="3" t="inlineStr">
        <is>
          <t>NOT FOUND — a screen calls it, but the words printed beside its answer could not be traced automatically. Needs reading.</t>
        </is>
      </c>
      <c r="M577" s="3" t="inlineStr">
        <is>
          <t>None found in this function — anything it assumes comes from the functions it depends on.</t>
        </is>
      </c>
      <c r="N577" s="3" t="inlineStr">
        <is>
          <t>Yes</t>
        </is>
      </c>
      <c r="O577" s="3" t="inlineStr">
        <is>
          <t>1. MK-XS-F-041 cacheDataKey
2. MK-XS-F-044 generateDataKey
3. MK-XS-F-045 generateRecoveryCode
4. MK-XS-F-046 makeEnvelope
5. MK-XS-F-175 uid</t>
        </is>
      </c>
      <c r="P577" s="3" t="n">
        <v>88</v>
      </c>
      <c r="Q577"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77"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77" s="3" t="inlineStr">
        <is>
          <t>—</t>
        </is>
      </c>
      <c r="T577" s="3" t="inlineStr">
        <is>
          <t>—</t>
        </is>
      </c>
      <c r="U577" s="3" t="inlineStr">
        <is>
          <t>ACTIVE</t>
        </is>
      </c>
      <c r="V577" s="3" t="inlineStr">
        <is>
          <t>2026-08-27</t>
        </is>
      </c>
      <c r="W577" s="3" t="n"/>
      <c r="X577" s="3" t="n"/>
      <c r="Y577" s="3" t="inlineStr">
        <is>
          <t>NOTHING OPEN</t>
        </is>
      </c>
    </row>
    <row r="578" ht="30" customHeight="1">
      <c r="A578" s="3" t="inlineStr">
        <is>
          <t>MK-XS-F-061</t>
        </is>
      </c>
      <c r="B578" s="3" t="inlineStr">
        <is>
          <t>resendVerification</t>
        </is>
      </c>
      <c r="C578" s="3" t="inlineStr">
        <is>
          <t>src/services/firebase.ts</t>
        </is>
      </c>
      <c r="D578" s="3" t="n">
        <v>130</v>
      </c>
      <c r="E578" s="3" t="inlineStr">
        <is>
          <t>1 · ACTION</t>
        </is>
      </c>
      <c r="F578" s="3" t="inlineStr">
        <is>
          <t>Resend the verification email to the signed-in user.</t>
        </is>
      </c>
      <c r="G578" s="11" t="inlineStr">
        <is>
          <t>sends the verification e-mail again to the signed-in person</t>
        </is>
      </c>
      <c r="H578" s="3" t="inlineStr">
        <is>
          <t>Resends the e-mail-verification message. Not a calculation.</t>
        </is>
      </c>
      <c r="I578" s="3" t="inlineStr">
        <is>
          <t>READ BY HAND 2026-08-26 — checked line by line against the code</t>
        </is>
      </c>
      <c r="J578" s="3" t="inlineStr">
        <is>
          <t>Nothing is handed to it</t>
        </is>
      </c>
      <c r="K578" s="3" t="inlineStr">
        <is>
          <t>NOT DECLARED — the code does not say what it gives back</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2026-09-12</t>
        </is>
      </c>
      <c r="W578" s="3" t="n"/>
      <c r="X578" s="3" t="n"/>
      <c r="Y578" s="3" t="inlineStr">
        <is>
          <t>NOTHING OPEN</t>
        </is>
      </c>
    </row>
    <row r="579" ht="60" customHeight="1">
      <c r="A579" s="3" t="inlineStr">
        <is>
          <t>MK-XS-F-062</t>
        </is>
      </c>
      <c r="B579" s="3" t="inlineStr">
        <is>
          <t>refreshEmailVerified</t>
        </is>
      </c>
      <c r="C579" s="3" t="inlineStr">
        <is>
          <t>src/services/firebase.ts</t>
        </is>
      </c>
      <c r="D579" s="3" t="n">
        <v>150</v>
      </c>
      <c r="E579" s="3" t="inlineStr">
        <is>
          <t>2 · DISPLAYED</t>
        </is>
      </c>
      <c r="F579" s="3" t="inlineStr">
        <is>
          <t>Re-check verification status from the server (call after the user clicks the email link).</t>
        </is>
      </c>
      <c r="G579" s="11" t="inlineStr">
        <is>
          <t>false   when auth.current user is missing
!!auth.current user.email verified</t>
        </is>
      </c>
      <c r="H579" s="3" t="inlineStr">
        <is>
          <t>When auth.current user is missing, it answers false. !!auth.current user.email verified.</t>
        </is>
      </c>
      <c r="I579" s="3" t="inlineStr">
        <is>
          <t>READ FROM THE CODE — rendered from the expressions the function runs</t>
        </is>
      </c>
      <c r="J579" s="3" t="inlineStr">
        <is>
          <t>Nothing is handed to it</t>
        </is>
      </c>
      <c r="K579" s="3" t="inlineStr">
        <is>
          <t>Promise&lt;boolean&gt;</t>
        </is>
      </c>
      <c r="L579"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MK-XS-F-063</t>
        </is>
      </c>
      <c r="B580" s="3" t="inlineStr">
        <is>
          <t>isEmailVerified</t>
        </is>
      </c>
      <c r="C580" s="3" t="inlineStr">
        <is>
          <t>src/services/firebase.ts</t>
        </is>
      </c>
      <c r="D580" s="3" t="n">
        <v>170</v>
      </c>
      <c r="E580" s="3" t="inlineStr">
        <is>
          <t>2 · DISPLAYED</t>
        </is>
      </c>
      <c r="F580" s="3" t="inlineStr">
        <is>
          <t>NOT DETERMINED — the code carries no note saying what this is for, and it has no row in the old inventory. Needs reading.</t>
        </is>
      </c>
      <c r="G580" s="11" t="inlineStr">
        <is>
          <t>!!auth.current user.email verified</t>
        </is>
      </c>
      <c r="H580" s="3" t="inlineStr">
        <is>
          <t>!!auth.current user.email verified.</t>
        </is>
      </c>
      <c r="I580" s="3" t="inlineStr">
        <is>
          <t>READ FROM THE CODE — rendered from the expressions the function runs</t>
        </is>
      </c>
      <c r="J580" s="3" t="inlineStr">
        <is>
          <t>Nothing is handed to it</t>
        </is>
      </c>
      <c r="K580" s="3" t="inlineStr">
        <is>
          <t>boolean</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MK-XS-F-064</t>
        </is>
      </c>
      <c r="B581" s="3" t="inlineStr">
        <is>
          <t>currentIdToken</t>
        </is>
      </c>
      <c r="C581" s="3" t="inlineStr">
        <is>
          <t>src/services/firebase.ts</t>
        </is>
      </c>
      <c r="D581" s="3" t="n">
        <v>204</v>
      </c>
      <c r="E581" s="3" t="inlineStr">
        <is>
          <t>3 · DEPENDENT (feeds an action only)</t>
        </is>
      </c>
      <c r="F581" s="3" t="inlineStr">
        <is>
          <t>The email of the account currently signed in to Firebase — the authoritative identity that account-level actions (delete, reauth) operate on.</t>
        </is>
      </c>
      <c r="G581" s="11" t="inlineStr">
        <is>
          <t>the answer = the signed-in person's identity token, or nothing</t>
        </is>
      </c>
      <c r="H581" s="3" t="inlineStr">
        <is>
          <t>The signed-in person's identity token for the relay, or nothing when nobody is signed in. Not a calculation.</t>
        </is>
      </c>
      <c r="I581" s="3" t="inlineStr">
        <is>
          <t>READ BY HAND 2026-08-26 — checked line by line against the code</t>
        </is>
      </c>
      <c r="J581" s="3" t="inlineStr">
        <is>
          <t>Nothing is handed to it</t>
        </is>
      </c>
      <c r="K581" s="3" t="inlineStr">
        <is>
          <t>Promise&lt;string | null&gt;</t>
        </is>
      </c>
      <c r="L581" s="3" t="inlineStr">
        <is>
          <t>—</t>
        </is>
      </c>
      <c r="M581" s="3" t="inlineStr">
        <is>
          <t>None found in this function — anything it assumes comes from the functions it depends on.</t>
        </is>
      </c>
      <c r="N581" s="3" t="inlineStr">
        <is>
          <t>No</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2026-09-12</t>
        </is>
      </c>
      <c r="W581" s="3" t="n"/>
      <c r="X581" s="3" t="n"/>
      <c r="Y581" s="3" t="inlineStr">
        <is>
          <t>NOTHING OPEN</t>
        </is>
      </c>
    </row>
    <row r="582" ht="60" customHeight="1">
      <c r="A582" s="3" t="inlineStr">
        <is>
          <t>MK-XS-F-065</t>
        </is>
      </c>
      <c r="B582" s="3" t="inlineStr">
        <is>
          <t>currentUserEmail</t>
        </is>
      </c>
      <c r="C582" s="3" t="inlineStr">
        <is>
          <t>src/services/firebase.ts</t>
        </is>
      </c>
      <c r="D582" s="3" t="n">
        <v>223</v>
      </c>
      <c r="E582" s="3" t="inlineStr">
        <is>
          <t>2 · DISPLAYED</t>
        </is>
      </c>
      <c r="F582" s="3" t="inlineStr">
        <is>
          <t>NOT DETERMINED — the code carries no note saying what this is for, and it has no row in the old inventory. Needs reading.</t>
        </is>
      </c>
      <c r="G582" s="11" t="inlineStr">
        <is>
          <t>auth.current user.email (or nothing when missing)</t>
        </is>
      </c>
      <c r="H582" s="3" t="inlineStr">
        <is>
          <t>auth.current user.email (or no answer — when missing).</t>
        </is>
      </c>
      <c r="I582" s="3" t="inlineStr">
        <is>
          <t>PARTLY READ — some of the code is still showing through; needs a hand pass</t>
        </is>
      </c>
      <c r="J582" s="3" t="inlineStr">
        <is>
          <t>Nothing is handed to it</t>
        </is>
      </c>
      <c r="K582" s="3" t="inlineStr">
        <is>
          <t>string | null</t>
        </is>
      </c>
      <c r="L582" s="3" t="inlineStr">
        <is>
          <t>"Confirm account deletion" — on the Settings screen, under "Account"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MK-XS-F-066</t>
        </is>
      </c>
      <c r="B583" s="3" t="inlineStr">
        <is>
          <t>loginUser</t>
        </is>
      </c>
      <c r="C583" s="3" t="inlineStr">
        <is>
          <t>src/services/firebase.ts</t>
        </is>
      </c>
      <c r="D583" s="3" t="n">
        <v>255</v>
      </c>
      <c r="E583" s="3" t="inlineStr">
        <is>
          <t>4 · BRINGS DATA IN</t>
        </is>
      </c>
      <c r="F583" s="3" t="inlineStr">
        <is>
          <t>Returns the user plus the unlock status: • needsRecovery=true → the password can't open the data (it was reset); prompt for the recovery code.</t>
        </is>
      </c>
      <c r="G583"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83"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83" s="3" t="inlineStr">
        <is>
          <t>PARTLY READ — some of the code is still showing through; needs a hand pass</t>
        </is>
      </c>
      <c r="J583" s="3" t="inlineStr">
        <is>
          <t>1. email: string
2. password: string
3. onCodeReady?: (code: string) =&gt; void</t>
        </is>
      </c>
      <c r="K583" s="3" t="inlineStr">
        <is>
          <t>Promise&lt;</t>
        </is>
      </c>
      <c r="L583" s="3" t="inlineStr">
        <is>
          <t>—</t>
        </is>
      </c>
      <c r="M583" s="3" t="inlineStr">
        <is>
          <t>None found in this function — anything it assumes comes from the functions it depends on.</t>
        </is>
      </c>
      <c r="N583" s="3" t="inlineStr">
        <is>
          <t>Yes</t>
        </is>
      </c>
      <c r="O583" s="3" t="inlineStr">
        <is>
          <t>1. MK-XS-F-041 cacheDataKey
2. MK-XS-F-044 generateDataKey
3. MK-XS-F-045 generateRecoveryCode
4. MK-XS-F-046 makeEnvelope
5. MK-XS-F-060 registerUser
6. MK-XS-F-175 uid
7. MK-XS-F-047 unwrapWithPassword</t>
        </is>
      </c>
      <c r="P583" s="3" t="n">
        <v>92</v>
      </c>
      <c r="Q583"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83"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MK-XS-F-067</t>
        </is>
      </c>
      <c r="B584" s="3" t="inlineStr">
        <is>
          <t>restoreWithRecoveryCode</t>
        </is>
      </c>
      <c r="C584" s="3" t="inlineStr">
        <is>
          <t>src/services/firebase.ts</t>
        </is>
      </c>
      <c r="D584" s="3" t="n">
        <v>303</v>
      </c>
      <c r="E584" s="3" t="inlineStr">
        <is>
          <t>4 · BRINGS DATA IN</t>
        </is>
      </c>
      <c r="F584" s="3" t="inlineStr">
        <is>
          <t>After a password reset, restore data access with the recovery code, then re-lock the data under the NEW password.</t>
        </is>
      </c>
      <c r="G584" s="11" t="inlineStr">
        <is>
          <t>u = auth.current user
snap = await get doc(doc(db, 'users', uid))
env = (snap.data() as any).key envelope   if snap.exists()
undefined   otherwise
dek = unwrap with recovery(env, uid, recovery code)</t>
        </is>
      </c>
      <c r="H584" s="3" t="inlineStr">
        <is>
          <t>U is auth.current user. Snap is await get doc(doc(db, 'users', uid)). Env is (snap.data() as any).key envelope — when snap.exists(); undefined — otherwise. Dek is unwrap with recovery(env, uid, recovery code).</t>
        </is>
      </c>
      <c r="I584" s="3" t="inlineStr">
        <is>
          <t>PARTLY READ — some of the code is still showing through; needs a hand pass</t>
        </is>
      </c>
      <c r="J584" s="3" t="inlineStr">
        <is>
          <t>1. recoveryCode: string
2. newPassword: string</t>
        </is>
      </c>
      <c r="K584" s="3" t="inlineStr">
        <is>
          <t>Promise&lt;void&gt;</t>
        </is>
      </c>
      <c r="L584" s="3" t="inlineStr">
        <is>
          <t>—</t>
        </is>
      </c>
      <c r="M584" s="3" t="inlineStr">
        <is>
          <t>None found in this function — anything it assumes comes from the functions it depends on.</t>
        </is>
      </c>
      <c r="N584" s="3" t="inlineStr">
        <is>
          <t>Yes</t>
        </is>
      </c>
      <c r="O584" s="3" t="inlineStr">
        <is>
          <t>1. MK-XS-F-041 cacheDataKey
2. MK-XS-F-049 rewrapPassword
3. MK-XS-F-175 uid
4. MK-XS-F-048 unwrapWithRecovery</t>
        </is>
      </c>
      <c r="P584" s="3" t="n">
        <v>89</v>
      </c>
      <c r="Q584"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84"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MK-XS-F-068</t>
        </is>
      </c>
      <c r="B585" s="3" t="inlineStr">
        <is>
          <t>regenerateRecoveryCode</t>
        </is>
      </c>
      <c r="C585" s="3" t="inlineStr">
        <is>
          <t>src/services/firebase.ts</t>
        </is>
      </c>
      <c r="D585" s="3" t="n">
        <v>338</v>
      </c>
      <c r="E585" s="3" t="inlineStr">
        <is>
          <t>4 · BRINGS DATA IN</t>
        </is>
      </c>
      <c r="F585" s="3" t="inlineStr">
        <is>
          <t>Issue a NEW recovery code for the signed-in user (the old one stops working).</t>
        </is>
      </c>
      <c r="G585" s="11" t="inlineStr">
        <is>
          <t>u = auth.current user
dek = await get data key()
snap = await get doc(doc(db, 'users', uid))
env = snap.exists() and (snap.data() as any).key envelope (or p = ''
r = '' when missing or zero)
recovery code = generate recovery code()
the answer = recovery code</t>
        </is>
      </c>
      <c r="H585" s="3" t="inlineStr">
        <is>
          <t>U is auth.current user. Dek is await get data key(). Snap is await get doc(doc(db, 'users', uid)). Env is snap.exists() and (snap.data() as any).key envelope (or p = ''; r = '' — when missing or zero). Recovery code is generate recovery code(). The answer is recovery code.</t>
        </is>
      </c>
      <c r="I585" s="3" t="inlineStr">
        <is>
          <t>PARTLY READ — some of the code is still showing through; needs a hand pass</t>
        </is>
      </c>
      <c r="J585" s="3" t="inlineStr">
        <is>
          <t>Nothing is handed to it</t>
        </is>
      </c>
      <c r="K585" s="3" t="inlineStr">
        <is>
          <t>Promise&lt;string&gt;</t>
        </is>
      </c>
      <c r="L585" s="3" t="inlineStr">
        <is>
          <t>—</t>
        </is>
      </c>
      <c r="M585" s="3" t="inlineStr">
        <is>
          <t>None found in this function — anything it assumes comes from the functions it depends on.</t>
        </is>
      </c>
      <c r="N585" s="3" t="inlineStr">
        <is>
          <t>Yes</t>
        </is>
      </c>
      <c r="O585" s="3" t="inlineStr">
        <is>
          <t>1. MK-XS-F-045 generateRecoveryCode
2. MK-XS-F-042 getDataKey
3. MK-XS-F-050 rewrapRecovery
4. MK-XS-F-175 uid</t>
        </is>
      </c>
      <c r="P585" s="3" t="n">
        <v>87</v>
      </c>
      <c r="Q585"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85"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MK-XS-F-069</t>
        </is>
      </c>
      <c r="B586" s="3" t="inlineStr">
        <is>
          <t>logoutUser</t>
        </is>
      </c>
      <c r="C586" s="3" t="inlineStr">
        <is>
          <t>src/services/firebase.ts</t>
        </is>
      </c>
      <c r="D586" s="3" t="n">
        <v>365</v>
      </c>
      <c r="E586" s="3" t="inlineStr">
        <is>
          <t>1 · ACTION</t>
        </is>
      </c>
      <c r="F586" s="3" t="inlineStr">
        <is>
          <t>NOT DETERMINED — the code carries no note saying what this is for, and it has no row in the old inventory. Needs reading.</t>
        </is>
      </c>
      <c r="G586" s="11" t="inlineStr">
        <is>
          <t>clears the data key, then signs out</t>
        </is>
      </c>
      <c r="H586" s="3" t="inlineStr">
        <is>
          <t>Forgets the decryption key and signs the person out. Not a calculation.</t>
        </is>
      </c>
      <c r="I586" s="3" t="inlineStr">
        <is>
          <t>READ BY HAND 2026-08-26 — checked line by line against the code</t>
        </is>
      </c>
      <c r="J586" s="3" t="inlineStr">
        <is>
          <t>Nothing is handed to it</t>
        </is>
      </c>
      <c r="K586" s="3" t="inlineStr">
        <is>
          <t>NOT DECLARED — the code does not say what it gives back</t>
        </is>
      </c>
      <c r="L586" s="3" t="inlineStr">
        <is>
          <t>—</t>
        </is>
      </c>
      <c r="M586" s="3" t="inlineStr">
        <is>
          <t>None found in this function — anything it assumes comes from the functions it depends on.</t>
        </is>
      </c>
      <c r="N586" s="3" t="inlineStr">
        <is>
          <t>Yes</t>
        </is>
      </c>
      <c r="O586" s="3" t="inlineStr">
        <is>
          <t>MK-XS-F-043 clearDataKey</t>
        </is>
      </c>
      <c r="P586" s="3" t="n">
        <v>2</v>
      </c>
      <c r="Q586" s="3" t="inlineStr">
        <is>
          <t>1. MK-XS-F-043 clearDataKey
2. MK-XS-F-137 secureDelete</t>
        </is>
      </c>
      <c r="R586" s="3" t="inlineStr">
        <is>
          <t>MK-XS-F-137 secureDelete → MK-XS-F-043 clearDataKey → MK-XS-F-069 logoutUser</t>
        </is>
      </c>
      <c r="S586" s="3" t="inlineStr">
        <is>
          <t>—</t>
        </is>
      </c>
      <c r="T586" s="3" t="inlineStr">
        <is>
          <t>—</t>
        </is>
      </c>
      <c r="U586" s="3" t="inlineStr">
        <is>
          <t>ACTIVE</t>
        </is>
      </c>
      <c r="V586" s="3" t="inlineStr">
        <is>
          <t>2026-09-12</t>
        </is>
      </c>
      <c r="W586" s="3" t="n"/>
      <c r="X586" s="3" t="n"/>
      <c r="Y586" s="3" t="inlineStr">
        <is>
          <t>NOTHING OPEN</t>
        </is>
      </c>
    </row>
    <row r="587" ht="60" customHeight="1">
      <c r="A587" s="3" t="inlineStr">
        <is>
          <t>MK-XS-F-070</t>
        </is>
      </c>
      <c r="B587" s="3" t="inlineStr">
        <is>
          <t>resetPassword</t>
        </is>
      </c>
      <c r="C587" s="3" t="inlineStr">
        <is>
          <t>src/services/firebase.ts</t>
        </is>
      </c>
      <c r="D587" s="3" t="n">
        <v>385</v>
      </c>
      <c r="E587" s="3" t="inlineStr">
        <is>
          <t>1 · ACTION</t>
        </is>
      </c>
      <c r="F587" s="3" t="inlineStr">
        <is>
          <t>NOT DETERMINED — the code carries no note saying what this is for, and it has no row in the old inventory. Needs reading.</t>
        </is>
      </c>
      <c r="G587" s="11" t="inlineStr">
        <is>
          <t>sends a password-reset e-mail to the address</t>
        </is>
      </c>
      <c r="H587" s="3" t="inlineStr">
        <is>
          <t>Sends the password-reset e-mail. Not a calculation.</t>
        </is>
      </c>
      <c r="I587" s="3" t="inlineStr">
        <is>
          <t>READ BY HAND 2026-08-26 — checked line by line against the code</t>
        </is>
      </c>
      <c r="J587" s="3" t="inlineStr">
        <is>
          <t>email: string</t>
        </is>
      </c>
      <c r="K587" s="3" t="inlineStr">
        <is>
          <t>NOT DECLARED — the code does not say what it gives back</t>
        </is>
      </c>
      <c r="L587" s="3" t="inlineStr">
        <is>
          <t>—</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MK-XS-F-071</t>
        </is>
      </c>
      <c r="B588" s="3" t="inlineStr">
        <is>
          <t>onAuthChange</t>
        </is>
      </c>
      <c r="C588" s="3" t="inlineStr">
        <is>
          <t>src/services/firebase.ts</t>
        </is>
      </c>
      <c r="D588" s="3" t="n">
        <v>404</v>
      </c>
      <c r="E588" s="3" t="inlineStr">
        <is>
          <t>2 · DISPLAYED</t>
        </is>
      </c>
      <c r="F588" s="3" t="inlineStr">
        <is>
          <t>NOT DETERMINED — the code carries no note saying what this is for, and it has no row in the old inventory. Needs reading.</t>
        </is>
      </c>
      <c r="G588" s="11" t="inlineStr">
        <is>
          <t>on auth state changed(auth, callback)</t>
        </is>
      </c>
      <c r="H588" s="3" t="inlineStr">
        <is>
          <t>on auth state changed(auth, callback).</t>
        </is>
      </c>
      <c r="I588" s="3" t="inlineStr">
        <is>
          <t>READ FROM THE CODE — rendered from the expressions the function runs</t>
        </is>
      </c>
      <c r="J588" s="3" t="inlineStr">
        <is>
          <t>callback: (user: any) =&gt; void</t>
        </is>
      </c>
      <c r="K588" s="3" t="inlineStr">
        <is>
          <t>NOT DECLARED — the code does not say what it gives back</t>
        </is>
      </c>
      <c r="L588" s="3" t="inlineStr">
        <is>
          <t>NOT FOUND — a screen calls it, but the words printed beside its answer could not be traced automatically. Needs reading.</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MK-XS-F-072</t>
        </is>
      </c>
      <c r="B589" s="3" t="inlineStr">
        <is>
          <t>deleteAccount</t>
        </is>
      </c>
      <c r="C589" s="3" t="inlineStr">
        <is>
          <t>src/services/firebase.ts</t>
        </is>
      </c>
      <c r="D589" s="3" t="n">
        <v>429</v>
      </c>
      <c r="E589" s="3" t="inlineStr">
        <is>
          <t>1 · ACTION</t>
        </is>
      </c>
      <c r="F589" s="3" t="inlineStr">
        <is>
          <t>Permanently delete the signed-in user's account (App Store Guideline 5.1.1(v)).</t>
        </is>
      </c>
      <c r="G589" s="11" t="inlineStr">
        <is>
          <t>u = auth.current user
cred = email auth provider.credential(email, password)
root = await load user root(uid)</t>
        </is>
      </c>
      <c r="H589" s="3" t="inlineStr">
        <is>
          <t>U is auth.current user. Cred is email auth provider.credential(email, password). Root is await load user root(uid).</t>
        </is>
      </c>
      <c r="I589" s="3" t="inlineStr">
        <is>
          <t>PARTLY READ — some of the code is still showing through; needs a hand pass</t>
        </is>
      </c>
      <c r="J589" s="3" t="inlineStr">
        <is>
          <t>password: string</t>
        </is>
      </c>
      <c r="K589" s="3" t="inlineStr">
        <is>
          <t>Promise&lt;void&gt;</t>
        </is>
      </c>
      <c r="L589" s="3" t="inlineStr">
        <is>
          <t>—</t>
        </is>
      </c>
      <c r="M589" s="3" t="inlineStr">
        <is>
          <t>None found in this function — anything it assumes comes from the functions it depends on.</t>
        </is>
      </c>
      <c r="N589" s="3" t="inlineStr">
        <is>
          <t>Yes</t>
        </is>
      </c>
      <c r="O589" s="3" t="inlineStr">
        <is>
          <t>1. MK-XS-F-035 authenticate
2. MK-XS-F-043 clearDataKey
3. MK-XS-F-079 loadUserRoot
4. MK-XS-F-175 uid</t>
        </is>
      </c>
      <c r="P589" s="3" t="n">
        <v>90</v>
      </c>
      <c r="Q589"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89"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MK-XS-F-073</t>
        </is>
      </c>
      <c r="B590" s="3" t="inlineStr">
        <is>
          <t>saveUserData</t>
        </is>
      </c>
      <c r="C590" s="3" t="inlineStr">
        <is>
          <t>src/services/firebase.ts</t>
        </is>
      </c>
      <c r="D590" s="3" t="n">
        <v>471</v>
      </c>
      <c r="E590" s="3" t="inlineStr">
        <is>
          <t>1 · ACTION</t>
        </is>
      </c>
      <c r="F590" s="3" t="inlineStr">
        <is>
          <t>Sync fields stored ENCRYPTED under users/{uid}.appStateEnc (zero-knowledge — see dataCrypto.ts).</t>
        </is>
      </c>
      <c r="G590" s="11" t="inlineStr">
        <is>
          <t>clean = JSON.parse(JSON.stringify(data ?? {}))
enc = await encrypt for sync(clean)</t>
        </is>
      </c>
      <c r="H590" s="3" t="inlineStr">
        <is>
          <t>Clean is JSON.parse(JSON.stringify(data ?? {})). Enc is await encrypt for sync(clean).</t>
        </is>
      </c>
      <c r="I590" s="3" t="inlineStr">
        <is>
          <t>PARTLY READ — some of the code is still showing through; needs a hand pass</t>
        </is>
      </c>
      <c r="J590" s="3" t="inlineStr">
        <is>
          <t>1. uid: string
2. data: object</t>
        </is>
      </c>
      <c r="K590" s="3" t="inlineStr">
        <is>
          <t>NOT DECLARED — the code does not say what it gives back</t>
        </is>
      </c>
      <c r="L590" s="3" t="inlineStr">
        <is>
          <t>—</t>
        </is>
      </c>
      <c r="M590" s="3" t="inlineStr">
        <is>
          <t>None found in this function — anything it assumes comes from the functions it depends on.</t>
        </is>
      </c>
      <c r="N590" s="3" t="inlineStr">
        <is>
          <t>Yes</t>
        </is>
      </c>
      <c r="O590" s="3" t="inlineStr">
        <is>
          <t>1. MK-XS-F-054 encryptForSync
2. MK-XS-F-175 uid</t>
        </is>
      </c>
      <c r="P590" s="3" t="n">
        <v>84</v>
      </c>
      <c r="Q590"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90"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MK-XS-F-074</t>
        </is>
      </c>
      <c r="B591" s="3" t="inlineStr">
        <is>
          <t>loadUserData</t>
        </is>
      </c>
      <c r="C591" s="3" t="inlineStr">
        <is>
          <t>src/services/firebase.ts</t>
        </is>
      </c>
      <c r="D591" s="3" t="n">
        <v>501</v>
      </c>
      <c r="E591" s="3" t="inlineStr">
        <is>
          <t>4 · BRINGS DATA IN</t>
        </is>
      </c>
      <c r="F591" s="3" t="inlineStr">
        <is>
          <t>NOT DETERMINED — the code carries no note saying what this is for, and it has no row in the old inventory. Needs reading.</t>
        </is>
      </c>
      <c r="G591" s="11" t="inlineStr">
        <is>
          <t>snap = await get doc(doc(db, 'users', uid))
nothing   when !snap.exists()
d = snap.data()
await decrypt from sync(app state enc)   when app state enc ≠ nothing
the answer = app state (or nothing when missing)</t>
        </is>
      </c>
      <c r="H591" s="3" t="inlineStr">
        <is>
          <t>Snap is await get doc(doc(db, 'users', uid)). When !snap.exists(), it answers no answer. D is snap.data(). When app state enc is not no answer, it answers await decrypt from sync(app state enc). The answer is app state (or no answer — when missing).</t>
        </is>
      </c>
      <c r="I591" s="3" t="inlineStr">
        <is>
          <t>PARTLY READ — some of the code is still showing through; needs a hand pass</t>
        </is>
      </c>
      <c r="J591" s="3" t="inlineStr">
        <is>
          <t>uid: string</t>
        </is>
      </c>
      <c r="K591" s="3" t="inlineStr">
        <is>
          <t>Promise&lt;Record&lt;string, any&gt; | null&gt;</t>
        </is>
      </c>
      <c r="L591" s="3" t="inlineStr">
        <is>
          <t>"Restore your data" — on the auth screen</t>
        </is>
      </c>
      <c r="M591" s="3" t="inlineStr">
        <is>
          <t>None found in this function — anything it assumes comes from the functions it depends on.</t>
        </is>
      </c>
      <c r="N591" s="3" t="inlineStr">
        <is>
          <t>Yes</t>
        </is>
      </c>
      <c r="O591" s="3" t="inlineStr">
        <is>
          <t>1. MK-XS-F-055 decryptFromSync
2. MK-XS-F-175 uid</t>
        </is>
      </c>
      <c r="P591" s="3" t="n">
        <v>85</v>
      </c>
      <c r="Q59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1"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1" s="3" t="inlineStr">
        <is>
          <t>—</t>
        </is>
      </c>
      <c r="T591" s="3" t="inlineStr">
        <is>
          <t>—</t>
        </is>
      </c>
      <c r="U591" s="3" t="inlineStr">
        <is>
          <t>ACTIVE</t>
        </is>
      </c>
      <c r="V591" s="3" t="inlineStr">
        <is>
          <t>2026-08-27</t>
        </is>
      </c>
      <c r="W591" s="3" t="n"/>
      <c r="X591" s="3" t="n"/>
      <c r="Y591" s="3" t="inlineStr">
        <is>
          <t>NOTHING OPEN</t>
        </is>
      </c>
    </row>
    <row r="592" ht="45" customHeight="1">
      <c r="A592" s="3" t="inlineStr">
        <is>
          <t>MK-XS-F-075</t>
        </is>
      </c>
      <c r="B592" s="3" t="inlineStr">
        <is>
          <t>createInvite</t>
        </is>
      </c>
      <c r="C592" s="3" t="inlineStr">
        <is>
          <t>src/services/firebase.ts</t>
        </is>
      </c>
      <c r="D592" s="3" t="n">
        <v>557</v>
      </c>
      <c r="E592" s="3" t="inlineStr">
        <is>
          <t>2 · DISPLAYED (presentation only)</t>
        </is>
      </c>
      <c r="F592" s="3" t="inlineStr">
        <is>
          <t>Create an invite code pointing at this household's shared data doc.</t>
        </is>
      </c>
      <c r="G592" s="11" t="inlineStr">
        <is>
          <t>code = make invite code()
the answer = code</t>
        </is>
      </c>
      <c r="H592" s="3" t="inlineStr">
        <is>
          <t>Code is make invite code(). The answer is code.</t>
        </is>
      </c>
      <c r="I592" s="3" t="inlineStr">
        <is>
          <t>READ FROM THE CODE — rendered from the expressions the function runs</t>
        </is>
      </c>
      <c r="J592" s="3" t="inlineStr">
        <is>
          <t>1. householdId: string
2. inviterName: string | null</t>
        </is>
      </c>
      <c r="K592" s="3" t="inlineStr">
        <is>
          <t>Promise&lt;string&gt;</t>
        </is>
      </c>
      <c r="L592" s="3" t="inlineStr">
        <is>
          <t>"Vesting schedule" — on the setup questions, which appear on more than one screen</t>
        </is>
      </c>
      <c r="M592" s="3" t="inlineStr">
        <is>
          <t>None found in this function — anything it assumes comes from the functions it depends on.</t>
        </is>
      </c>
      <c r="N592" s="3" t="inlineStr">
        <is>
          <t>Yes</t>
        </is>
      </c>
      <c r="O592" s="3" t="inlineStr">
        <is>
          <t>MK-XS-F-142 makeInviteCode</t>
        </is>
      </c>
      <c r="P592" s="3" t="n">
        <v>1</v>
      </c>
      <c r="Q592" s="3" t="inlineStr">
        <is>
          <t>MK-XS-F-142 makeInviteCode</t>
        </is>
      </c>
      <c r="R592" s="3" t="inlineStr">
        <is>
          <t>MK-XS-F-142 makeInviteCode → MK-XS-F-075 createInvite</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MK-XS-F-076</t>
        </is>
      </c>
      <c r="B593" s="3" t="inlineStr">
        <is>
          <t>lookupInvite</t>
        </is>
      </c>
      <c r="C593" s="3" t="inlineStr">
        <is>
          <t>src/services/firebase.ts</t>
        </is>
      </c>
      <c r="D593" s="3" t="n">
        <v>588</v>
      </c>
      <c r="E593" s="3" t="inlineStr">
        <is>
          <t>4 · BRINGS DATA IN</t>
        </is>
      </c>
      <c r="F593" s="3" t="inlineStr">
        <is>
          <t>NOT DETERMINED — the code carries no note saying what this is for, and it has no row in the old inventory. Needs reading.</t>
        </is>
      </c>
      <c r="G593" s="11" t="inlineStr">
        <is>
          <t>snap = await get doc(doc(db, 'invites', code.trim().to upper case()))
nothing   when !snap.exists()
d = snap.data() as any
the answer:
household id = household id
inviter name = inviter name (or nothing when missing)   if household id
nothing   otherwise</t>
        </is>
      </c>
      <c r="H593" s="3" t="inlineStr">
        <is>
          <t>Snap is await get doc(doc(db, 'invites', code.trim().to upper case())). When !snap.exists(), it answers no answer. D is snap.data() as any. The answer is household id = household id; inviter name = inviter name (or no answer when missing) — when household id; no answer — otherwise.</t>
        </is>
      </c>
      <c r="I593" s="3" t="inlineStr">
        <is>
          <t>PARTLY READ — some of the code is still showing through; needs a hand pass</t>
        </is>
      </c>
      <c r="J593" s="3" t="inlineStr">
        <is>
          <t>code: string</t>
        </is>
      </c>
      <c r="K593" s="3" t="inlineStr">
        <is>
          <t>Promise&lt;</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MK-XS-F-077</t>
        </is>
      </c>
      <c r="B594" s="3" t="inlineStr">
        <is>
          <t>setUserHousehold</t>
        </is>
      </c>
      <c r="C594" s="3" t="inlineStr">
        <is>
          <t>src/services/firebase.ts</t>
        </is>
      </c>
      <c r="D594" s="3" t="n">
        <v>611</v>
      </c>
      <c r="E594" s="3" t="inlineStr">
        <is>
          <t>1 · ACTION</t>
        </is>
      </c>
      <c r="F594" s="3" t="inlineStr">
        <is>
          <t>Record household membership on the member's own user doc (survives reinstall/new device).</t>
        </is>
      </c>
      <c r="G594" s="11" t="inlineStr">
        <is>
          <t>It reaches outside the app for data and hands back what came back — no arithmetic of its own.</t>
        </is>
      </c>
      <c r="H594" s="3" t="inlineStr">
        <is>
          <t>It reaches outside the app for data and hands back what came back — no arithmetic of its own.</t>
        </is>
      </c>
      <c r="I594" s="3" t="inlineStr">
        <is>
          <t>NO ARITHMETIC — there is no formula to state</t>
        </is>
      </c>
      <c r="J594" s="3" t="inlineStr">
        <is>
          <t>1. uid: string
2. householdId: string</t>
        </is>
      </c>
      <c r="K594" s="3" t="inlineStr">
        <is>
          <t>Promise&lt;void&gt;</t>
        </is>
      </c>
      <c r="L594" s="3" t="inlineStr">
        <is>
          <t>—</t>
        </is>
      </c>
      <c r="M594" s="3" t="inlineStr">
        <is>
          <t>None found in this function — anything it assumes comes from the functions it depends on.</t>
        </is>
      </c>
      <c r="N594" s="3" t="inlineStr">
        <is>
          <t>Yes</t>
        </is>
      </c>
      <c r="O594" s="3" t="inlineStr">
        <is>
          <t>1. MK-XS-F-074 loadUserData
2. MK-XS-F-175 uid</t>
        </is>
      </c>
      <c r="P594" s="3" t="n">
        <v>86</v>
      </c>
      <c r="Q594"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94"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MK-XS-F-078</t>
        </is>
      </c>
      <c r="B595" s="3" t="inlineStr">
        <is>
          <t>joinHouseholdMembership</t>
        </is>
      </c>
      <c r="C595" s="3" t="inlineStr">
        <is>
          <t>src/services/firebase.ts</t>
        </is>
      </c>
      <c r="D595" s="3" t="n">
        <v>636</v>
      </c>
      <c r="E595" s="3" t="inlineStr">
        <is>
          <t>1 · ACTION</t>
        </is>
      </c>
      <c r="F595" s="3" t="inlineStr">
        <is>
          <t>Claim membership in {householdId} by writing the member doc the security rules gate access on.</t>
        </is>
      </c>
      <c r="G595" s="11" t="inlineStr">
        <is>
          <t>It reaches outside the app for data and hands back what came back — no arithmetic of its own.</t>
        </is>
      </c>
      <c r="H595" s="3" t="inlineStr">
        <is>
          <t>It reaches outside the app for data and hands back what came back — no arithmetic of its own.</t>
        </is>
      </c>
      <c r="I595" s="3" t="inlineStr">
        <is>
          <t>NO ARITHMETIC — there is no formula to state</t>
        </is>
      </c>
      <c r="J595" s="3" t="inlineStr">
        <is>
          <t>1. uid: string
2. householdId: string
3. code: string</t>
        </is>
      </c>
      <c r="K595" s="3" t="inlineStr">
        <is>
          <t>Promise&lt;void&gt;</t>
        </is>
      </c>
      <c r="L595" s="3" t="inlineStr">
        <is>
          <t>—</t>
        </is>
      </c>
      <c r="M595" s="3" t="inlineStr">
        <is>
          <t>None found in this function — anything it assumes comes from the functions it depends on.</t>
        </is>
      </c>
      <c r="N595" s="3" t="inlineStr">
        <is>
          <t>Yes</t>
        </is>
      </c>
      <c r="O595" s="3" t="inlineStr">
        <is>
          <t>MK-XS-F-175 uid</t>
        </is>
      </c>
      <c r="P595" s="3" t="n">
        <v>80</v>
      </c>
      <c r="Q59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95"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MK-XS-F-079</t>
        </is>
      </c>
      <c r="B596" s="3" t="inlineStr">
        <is>
          <t>loadUserRoot</t>
        </is>
      </c>
      <c r="C596" s="3" t="inlineStr">
        <is>
          <t>src/services/firebase.ts</t>
        </is>
      </c>
      <c r="D596" s="3" t="n">
        <v>670</v>
      </c>
      <c r="E596" s="3" t="inlineStr">
        <is>
          <t>4 · BRINGS DATA IN</t>
        </is>
      </c>
      <c r="F596" s="3" t="inlineStr">
        <is>
          <t>The member's own top-level doc fields (householdId + decrypted appState) in one read.</t>
        </is>
      </c>
      <c r="G596"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596"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596" s="3" t="inlineStr">
        <is>
          <t>PARTLY READ — some of the code is still showing through; needs a hand pass</t>
        </is>
      </c>
      <c r="J596" s="3" t="inlineStr">
        <is>
          <t>uid: string</t>
        </is>
      </c>
      <c r="K596" s="3" t="inlineStr">
        <is>
          <t>Promise&lt;</t>
        </is>
      </c>
      <c r="L596" s="3" t="inlineStr">
        <is>
          <t>—</t>
        </is>
      </c>
      <c r="M596" s="3" t="inlineStr">
        <is>
          <t>None found in this function — anything it assumes comes from the functions it depends on.</t>
        </is>
      </c>
      <c r="N596" s="3" t="inlineStr">
        <is>
          <t>Yes</t>
        </is>
      </c>
      <c r="O596" s="3" t="inlineStr">
        <is>
          <t>1. MK-XS-F-055 decryptFromSync
2. MK-XS-F-175 uid</t>
        </is>
      </c>
      <c r="P596" s="3" t="n">
        <v>85</v>
      </c>
      <c r="Q59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6"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MK-XS-F-080</t>
        </is>
      </c>
      <c r="B597" s="3" t="inlineStr">
        <is>
          <t>submitFeedback</t>
        </is>
      </c>
      <c r="C597" s="3" t="inlineStr">
        <is>
          <t>src/services/firebase.ts</t>
        </is>
      </c>
      <c r="D597" s="3" t="n">
        <v>693</v>
      </c>
      <c r="E597" s="3" t="inlineStr">
        <is>
          <t>1 · ACTION</t>
        </is>
      </c>
      <c r="F597" s="3" t="inlineStr">
        <is>
          <t>NOT DETERMINED — the code carries no note saying what this is for, and it has no row in the old inventory. Needs reading.</t>
        </is>
      </c>
      <c r="G597" s="11" t="inlineStr">
        <is>
          <t>It reaches outside the app for data and hands back what came back — no arithmetic of its own.</t>
        </is>
      </c>
      <c r="H597" s="3" t="inlineStr">
        <is>
          <t>It reaches outside the app for data and hands back what came back — no arithmetic of its own.</t>
        </is>
      </c>
      <c r="I597" s="3" t="inlineStr">
        <is>
          <t>NO ARITHMETIC — there is no formula to state</t>
        </is>
      </c>
      <c r="J597" s="3" t="inlineStr">
        <is>
          <t>Nothing is handed to it</t>
        </is>
      </c>
      <c r="K597" s="3" t="inlineStr">
        <is>
          <t>NOT DECLARED — the code does not say what it gives back</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MK-XS-F-081</t>
        </is>
      </c>
      <c r="B598" s="3" t="inlineStr">
        <is>
          <t>isPlausibleTicker</t>
        </is>
      </c>
      <c r="C598" s="3" t="inlineStr">
        <is>
          <t>src/services/marketData.ts</t>
        </is>
      </c>
      <c r="D598" s="3" t="n">
        <v>95</v>
      </c>
      <c r="E598" s="3" t="inlineStr">
        <is>
          <t>2 · DISPLAYED</t>
        </is>
      </c>
      <c r="F598" s="3" t="inlineStr">
        <is>
          <t>Is a ticker plausibly valid before we spend a network call?</t>
        </is>
      </c>
      <c r="G598" s="11" t="inlineStr">
        <is>
          <t>÷ ^[A − za − z]{1,6}([.\-][A − za − z]{1,4})?$ ÷ .test((ticker ?? '').trim())</t>
        </is>
      </c>
      <c r="H598" s="3" t="inlineStr">
        <is>
          <t>÷ ^[A minus za minus z]{1,6}([.\-][A minus za minus z]{1,4})?$ divided by .test((ticker ?? '').trim()).</t>
        </is>
      </c>
      <c r="I598" s="3" t="inlineStr">
        <is>
          <t>PARTLY READ — some of the code is still showing through; needs a hand pass</t>
        </is>
      </c>
      <c r="J598" s="3" t="inlineStr">
        <is>
          <t>ticker: string</t>
        </is>
      </c>
      <c r="K598" s="3" t="inlineStr">
        <is>
          <t>boolean</t>
        </is>
      </c>
      <c r="L598" s="3" t="inlineStr">
        <is>
          <t>NOT FOUND — a screen calls it, but the words printed beside its answer could not be traced automatically. Needs reading.</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TICKER_PLAUSIBLE</t>
        </is>
      </c>
      <c r="U598" s="3" t="inlineStr">
        <is>
          <t>ACTIVE</t>
        </is>
      </c>
      <c r="V598" s="3" t="inlineStr">
        <is>
          <t>2026-08-27</t>
        </is>
      </c>
      <c r="W598" s="3" t="n"/>
      <c r="X598" s="3" t="n"/>
      <c r="Y598" s="3" t="inlineStr">
        <is>
          <t>NOTHING OPEN</t>
        </is>
      </c>
    </row>
    <row r="599" ht="60" customHeight="1">
      <c r="A599" s="3" t="inlineStr">
        <is>
          <t>MK-XS-F-082</t>
        </is>
      </c>
      <c r="B599" s="3" t="inlineStr">
        <is>
          <t>priceFreshness</t>
        </is>
      </c>
      <c r="C599" s="3" t="inlineStr">
        <is>
          <t>src/services/marketData.ts</t>
        </is>
      </c>
      <c r="D599" s="3" t="n">
        <v>119</v>
      </c>
      <c r="E599" s="3" t="inlineStr">
        <is>
          <t>2 · DISPLAYED</t>
        </is>
      </c>
      <c r="F599" s="3" t="inlineStr">
        <is>
          <t>Human freshness of the price cache + whether it's stale enough to warn (markets move daily, so anything older than ~4 days — a long weekend/holiday — is worth a "may be out of date" note).</t>
        </is>
      </c>
      <c r="G599" s="11" t="inlineStr">
        <is>
          <t>age   = now − the moment prices were last fetched
stale = age ≥ 4 days,  or nothing was ever fetched,  or the moment cannot be read</t>
        </is>
      </c>
      <c r="H599"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599" s="3" t="inlineStr">
        <is>
          <t>READ BY HAND 2026-08-26 — checked line by line against the code</t>
        </is>
      </c>
      <c r="J599" s="3" t="inlineStr">
        <is>
          <t>1. fetchedAt: string | null | undefined
2. now: number</t>
        </is>
      </c>
      <c r="K599" s="3" t="inlineStr">
        <is>
          <t>PriceFreshness</t>
        </is>
      </c>
      <c r="L599" s="3" t="inlineStr">
        <is>
          <t>NOT FOUND — a screen calls it, but the words printed beside its answer could not be traced automatically. Needs reading.</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MK-HM-M-001</t>
        </is>
      </c>
      <c r="T599" s="3" t="inlineStr">
        <is>
          <t>PRICE_FRESHNESS</t>
        </is>
      </c>
      <c r="U599" s="3" t="inlineStr">
        <is>
          <t>ACTIVE</t>
        </is>
      </c>
      <c r="V599" s="3" t="inlineStr">
        <is>
          <t>2026-08-27</t>
        </is>
      </c>
      <c r="W599" s="3" t="n"/>
      <c r="X599" s="3" t="n"/>
      <c r="Y599" s="3" t="inlineStr">
        <is>
          <t>NOTHING OPEN</t>
        </is>
      </c>
    </row>
    <row r="600" ht="60" customHeight="1">
      <c r="A600" s="3" t="inlineStr">
        <is>
          <t>MK-XS-F-083</t>
        </is>
      </c>
      <c r="B600" s="3" t="inlineStr">
        <is>
          <t>fetchPriceSeries</t>
        </is>
      </c>
      <c r="C600" s="3" t="inlineStr">
        <is>
          <t>src/services/marketData.ts</t>
        </is>
      </c>
      <c r="D600" s="3" t="n">
        <v>161</v>
      </c>
      <c r="E600" s="3" t="inlineStr">
        <is>
          <t>3 · DEPENDENT</t>
        </is>
      </c>
      <c r="F600" s="3" t="inlineStr">
        <is>
          <t>Fetch many tickers in parallel; returns only the ones that resolved.</t>
        </is>
      </c>
      <c r="G600" s="11" t="inlineStr">
        <is>
          <t>unique = array.from(new set(tickers.map((t) =&gt; trim().to upper case()).filter(boolean)))
results = await promise.all settled(unique.map((t) =&gt; provider.fetch series(t, range)))
out = {}
r = results[i]
the answer = out</t>
        </is>
      </c>
      <c r="H600" s="3" t="inlineStr">
        <is>
          <t>Unique is array.from(new set(tickers.map((t) =&gt; trim().to upper case()).filter(boolean))). Results is await promise.all settled(unique.map((t) =&gt; provider.fetch series(t, range))). Out is {}. R is results[i]. The answer is out.</t>
        </is>
      </c>
      <c r="I600" s="3" t="inlineStr">
        <is>
          <t>PARTLY READ — some of the code is still showing through; needs a hand pass</t>
        </is>
      </c>
      <c r="J600" s="3" t="inlineStr">
        <is>
          <t>Nothing is handed to it</t>
        </is>
      </c>
      <c r="K600" s="3" t="inlineStr">
        <is>
          <t>NOT DECLARED — the code does not say what it gives back</t>
        </is>
      </c>
      <c r="L600" s="3" t="inlineStr">
        <is>
          <t>—</t>
        </is>
      </c>
      <c r="M600" s="3" t="inlineStr">
        <is>
          <t>None found in this function — anything it assumes comes from the functions it depends on.</t>
        </is>
      </c>
      <c r="N600" s="3" t="inlineStr">
        <is>
          <t>Yes</t>
        </is>
      </c>
      <c r="O600" s="3" t="inlineStr">
        <is>
          <t>MK-CF-F-132 map</t>
        </is>
      </c>
      <c r="P600" s="3" t="n">
        <v>1</v>
      </c>
      <c r="Q600" s="3" t="inlineStr">
        <is>
          <t>MK-CF-F-132 map</t>
        </is>
      </c>
      <c r="R600" s="3" t="inlineStr">
        <is>
          <t>MK-CF-F-132 map → MK-XS-F-083 fetchPriceSeries</t>
        </is>
      </c>
      <c r="S600" s="3" t="inlineStr">
        <is>
          <t>—</t>
        </is>
      </c>
      <c r="T600" s="3" t="inlineStr">
        <is>
          <t>FETCH_PRICES</t>
        </is>
      </c>
      <c r="U600" s="3" t="inlineStr">
        <is>
          <t>ACTIVE</t>
        </is>
      </c>
      <c r="V600" s="3" t="inlineStr">
        <is>
          <t>2026-09-12</t>
        </is>
      </c>
      <c r="W600" s="3" t="n"/>
      <c r="X600" s="3" t="n"/>
      <c r="Y600" s="3" t="inlineStr">
        <is>
          <t>NOTHING OPEN</t>
        </is>
      </c>
    </row>
    <row r="601" ht="60" customHeight="1">
      <c r="A601" s="3" t="inlineStr">
        <is>
          <t>MK-XS-F-084</t>
        </is>
      </c>
      <c r="B601" s="3" t="inlineStr">
        <is>
          <t>requestNotificationPermission</t>
        </is>
      </c>
      <c r="C601" s="3" t="inlineStr">
        <is>
          <t>src/services/notifications.ts</t>
        </is>
      </c>
      <c r="D601" s="3" t="n">
        <v>34</v>
      </c>
      <c r="E601" s="3" t="inlineStr">
        <is>
          <t>2 · DISPLAYED</t>
        </is>
      </c>
      <c r="F601" s="3" t="inlineStr">
        <is>
          <t>NOT DETERMINED — the code carries no note saying what this is for, and it has no row in the old inventory. Needs reading.</t>
        </is>
      </c>
      <c r="G601" s="11" t="inlineStr">
        <is>
          <t>false   when device.is device is missing
true   when existing = 'granted'
status = 'granted'</t>
        </is>
      </c>
      <c r="H601" s="3" t="inlineStr">
        <is>
          <t>When device.is device is missing, it answers false. When existing = 'granted', it answers true. status = 'granted'.</t>
        </is>
      </c>
      <c r="I601" s="3" t="inlineStr">
        <is>
          <t>READ FROM THE CODE — rendered from the expressions the function runs</t>
        </is>
      </c>
      <c r="J601" s="3" t="inlineStr">
        <is>
          <t>Nothing is handed to it</t>
        </is>
      </c>
      <c r="K601" s="3" t="inlineStr">
        <is>
          <t>Promise&lt;boolean&gt;</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2026-08-27</t>
        </is>
      </c>
      <c r="W601" s="3" t="n"/>
      <c r="X601" s="3" t="n"/>
      <c r="Y601" s="3" t="inlineStr">
        <is>
          <t>NOTHING OPEN</t>
        </is>
      </c>
    </row>
    <row r="602" ht="30" customHeight="1">
      <c r="A602" s="3" t="inlineStr">
        <is>
          <t>MK-XS-F-085</t>
        </is>
      </c>
      <c r="B602" s="3" t="inlineStr">
        <is>
          <t>scheduleStreakReminder</t>
        </is>
      </c>
      <c r="C602" s="3" t="inlineStr">
        <is>
          <t>src/services/notifications.ts</t>
        </is>
      </c>
      <c r="D602" s="3" t="n">
        <v>60</v>
      </c>
      <c r="E602" s="3" t="inlineStr">
        <is>
          <t>1 · ACTION</t>
        </is>
      </c>
      <c r="F602" s="3" t="inlineStr">
        <is>
          <t>── Schedule daily streak reminder ─────────────────────────────────</t>
        </is>
      </c>
      <c r="G602" s="11" t="inlineStr">
        <is>
          <t>cancels the existing reminder, then schedules a daily one at 20:00</t>
        </is>
      </c>
      <c r="H602" s="3" t="inlineStr">
        <is>
          <t>Schedules the daily 8 pm streak reminder, replacing any existing one. Not a calculation.</t>
        </is>
      </c>
      <c r="I602" s="3" t="inlineStr">
        <is>
          <t>READ BY HAND 2026-08-26 — checked line by line against the code</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No</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30" customHeight="1">
      <c r="A603" s="3" t="inlineStr">
        <is>
          <t>MK-XS-F-086</t>
        </is>
      </c>
      <c r="B603" s="3" t="inlineStr">
        <is>
          <t>cancelStreakReminder</t>
        </is>
      </c>
      <c r="C603" s="3" t="inlineStr">
        <is>
          <t>src/services/notifications.ts</t>
        </is>
      </c>
      <c r="D603" s="3" t="n">
        <v>94</v>
      </c>
      <c r="E603" s="3" t="inlineStr">
        <is>
          <t>1 · ACTION</t>
        </is>
      </c>
      <c r="F603" s="3" t="inlineStr">
        <is>
          <t>── Cancel streak reminder (e.g.</t>
        </is>
      </c>
      <c r="G603" s="11" t="inlineStr">
        <is>
          <t>cancels the daily reminder</t>
        </is>
      </c>
      <c r="H603" s="3" t="inlineStr">
        <is>
          <t>Cancels the daily streak reminder. Not a calculation.</t>
        </is>
      </c>
      <c r="I603" s="3" t="inlineStr">
        <is>
          <t>READ BY HAND 2026-08-26 — checked line by line against the code</t>
        </is>
      </c>
      <c r="J603" s="3" t="inlineStr">
        <is>
          <t>Nothing is handed to it</t>
        </is>
      </c>
      <c r="K603" s="3" t="inlineStr">
        <is>
          <t>NOT DECLARED — the code does not say what it gives back</t>
        </is>
      </c>
      <c r="L603" s="3" t="inlineStr">
        <is>
          <t>—</t>
        </is>
      </c>
      <c r="M603" s="3" t="inlineStr">
        <is>
          <t>None found in this function — anything it assumes comes from the functions it depends on.</t>
        </is>
      </c>
      <c r="N603" s="3" t="inlineStr">
        <is>
          <t>No</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2026-09-12</t>
        </is>
      </c>
      <c r="W603" s="3" t="n"/>
      <c r="X603" s="3" t="n"/>
      <c r="Y603" s="3" t="inlineStr">
        <is>
          <t>NOTHING OPEN</t>
        </is>
      </c>
    </row>
    <row r="604" ht="60" customHeight="1">
      <c r="A604" s="3" t="inlineStr">
        <is>
          <t>MK-XS-F-087</t>
        </is>
      </c>
      <c r="B604" s="3" t="inlineStr">
        <is>
          <t>scheduleRmdReminder</t>
        </is>
      </c>
      <c r="C604" s="3" t="inlineStr">
        <is>
          <t>src/services/notifications.ts</t>
        </is>
      </c>
      <c r="D604" s="3" t="n">
        <v>121</v>
      </c>
      <c r="E604" s="3" t="inlineStr">
        <is>
          <t>2 · DISPLAYED</t>
        </is>
      </c>
      <c r="F604" s="3" t="inlineStr">
        <is>
          <t>── Required-withdrawal reminders (FCC Plan r48/r51 — logistics only, no timing advice) ── November 1 nudge ahead of the Dec 31 deadline (this year or a future start year).</t>
        </is>
      </c>
      <c r="G604" s="11" t="inlineStr">
        <is>
          <t>id = `rmd − reminder-${year}`
fire at = the date year, 10, 1, 10, 0, 0
false   when fire at.get time() ≤ date.now()
the answer = true</t>
        </is>
      </c>
      <c r="H604" s="3" t="inlineStr">
        <is>
          <t>Id is `rmd minus reminder-${year}`. Fire at: the date year, 10, 1, 10, 0, 0. When fire at.get time() is at most date.now(), it answers false. The answer is true.</t>
        </is>
      </c>
      <c r="I604" s="3" t="inlineStr">
        <is>
          <t>PARTLY READ — some of the code is still showing through; needs a hand pass</t>
        </is>
      </c>
      <c r="J604" s="3" t="inlineStr">
        <is>
          <t>year: number</t>
        </is>
      </c>
      <c r="K604" s="3" t="inlineStr">
        <is>
          <t>NOT DECLARED — the code does not say what it gives back</t>
        </is>
      </c>
      <c r="L604" s="3" t="inlineStr">
        <is>
          <t>NOT FOUND — a screen calls it, but the words printed beside its answer could not be traced automatically. Needs reading.</t>
        </is>
      </c>
      <c r="M604" s="3" t="inlineStr">
        <is>
          <t>· Uses today's date from the device clock, so the answer changes by itself overnight.</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45" customHeight="1">
      <c r="A605" s="3" t="inlineStr">
        <is>
          <t>MK-XS-F-088</t>
        </is>
      </c>
      <c r="B605" s="3" t="inlineStr">
        <is>
          <t>sendBudgetAlert</t>
        </is>
      </c>
      <c r="C605" s="3" t="inlineStr">
        <is>
          <t>src/services/notifications.ts</t>
        </is>
      </c>
      <c r="D605" s="3" t="n">
        <v>158</v>
      </c>
      <c r="E605" s="3" t="inlineStr">
        <is>
          <t>1 · ACTION</t>
        </is>
      </c>
      <c r="F605" s="3" t="inlineStr">
        <is>
          <t>── Budget alert (fire immediately) ────────────────────────────────</t>
        </is>
      </c>
      <c r="G605" s="11" t="inlineStr">
        <is>
          <t>sends one alert now: '&lt;category&gt; budget at &lt;round(pct)&gt;%'</t>
        </is>
      </c>
      <c r="H605" s="3" t="inlineStr">
        <is>
          <t>Sends an immediate alert naming the category and how much of its budget is used, to the whole percent. Display only.</t>
        </is>
      </c>
      <c r="I605" s="3" t="inlineStr">
        <is>
          <t>READ BY HAND 2026-08-26 — checked line by line against the code</t>
        </is>
      </c>
      <c r="J605" s="3" t="inlineStr">
        <is>
          <t>1. category: string
2. pct: number</t>
        </is>
      </c>
      <c r="K605" s="3" t="inlineStr">
        <is>
          <t>NOT DECLARED — the code does not say what it gives back</t>
        </is>
      </c>
      <c r="L605" s="3" t="inlineStr">
        <is>
          <t>—</t>
        </is>
      </c>
      <c r="M605" s="3" t="inlineStr">
        <is>
          <t>· Rounds the answer to a whole number.</t>
        </is>
      </c>
      <c r="N605" s="3" t="inlineStr">
        <is>
          <t>No</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2026-09-12</t>
        </is>
      </c>
      <c r="W605" s="3" t="n"/>
      <c r="X605" s="3" t="n"/>
      <c r="Y605" s="3" t="inlineStr">
        <is>
          <t>NOTHING OPEN</t>
        </is>
      </c>
    </row>
    <row r="606" ht="30" customHeight="1">
      <c r="A606" s="3" t="inlineStr">
        <is>
          <t>MK-XS-F-089</t>
        </is>
      </c>
      <c r="B606" s="3" t="inlineStr">
        <is>
          <t>scheduleWeeklySummary</t>
        </is>
      </c>
      <c r="C606" s="3" t="inlineStr">
        <is>
          <t>src/services/notifications.ts</t>
        </is>
      </c>
      <c r="D606" s="3" t="n">
        <v>186</v>
      </c>
      <c r="E606" s="3" t="inlineStr">
        <is>
          <t>1 · ACTION</t>
        </is>
      </c>
      <c r="F606" s="3" t="inlineStr">
        <is>
          <t>── Weekly summary notification ────────────────────────────────────</t>
        </is>
      </c>
      <c r="G606" s="11" t="inlineStr">
        <is>
          <t>cancels the existing summary, then schedules a weekly one on Monday at 09:00</t>
        </is>
      </c>
      <c r="H606" s="3" t="inlineStr">
        <is>
          <t>Schedules the Monday 9 am weekly summary, replacing any existing one. Not a calculation.</t>
        </is>
      </c>
      <c r="I606" s="3" t="inlineStr">
        <is>
          <t>READ BY HAND 2026-08-26 — checked line by line against the code</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No</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2026-09-12</t>
        </is>
      </c>
      <c r="W606" s="3" t="n"/>
      <c r="X606" s="3" t="n"/>
      <c r="Y606" s="3" t="inlineStr">
        <is>
          <t>NOTHING OPEN</t>
        </is>
      </c>
    </row>
    <row r="607" ht="45" customHeight="1">
      <c r="A607" s="3" t="inlineStr">
        <is>
          <t>MK-XS-F-090</t>
        </is>
      </c>
      <c r="B607" s="3" t="inlineStr">
        <is>
          <t>addNotificationResponseListener</t>
        </is>
      </c>
      <c r="C607" s="3" t="inlineStr">
        <is>
          <t>src/services/notifications.ts</t>
        </is>
      </c>
      <c r="D607" s="3" t="n">
        <v>221</v>
      </c>
      <c r="E607" s="3" t="inlineStr">
        <is>
          <t>3 · DEPENDENT (feeds an action only)</t>
        </is>
      </c>
      <c r="F607" s="3" t="inlineStr">
        <is>
          <t>── Listen for notification taps ───────────────────────────────────</t>
        </is>
      </c>
      <c r="G607" s="11" t="inlineStr">
        <is>
          <t>screen = response.notification.request.content.data.screen as string</t>
        </is>
      </c>
      <c r="H607" s="3" t="inlineStr">
        <is>
          <t>Screen is response.notification.request.content.data.screen as string.</t>
        </is>
      </c>
      <c r="I607" s="3" t="inlineStr">
        <is>
          <t>READ FROM THE CODE — rendered from the expressions the function runs</t>
        </is>
      </c>
      <c r="J607" s="3" t="inlineStr">
        <is>
          <t>Nothing is handed to it</t>
        </is>
      </c>
      <c r="K607" s="3" t="inlineStr">
        <is>
          <t>NOT DECLARED — the code does not say what it gives back</t>
        </is>
      </c>
      <c r="L607" s="3" t="inlineStr">
        <is>
          <t>—</t>
        </is>
      </c>
      <c r="M607" s="3" t="inlineStr">
        <is>
          <t>None found in this function — anything it assumes comes from the functions it depends on.</t>
        </is>
      </c>
      <c r="N607" s="3" t="inlineStr">
        <is>
          <t>No</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MK-XS-F-091</t>
        </is>
      </c>
      <c r="B608" s="3" t="inlineStr">
        <is>
          <t>scheduleSsWindowReminder</t>
        </is>
      </c>
      <c r="C608" s="3" t="inlineStr">
        <is>
          <t>src/services/notifications.ts</t>
        </is>
      </c>
      <c r="D608" s="3" t="n">
        <v>253</v>
      </c>
      <c r="E608" s="3" t="inlineStr">
        <is>
          <t>2 · DISPLAYED</t>
        </is>
      </c>
      <c r="F608" s="3" t="inlineStr">
        <is>
          <t>── Social Security claim-window reminder (design r18, built pre-48 per founder decision) ── Fires the month the claim window opens (their 62nd-birthday month), 10:00 on the 1st.</t>
        </is>
      </c>
      <c r="G608" s="11" t="inlineStr">
        <is>
          <t>id = 'ss − window − reminder'
fire at = the date opens year, opens month1 − 1, 1, 10, 0, 0
false   when fire at.get time() ≤ date.now()
the answer = true</t>
        </is>
      </c>
      <c r="H608" s="3" t="inlineStr">
        <is>
          <t>Id is 'ss minus window minus reminder'. Fire at: the date opens year, opens month1 minus 1, 1, 10, 0, 0. When fire at.get time() is at most date.now(), it answers false. The answer is true.</t>
        </is>
      </c>
      <c r="I608" s="3" t="inlineStr">
        <is>
          <t>PARTLY READ — some of the code is still showing through; needs a hand pass</t>
        </is>
      </c>
      <c r="J608" s="3" t="inlineStr">
        <is>
          <t>1. opensYear: number
2. opensMonth1: number</t>
        </is>
      </c>
      <c r="K608" s="3" t="inlineStr">
        <is>
          <t>NOT DECLARED — the code does not say what it gives back</t>
        </is>
      </c>
      <c r="L608" s="3" t="inlineStr">
        <is>
          <t>NOT FOUND — a screen calls it, but the words printed beside its answer could not be traced automatically. Needs reading.</t>
        </is>
      </c>
      <c r="M608" s="3" t="inlineStr">
        <is>
          <t>· Uses today's date from the device clock, so the answer changes by itself overnight.</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MK-XS-F-092</t>
        </is>
      </c>
      <c r="B609" s="3" t="inlineStr">
        <is>
          <t>parseReceiptWithOCR</t>
        </is>
      </c>
      <c r="C609" s="3" t="inlineStr">
        <is>
          <t>src/services/receiptOCR.ts</t>
        </is>
      </c>
      <c r="D609" s="3" t="n">
        <v>40</v>
      </c>
      <c r="E609" s="3" t="inlineStr">
        <is>
          <t>4 · BRINGS DATA IN</t>
        </is>
      </c>
      <c r="F609" s="3" t="inlineStr">
        <is>
          <t>Sends a receipt image to Google Cloud Vision API for OCR, then parses the raw text to extract store, total, date, category.</t>
        </is>
      </c>
      <c r="G609" s="11" t="inlineStr">
        <is>
          <t>the answer = nothing
json = await response.json()
raw text = json.responses.[0].full text annotation.text (or '' when missing or zero)
nothing   when raw text is missing</t>
        </is>
      </c>
      <c r="H609" s="3" t="inlineStr">
        <is>
          <t>The answer is no answer. Json is await response.json(). Raw text is json.responses.[0].full text annotation.text (or '' — when missing or zero). When raw text is missing, it answers no answer.</t>
        </is>
      </c>
      <c r="I609" s="3" t="inlineStr">
        <is>
          <t>PARTLY READ — some of the code is still showing through; needs a hand pass</t>
        </is>
      </c>
      <c r="J609" s="3" t="inlineStr">
        <is>
          <t>imageUri: string</t>
        </is>
      </c>
      <c r="K609" s="3" t="inlineStr">
        <is>
          <t>Promise&lt;ParsedReceipt | null&gt;</t>
        </is>
      </c>
      <c r="L609" s="3" t="inlineStr">
        <is>
          <t>—</t>
        </is>
      </c>
      <c r="M609" s="3" t="inlineStr">
        <is>
          <t>None found in this function — anything it assumes comes from the functions it depends on.</t>
        </is>
      </c>
      <c r="N609" s="3" t="inlineStr">
        <is>
          <t>No</t>
        </is>
      </c>
      <c r="O609" s="3" t="inlineStr">
        <is>
          <t>MK-XS-F-094 parseReceiptText</t>
        </is>
      </c>
      <c r="P609" s="3" t="n">
        <v>106</v>
      </c>
      <c r="Q609" s="3" t="inlineStr">
        <is>
          <t>1. MK-XS-F-094 parseReceiptText
2. MK-XS-F-144 guessCategory
3. MK-CF-F-204 line
4. MK-CF-F-132 map
5. MK-XS-F-058 parseReceipt
6. MK-XS-F-093 stripNonMoney
7. MK-CF-F-203 MONTH
8. MK-XS-F-180 declareFigures
9. MK-ST-F-052 toNum
10. MK-CF-O-010 theMonth
11. MK-XS-F-122 n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MK-CF-F-155 cash
28. MK-CF-F-157 debtPaymentsByDebt
29. MK-CF-F-192 inflowLabel
30. MK-XS-F-027 takeHomeMonthly
31. MK-CF-F-021 defaultPaymentType
32. MK-NW-F-077 ALL
33. MK-NW-F-059 currentYield
34. MK-ST-F-049 formatMoney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09" s="3" t="inlineStr">
        <is>
          <t>1. MK-XS-F-144 guessCategory → MK-XS-F-094 parseReceiptText → MK-XS-F-092 parseReceiptWithOCR
2. MONTH (already above — a loop) → MK-CF-O-010 theMonth → MK-CF-F-203 MONTH → MK-CF-F-204 line → MK-XS-F-094 parseReceiptText → MK-XS-F-092 parseReceiptWithOCR
3. MK-CF-O-002 expenses → MK-CF-O-010 theMonth → MK-CF-F-203 MONTH → MK-CF-F-204 line → MK-XS-F-094 parseReceiptText → MK-XS-F-092 parseReceiptWithOCR
4. MK-CF-O-003 thisMonth → MK-CF-O-010 theMonth → MK-CF-F-203 MONTH → MK-CF-F-204 line → MK-XS-F-094 parseReceiptText → MK-XS-F-092 parseReceiptWithOCR
5. MK-XS-F-180 declareFigures → MK-CF-F-204 line → MK-XS-F-094 parseReceiptText → MK-XS-F-092 parseReceiptWithOCR
6. MK-CF-F-132 map → MK-XS-F-094 parseReceiptText → MK-XS-F-092 parseReceiptWithOCR
7. MK-CF-O-010 theMonth → MK-CF-F-203 MONTH → MK-CF-F-204 line → MK-XS-F-058 parseReceipt → MK-XS-F-094 parseReceiptText → MK-XS-F-092 parseReceiptWithOCR
8. MK-XS-F-180 declareFigures → MK-CF-F-204 line → MK-XS-F-058 parseReceipt → MK-XS-F-094 parseReceiptText → MK-XS-F-092 parseReceiptWithOCR
9. … and 4 more paths</t>
        </is>
      </c>
      <c r="S609" s="3" t="inlineStr">
        <is>
          <t>—</t>
        </is>
      </c>
      <c r="T609" s="3" t="inlineStr">
        <is>
          <t>—</t>
        </is>
      </c>
      <c r="U609" s="3" t="inlineStr">
        <is>
          <t>ACTIVE</t>
        </is>
      </c>
      <c r="V609" s="3" t="inlineStr">
        <is>
          <t>2026-08-27</t>
        </is>
      </c>
      <c r="W609" s="3" t="n"/>
      <c r="X609" s="3" t="n"/>
      <c r="Y609" s="3" t="inlineStr">
        <is>
          <t>NOTHING OPEN</t>
        </is>
      </c>
    </row>
    <row r="610" ht="45" customHeight="1">
      <c r="A610" s="3" t="inlineStr">
        <is>
          <t>MK-XS-F-093</t>
        </is>
      </c>
      <c r="B610" s="3" t="inlineStr">
        <is>
          <t>stripNonMoney</t>
        </is>
      </c>
      <c r="C610" s="3" t="inlineStr">
        <is>
          <t>src/services/receiptOCR.ts</t>
        </is>
      </c>
      <c r="D610" s="3" t="n">
        <v>109</v>
      </c>
      <c r="E610" s="3" t="inlineStr">
        <is>
          <t>3 · DEPENDENT</t>
        </is>
      </c>
      <c r="F610" s="3" t="inlineStr">
        <is>
          <t>A DATE IS NOT MONEY.</t>
        </is>
      </c>
      <c r="G610" s="11" t="inlineStr">
        <is>
          <t>the answer = the line with dates (30.04.24, 04/30/24, 2024-04-30) and times (08:30, 7:54:10) blanked out</t>
        </is>
      </c>
      <c r="H610" s="3" t="inlineStr">
        <is>
          <t>Blanks the dates and times on a receipt line so only the money figures remain for reading. No arithmetic.</t>
        </is>
      </c>
      <c r="I610" s="3" t="inlineStr">
        <is>
          <t>READ BY HAND 2026-08-26 — checked line by line against the code</t>
        </is>
      </c>
      <c r="J610" s="3" t="inlineStr">
        <is>
          <t>line: string</t>
        </is>
      </c>
      <c r="K610" s="3" t="inlineStr">
        <is>
          <t>string</t>
        </is>
      </c>
      <c r="L610" s="3" t="inlineStr">
        <is>
          <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2026-09-12</t>
        </is>
      </c>
      <c r="W610" s="3" t="n"/>
      <c r="X610" s="3" t="n"/>
      <c r="Y610" s="3" t="inlineStr">
        <is>
          <t>NOTHING OPEN</t>
        </is>
      </c>
    </row>
    <row r="611" ht="60" customHeight="1">
      <c r="A611" s="3" t="inlineStr">
        <is>
          <t>MK-XS-F-094</t>
        </is>
      </c>
      <c r="B611" s="3" t="inlineStr">
        <is>
          <t>parseReceiptText</t>
        </is>
      </c>
      <c r="C611" s="3" t="inlineStr">
        <is>
          <t>src/services/receiptOCR.ts</t>
        </is>
      </c>
      <c r="D611" s="3" t="n">
        <v>155</v>
      </c>
      <c r="E611" s="3" t="inlineStr">
        <is>
          <t>3 · DEPENDENT (feeds an action only)</t>
        </is>
      </c>
      <c r="F611" s="3" t="inlineStr">
        <is>
          <t>NOT DETERMINED — the code carries no note saying what this is for, and it has no row in the old inventory. Needs reading.</t>
        </is>
      </c>
      <c r="G611"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1"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1" s="3" t="inlineStr">
        <is>
          <t>PARTLY READ — some of the code is still showing through; needs a hand pass</t>
        </is>
      </c>
      <c r="J611" s="3" t="inlineStr">
        <is>
          <t>text: string</t>
        </is>
      </c>
      <c r="K611" s="3" t="inlineStr">
        <is>
          <t>ParsedReceipt</t>
        </is>
      </c>
      <c r="L611" s="3" t="inlineStr">
        <is>
          <t>—</t>
        </is>
      </c>
      <c r="M611" s="3" t="inlineStr">
        <is>
          <t>1. Uses a built-in strong t of 0.
2. Uses a built-in weak t of 0.
3. Uses a built-in subtotal of 0.
4. Uses a built-in largest safe of 0.
5. Uses today's date from the device clock, so the answer changes by itself overnight.</t>
        </is>
      </c>
      <c r="N611" s="3" t="inlineStr">
        <is>
          <t>No</t>
        </is>
      </c>
      <c r="O611" s="3" t="inlineStr">
        <is>
          <t>1. MK-XS-F-144 guessCategory
2. MK-CF-F-204 line
3. MK-CF-F-132 map
4. MK-XS-F-058 parseReceipt
5. MK-XS-F-093 stripNonMoney</t>
        </is>
      </c>
      <c r="P611" s="3" t="n">
        <v>105</v>
      </c>
      <c r="Q611" s="3" t="inlineStr">
        <is>
          <t>1. MK-XS-F-144 guessCategory
2. MK-CF-F-204 line
3. MK-CF-F-132 map
4. MK-XS-F-058 parseReceipt
5. MK-XS-F-093 stripNonMoney
6. MK-CF-F-203 MONTH
7. MK-XS-F-180 declareFigures
8. MK-ST-F-052 toNum
9. MK-CF-O-010 theMonth
10. MK-XS-F-122 n
11. MK-CF-O-002 expenses
12. MK-CF-O-003 thisMonth
13. MK-CF-F-151 actualSpending
14. MK-CF-F-150 debtPaymentsCountedAsExpenses
15. MK-CF-F-153 radar
16. MK-CF-F-149 recurringDebtPayments
17. MK-CF-F-005 actualMonthFlow
18. MK-CF-F-156 plannedMonthFlow
19. MK-CF-F-148 inMonth
20. MK-CF-F-191 ym
21. MK-ST-F-056 has
22. MK-CF-F-022 paymentShape
23. MK-CF-F-152 isRadarItem
24. MK-CF-F-023 requiredPayment
25. MK-NW-F-078 ONE
26. MK-CF-F-155 cash
27. MK-CF-F-157 debtPaymentsByDebt
28. MK-CF-F-192 inflowLabel
29. MK-XS-F-027 takeHomeMonthly
30. MK-CF-F-021 defaultPaymentType
31. MK-NW-F-077 ALL
32. MK-NW-F-059 currentYield
33. MK-ST-F-049 formatMoney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611" s="3" t="inlineStr">
        <is>
          <t>1. MK-XS-F-144 guessCategory → MK-XS-F-094 parseReceiptText
2. MONTH (already above — a loop) → MK-CF-O-010 theMonth → MK-CF-F-203 MONTH → MK-CF-F-204 line → MK-XS-F-094 parseReceiptText
3. MK-CF-F-151 actualSpending → MK-CF-O-002 expenses → MK-CF-O-010 theMonth → MK-CF-F-203 MONTH → MK-CF-F-204 line → MK-XS-F-094 parseReceiptText
4. MK-CF-F-150 debtPaymentsCountedAsExpenses → MK-CF-O-002 expenses → MK-CF-O-010 theMonth → MK-CF-F-203 MONTH → MK-CF-F-204 line → MK-XS-F-094 parseReceiptText
5. MK-CF-F-153 radar → MK-CF-O-002 expenses → MK-CF-O-010 theMonth → MK-CF-F-203 MONTH → MK-CF-F-204 line → MK-XS-F-094 parseReceiptText
6. MK-CF-F-149 recurringDebtPayments → MK-CF-O-002 expenses → MK-CF-O-010 theMonth → MK-CF-F-203 MONTH → MK-CF-F-204 line → MK-XS-F-094 parseReceiptText
7. MK-CF-F-005 actualMonthFlow → MK-CF-O-003 thisMonth → MK-CF-O-010 theMonth → MK-CF-F-203 MONTH → MK-CF-F-204 line → MK-XS-F-094 parseReceiptText
8. MK-CF-F-156 plannedMonthFlow → MK-CF-O-003 thisMonth → MK-CF-O-010 theMonth → MK-CF-F-203 MONTH → MK-CF-F-204 line → MK-XS-F-094 parseReceiptText
9. … and 5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MK-XS-F-095</t>
        </is>
      </c>
      <c r="B612" s="3" t="inlineStr">
        <is>
          <t>ocrAvailable</t>
        </is>
      </c>
      <c r="C612" s="3" t="inlineStr">
        <is>
          <t>src/services/receiptScan.ts</t>
        </is>
      </c>
      <c r="D612" s="3" t="n">
        <v>27</v>
      </c>
      <c r="E612" s="3" t="inlineStr">
        <is>
          <t>2 · DISPLAYED</t>
        </is>
      </c>
      <c r="F612" s="3" t="inlineStr">
        <is>
          <t>NOT DETERMINED — the code carries no note saying what this is for, and it has no row in the old inventory. Needs reading.</t>
        </is>
      </c>
      <c r="G612" s="11" t="inlineStr">
        <is>
          <t>the answer = true when the text-recognition module is present and usable</t>
        </is>
      </c>
      <c r="H612" s="3" t="inlineStr">
        <is>
          <t>Whether receipt scanning is available on this device. Not a calculation.</t>
        </is>
      </c>
      <c r="I612" s="3" t="inlineStr">
        <is>
          <t>READ BY HAND 2026-08-26 — checked line by line against the code</t>
        </is>
      </c>
      <c r="J612" s="3" t="inlineStr">
        <is>
          <t>Nothing is handed to it</t>
        </is>
      </c>
      <c r="K612" s="3" t="inlineStr">
        <is>
          <t>boolean</t>
        </is>
      </c>
      <c r="L612" s="3" t="inlineStr">
        <is>
          <t>NOT FOUND — a screen calls it, but the words printed beside its answer could not be traced automatically. Needs reading.</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2026-09-12</t>
        </is>
      </c>
      <c r="W612" s="3" t="n"/>
      <c r="X612" s="3" t="n"/>
      <c r="Y612" s="3" t="inlineStr">
        <is>
          <t>NOTHING OPEN</t>
        </is>
      </c>
    </row>
    <row r="613" ht="60" customHeight="1">
      <c r="A613" s="3" t="inlineStr">
        <is>
          <t>MK-XS-F-096</t>
        </is>
      </c>
      <c r="B613" s="3" t="inlineStr">
        <is>
          <t>pickReceipt</t>
        </is>
      </c>
      <c r="C613" s="3" t="inlineStr">
        <is>
          <t>src/services/receiptScan.ts</t>
        </is>
      </c>
      <c r="D613" s="3" t="n">
        <v>55</v>
      </c>
      <c r="E613" s="3" t="inlineStr">
        <is>
          <t>2 · DISPLAYED</t>
        </is>
      </c>
      <c r="F613" s="3" t="inlineStr">
        <is>
          <t>Capture (camera) or pick (library) a receipt image; returns its uri or null if cancelled/denied.</t>
        </is>
      </c>
      <c r="G613"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13"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13" s="3" t="inlineStr">
        <is>
          <t>PARTLY READ — some of the code is still showing through; needs a hand pass</t>
        </is>
      </c>
      <c r="J613" s="3" t="inlineStr">
        <is>
          <t>source: 'camera' | 'library'</t>
        </is>
      </c>
      <c r="K613" s="3" t="inlineStr">
        <is>
          <t>Promise&lt;string | null&gt;</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MK-CF-F-204 line</t>
        </is>
      </c>
      <c r="P613" s="3" t="n">
        <v>102</v>
      </c>
      <c r="Q613" s="3" t="inlineStr">
        <is>
          <t>1. MK-CF-F-204 line
2. MK-CF-F-203 MONTH
3. MK-XS-F-180 declareFigures
4. MK-CF-O-010 theMonth
5. MK-CF-O-002 expenses
6. MK-CF-O-003 thisMonth
7. MK-CF-F-151 actualSpending
8. MK-CF-F-150 debtPaymentsCountedAsExpenses
9. MK-CF-F-153 radar
10. MK-CF-F-149 recurringDebtPayments
11. MK-CF-F-005 actualMonthFlow
12. MK-CF-F-156 plannedMonthFlow
13. MK-CF-F-148 inMonth
14. MK-ST-F-052 toNum
15. MK-CF-F-191 ym
16. MK-ST-F-056 has
17. MK-CF-F-022 paymentShape
18. MK-CF-F-152 isRadarItem
19. MK-CF-F-023 requiredPayment
20. MK-CF-F-132 map
21. MK-NW-F-078 ONE
22. MK-CF-F-155 cash
23. MK-CF-F-157 debtPaymentsByDebt
24. MK-CF-F-192 inflowLabel
25. MK-XS-F-027 takeHomeMonthly
26. MK-XS-F-122 n
27. MK-CF-F-021 defaultPaymentType
28. MK-NW-F-077 ALL
29. MK-NW-F-059 currentYield
30. MK-ST-F-049 formatMoney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613" s="3" t="inlineStr">
        <is>
          <t>1. MONTH (already above — a loop) → MK-CF-O-010 theMonth → MK-CF-F-203 MONTH → MK-CF-F-204 line → MK-XS-F-096 pickReceipt
2. MK-CF-F-151 actualSpending → MK-CF-O-002 expenses → MK-CF-O-010 theMonth → MK-CF-F-203 MONTH → MK-CF-F-204 line → MK-XS-F-096 pickReceipt
3. MK-CF-F-150 debtPaymentsCountedAsExpenses → MK-CF-O-002 expenses → MK-CF-O-010 theMonth → MK-CF-F-203 MONTH → MK-CF-F-204 line → MK-XS-F-096 pickReceipt
4. MK-CF-F-153 radar → MK-CF-O-002 expenses → MK-CF-O-010 theMonth → MK-CF-F-203 MONTH → MK-CF-F-204 line → MK-XS-F-096 pickReceipt
5. MK-CF-F-149 recurringDebtPayments → MK-CF-O-002 expenses → MK-CF-O-010 theMonth → MK-CF-F-203 MONTH → MK-CF-F-204 line → MK-XS-F-096 pickReceipt
6. MK-CF-F-005 actualMonthFlow → MK-CF-O-003 thisMonth → MK-CF-O-010 theMonth → MK-CF-F-203 MONTH → MK-CF-F-204 line → MK-XS-F-096 pickReceipt
7. MK-CF-F-156 plannedMonthFlow → MK-CF-O-003 thisMonth → MK-CF-O-010 theMonth → MK-CF-F-203 MONTH → MK-CF-F-204 line → MK-XS-F-096 pickReceipt
8. MK-XS-F-180 declareFigures → MK-CF-F-204 line → MK-XS-F-096 pickReceipt</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MK-XS-F-097</t>
        </is>
      </c>
      <c r="B614" s="3" t="inlineStr">
        <is>
          <t>ocrReceipt</t>
        </is>
      </c>
      <c r="C614" s="3" t="inlineStr">
        <is>
          <t>src/services/receiptScan.ts</t>
        </is>
      </c>
      <c r="D614" s="3" t="n">
        <v>172</v>
      </c>
      <c r="E614" s="3" t="inlineStr">
        <is>
          <t>2 · DISPLAYED (presentation only)</t>
        </is>
      </c>
      <c r="F614" s="3" t="inlineStr">
        <is>
          <t>NOT DETERMINED — the code carries no note saying what this is for, and it has no row in the old inventory. Needs reading.</t>
        </is>
      </c>
      <c r="G614" s="11" t="inlineStr">
        <is>
          <t>raw = ''   when !ocr available()
res = await mlkit.recognize(uri)
text = res.text (or '' when missing)
the answer:
...parse receipt(text) = ...parse receipt(text)
raw = text</t>
        </is>
      </c>
      <c r="H614" s="3" t="inlineStr">
        <is>
          <t>When !ocr available(), it answers raw = ''. Res is await mlkit.recognize(uri). Text is res.text (or '' — when missing). The answer is ...parse receipt(text) = ...parse receipt(text); raw = text.</t>
        </is>
      </c>
      <c r="I614" s="3" t="inlineStr">
        <is>
          <t>PARTLY READ — some of the code is still showing through; needs a hand pass</t>
        </is>
      </c>
      <c r="J614" s="3" t="inlineStr">
        <is>
          <t>uri: string</t>
        </is>
      </c>
      <c r="K614" s="3" t="inlineStr">
        <is>
          <t>Promise&lt;</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1. MK-XS-F-095 ocrAvailable
2. MK-XS-F-058 parseReceipt</t>
        </is>
      </c>
      <c r="P614" s="3" t="n">
        <v>105</v>
      </c>
      <c r="Q614" s="3" t="inlineStr">
        <is>
          <t>1. MK-XS-F-095 ocrAvailable
2. MK-XS-F-058 parseReceipt
3. MK-CF-F-204 line
4. MK-CF-F-132 map
5. MK-XS-F-093 stripNonMoney
6. MK-ST-F-052 toNum
7. MK-CF-F-203 MONTH
8. MK-XS-F-180 declareFigures
9. MK-XS-F-122 n
10. MK-CF-O-010 theMonth
11. MK-CF-O-002 expenses
12. MK-CF-O-003 thisMonth
13. MK-CF-F-151 actualSpending
14. MK-CF-F-150 debtPaymentsCountedAsExpenses
15. MK-CF-F-153 radar
16. MK-CF-F-149 recurringDebtPayments
17. MK-CF-F-005 actualMonthFlow
18. MK-CF-F-156 plannedMonthFlow
19. MK-CF-F-148 inMonth
20. MK-CF-F-191 ym
21. MK-ST-F-056 has
22. MK-CF-F-022 paymentShape
23. MK-CF-F-152 isRadarItem
24. MK-CF-F-023 requiredPayment
25. MK-NW-F-078 ONE
26. MK-CF-F-155 cash
27. MK-CF-F-157 debtPaymentsByDebt
28. MK-CF-F-192 inflowLabel
29. MK-XS-F-027 takeHomeMonthly
30. MK-CF-F-021 defaultPaymentType
31. MK-NW-F-077 ALL
32. MK-NW-F-059 currentYield
33. MK-ST-F-049 formatMoney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614" s="3" t="inlineStr">
        <is>
          <t>1. MK-XS-F-095 ocrAvailable → MK-XS-F-097 ocrReceipt
2. MONTH (already above — a loop) → MK-CF-O-010 theMonth → MK-CF-F-203 MONTH → MK-CF-F-204 line → MK-XS-F-058 parseReceipt → MK-XS-F-097 ocrReceipt
3. MK-CF-O-002 expenses → MK-CF-O-010 theMonth → MK-CF-F-203 MONTH → MK-CF-F-204 line → MK-XS-F-058 parseReceipt → MK-XS-F-097 ocrReceipt
4. MK-CF-O-003 thisMonth → MK-CF-O-010 theMonth → MK-CF-F-203 MONTH → MK-CF-F-204 line → MK-XS-F-058 parseReceipt → MK-XS-F-097 ocrReceipt
5. MK-XS-F-180 declareFigures → MK-CF-F-204 line → MK-XS-F-058 parseReceipt → MK-XS-F-097 ocrReceipt
6. MK-CF-F-132 map → MK-XS-F-058 parseReceipt → MK-XS-F-097 ocrReceipt
7. MK-XS-F-093 stripNonMoney → MK-XS-F-058 parseReceipt → MK-XS-F-097 ocrReceipt
8. MK-XS-F-122 n → MK-ST-F-052 toNum → MK-XS-F-058 parseReceipt → MK-XS-F-097 ocrReceipt</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MK-XS-F-098</t>
        </is>
      </c>
      <c r="B615" s="3" t="inlineStr">
        <is>
          <t>setSyncProviderForTesting</t>
        </is>
      </c>
      <c r="C615" s="3" t="inlineStr">
        <is>
          <t>src/services/sync/index.ts</t>
        </is>
      </c>
      <c r="D615" s="3" t="n">
        <v>66</v>
      </c>
      <c r="E615" s="3" t="inlineStr">
        <is>
          <t>1 · ACTION</t>
        </is>
      </c>
      <c r="F615" s="3" t="inlineStr">
        <is>
          <t>NOT DETERMINED — the code carries no note saying what this is for, and it has no row in the old inventory. Needs reading.</t>
        </is>
      </c>
      <c r="G615" s="11" t="inlineStr">
        <is>
          <t>It records or announces something and returns no figure — no arithmetic of its own.</t>
        </is>
      </c>
      <c r="H615" s="3" t="inlineStr">
        <is>
          <t>It records or announces something and returns no figure — no arithmetic of its own.</t>
        </is>
      </c>
      <c r="I615" s="3" t="inlineStr">
        <is>
          <t>NO ARITHMETIC — there is no formula to state</t>
        </is>
      </c>
      <c r="J615" s="3" t="inlineStr">
        <is>
          <t>p: SyncProvider | null</t>
        </is>
      </c>
      <c r="K615" s="3" t="inlineStr">
        <is>
          <t>NOT DECLARED — the code does not say what it gives back</t>
        </is>
      </c>
      <c r="L615" s="3" t="inlineStr">
        <is>
          <t>—</t>
        </is>
      </c>
      <c r="M615" s="3" t="inlineStr">
        <is>
          <t>None found in this function — anything it assumes comes from the functions it depends on.</t>
        </is>
      </c>
      <c r="N615" s="3" t="inlineStr">
        <is>
          <t>No</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MK-XS-F-099</t>
        </is>
      </c>
      <c r="B616" s="3" t="inlineStr">
        <is>
          <t>activeSyncProvider</t>
        </is>
      </c>
      <c r="C616" s="3" t="inlineStr">
        <is>
          <t>src/services/sync/index.ts</t>
        </is>
      </c>
      <c r="D616" s="3" t="n">
        <v>87</v>
      </c>
      <c r="E616" s="3" t="inlineStr">
        <is>
          <t>2 · DISPLAYED</t>
        </is>
      </c>
      <c r="F616" s="3" t="inlineStr">
        <is>
          <t>The one lookup the UI uses.</t>
        </is>
      </c>
      <c r="G616" s="11" t="inlineStr">
        <is>
          <t>override provider   when override provider ! = undefined
new sandbox sync provider()   if typeof __DEV__ ! = 'undefined' and __DEV__
nothing   otherwise</t>
        </is>
      </c>
      <c r="H616" s="3" t="inlineStr">
        <is>
          <t>When override provider ! = undefined, it answers override provider. new sandbox sync provider() — when typeof __DEV__ ! = 'undefined' and __DEV__; no answer — otherwise.</t>
        </is>
      </c>
      <c r="I616" s="3" t="inlineStr">
        <is>
          <t>PARTLY READ — some of the code is still showing through; needs a hand pass</t>
        </is>
      </c>
      <c r="J616" s="3" t="inlineStr">
        <is>
          <t>Nothing is handed to it</t>
        </is>
      </c>
      <c r="K616" s="3" t="inlineStr">
        <is>
          <t>SyncProvider | null</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MK-XS-F-100</t>
        </is>
      </c>
      <c r="B617" s="3" t="inlineStr">
        <is>
          <t>connectionFreshness</t>
        </is>
      </c>
      <c r="C617" s="3" t="inlineStr">
        <is>
          <t>src/services/sync/index.ts</t>
        </is>
      </c>
      <c r="D617" s="3" t="n">
        <v>129</v>
      </c>
      <c r="E617" s="3" t="inlineStr">
        <is>
          <t>2 · DISPLAYED</t>
        </is>
      </c>
      <c r="F617" s="3" t="inlineStr">
        <is>
          <t>How old a connected account's last successful sync is.</t>
        </is>
      </c>
      <c r="G617" s="11" t="inlineStr">
        <is>
          <t>nothing   when last synced is missing
t = date.parse(last synced)
nothing   when number.is na n(t)
days = max(0, round down((now − t) ÷ 86400000))
label = 'today'
stale = false
days old = 0   when days = 0
label = 'yesterday'
stale = false
days old = 1   when days = 1
the answer:
label = `${days} days old`
stale = days &gt; 3
days old = days</t>
        </is>
      </c>
      <c r="H617" s="3" t="inlineStr">
        <is>
          <t>When last synced is missing, it answers no answer. T is date.parse(last synced). When number.is na n(t), it answers no answer. Days is (now minus t, rounded down divided by 86400000, never below zero). When days = 0, it answers label = 'today'; stale = false; days old = 0. When days = 1, it answers label = 'yesterday'; stale = false; days old = 1. The answer is label = `${days} days old`; stale = days &gt; 3; days old = days.</t>
        </is>
      </c>
      <c r="I617" s="3" t="inlineStr">
        <is>
          <t>PARTLY READ — some of the code is still showing through; needs a hand pass</t>
        </is>
      </c>
      <c r="J617" s="3" t="inlineStr">
        <is>
          <t>1. lastSynced: string | null | undefined
2. now: number = Date.now()</t>
        </is>
      </c>
      <c r="K617" s="3" t="inlineStr">
        <is>
          <t>ConnectionFreshness | null</t>
        </is>
      </c>
      <c r="L617" s="3" t="inlineStr">
        <is>
          <t>NOT FOUND — a screen calls it, but the words printed beside its answer could not be traced automatically. Needs reading.</t>
        </is>
      </c>
      <c r="M617" s="3" t="inlineStr">
        <is>
          <t>· Uses today's date from the device clock, so the answer changes by itself overnight.</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MK-XS-F-101</t>
        </is>
      </c>
      <c r="B618" s="3" t="inlineStr">
        <is>
          <t>stAssetId</t>
        </is>
      </c>
      <c r="C618" s="3" t="inlineStr">
        <is>
          <t>src/services/sync/ingest.ts</t>
        </is>
      </c>
      <c r="D618" s="3" t="n">
        <v>54</v>
      </c>
      <c r="E618" s="3" t="inlineStr">
        <is>
          <t>1 · ACTION</t>
        </is>
      </c>
      <c r="F618" s="3" t="inlineStr">
        <is>
          <t>What do we call this connected account internally?</t>
        </is>
      </c>
      <c r="G618" s="11" t="inlineStr">
        <is>
          <t>the answer = 'st-' + the SnapTrade account identifier</t>
        </is>
      </c>
      <c r="H618" s="3" t="inlineStr">
        <is>
          <t>The app's identifier for a connected account: the institution's identifier with an 'st-' prefix. No arithmetic.</t>
        </is>
      </c>
      <c r="I618" s="3" t="inlineStr">
        <is>
          <t>READ BY HAND 2026-08-26 — checked line by line against the code</t>
        </is>
      </c>
      <c r="J618" s="3" t="inlineStr">
        <is>
          <t>snapTradeAccountId: string</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ACCOUNT_IDENTITY</t>
        </is>
      </c>
      <c r="U618" s="3" t="inlineStr">
        <is>
          <t>ACTIVE</t>
        </is>
      </c>
      <c r="V618" s="3" t="inlineStr">
        <is>
          <t>2026-09-12</t>
        </is>
      </c>
      <c r="W618" s="3" t="n"/>
      <c r="X618" s="3" t="n"/>
      <c r="Y618" s="3" t="inlineStr">
        <is>
          <t>NOTHING OPEN</t>
        </is>
      </c>
    </row>
    <row r="619" ht="60" customHeight="1">
      <c r="A619" s="3" t="inlineStr">
        <is>
          <t>MK-XS-F-102</t>
        </is>
      </c>
      <c r="B619" s="3" t="inlineStr">
        <is>
          <t>ingestSync</t>
        </is>
      </c>
      <c r="C619" s="3" t="inlineStr">
        <is>
          <t>src/services/sync/ingest.ts</t>
        </is>
      </c>
      <c r="D619" s="3" t="n">
        <v>102</v>
      </c>
      <c r="E619" s="3" t="inlineStr">
        <is>
          <t>3 · DEPENDENT (feeds an action only)</t>
        </is>
      </c>
      <c r="F619" s="3" t="inlineStr">
        <is>
          <t>A broker just sent us data — what changes?</t>
        </is>
      </c>
      <c r="G619"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19"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19" s="3" t="inlineStr">
        <is>
          <t>PARTLY READ — some of the code is still showing through; needs a hand pass</t>
        </is>
      </c>
      <c r="J619" s="3" t="inlineStr">
        <is>
          <t>Nothing is handed to it</t>
        </is>
      </c>
      <c r="K619" s="3" t="inlineStr">
        <is>
          <t>NOT DECLARED — the code does not say what it gives back</t>
        </is>
      </c>
      <c r="L619" s="3" t="inlineStr">
        <is>
          <t>—</t>
        </is>
      </c>
      <c r="M619"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19" s="3" t="inlineStr">
        <is>
          <t>No</t>
        </is>
      </c>
      <c r="O61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19" s="3" t="n">
        <v>39</v>
      </c>
      <c r="Q61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19"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19" s="3" t="inlineStr">
        <is>
          <t>—</t>
        </is>
      </c>
      <c r="T619" s="3" t="inlineStr">
        <is>
          <t>SYNC_ONE_ACCOUNT</t>
        </is>
      </c>
      <c r="U619" s="3" t="inlineStr">
        <is>
          <t>ACTIVE</t>
        </is>
      </c>
      <c r="V619" s="3" t="inlineStr">
        <is>
          <t>2026-08-27</t>
        </is>
      </c>
      <c r="W619" s="3" t="n"/>
      <c r="X619" s="3" t="n"/>
      <c r="Y619" s="3" t="inlineStr">
        <is>
          <t>NOTHING OPEN</t>
        </is>
      </c>
    </row>
    <row r="620" ht="60" customHeight="1">
      <c r="A620" s="3" t="inlineStr">
        <is>
          <t>MK-XS-F-103</t>
        </is>
      </c>
      <c r="B620" s="3" t="inlineStr">
        <is>
          <t>confirmWrapper</t>
        </is>
      </c>
      <c r="C620" s="3" t="inlineStr">
        <is>
          <t>src/services/sync/ingest.ts</t>
        </is>
      </c>
      <c r="D620" s="3" t="n">
        <v>312</v>
      </c>
      <c r="E620" s="3" t="inlineStr">
        <is>
          <t>3 · DEPENDENT (feeds an action only)</t>
        </is>
      </c>
      <c r="F620" s="3" t="inlineStr">
        <is>
          <t>Mark an account's wrapper as USER-CONFIRMED — future syncs never override it.</t>
        </is>
      </c>
      <c r="G620" s="11" t="inlineStr">
        <is>
          <t>for each of accounts: ...each = ...each
kind = kind
tax bucket = tax bucket
wrapper confirmed = true   if asset id = asset id
each   otherwise</t>
        </is>
      </c>
      <c r="H620" s="3" t="inlineStr">
        <is>
          <t>for each of accounts: ...each = ...each; kind = kind; tax bucket = tax bucket; wrapper confirmed = true — when asset id = asset id; each — otherwise.</t>
        </is>
      </c>
      <c r="I620" s="3" t="inlineStr">
        <is>
          <t>READ FROM THE CODE — rendered from the expressions the function runs</t>
        </is>
      </c>
      <c r="J620" s="3" t="inlineStr">
        <is>
          <t>1. accounts: AssetAccount[]
2. assetId: string
3. kind: string
4. taxBucket: AssetAccount['tax_bucket']</t>
        </is>
      </c>
      <c r="K620" s="3" t="inlineStr">
        <is>
          <t>AssetAccount[]</t>
        </is>
      </c>
      <c r="L620" s="3" t="inlineStr">
        <is>
          <t>—</t>
        </is>
      </c>
      <c r="M620" s="3" t="inlineStr">
        <is>
          <t>None found in this function — anything it assumes comes from the functions it depends on.</t>
        </is>
      </c>
      <c r="N620" s="3" t="inlineStr">
        <is>
          <t>No</t>
        </is>
      </c>
      <c r="O620" s="3" t="inlineStr">
        <is>
          <t>MK-CF-F-132 map</t>
        </is>
      </c>
      <c r="P620" s="3" t="n">
        <v>1</v>
      </c>
      <c r="Q620" s="3" t="inlineStr">
        <is>
          <t>MK-CF-F-132 map</t>
        </is>
      </c>
      <c r="R620" s="3" t="inlineStr">
        <is>
          <t>MK-CF-F-132 map → MK-XS-F-103 confirmWrapper</t>
        </is>
      </c>
      <c r="S620" s="3" t="inlineStr">
        <is>
          <t>—</t>
        </is>
      </c>
      <c r="T620" s="3" t="inlineStr">
        <is>
          <t>CONFIRM_TAX_TYPE</t>
        </is>
      </c>
      <c r="U620" s="3" t="inlineStr">
        <is>
          <t>ACTIVE</t>
        </is>
      </c>
      <c r="V620" s="3" t="inlineStr">
        <is>
          <t>2026-08-27</t>
        </is>
      </c>
      <c r="W620" s="3" t="n"/>
      <c r="X620" s="3" t="n"/>
      <c r="Y620" s="3" t="inlineStr">
        <is>
          <t>NOTHING OPEN</t>
        </is>
      </c>
    </row>
    <row r="621" ht="60" customHeight="1">
      <c r="A621" s="3" t="inlineStr">
        <is>
          <t>MK-XS-F-104</t>
        </is>
      </c>
      <c r="B621" s="3" t="inlineStr">
        <is>
          <t>mapAccountType</t>
        </is>
      </c>
      <c r="C621" s="3" t="inlineStr">
        <is>
          <t>src/services/sync/snaptrade.ts</t>
        </is>
      </c>
      <c r="D621" s="3" t="n">
        <v>124</v>
      </c>
      <c r="E621" s="3" t="inlineStr">
        <is>
          <t>3 · DEPENDENT (feeds an action only)</t>
        </is>
      </c>
      <c r="F621" s="3" t="inlineStr">
        <is>
          <t>What kind of account is this, and how is it taxed?</t>
        </is>
      </c>
      <c r="G621"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1"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1" s="3" t="inlineStr">
        <is>
          <t>PARTLY READ — some of the code is still showing through; needs a hand pass</t>
        </is>
      </c>
      <c r="J621" s="3" t="inlineStr">
        <is>
          <t>1. rawType: string | null | undefined
2. category?: string | null</t>
        </is>
      </c>
      <c r="K621" s="3" t="inlineStr">
        <is>
          <t>WrapperGuess</t>
        </is>
      </c>
      <c r="L621" s="3" t="inlineStr">
        <is>
          <t>—</t>
        </is>
      </c>
      <c r="M621" s="3" t="inlineStr">
        <is>
          <t>None found in this function — anything it assumes comes from the functions it depends on.</t>
        </is>
      </c>
      <c r="N621" s="3" t="inlineStr">
        <is>
          <t>No</t>
        </is>
      </c>
      <c r="O621" s="3" t="inlineStr">
        <is>
          <t>MK-ST-F-056 has</t>
        </is>
      </c>
      <c r="P621" s="3" t="n">
        <v>1</v>
      </c>
      <c r="Q621" s="3" t="inlineStr">
        <is>
          <t>MK-ST-F-056 has</t>
        </is>
      </c>
      <c r="R621" s="3" t="inlineStr">
        <is>
          <t>MK-ST-F-056 has → MK-XS-F-104 mapAccountType</t>
        </is>
      </c>
      <c r="S621" s="3" t="inlineStr">
        <is>
          <t>—</t>
        </is>
      </c>
      <c r="T621" s="3" t="inlineStr">
        <is>
          <t>ACCOUNT_TAX_TYPE_GUESS</t>
        </is>
      </c>
      <c r="U621" s="3" t="inlineStr">
        <is>
          <t>ACTIVE</t>
        </is>
      </c>
      <c r="V621" s="3" t="inlineStr">
        <is>
          <t>2026-08-27</t>
        </is>
      </c>
      <c r="W621" s="3" t="n"/>
      <c r="X621" s="3" t="n"/>
      <c r="Y621" s="3" t="inlineStr">
        <is>
          <t>NOTHING OPEN</t>
        </is>
      </c>
    </row>
    <row r="622" ht="60" customHeight="1">
      <c r="A622" s="3" t="inlineStr">
        <is>
          <t>MK-XS-F-105</t>
        </is>
      </c>
      <c r="B622" s="3" t="inlineStr">
        <is>
          <t>mapPosition</t>
        </is>
      </c>
      <c r="C622" s="3" t="inlineStr">
        <is>
          <t>src/services/sync/snaptrade.ts</t>
        </is>
      </c>
      <c r="D622" s="3" t="n">
        <v>220</v>
      </c>
      <c r="E622" s="3" t="inlineStr">
        <is>
          <t>3 · DEPENDENT (feeds an action only)</t>
        </is>
      </c>
      <c r="F622" s="3" t="inlineStr">
        <is>
          <t>B7 (founder brief 2026-08-20): classification lives in the ONE function — name first, broker tag as fallback only.</t>
        </is>
      </c>
      <c r="G622" s="11" t="inlineStr">
        <is>
          <t>sym = flat symbol(p)
shares = units (or 0 when missing)
nothing   when sym is missing (or shares = 0 when missing or zero)
code = (sym.type.code ?? '').to lower case()
tick = (sym.raw symbol or sym.symbol or '').to upper case()</t>
        </is>
      </c>
      <c r="H622" s="3" t="inlineStr">
        <is>
          <t>Sym is flat symbol(p). Shares is units (or 0 — when missing). When sym is missing (or shares = 0 — when missing or zero), it answers no answer. Code is (sym.type.code ?? '').to lower case(). Tick is (sym.raw symbol or sym.symbol or '').to upper case().</t>
        </is>
      </c>
      <c r="I622" s="3" t="inlineStr">
        <is>
          <t>PARTLY READ — some of the code is still showing through; needs a hand pass</t>
        </is>
      </c>
      <c r="J622" s="3" t="inlineStr">
        <is>
          <t>p: StPosition</t>
        </is>
      </c>
      <c r="K622" s="3" t="inlineStr">
        <is>
          <t>MappedPosition | null</t>
        </is>
      </c>
      <c r="L622" s="3" t="inlineStr">
        <is>
          <t>—</t>
        </is>
      </c>
      <c r="M622" s="3" t="inlineStr">
        <is>
          <t>1. If units is missing it uses 0.
2. If quantity is missing it uses 0.</t>
        </is>
      </c>
      <c r="N622" s="3" t="inlineStr">
        <is>
          <t>No</t>
        </is>
      </c>
      <c r="O622" s="3" t="inlineStr">
        <is>
          <t>1. MK-ST-F-011 classifyHoldingClass
2. MK-XS-F-145 flatSymbol
3. MK-CF-F-132 map</t>
        </is>
      </c>
      <c r="P622" s="3" t="n">
        <v>9</v>
      </c>
      <c r="Q622" s="3" t="inlineStr">
        <is>
          <t>1. MK-ST-F-011 classifyHoldingClass
2. MK-XS-F-145 flatSymbol
3. MK-CF-F-132 map
4. MK-ST-F-010 nameEvidence
5. MK-XS-F-147 call
6. MK-ST-F-056 has
7. MK-ST-F-027 accountId
8. MK-XS-F-064 currentIdToken
9. MK-XS-F-112 relayUrl</t>
        </is>
      </c>
      <c r="R622"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2" s="3" t="inlineStr">
        <is>
          <t>—</t>
        </is>
      </c>
      <c r="T622" s="3" t="inlineStr">
        <is>
          <t>CLASS_FROM_BROKER</t>
        </is>
      </c>
      <c r="U622" s="3" t="inlineStr">
        <is>
          <t>ACTIVE</t>
        </is>
      </c>
      <c r="V622" s="3" t="inlineStr">
        <is>
          <t>2026-08-27</t>
        </is>
      </c>
      <c r="W622" s="3" t="n"/>
      <c r="X622" s="3" t="n"/>
      <c r="Y622" s="3" t="inlineStr">
        <is>
          <t>NOTHING OPEN</t>
        </is>
      </c>
    </row>
    <row r="623" ht="60" customHeight="1">
      <c r="A623" s="3" t="inlineStr">
        <is>
          <t>MK-XS-F-106</t>
        </is>
      </c>
      <c r="B623" s="3" t="inlineStr">
        <is>
          <t>mapOptionHolding</t>
        </is>
      </c>
      <c r="C623" s="3" t="inlineStr">
        <is>
          <t>src/services/sync/snaptrade.ts</t>
        </is>
      </c>
      <c r="D623" s="3" t="n">
        <v>310</v>
      </c>
      <c r="E623" s="3" t="inlineStr">
        <is>
          <t>3 · DEPENDENT (feeds an action only)</t>
        </is>
      </c>
      <c r="F623" s="3" t="inlineStr">
        <is>
          <t>What is this option position worth, and what do we call it?</t>
        </is>
      </c>
      <c r="G623"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23"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23" s="3" t="inlineStr">
        <is>
          <t>PARTLY READ — some of the code is still showing through; needs a hand pass</t>
        </is>
      </c>
      <c r="J623" s="3" t="inlineStr">
        <is>
          <t>1. o: StOptionHolding
2. multiplier = 100</t>
        </is>
      </c>
      <c r="K623" s="3" t="inlineStr">
        <is>
          <t>MappedOption | null</t>
        </is>
      </c>
      <c r="L623" s="3" t="inlineStr">
        <is>
          <t>—</t>
        </is>
      </c>
      <c r="M623" s="3" t="inlineStr">
        <is>
          <t>1. If units is missing it uses 0.
2. If price is missing it uses 0.
3. Rounds the answer to two decimals (cents).</t>
        </is>
      </c>
      <c r="N623" s="3" t="inlineStr">
        <is>
          <t>No</t>
        </is>
      </c>
      <c r="O623" s="3" t="inlineStr">
        <is>
          <t>1. MK-ST-F-007 classifyEvent
2. MK-XS-F-146 prettyExpiry</t>
        </is>
      </c>
      <c r="P623" s="3" t="n">
        <v>3</v>
      </c>
      <c r="Q623" s="3" t="inlineStr">
        <is>
          <t>1. MK-ST-F-007 classifyEvent
2. MK-XS-F-146 prettyExpiry
3. MK-CF-F-132 map</t>
        </is>
      </c>
      <c r="R623" s="3" t="inlineStr">
        <is>
          <t>1. MK-ST-F-007 classifyEvent → MK-XS-F-106 mapOptionHolding
2. MK-CF-F-132 map → MK-XS-F-146 prettyExpiry → MK-XS-F-106 mapOptionHolding</t>
        </is>
      </c>
      <c r="S623" s="3" t="inlineStr">
        <is>
          <t>—</t>
        </is>
      </c>
      <c r="T623" s="3" t="inlineStr">
        <is>
          <t>OPTION_HOLDING</t>
        </is>
      </c>
      <c r="U623" s="3" t="inlineStr">
        <is>
          <t>ACTIVE</t>
        </is>
      </c>
      <c r="V623" s="3" t="inlineStr">
        <is>
          <t>2026-08-27</t>
        </is>
      </c>
      <c r="W623" s="3" t="n"/>
      <c r="X623" s="3" t="n"/>
      <c r="Y623" s="3" t="inlineStr">
        <is>
          <t>NOTHING OPEN</t>
        </is>
      </c>
    </row>
    <row r="624" ht="60" customHeight="1">
      <c r="A624" s="3" t="inlineStr">
        <is>
          <t>MK-XS-F-107</t>
        </is>
      </c>
      <c r="B624" s="3" t="inlineStr">
        <is>
          <t>mapActivityType</t>
        </is>
      </c>
      <c r="C624" s="3" t="inlineStr">
        <is>
          <t>src/services/sync/snaptrade.ts</t>
        </is>
      </c>
      <c r="D624" s="3" t="n">
        <v>372</v>
      </c>
      <c r="E624" s="3" t="inlineStr">
        <is>
          <t>3 · DEPENDENT (feeds an action only)</t>
        </is>
      </c>
      <c r="F624" s="3" t="inlineStr">
        <is>
          <t>A line arrived from the broker. Is this money you paid IN, money you took OUT, or something that happened inside the account?</t>
        </is>
      </c>
      <c r="G624"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24"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24" s="3" t="inlineStr">
        <is>
          <t>PARTLY READ — some of the code is still showing through; needs a hand pass</t>
        </is>
      </c>
      <c r="J624" s="3" t="inlineStr">
        <is>
          <t>a: StActivity</t>
        </is>
      </c>
      <c r="K624" s="3" t="inlineStr">
        <is>
          <t>MappedActivity</t>
        </is>
      </c>
      <c r="L624" s="3" t="inlineStr">
        <is>
          <t>—</t>
        </is>
      </c>
      <c r="M624" s="3" t="inlineStr">
        <is>
          <t>· If amount is missing it uses 0.</t>
        </is>
      </c>
      <c r="N624" s="3" t="inlineStr">
        <is>
          <t>No</t>
        </is>
      </c>
      <c r="O624" s="3" t="inlineStr">
        <is>
          <t>MK-CF-F-155 cash</t>
        </is>
      </c>
      <c r="P624" s="3" t="n">
        <v>2</v>
      </c>
      <c r="Q624" s="3" t="inlineStr">
        <is>
          <t>1. MK-CF-F-155 cash
2. MK-XS-F-122 n</t>
        </is>
      </c>
      <c r="R624" s="3" t="inlineStr">
        <is>
          <t>MK-XS-F-122 n → MK-CF-F-155 cash → MK-XS-F-107 mapActivityType</t>
        </is>
      </c>
      <c r="S624" s="3" t="inlineStr">
        <is>
          <t>—</t>
        </is>
      </c>
      <c r="T624" s="3" t="inlineStr">
        <is>
          <t>TRANSLATE_BROKER_WORD</t>
        </is>
      </c>
      <c r="U624" s="3" t="inlineStr">
        <is>
          <t>ACTIVE</t>
        </is>
      </c>
      <c r="V624" s="3" t="inlineStr">
        <is>
          <t>2026-08-27</t>
        </is>
      </c>
      <c r="W624" s="3" t="n"/>
      <c r="X624" s="3" t="n"/>
      <c r="Y624" s="3" t="inlineStr">
        <is>
          <t>NOTHING OPEN</t>
        </is>
      </c>
    </row>
    <row r="625" ht="60" customHeight="1">
      <c r="A625" s="3" t="inlineStr">
        <is>
          <t>MK-XS-F-108</t>
        </is>
      </c>
      <c r="B625" s="3" t="inlineStr">
        <is>
          <t>activityKey</t>
        </is>
      </c>
      <c r="C625" s="3" t="inlineStr">
        <is>
          <t>src/services/sync/snaptrade.ts</t>
        </is>
      </c>
      <c r="D625" s="3" t="n">
        <v>453</v>
      </c>
      <c r="E625" s="3" t="inlineStr">
        <is>
          <t>3 · DEPENDENT (feeds an action only)</t>
        </is>
      </c>
      <c r="F625" s="3" t="inlineStr">
        <is>
          <t>── duplicate-proofing ───────────────────────────────────────────────────────────────────────── SnapTrade activity ids can change when they reprocess history, so identity = the composite of everything that makes the row THAT row.</t>
        </is>
      </c>
      <c r="G625" s="11" t="inlineStr">
        <is>
          <t>the answer = import key(account, trade date or settlement date, type, amount, units, security, reference, description)</t>
        </is>
      </c>
      <c r="H625" s="3" t="inlineStr">
        <is>
          <t>The stable identity of one imported activity row, built by MK-ST-F-014 importKey from the account, the date, the type, the amount, the units, the security, the reference and the description.</t>
        </is>
      </c>
      <c r="I625" s="3" t="inlineStr">
        <is>
          <t>READ BY HAND 2026-08-26 — checked line by line against the code</t>
        </is>
      </c>
      <c r="J625" s="3" t="inlineStr">
        <is>
          <t>1. accountId: string
2. a: StActivity</t>
        </is>
      </c>
      <c r="K625" s="3" t="inlineStr">
        <is>
          <t>string</t>
        </is>
      </c>
      <c r="L625" s="3" t="inlineStr">
        <is>
          <t>—</t>
        </is>
      </c>
      <c r="M625" s="3" t="inlineStr">
        <is>
          <t>None found in this function — anything it assumes comes from the functions it depends on.</t>
        </is>
      </c>
      <c r="N625" s="3" t="inlineStr">
        <is>
          <t>No</t>
        </is>
      </c>
      <c r="O625" s="3" t="inlineStr">
        <is>
          <t>1. MK-ST-F-027 accountId
2. MK-ST-F-014 importKey</t>
        </is>
      </c>
      <c r="P625" s="3" t="n">
        <v>2</v>
      </c>
      <c r="Q625" s="3" t="inlineStr">
        <is>
          <t>1. MK-ST-F-027 accountId
2. MK-ST-F-014 importKey</t>
        </is>
      </c>
      <c r="R625" s="3" t="inlineStr">
        <is>
          <t>1. MK-ST-F-027 accountId → MK-XS-F-108 activityKey
2. MK-ST-F-014 importKey → MK-XS-F-108 activityKey</t>
        </is>
      </c>
      <c r="S625" s="3" t="inlineStr">
        <is>
          <t>—</t>
        </is>
      </c>
      <c r="T625" s="3" t="inlineStr">
        <is>
          <t>ACTIVITY_IDENTITY</t>
        </is>
      </c>
      <c r="U625" s="3" t="inlineStr">
        <is>
          <t>ACTIVE</t>
        </is>
      </c>
      <c r="V625" s="3" t="inlineStr">
        <is>
          <t>2026-09-12</t>
        </is>
      </c>
      <c r="W625" s="3" t="n"/>
      <c r="X625" s="3" t="n"/>
      <c r="Y625" s="3" t="inlineStr">
        <is>
          <t>NOTHING OPEN</t>
        </is>
      </c>
    </row>
    <row r="626" ht="60" customHeight="1">
      <c r="A626" s="3" t="inlineStr">
        <is>
          <t>MK-XS-F-109</t>
        </is>
      </c>
      <c r="B626" s="3" t="inlineStr">
        <is>
          <t>dedupeActivities</t>
        </is>
      </c>
      <c r="C626" s="3" t="inlineStr">
        <is>
          <t>src/services/sync/snaptrade.ts</t>
        </is>
      </c>
      <c r="D626" s="3" t="n">
        <v>482</v>
      </c>
      <c r="E626" s="3" t="inlineStr">
        <is>
          <t>3 · DEPENDENT (feeds an action only)</t>
        </is>
      </c>
      <c r="F626" s="3" t="inlineStr">
        <is>
          <t>Which of these activities are new since the last sync?</t>
        </is>
      </c>
      <c r="G626" s="11" t="inlineStr">
        <is>
          <t>fresh = []
k = activity key(account id, a)
the answer = fresh</t>
        </is>
      </c>
      <c r="H626" s="3" t="inlineStr">
        <is>
          <t>Fresh is []. K is activity key(account id, a). The answer is fresh.</t>
        </is>
      </c>
      <c r="I626" s="3" t="inlineStr">
        <is>
          <t>READ FROM THE CODE — rendered from the expressions the function runs</t>
        </is>
      </c>
      <c r="J626" s="3" t="inlineStr">
        <is>
          <t>1. accountId: string
2. incoming: StActivity[]
3. seenKeys: Set&lt;string&gt;</t>
        </is>
      </c>
      <c r="K626" s="3" t="inlineStr">
        <is>
          <t>StActivity[]</t>
        </is>
      </c>
      <c r="L626" s="3" t="inlineStr">
        <is>
          <t>—</t>
        </is>
      </c>
      <c r="M626" s="3" t="inlineStr">
        <is>
          <t>None found in this function — anything it assumes comes from the functions it depends on.</t>
        </is>
      </c>
      <c r="N626" s="3" t="inlineStr">
        <is>
          <t>No</t>
        </is>
      </c>
      <c r="O626" s="3" t="inlineStr">
        <is>
          <t>1. MK-ST-F-027 accountId
2. MK-XS-F-108 activityKey
3. MK-ST-F-056 has</t>
        </is>
      </c>
      <c r="P626" s="3" t="n">
        <v>4</v>
      </c>
      <c r="Q626" s="3" t="inlineStr">
        <is>
          <t>1. MK-ST-F-027 accountId
2. MK-XS-F-108 activityKey
3. MK-ST-F-056 has
4. MK-ST-F-014 importKey</t>
        </is>
      </c>
      <c r="R626" s="3" t="inlineStr">
        <is>
          <t>1. MK-ST-F-027 accountId → MK-XS-F-109 dedupeActivities
2. MK-ST-F-027 accountId → MK-XS-F-108 activityKey → MK-XS-F-109 dedupeActivities
3. MK-ST-F-014 importKey → MK-XS-F-108 activityKey → MK-XS-F-109 dedupeActivities
4. MK-ST-F-056 has → MK-XS-F-109 dedupeActivities</t>
        </is>
      </c>
      <c r="S626" s="3" t="inlineStr">
        <is>
          <t>—</t>
        </is>
      </c>
      <c r="T626" s="3" t="inlineStr">
        <is>
          <t>ALREADY_SEEN_CHECK</t>
        </is>
      </c>
      <c r="U626" s="3" t="inlineStr">
        <is>
          <t>ACTIVE</t>
        </is>
      </c>
      <c r="V626" s="3" t="inlineStr">
        <is>
          <t>2026-08-27</t>
        </is>
      </c>
      <c r="W626" s="3" t="n"/>
      <c r="X626" s="3" t="n"/>
      <c r="Y626" s="3" t="inlineStr">
        <is>
          <t>NOTHING OPEN</t>
        </is>
      </c>
    </row>
    <row r="627" ht="60" customHeight="1">
      <c r="A627" s="3" t="inlineStr">
        <is>
          <t>MK-XS-F-110</t>
        </is>
      </c>
      <c r="B627" s="3" t="inlineStr">
        <is>
          <t>netCashSleeve</t>
        </is>
      </c>
      <c r="C627" s="3" t="inlineStr">
        <is>
          <t>src/services/sync/snaptrade.ts</t>
        </is>
      </c>
      <c r="D627" s="3" t="n">
        <v>523</v>
      </c>
      <c r="E627" s="3" t="inlineStr">
        <is>
          <t>3 · DEPENDENT (feeds an action only)</t>
        </is>
      </c>
      <c r="F627" s="3" t="inlineStr">
        <is>
          <t>── the cash sleeve, deduped ─────────────────────────────────────────────────────────────────── SnapTrade counts money-market (cash_equivalent) positions INSIDE balances.cash too.</t>
        </is>
      </c>
      <c r="G627" s="11" t="inlineStr">
        <is>
          <t>net = round((balances cash ?? 0) − mmf, 2 dp)
the answer:
0   if net &lt; 0 and net &gt; -1
net   otherwise</t>
        </is>
      </c>
      <c r="H627" s="3" t="inlineStr">
        <is>
          <t>Net is (balances cash ?? 0) minus mmf, to the cent. The answer is 0 — when net &lt; 0 and net &gt; -1; net — otherwise.</t>
        </is>
      </c>
      <c r="I627" s="3" t="inlineStr">
        <is>
          <t>PARTLY READ — some of the code is still showing through; needs a hand pass</t>
        </is>
      </c>
      <c r="J627" s="3" t="inlineStr">
        <is>
          <t>1. balancesCash: number | null | undefined
2. positions: MappedPosition[]</t>
        </is>
      </c>
      <c r="K627" s="3" t="inlineStr">
        <is>
          <t>number</t>
        </is>
      </c>
      <c r="L627" s="3" t="inlineStr">
        <is>
          <t>—</t>
        </is>
      </c>
      <c r="M627" s="3" t="inlineStr">
        <is>
          <t>1. If price is missing it uses 0.
2. If balances cash is missing it uses 0.
3. Rounds the answer to two decimals (cents).</t>
        </is>
      </c>
      <c r="N627" s="3" t="inlineStr">
        <is>
          <t>No</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UNINVESTED_CASH</t>
        </is>
      </c>
      <c r="U627" s="3" t="inlineStr">
        <is>
          <t>ACTIVE</t>
        </is>
      </c>
      <c r="V627" s="3" t="inlineStr">
        <is>
          <t>2026-08-27</t>
        </is>
      </c>
      <c r="W627" s="3" t="n"/>
      <c r="X627" s="3" t="n"/>
      <c r="Y627" s="3" t="inlineStr">
        <is>
          <t>NOTHING OPEN</t>
        </is>
      </c>
    </row>
    <row r="628" ht="60" customHeight="1">
      <c r="A628" s="3" t="inlineStr">
        <is>
          <t>MK-XS-F-111</t>
        </is>
      </c>
      <c r="B628" s="3" t="inlineStr">
        <is>
          <t>mergeHistoryFrom</t>
        </is>
      </c>
      <c r="C628" s="3" t="inlineStr">
        <is>
          <t>src/services/sync/snaptrade.ts</t>
        </is>
      </c>
      <c r="D628" s="3" t="n">
        <v>559</v>
      </c>
      <c r="E628" s="3" t="inlineStr">
        <is>
          <t>3 · DEPENDENT (feeds an action only)</t>
        </is>
      </c>
      <c r="F628" s="3" t="inlineStr">
        <is>
          <t>FOUNDER RULE 2026-08-04: record how far back the broker's OWN activity feed reaches, so a "past year" income figure can label itself honestly.</t>
        </is>
      </c>
      <c r="G628" s="11" t="inlineStr">
        <is>
          <t>earliest now = the first of dates
existing   when earliest now is missing
earliest now   when existing is missing
the answer:
earliest now   if earliest now &lt; existing
existing   otherwise</t>
        </is>
      </c>
      <c r="H628" s="3" t="inlineStr">
        <is>
          <t>Earliest now: the first of dates. When earliest now is missing, it answers existing. When existing is missing, it answers earliest now. The answer is earliest now — when earliest now &lt; existing; existing — otherwise.</t>
        </is>
      </c>
      <c r="I628" s="3" t="inlineStr">
        <is>
          <t>READ FROM THE CODE — rendered from the expressions the function runs</t>
        </is>
      </c>
      <c r="J628" s="3" t="inlineStr">
        <is>
          <t>1. existing: string | undefined
2. activityDates: (string | null | undefined)[]</t>
        </is>
      </c>
      <c r="K628" s="3" t="inlineStr">
        <is>
          <t>string | undefined</t>
        </is>
      </c>
      <c r="L628" s="3" t="inlineStr">
        <is>
          <t>—</t>
        </is>
      </c>
      <c r="M628" s="3" t="inlineStr">
        <is>
          <t>None found in this function — anything it assumes comes from the functions it depends on.</t>
        </is>
      </c>
      <c r="N628" s="3" t="inlineStr">
        <is>
          <t>No</t>
        </is>
      </c>
      <c r="O628" s="3" t="inlineStr">
        <is>
          <t>MK-CF-F-132 map</t>
        </is>
      </c>
      <c r="P628" s="3" t="n">
        <v>1</v>
      </c>
      <c r="Q628" s="3" t="inlineStr">
        <is>
          <t>MK-CF-F-132 map</t>
        </is>
      </c>
      <c r="R628" s="3" t="inlineStr">
        <is>
          <t>MK-CF-F-132 map → MK-XS-F-111 mergeHistoryFrom</t>
        </is>
      </c>
      <c r="S628" s="3" t="inlineStr">
        <is>
          <t>—</t>
        </is>
      </c>
      <c r="T628" s="3" t="inlineStr">
        <is>
          <t>HISTORY_DEPTH</t>
        </is>
      </c>
      <c r="U628" s="3" t="inlineStr">
        <is>
          <t>ACTIVE</t>
        </is>
      </c>
      <c r="V628" s="3" t="inlineStr">
        <is>
          <t>2026-08-27</t>
        </is>
      </c>
      <c r="W628" s="3" t="n"/>
      <c r="X628" s="3" t="n"/>
      <c r="Y628" s="3" t="inlineStr">
        <is>
          <t>NOTHING OPEN</t>
        </is>
      </c>
    </row>
    <row r="629" ht="60" customHeight="1">
      <c r="A629" s="3" t="inlineStr">
        <is>
          <t>MK-XS-F-112</t>
        </is>
      </c>
      <c r="B629" s="3" t="inlineStr">
        <is>
          <t>relayUrl</t>
        </is>
      </c>
      <c r="C629" s="3" t="inlineStr">
        <is>
          <t>src/services/sync/snaptradeClient.ts</t>
        </is>
      </c>
      <c r="D629" s="3" t="n">
        <v>35</v>
      </c>
      <c r="E629" s="3" t="inlineStr">
        <is>
          <t>3 · DEPENDENT</t>
        </is>
      </c>
      <c r="F629" s="3" t="inlineStr">
        <is>
          <t>NOT DETERMINED — the code carries no note saying what this is for, and it has no row in the old inventory. Needs reading.</t>
        </is>
      </c>
      <c r="G629" s="11" t="inlineStr">
        <is>
          <t>the answer = the relay address from the app config, else from the environment, else nothing</t>
        </is>
      </c>
      <c r="H629" s="3" t="inlineStr">
        <is>
          <t>Where the connection relay lives, read from the app configuration. Not a calculation.</t>
        </is>
      </c>
      <c r="I629" s="3" t="inlineStr">
        <is>
          <t>READ BY HAND 2026-08-26 — checked line by line against the code</t>
        </is>
      </c>
      <c r="J629" s="3" t="inlineStr">
        <is>
          <t>Nothing is handed to it</t>
        </is>
      </c>
      <c r="K629" s="3" t="inlineStr">
        <is>
          <t>string | null</t>
        </is>
      </c>
      <c r="L629" s="3" t="inlineStr">
        <is>
          <t>—</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2026-09-12</t>
        </is>
      </c>
      <c r="W629" s="3" t="n"/>
      <c r="X629" s="3" t="n"/>
      <c r="Y629" s="3" t="inlineStr">
        <is>
          <t>NOTHING OPEN</t>
        </is>
      </c>
    </row>
    <row r="630" ht="60" customHeight="1">
      <c r="A630" s="3" t="inlineStr">
        <is>
          <t>MK-XS-F-113</t>
        </is>
      </c>
      <c r="B630" s="3" t="inlineStr">
        <is>
          <t>snaptradeConfigured</t>
        </is>
      </c>
      <c r="C630" s="3" t="inlineStr">
        <is>
          <t>src/services/sync/snaptradeClient.ts</t>
        </is>
      </c>
      <c r="D630" s="3" t="n">
        <v>60</v>
      </c>
      <c r="E630" s="3" t="inlineStr">
        <is>
          <t>1 · ACTION</t>
        </is>
      </c>
      <c r="F630" s="3" t="inlineStr">
        <is>
          <t>NOT DETERMINED — the code carries no note saying what this is for, and it has no row in the old inventory. Needs reading.</t>
        </is>
      </c>
      <c r="G630" s="11" t="inlineStr">
        <is>
          <t>!!relay url()</t>
        </is>
      </c>
      <c r="H630" s="3" t="inlineStr">
        <is>
          <t>!!relay url()</t>
        </is>
      </c>
      <c r="I630" s="3" t="inlineStr">
        <is>
          <t>READ FROM THE CODE — rendered from the expressions the function runs</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Yes</t>
        </is>
      </c>
      <c r="O630" s="3" t="inlineStr">
        <is>
          <t>MK-XS-F-112 relayUrl</t>
        </is>
      </c>
      <c r="P630" s="3" t="n">
        <v>1</v>
      </c>
      <c r="Q630" s="3" t="inlineStr">
        <is>
          <t>MK-XS-F-112 relayUrl</t>
        </is>
      </c>
      <c r="R630" s="3" t="inlineStr">
        <is>
          <t>MK-XS-F-112 relayUrl → MK-XS-F-113 snaptradeConfigured</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MK-XS-F-114</t>
        </is>
      </c>
      <c r="B631" s="3" t="inlineStr">
        <is>
          <t>usdCash</t>
        </is>
      </c>
      <c r="C631" s="3" t="inlineStr">
        <is>
          <t>src/services/sync/snaptradeClient.ts</t>
        </is>
      </c>
      <c r="D631" s="3" t="n">
        <v>148</v>
      </c>
      <c r="E631" s="3" t="inlineStr">
        <is>
          <t>3 · DEPENDENT</t>
        </is>
      </c>
      <c r="F631" s="3" t="inlineStr">
        <is>
          <t>USD cash across the balances list (v1 is USD-only; other currencies are ignored, not guessed).</t>
        </is>
      </c>
      <c r="G631" s="11" t="inlineStr">
        <is>
          <t>the answer = Σ over balances in USD (or with no currency) of (cash, or 0)</t>
        </is>
      </c>
      <c r="H631" s="3" t="inlineStr">
        <is>
          <t>Adds up the cash balances a connected account reports in US dollars (a balance with no currency code counts as dollars). Other currencies are left out.</t>
        </is>
      </c>
      <c r="I631" s="3" t="inlineStr">
        <is>
          <t>READ BY HAND 2026-08-26 — checked line by line against the code</t>
        </is>
      </c>
      <c r="J631" s="3" t="inlineStr">
        <is>
          <t>balances: HoldingsPayload['balances'] | null | undefined</t>
        </is>
      </c>
      <c r="K631" s="3" t="inlineStr">
        <is>
          <t>number</t>
        </is>
      </c>
      <c r="L631" s="3" t="inlineStr">
        <is>
          <t>—</t>
        </is>
      </c>
      <c r="M631" s="3" t="inlineStr">
        <is>
          <t>· If cash is missing it uses 0.</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60" customHeight="1">
      <c r="A632" s="3" t="inlineStr">
        <is>
          <t>MK-XS-F-115</t>
        </is>
      </c>
      <c r="B632" s="3" t="inlineStr">
        <is>
          <t>shouldDailySync</t>
        </is>
      </c>
      <c r="C632" s="3" t="inlineStr">
        <is>
          <t>src/services/sync/snaptradeSync.ts</t>
        </is>
      </c>
      <c r="D632" s="3" t="n">
        <v>38</v>
      </c>
      <c r="E632" s="3" t="inlineStr">
        <is>
          <t>3 · DEPENDENT</t>
        </is>
      </c>
      <c r="F632" s="3" t="inlineStr">
        <is>
          <t>NOT DETERMINED — the code carries no note saying what this is for, and it has no row in the old inventory. Needs reading.</t>
        </is>
      </c>
      <c r="G632" s="11" t="inlineStr">
        <is>
          <t>true   when last sync at is missing
t = date.parse(last sync at)
the answer = number.is na n(t) (or now − t &gt; 20 × 3600000 when missing or zero)</t>
        </is>
      </c>
      <c r="H632" s="3" t="inlineStr">
        <is>
          <t>When last sync at is missing, it answers true. T is date.parse(last sync at). The answer is number.is na n(t) (or now minus t &gt; 20 times 3600000 — when missing or zero).</t>
        </is>
      </c>
      <c r="I632" s="3" t="inlineStr">
        <is>
          <t>PARTLY READ — some of the code is still showing through; needs a hand pass</t>
        </is>
      </c>
      <c r="J632" s="3" t="inlineStr">
        <is>
          <t>1. lastSyncAt: string | null | undefined
2. now: number = Date.now()</t>
        </is>
      </c>
      <c r="K632" s="3" t="inlineStr">
        <is>
          <t>boolean</t>
        </is>
      </c>
      <c r="L632" s="3" t="inlineStr">
        <is>
          <t>—</t>
        </is>
      </c>
      <c r="M632" s="3" t="inlineStr">
        <is>
          <t>· Uses today's date from the device clock, so the answer changes by itself overnight.</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MK-XS-F-116</t>
        </is>
      </c>
      <c r="B633" s="3" t="inlineStr">
        <is>
          <t>runSnapTradeSync</t>
        </is>
      </c>
      <c r="C633" s="3" t="inlineStr">
        <is>
          <t>src/services/sync/snaptradeSync.ts</t>
        </is>
      </c>
      <c r="D633" s="3" t="n">
        <v>144</v>
      </c>
      <c r="E633" s="3" t="inlineStr">
        <is>
          <t>2 · DISPLAYED</t>
        </is>
      </c>
      <c r="F633" s="3" t="inlineStr">
        <is>
          <t>Full sync. Returns the number of accounts synced (0 = nothing connected).</t>
        </is>
      </c>
      <c r="G633"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33"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33" s="3" t="inlineStr">
        <is>
          <t>PARTLY READ — some of the code is still showing through; needs a hand pass</t>
        </is>
      </c>
      <c r="J633" s="3" t="inlineStr">
        <is>
          <t>1. opts: { force?: boolean } = {}
2. reads the app's stored data</t>
        </is>
      </c>
      <c r="K633" s="3" t="inlineStr">
        <is>
          <t>Promise&lt;number&gt;</t>
        </is>
      </c>
      <c r="L633" s="3" t="inlineStr">
        <is>
          <t>NOT FOUND — a screen calls it, but the words printed beside its answer could not be traced automatically. Needs reading.</t>
        </is>
      </c>
      <c r="M633" s="3" t="inlineStr">
        <is>
          <t>· Uses today's date from the device clock, so the answer changes by itself overnight.</t>
        </is>
      </c>
      <c r="N633" s="3" t="inlineStr">
        <is>
          <t>Yes</t>
        </is>
      </c>
      <c r="O633" s="3" t="inlineStr">
        <is>
          <t>1. MK-XS-F-149 allActivities
2. MK-CF-F-132 map
3. MK-XS-F-115 shouldDailySync
4. MK-XS-F-113 snaptradeConfigured
5. MK-XS-F-101 stAssetId
6. MK-XS-F-114 usdCash</t>
        </is>
      </c>
      <c r="P633" s="3" t="n">
        <v>9</v>
      </c>
      <c r="Q633" s="3" t="inlineStr">
        <is>
          <t>1. MK-XS-F-149 allActivities
2. MK-CF-F-132 map
3. MK-XS-F-115 shouldDailySync
4. MK-XS-F-113 snaptradeConfigured
5. MK-XS-F-101 stAssetId
6. MK-XS-F-114 usdCash
7. MK-ST-F-027 accountId
8. MK-XS-F-148 unwrapActivities
9. MK-XS-F-112 relayUrl</t>
        </is>
      </c>
      <c r="R633"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MK-XS-F-118</t>
        </is>
      </c>
      <c r="B634" s="3" t="inlineStr">
        <is>
          <t>prettyDate</t>
        </is>
      </c>
      <c r="C634" s="3" t="inlineStr">
        <is>
          <t>src/domain/gaps/index.ts</t>
        </is>
      </c>
      <c r="D634" s="3" t="n">
        <v>83</v>
      </c>
      <c r="E634" s="3" t="inlineStr">
        <is>
          <t>3 · DEPENDENT</t>
        </is>
      </c>
      <c r="F634" s="3" t="inlineStr">
        <is>
          <t>NOT DETERMINED — the code carries no note saying what this is for, and it has no row in the old inventory. Needs reading.</t>
        </is>
      </c>
      <c r="G634" s="11" t="inlineStr">
        <is>
          <t>d = the date `${iso}-15T12:00:00`   if iso.length = 7
`${iso}T12:00:00`   otherwise
the answer:
iso   if is na n(get time())
to locale date string('en − US', { month: 'short', day: 'numeric' })   otherwise</t>
        </is>
      </c>
      <c r="H634" s="3" t="inlineStr">
        <is>
          <t>D: the date `${iso}-15T12:00:00` — when iso.length = 7; `${iso}T12:00:00` — otherwise. The answer is iso — when is na n(get time()); to locale date string('en minus US', { month: 'short', day: 'numeric' }) — otherwise.</t>
        </is>
      </c>
      <c r="I634" s="3" t="inlineStr">
        <is>
          <t>PARTLY READ — some of the code is still showing through; needs a hand pass</t>
        </is>
      </c>
      <c r="J634" s="3" t="inlineStr">
        <is>
          <t>iso: string</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MK-XS-F-119</t>
        </is>
      </c>
      <c r="B635" s="3" t="inlineStr">
        <is>
          <t>namesFor</t>
        </is>
      </c>
      <c r="C635" s="3" t="inlineStr">
        <is>
          <t>src/domain/gaps/index.ts</t>
        </is>
      </c>
      <c r="D635" s="3" t="n">
        <v>109</v>
      </c>
      <c r="E635" s="3" t="inlineStr">
        <is>
          <t>1 · ACTION</t>
        </is>
      </c>
      <c r="F635" s="3" t="inlineStr">
        <is>
          <t>Founder finding 2026-08-11: this named an account by its INSTITUTION alone, so two Vanguard accounts produced two identical banner lines ("Vanguard last updated Aug 3" twice) with no way to tell which was which.</t>
        </is>
      </c>
      <c r="G635" s="11" t="inlineStr">
        <is>
          <t>account display names(accounts)</t>
        </is>
      </c>
      <c r="H635" s="3" t="inlineStr">
        <is>
          <t>account display names(accounts)</t>
        </is>
      </c>
      <c r="I635" s="3" t="inlineStr">
        <is>
          <t>READ FROM THE CODE — rendered from the expressions the function runs</t>
        </is>
      </c>
      <c r="J635" s="3" t="inlineStr">
        <is>
          <t>accounts: AssetAccount[]</t>
        </is>
      </c>
      <c r="K635" s="3" t="inlineStr">
        <is>
          <t>NOT DECLARED — the code does not say what it gives back</t>
        </is>
      </c>
      <c r="L635" s="3" t="inlineStr">
        <is>
          <t>—</t>
        </is>
      </c>
      <c r="M635" s="3" t="inlineStr">
        <is>
          <t>None found in this function — anything it assumes comes from the functions it depends on.</t>
        </is>
      </c>
      <c r="N635" s="3" t="inlineStr">
        <is>
          <t>Yes</t>
        </is>
      </c>
      <c r="O635" s="3" t="inlineStr">
        <is>
          <t>MK-NW-F-026 accountDisplayNames</t>
        </is>
      </c>
      <c r="P635" s="3" t="n">
        <v>8</v>
      </c>
      <c r="Q635" s="3" t="inlineStr">
        <is>
          <t>1. MK-NW-F-026 accountDisplayNames
2. MK-NW-F-025 accountDisplayName
3. MK-CF-F-155 cash
4. MK-CF-F-132 map
5. MK-XS-F-122 n
6. MK-NW-F-024 accountLastFour
7. MK-NW-F-012 taxTreatmentOf
8. MK-NW-F-023 wrapperWord</t>
        </is>
      </c>
      <c r="R635"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MK-XS-F-120</t>
        </is>
      </c>
      <c r="B636" s="3" t="inlineStr">
        <is>
          <t>nameOf</t>
        </is>
      </c>
      <c r="C636" s="3" t="inlineStr">
        <is>
          <t>src/domain/gaps/index.ts</t>
        </is>
      </c>
      <c r="D636" s="3" t="n">
        <v>129</v>
      </c>
      <c r="E636" s="3" t="inlineStr">
        <is>
          <t>1 · ACTION</t>
        </is>
      </c>
      <c r="F636" s="3" t="inlineStr">
        <is>
          <t>NOT DETERMINED — the code carries no note saying what this is for, and it has no row in the old inventory. Needs reading.</t>
        </is>
      </c>
      <c r="G636" s="11" t="inlineStr">
        <is>
          <t>the answer = the person's name for the account, else the institution, else the label, else 'this account'</t>
        </is>
      </c>
      <c r="H636" s="3" t="inlineStr">
        <is>
          <t>What to call an account in a sentence — the person's own name for it, then the institution, then the label. No arithmetic.</t>
        </is>
      </c>
      <c r="I636" s="3" t="inlineStr">
        <is>
          <t>READ BY HAND 2026-08-26 — checked line by line against the code</t>
        </is>
      </c>
      <c r="J636" s="3" t="inlineStr">
        <is>
          <t>1. a: AssetAccount
2. names: Map&lt;string, string&gt;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MK-XS-F-121</t>
        </is>
      </c>
      <c r="B637" s="3" t="inlineStr">
        <is>
          <t>isYm</t>
        </is>
      </c>
      <c r="C637" s="3" t="inlineStr">
        <is>
          <t>src/domain/history.ts</t>
        </is>
      </c>
      <c r="D637" s="3" t="n">
        <v>134</v>
      </c>
      <c r="E637" s="3" t="inlineStr">
        <is>
          <t>1 · ACTION</t>
        </is>
      </c>
      <c r="F637" s="3" t="inlineStr">
        <is>
          <t>NOT DETERMINED — the code carries no note saying what this is for, and it has no row in the old inventory. Needs reading.</t>
        </is>
      </c>
      <c r="G637" s="11" t="inlineStr">
        <is>
          <t>the answer = true when the text is exactly 'YYYY-MM'</t>
        </is>
      </c>
      <c r="H637" s="3" t="inlineStr">
        <is>
          <t>Whether a text is a month key of the form 'YYYY-MM'. No arithmetic.</t>
        </is>
      </c>
      <c r="I637" s="3" t="inlineStr">
        <is>
          <t>READ BY HAND 2026-08-26 — checked line by line against the code</t>
        </is>
      </c>
      <c r="J637" s="3" t="inlineStr">
        <is>
          <t>s: unknown</t>
        </is>
      </c>
      <c r="K637" s="3" t="inlineStr">
        <is>
          <t>s is string</t>
        </is>
      </c>
      <c r="L637" s="3" t="inlineStr">
        <is>
          <t>—</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MK-XS-F-122</t>
        </is>
      </c>
      <c r="B638" s="3" t="inlineStr">
        <is>
          <t>n</t>
        </is>
      </c>
      <c r="C638" s="3" t="inlineStr">
        <is>
          <t>src/domain/history.ts</t>
        </is>
      </c>
      <c r="D638" s="3" t="n">
        <v>175</v>
      </c>
      <c r="E638" s="3" t="inlineStr">
        <is>
          <t>1 · ACTION</t>
        </is>
      </c>
      <c r="F638" s="3" t="inlineStr">
        <is>
          <t>NOT DETERMINED — the code carries no note saying what this is for, and it has no row in the old inventory. Needs reading.</t>
        </is>
      </c>
      <c r="G638" s="11" t="inlineStr">
        <is>
          <t>v   if typeof v = 'number' and number.is finite(v)
fallback   otherwise</t>
        </is>
      </c>
      <c r="H638" s="3" t="inlineStr">
        <is>
          <t>v — when typeof v = 'number' and number.is finite(v); fallback — otherwise</t>
        </is>
      </c>
      <c r="I638" s="3" t="inlineStr">
        <is>
          <t>PARTLY READ — some of the code is still showing through; needs a hand pass</t>
        </is>
      </c>
      <c r="J638" s="3" t="inlineStr">
        <is>
          <t>1. v: unknown
2. fallback = 0</t>
        </is>
      </c>
      <c r="K638" s="3" t="inlineStr">
        <is>
          <t>number</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MK-XS-F-123</t>
        </is>
      </c>
      <c r="B639" s="3" t="inlineStr">
        <is>
          <t>base64ToBytes</t>
        </is>
      </c>
      <c r="C639" s="3" t="inlineStr">
        <is>
          <t>src/domain/import/holdingsImport.ts</t>
        </is>
      </c>
      <c r="D639" s="3" t="n">
        <v>56</v>
      </c>
      <c r="E639" s="3" t="inlineStr">
        <is>
          <t>3 · DEPENDENT</t>
        </is>
      </c>
      <c r="F639" s="3" t="inlineStr">
        <is>
          <t>NOT DETERMINED — the code carries no note saying what this is for, and it has no row in the old inventory. Needs reading.</t>
        </is>
      </c>
      <c r="G639" s="11" t="inlineStr">
        <is>
          <t>c = b64.replace( ÷ [^A − za − z0 − 9+ ÷ ] ÷ g, '')
out = []
e1 = B64.index of(c[i]), e2 = B64.index of(c[i + 1]), e3 = B64.index of(c[i + 2]), e4 = B64.index of(c[i + 3])
n = (e1 &lt;&lt; 18) | (e2 &lt;&lt; 12) | ((e3 &amp; 63) &lt;&lt; 6) | (e4 &amp; 63)
the answer = out</t>
        </is>
      </c>
      <c r="H639"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39" s="3" t="inlineStr">
        <is>
          <t>PARTLY READ — some of the code is still showing through; needs a hand pass</t>
        </is>
      </c>
      <c r="J639" s="3" t="inlineStr">
        <is>
          <t>b64: string</t>
        </is>
      </c>
      <c r="K639" s="3" t="inlineStr">
        <is>
          <t>number[]</t>
        </is>
      </c>
      <c r="L639" s="3" t="inlineStr">
        <is>
          <t>—</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MK-XS-F-124</t>
        </is>
      </c>
      <c r="B640" s="3" t="inlineStr">
        <is>
          <t>decodeUtf8</t>
        </is>
      </c>
      <c r="C640" s="3" t="inlineStr">
        <is>
          <t>src/domain/import/holdingsImport.ts</t>
        </is>
      </c>
      <c r="D640" s="3" t="n">
        <v>88</v>
      </c>
      <c r="E640" s="3" t="inlineStr">
        <is>
          <t>3 · DEPENDENT</t>
        </is>
      </c>
      <c r="F640" s="3" t="inlineStr">
        <is>
          <t>NOT DETERMINED — the code carries no note saying what this is for, and it has no row in the old inventory. Needs reading.</t>
        </is>
      </c>
      <c r="G640" s="11" t="inlineStr">
        <is>
          <t>s = ''
c = b[i++]
the answer = s</t>
        </is>
      </c>
      <c r="H640" s="3" t="inlineStr">
        <is>
          <t>S is ''. C is b[i++]. The answer is s.</t>
        </is>
      </c>
      <c r="I640" s="3" t="inlineStr">
        <is>
          <t>READ FROM THE CODE — rendered from the expressions the function runs</t>
        </is>
      </c>
      <c r="J640" s="3" t="inlineStr">
        <is>
          <t>1. b: number[]
2. start = 0</t>
        </is>
      </c>
      <c r="K640" s="3" t="inlineStr">
        <is>
          <t>string</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MK-XS-F-125</t>
        </is>
      </c>
      <c r="B641" s="3" t="inlineStr">
        <is>
          <t>decodeUtf16</t>
        </is>
      </c>
      <c r="C641" s="3" t="inlineStr">
        <is>
          <t>src/domain/import/holdingsImport.ts</t>
        </is>
      </c>
      <c r="D641" s="3" t="n">
        <v>118</v>
      </c>
      <c r="E641" s="3" t="inlineStr">
        <is>
          <t>3 · DEPENDENT</t>
        </is>
      </c>
      <c r="F641" s="3" t="inlineStr">
        <is>
          <t>NOT DETERMINED — the code carries no note saying what this is for, and it has no row in the old inventory. Needs reading.</t>
        </is>
      </c>
      <c r="G641" s="11" t="inlineStr">
        <is>
          <t>s = ''
[LOOP — the answer is found inside a loop the extractor cannot render; the steps above are the ones before it. Read by hand.]</t>
        </is>
      </c>
      <c r="H641" s="3" t="inlineStr">
        <is>
          <t>S is ''. The answer is s. The answer is found inside a loop that cannot be rendered here; read the code by hand.</t>
        </is>
      </c>
      <c r="I641" s="3" t="inlineStr">
        <is>
          <t>PARTLY READ — the body has a loop the extractor cannot render; the steps shown are the ones before it. Needs a hand pass (G23).</t>
        </is>
      </c>
      <c r="J641" s="3" t="inlineStr">
        <is>
          <t>1. b: number[]
2. start: number
3. le: boolean</t>
        </is>
      </c>
      <c r="K641" s="3" t="inlineStr">
        <is>
          <t>string</t>
        </is>
      </c>
      <c r="L641" s="3" t="inlineStr">
        <is>
          <t>—</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2026-09-08</t>
        </is>
      </c>
      <c r="W641" s="3" t="n"/>
      <c r="X641" s="3" t="n"/>
      <c r="Y641" s="3" t="inlineStr">
        <is>
          <t>NOTHING OPEN</t>
        </is>
      </c>
    </row>
    <row r="642" ht="60" customHeight="1">
      <c r="A642" s="3" t="inlineStr">
        <is>
          <t>MK-XS-F-126</t>
        </is>
      </c>
      <c r="B642" s="3" t="inlineStr">
        <is>
          <t>findCol</t>
        </is>
      </c>
      <c r="C642" s="3" t="inlineStr">
        <is>
          <t>src/domain/import/holdingsImport.ts</t>
        </is>
      </c>
      <c r="D642" s="3" t="n">
        <v>258</v>
      </c>
      <c r="E642" s="3" t="inlineStr">
        <is>
          <t>3 · DEPENDENT</t>
        </is>
      </c>
      <c r="F642" s="3" t="inlineStr">
        <is>
          <t>NOT DETERMINED — the code carries no note saying what this is for, and it has no row in the old inventory. Needs reading.</t>
        </is>
      </c>
      <c r="G642" s="11" t="inlineStr">
        <is>
          <t>i = headers.find index((h) =&gt; re.test(h))
i   when i ≥ 0
[LOOP — the answer is found inside a loop the extractor cannot render; the steps above are the ones before it. Read by hand.]</t>
        </is>
      </c>
      <c r="H642" s="3" t="inlineStr">
        <is>
          <t>I is headers.find index((h) =&gt; re.test(h)). When i is at least 0, it answers i. The answer is -1. The answer is found inside a loop that cannot be rendered here; read the code by hand.</t>
        </is>
      </c>
      <c r="I642" s="3" t="inlineStr">
        <is>
          <t>PARTLY READ — the body has a loop the extractor cannot render; the steps shown are the ones before it. Needs a hand pass (G23).</t>
        </is>
      </c>
      <c r="J642" s="3" t="inlineStr">
        <is>
          <t>1. headers: string[]
2. patterns: RegExp[]</t>
        </is>
      </c>
      <c r="K642" s="3" t="inlineStr">
        <is>
          <t>number</t>
        </is>
      </c>
      <c r="L642" s="3" t="inlineStr">
        <is>
          <t>—</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2026-09-08</t>
        </is>
      </c>
      <c r="W642" s="3" t="n"/>
      <c r="X642" s="3" t="n"/>
      <c r="Y642" s="3" t="inlineStr">
        <is>
          <t>NOTHING OPEN</t>
        </is>
      </c>
    </row>
    <row r="643" ht="60" customHeight="1">
      <c r="A643" s="3" t="inlineStr">
        <is>
          <t>MK-XS-F-127</t>
        </is>
      </c>
      <c r="B643" s="3" t="inlineStr">
        <is>
          <t>toIsoDate</t>
        </is>
      </c>
      <c r="C643" s="3" t="inlineStr">
        <is>
          <t>src/domain/import/holdingsImport.ts</t>
        </is>
      </c>
      <c r="D643" s="3" t="n">
        <v>290</v>
      </c>
      <c r="E643" s="3" t="inlineStr">
        <is>
          <t>3 · DEPENDENT</t>
        </is>
      </c>
      <c r="F643" s="3" t="inlineStr">
        <is>
          <t>Normalise a date cell to 'YYYY-MM-DD', or undefined if it isn't a usable date.</t>
        </is>
      </c>
      <c r="G643" s="11" t="inlineStr">
        <is>
          <t>t = (v ?? '').trim()
undefined   when t is missing
m = match( ÷ ^(\d{4})[- ÷ ](\d{1,2})[- ÷ ](\d{1,2})$ ÷ )
`${m[1]}-${m[2].pad start(2, '0')}-${m[3].pad start(2, '0')}`   when m
`${m[3]}-${m[1].pad start(2, '0')}-${m[2].pad start(2, '0')}`   when m
the answer = undefined</t>
        </is>
      </c>
      <c r="H643" s="3" t="inlineStr">
        <is>
          <t>T is (v ?? '').trim(). When t is missing, it answers undefined. M is match( divided by ^(\d{4})[- divided by ](\d{1,2})[- divided by ](\d{1,2})$ divided by ). When m, it answers `${m[1]}-${m[2].pad start(2, '0')}-${m[3].pad start(2, '0')}`. When m, it answers `${m[3]}-${m[1].pad start(2, '0')}-${m[2].pad start(2, '0')}`. The answer is undefined.</t>
        </is>
      </c>
      <c r="I643" s="3" t="inlineStr">
        <is>
          <t>PARTLY READ — some of the code is still showing through; needs a hand pass</t>
        </is>
      </c>
      <c r="J643" s="3" t="inlineStr">
        <is>
          <t>v: string</t>
        </is>
      </c>
      <c r="K643" s="3" t="inlineStr">
        <is>
          <t>string | undefined</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MK-XS-F-128</t>
        </is>
      </c>
      <c r="B644" s="3" t="inlineStr">
        <is>
          <t>cleanTicker</t>
        </is>
      </c>
      <c r="C644" s="3" t="inlineStr">
        <is>
          <t>src/domain/import/holdingsImport.ts</t>
        </is>
      </c>
      <c r="D644" s="3" t="n">
        <v>323</v>
      </c>
      <c r="E644" s="3" t="inlineStr">
        <is>
          <t>3 · DEPENDENT</t>
        </is>
      </c>
      <c r="F644" s="3" t="inlineStr">
        <is>
          <t>A plausible tradeable ticker: 1–10 chars, letters/digits/.-, at least one letter, no spaces.</t>
        </is>
      </c>
      <c r="G644"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44"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44" s="3" t="inlineStr">
        <is>
          <t>PARTLY READ — some of the code is still showing through; needs a hand pass</t>
        </is>
      </c>
      <c r="J644" s="3" t="inlineStr">
        <is>
          <t>v: string</t>
        </is>
      </c>
      <c r="K644" s="3" t="inlineStr">
        <is>
          <t>string | null</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MK-XS-F-129</t>
        </is>
      </c>
      <c r="B645" s="3" t="inlineStr">
        <is>
          <t>findHeaderRow</t>
        </is>
      </c>
      <c r="C645" s="3" t="inlineStr">
        <is>
          <t>src/domain/import/holdingsImport.ts</t>
        </is>
      </c>
      <c r="D645" s="3" t="n">
        <v>381</v>
      </c>
      <c r="E645" s="3" t="inlineStr">
        <is>
          <t>3 · DEPENDENT</t>
        </is>
      </c>
      <c r="F645" s="3" t="inlineStr">
        <is>
          <t>Find the real positions header — the first row that has BOTH a symbol/ticker AND a quantity/shares column (skips brokerage preambles like "Account Summary" and filter headers).</t>
        </is>
      </c>
      <c r="G645"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45"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45" s="3" t="inlineStr">
        <is>
          <t>PARTLY READ — the body has a loop the extractor cannot render; the steps shown are the ones before it. Needs a hand pass (G23).</t>
        </is>
      </c>
      <c r="J645" s="3" t="inlineStr">
        <is>
          <t>rows: string[][]</t>
        </is>
      </c>
      <c r="K645" s="3" t="inlineStr">
        <is>
          <t>number</t>
        </is>
      </c>
      <c r="L645" s="3" t="inlineStr">
        <is>
          <t>—</t>
        </is>
      </c>
      <c r="M645" s="3" t="inlineStr">
        <is>
          <t>None found in this function — anything it assumes comes from the functions it depends on.</t>
        </is>
      </c>
      <c r="N645" s="3" t="inlineStr">
        <is>
          <t>Yes</t>
        </is>
      </c>
      <c r="O645" s="3" t="inlineStr">
        <is>
          <t>MK-CF-F-132 map</t>
        </is>
      </c>
      <c r="P645" s="3" t="n">
        <v>1</v>
      </c>
      <c r="Q645" s="3" t="inlineStr">
        <is>
          <t>MK-CF-F-132 map</t>
        </is>
      </c>
      <c r="R645" s="3" t="inlineStr">
        <is>
          <t>MK-CF-F-132 map → MK-XS-F-129 findHeaderRow</t>
        </is>
      </c>
      <c r="S645" s="3" t="inlineStr">
        <is>
          <t>—</t>
        </is>
      </c>
      <c r="T645" s="3" t="inlineStr">
        <is>
          <t>—</t>
        </is>
      </c>
      <c r="U645" s="3" t="inlineStr">
        <is>
          <t>ACTIVE</t>
        </is>
      </c>
      <c r="V645" s="3" t="inlineStr">
        <is>
          <t>2026-09-08</t>
        </is>
      </c>
      <c r="W645" s="3" t="n"/>
      <c r="X645" s="3" t="n"/>
      <c r="Y645" s="3" t="inlineStr">
        <is>
          <t>NOTHING OPEN</t>
        </is>
      </c>
    </row>
    <row r="646" ht="60" customHeight="1">
      <c r="A646" s="3" t="inlineStr">
        <is>
          <t>MK-XS-F-130</t>
        </is>
      </c>
      <c r="B646" s="3" t="inlineStr">
        <is>
          <t>normInst</t>
        </is>
      </c>
      <c r="C646" s="3" t="inlineStr">
        <is>
          <t>src/domain/import/holdingsImport.ts</t>
        </is>
      </c>
      <c r="D646" s="3" t="n">
        <v>512</v>
      </c>
      <c r="E646" s="3" t="inlineStr">
        <is>
          <t>1 · ACTION</t>
        </is>
      </c>
      <c r="F646" s="3" t="inlineStr">
        <is>
          <t>NOT DETERMINED — the code carries no note saying what this is for, and it has no row in the old inventory. Needs reading.</t>
        </is>
      </c>
      <c r="G646" s="11" t="inlineStr">
        <is>
          <t>(s ?? '').trim().to lower case().replace( ÷ [^a − z0 − 9] ÷ g, '')</t>
        </is>
      </c>
      <c r="H646" s="3" t="inlineStr">
        <is>
          <t>(s ?? '').trim().to lower case().replace( divided by [^a minus z0 minus 9] divided by g, '')</t>
        </is>
      </c>
      <c r="I646" s="3" t="inlineStr">
        <is>
          <t>PARTLY READ — some of the code is still showing through; needs a hand pass</t>
        </is>
      </c>
      <c r="J646" s="3" t="inlineStr">
        <is>
          <t>s?: string</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MK-XS-F-131</t>
        </is>
      </c>
      <c r="B647" s="3" t="inlineStr">
        <is>
          <t>toInt</t>
        </is>
      </c>
      <c r="C647" s="3" t="inlineStr">
        <is>
          <t>src/domain/profile/onboarding.ts</t>
        </is>
      </c>
      <c r="D647" s="3" t="n">
        <v>28</v>
      </c>
      <c r="E647" s="3" t="inlineStr">
        <is>
          <t>3 · DEPENDENT</t>
        </is>
      </c>
      <c r="F647" s="3" t="inlineStr">
        <is>
          <t>NOT DETERMINED — the code carries no note saying what this is for, and it has no row in the old inventory. Needs reading.</t>
        </is>
      </c>
      <c r="G647" s="11" t="inlineStr">
        <is>
          <t>n = parse int(string(v ?? '').replace( ÷ [^0 − 9] ÷ g, ''), 10)
the answer:
n   if number.is finite(n)
nothing   otherwise</t>
        </is>
      </c>
      <c r="H647" s="3" t="inlineStr">
        <is>
          <t>N is parse int(string(v ?? '').replace( divided by [^0 minus 9] divided by g, ''), 10). The answer is n — when number.is finite(n); no answer — otherwise.</t>
        </is>
      </c>
      <c r="I647" s="3" t="inlineStr">
        <is>
          <t>PARTLY READ — some of the code is still showing through; needs a hand pass</t>
        </is>
      </c>
      <c r="J647" s="3" t="inlineStr">
        <is>
          <t>v: any</t>
        </is>
      </c>
      <c r="K647" s="3" t="inlineStr">
        <is>
          <t>number | null</t>
        </is>
      </c>
      <c r="L647" s="3" t="inlineStr">
        <is>
          <t>—</t>
        </is>
      </c>
      <c r="M647" s="3" t="inlineStr">
        <is>
          <t>None found in this function — anything it assumes comes from the functions it depends on.</t>
        </is>
      </c>
      <c r="N647" s="3" t="inlineStr">
        <is>
          <t>Yes</t>
        </is>
      </c>
      <c r="O647" s="3" t="inlineStr">
        <is>
          <t>MK-XS-F-122 n</t>
        </is>
      </c>
      <c r="P647" s="3" t="n">
        <v>1</v>
      </c>
      <c r="Q647" s="3" t="inlineStr">
        <is>
          <t>MK-XS-F-122 n</t>
        </is>
      </c>
      <c r="R647" s="3" t="inlineStr">
        <is>
          <t>MK-XS-F-122 n → MK-XS-F-131 toInt</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MK-XS-F-132</t>
        </is>
      </c>
      <c r="B648" s="3" t="inlineStr">
        <is>
          <t>load</t>
        </is>
      </c>
      <c r="C648" s="3" t="inlineStr">
        <is>
          <t>src/services/appLock.ts</t>
        </is>
      </c>
      <c r="D648" s="3" t="n">
        <v>25</v>
      </c>
      <c r="E648" s="3" t="inlineStr">
        <is>
          <t>3 · DEPENDENT</t>
        </is>
      </c>
      <c r="F648" s="3" t="inlineStr">
        <is>
          <t>NOT DETERMINED — the code carries no note saying what this is for, and it has no row in the old inventory. Needs reading.</t>
        </is>
      </c>
      <c r="G648" s="11" t="inlineStr">
        <is>
          <t>LA   when LA
LA</t>
        </is>
      </c>
      <c r="H648" s="3" t="inlineStr">
        <is>
          <t>When LA, it answers LA. LA.</t>
        </is>
      </c>
      <c r="I648" s="3" t="inlineStr">
        <is>
          <t>READ FROM THE CODE — rendered from the expressions the function runs</t>
        </is>
      </c>
      <c r="J648" s="3" t="inlineStr">
        <is>
          <t>Nothing is handed to it</t>
        </is>
      </c>
      <c r="K648" s="3" t="inlineStr">
        <is>
          <t>any</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MK-XS-F-133</t>
        </is>
      </c>
      <c r="B649" s="3" t="inlineStr">
        <is>
          <t>loadSentry</t>
        </is>
      </c>
      <c r="C649" s="3" t="inlineStr">
        <is>
          <t>src/services/crashReporter.ts</t>
        </is>
      </c>
      <c r="D649" s="3" t="n">
        <v>33</v>
      </c>
      <c r="E649" s="3" t="inlineStr">
        <is>
          <t>3 · DEPENDENT</t>
        </is>
      </c>
      <c r="F649" s="3" t="inlineStr">
        <is>
          <t>NOT DETERMINED — the code carries no note saying what this is for, and it has no row in the old inventory. Needs reading.</t>
        </is>
      </c>
      <c r="G649" s="11" t="inlineStr">
        <is>
          <t>the answer = the crash-reporting module, or nothing when it is absent</t>
        </is>
      </c>
      <c r="H649" s="3" t="inlineStr">
        <is>
          <t>Loads the crash reporter if it is installed. Not a calculation.</t>
        </is>
      </c>
      <c r="I649" s="3" t="inlineStr">
        <is>
          <t>READ BY HAND 2026-08-26 — checked line by line against the code</t>
        </is>
      </c>
      <c r="J649" s="3" t="inlineStr">
        <is>
          <t>Nothing is handed to it</t>
        </is>
      </c>
      <c r="K649" s="3" t="inlineStr">
        <is>
          <t>any</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MK-XS-F-134</t>
        </is>
      </c>
      <c r="B650" s="3" t="inlineStr">
        <is>
          <t>installGlobalHandler</t>
        </is>
      </c>
      <c r="C650" s="3" t="inlineStr">
        <is>
          <t>src/services/crashReporter.ts</t>
        </is>
      </c>
      <c r="D650" s="3" t="n">
        <v>94</v>
      </c>
      <c r="E650" s="3" t="inlineStr">
        <is>
          <t>1 · ACTION</t>
        </is>
      </c>
      <c r="F650" s="3" t="inlineStr">
        <is>
          <t>NOT DETERMINED — the code carries no note saying what this is for, and it has no row in the old inventory. Needs reading.</t>
        </is>
      </c>
      <c r="G650" s="11" t="inlineStr">
        <is>
          <t>g = global this as any
prev = error utils.get global handler.()</t>
        </is>
      </c>
      <c r="H650" s="3" t="inlineStr">
        <is>
          <t>G is global this as any. Prev is error utils.get global handler.().</t>
        </is>
      </c>
      <c r="I650" s="3" t="inlineStr">
        <is>
          <t>READ FROM THE CODE — rendered from the expressions the function runs</t>
        </is>
      </c>
      <c r="J650" s="3" t="inlineStr">
        <is>
          <t>Nothing is handed to it</t>
        </is>
      </c>
      <c r="K650" s="3" t="inlineStr">
        <is>
          <t>void</t>
        </is>
      </c>
      <c r="L650" s="3" t="inlineStr">
        <is>
          <t>—</t>
        </is>
      </c>
      <c r="M650" s="3" t="inlineStr">
        <is>
          <t>None found in this function — anything it assumes comes from the functions it depends on.</t>
        </is>
      </c>
      <c r="N650" s="3" t="inlineStr">
        <is>
          <t>Yes</t>
        </is>
      </c>
      <c r="O650" s="3" t="inlineStr">
        <is>
          <t>MK-XS-F-037 captureException</t>
        </is>
      </c>
      <c r="P650" s="3" t="n">
        <v>1</v>
      </c>
      <c r="Q650" s="3" t="inlineStr">
        <is>
          <t>MK-XS-F-037 captureException</t>
        </is>
      </c>
      <c r="R650" s="3" t="inlineStr">
        <is>
          <t>MK-XS-F-037 captureException → MK-XS-F-134 installGlobalHandler</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MK-XS-F-135</t>
        </is>
      </c>
      <c r="B651" s="3" t="inlineStr">
        <is>
          <t>secureGet</t>
        </is>
      </c>
      <c r="C651" s="3" t="inlineStr">
        <is>
          <t>src/services/dataCrypto.ts</t>
        </is>
      </c>
      <c r="D651" s="3" t="n">
        <v>48</v>
      </c>
      <c r="E651" s="3" t="inlineStr">
        <is>
          <t>4 · BRINGS DATA IN</t>
        </is>
      </c>
      <c r="F651" s="3" t="inlineStr">
        <is>
          <t>NOT DETERMINED — the code carries no note saying what this is for, and it has no row in the old inventory. Needs reading.</t>
        </is>
      </c>
      <c r="G651" s="11" t="inlineStr">
        <is>
          <t>It reaches outside the app for data and hands back what came back — no arithmetic of its own.</t>
        </is>
      </c>
      <c r="H651" s="3" t="inlineStr">
        <is>
          <t>It reaches outside the app for data and hands back what came back — no arithmetic of its own.</t>
        </is>
      </c>
      <c r="I651" s="3" t="inlineStr">
        <is>
          <t>NO ARITHMETIC — there is no formula to state</t>
        </is>
      </c>
      <c r="J651" s="3" t="inlineStr">
        <is>
          <t>name: string</t>
        </is>
      </c>
      <c r="K651" s="3" t="inlineStr">
        <is>
          <t>Promise&lt;string | null&gt;</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MK-XS-F-136</t>
        </is>
      </c>
      <c r="B652" s="3" t="inlineStr">
        <is>
          <t>secureSet</t>
        </is>
      </c>
      <c r="C652" s="3" t="inlineStr">
        <is>
          <t>src/services/dataCrypto.ts</t>
        </is>
      </c>
      <c r="D652" s="3" t="n">
        <v>72</v>
      </c>
      <c r="E652" s="3" t="inlineStr">
        <is>
          <t>1 · ACTION</t>
        </is>
      </c>
      <c r="F652" s="3" t="inlineStr">
        <is>
          <t>NOT DETERMINED — the code carries no note saying what this is for, and it has no row in the old inventory. Needs reading.</t>
        </is>
      </c>
      <c r="G652" s="11" t="inlineStr">
        <is>
          <t>It reaches outside the app for data and hands back what came back — no arithmetic of its own.</t>
        </is>
      </c>
      <c r="H652" s="3" t="inlineStr">
        <is>
          <t>It reaches outside the app for data and hands back what came back — no arithmetic of its own.</t>
        </is>
      </c>
      <c r="I652" s="3" t="inlineStr">
        <is>
          <t>NO ARITHMETIC — there is no formula to state</t>
        </is>
      </c>
      <c r="J652" s="3" t="inlineStr">
        <is>
          <t>1. name: string
2. value: string</t>
        </is>
      </c>
      <c r="K652" s="3" t="inlineStr">
        <is>
          <t>Promise&lt;void&gt;</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MK-XS-F-137</t>
        </is>
      </c>
      <c r="B653" s="3" t="inlineStr">
        <is>
          <t>secureDelete</t>
        </is>
      </c>
      <c r="C653" s="3" t="inlineStr">
        <is>
          <t>src/services/dataCrypto.ts</t>
        </is>
      </c>
      <c r="D653" s="3" t="n">
        <v>95</v>
      </c>
      <c r="E653" s="3" t="inlineStr">
        <is>
          <t>1 · ACTION</t>
        </is>
      </c>
      <c r="F653" s="3" t="inlineStr">
        <is>
          <t>NOT DETERMINED — the code carries no note saying what this is for, and it has no row in the old inventory. Needs reading.</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name: string</t>
        </is>
      </c>
      <c r="K653" s="3" t="inlineStr">
        <is>
          <t>Promise&lt;void&gt;</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MK-XS-F-138</t>
        </is>
      </c>
      <c r="B654" s="3" t="inlineStr">
        <is>
          <t>deriveKeyFromSecret</t>
        </is>
      </c>
      <c r="C654" s="3" t="inlineStr">
        <is>
          <t>src/services/dataCrypto.ts</t>
        </is>
      </c>
      <c r="D654" s="3" t="n">
        <v>262</v>
      </c>
      <c r="E654" s="3" t="inlineStr">
        <is>
          <t>3 · DEPENDENT</t>
        </is>
      </c>
      <c r="F654" s="3" t="inlineStr">
        <is>
          <t>── Wrapping (lock/unlock the DEK with a password or recovery code) ───</t>
        </is>
      </c>
      <c r="G654" s="11" t="inlineStr">
        <is>
          <t>crypto js.PBKDF2(secret.trim(), uid, { key size: 256 ÷ 32, iterations: PBKDF2_ITERS }).to string(crypto js.enc.hex)</t>
        </is>
      </c>
      <c r="H654" s="3" t="inlineStr">
        <is>
          <t>crypto js.PBKDF2(secret.trim(), uid, { key size: 256 divided by 32, iterations: PBKDF2_ITERS }).to string(crypto js.enc.hex).</t>
        </is>
      </c>
      <c r="I654" s="3" t="inlineStr">
        <is>
          <t>PARTLY READ — some of the code is still showing through; needs a hand pass</t>
        </is>
      </c>
      <c r="J654" s="3" t="inlineStr">
        <is>
          <t>1. secret: string
2. uid: string</t>
        </is>
      </c>
      <c r="K654" s="3" t="inlineStr">
        <is>
          <t>string</t>
        </is>
      </c>
      <c r="L654" s="3" t="inlineStr">
        <is>
          <t>—</t>
        </is>
      </c>
      <c r="M654" s="3" t="inlineStr">
        <is>
          <t>None found in this function — anything it assumes comes from the functions it depends on.</t>
        </is>
      </c>
      <c r="N654" s="3" t="inlineStr">
        <is>
          <t>Yes</t>
        </is>
      </c>
      <c r="O654" s="3" t="inlineStr">
        <is>
          <t>MK-XS-F-175 uid</t>
        </is>
      </c>
      <c r="P654" s="3" t="n">
        <v>80</v>
      </c>
      <c r="Q65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54"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MK-XS-F-139</t>
        </is>
      </c>
      <c r="B655" s="3" t="inlineStr">
        <is>
          <t>wrapWithSecret</t>
        </is>
      </c>
      <c r="C655" s="3" t="inlineStr">
        <is>
          <t>src/services/dataCrypto.ts</t>
        </is>
      </c>
      <c r="D655" s="3" t="n">
        <v>287</v>
      </c>
      <c r="E655" s="3" t="inlineStr">
        <is>
          <t>3 · DEPENDENT</t>
        </is>
      </c>
      <c r="F655" s="3" t="inlineStr">
        <is>
          <t>NOT DETERMINED — the code carries no note saying what this is for, and it has no row in the old inventory. Needs reading.</t>
        </is>
      </c>
      <c r="G655" s="11" t="inlineStr">
        <is>
          <t>encrypt with key(dek, derive key from secret(secret, uid))</t>
        </is>
      </c>
      <c r="H655" s="3" t="inlineStr">
        <is>
          <t>encrypt with key(dek, derive key from secret(secret, uid)).</t>
        </is>
      </c>
      <c r="I655" s="3" t="inlineStr">
        <is>
          <t>READ FROM THE CODE — rendered from the expressions the function runs</t>
        </is>
      </c>
      <c r="J655" s="3" t="inlineStr">
        <is>
          <t>1. dek: string
2. uid: string
3. secret: string</t>
        </is>
      </c>
      <c r="K655" s="3" t="inlineStr">
        <is>
          <t>string</t>
        </is>
      </c>
      <c r="L655" s="3" t="inlineStr">
        <is>
          <t>—</t>
        </is>
      </c>
      <c r="M655" s="3" t="inlineStr">
        <is>
          <t>None found in this function — anything it assumes comes from the functions it depends on.</t>
        </is>
      </c>
      <c r="N655" s="3" t="inlineStr">
        <is>
          <t>Yes</t>
        </is>
      </c>
      <c r="O655" s="3" t="inlineStr">
        <is>
          <t>1. MK-XS-F-138 deriveKeyFromSecret
2. MK-XS-F-052 encryptWithKey
3. MK-XS-F-175 uid</t>
        </is>
      </c>
      <c r="P655" s="3" t="n">
        <v>82</v>
      </c>
      <c r="Q655"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55"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MK-XS-F-140</t>
        </is>
      </c>
      <c r="B656" s="3" t="inlineStr">
        <is>
          <t>fetchInflation</t>
        </is>
      </c>
      <c r="C656" s="3" t="inlineStr">
        <is>
          <t>src/services/economicData.ts</t>
        </is>
      </c>
      <c r="D656" s="3" t="n">
        <v>111</v>
      </c>
      <c r="E656" s="3" t="inlineStr">
        <is>
          <t>4 · BRINGS DATA IN</t>
        </is>
      </c>
      <c r="F656" s="3" t="inlineStr">
        <is>
          <t>NOT DETERMINED — the code carries no note saying what this is for, and it has no row in the old inventory. Needs reading.</t>
        </is>
      </c>
      <c r="G656" s="11" t="inlineStr">
        <is>
          <t>res = await fetch(BLS_API + BLS_CPI_SERIES)
json = await res.json()
series = json.results.series.[0].data
latest = parse float(series[0].value)
year ago = parse float(series[12].value)
rate = ((latest − year ago) ÷ year ago) × 100
the answer = round(rate, 2 dp)</t>
        </is>
      </c>
      <c r="H656"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56" s="3" t="inlineStr">
        <is>
          <t>PARTLY READ — some of the code is still showing through; needs a hand pass</t>
        </is>
      </c>
      <c r="J656" s="3" t="inlineStr">
        <is>
          <t>Nothing is handed to it</t>
        </is>
      </c>
      <c r="K656" s="3" t="inlineStr">
        <is>
          <t>Promise&lt;number&gt;</t>
        </is>
      </c>
      <c r="L656" s="3" t="inlineStr">
        <is>
          <t>—</t>
        </is>
      </c>
      <c r="M656" s="3" t="inlineStr">
        <is>
          <t>· Rounds the answer to two decimals (cents).</t>
        </is>
      </c>
      <c r="N656" s="3" t="inlineStr">
        <is>
          <t>No</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MK-XS-F-141</t>
        </is>
      </c>
      <c r="B657" s="3" t="inlineStr">
        <is>
          <t>fetchTreasuryYield</t>
        </is>
      </c>
      <c r="C657" s="3" t="inlineStr">
        <is>
          <t>src/services/economicData.ts</t>
        </is>
      </c>
      <c r="D657" s="3" t="n">
        <v>153</v>
      </c>
      <c r="E657" s="3" t="inlineStr">
        <is>
          <t>4 · BRINGS DATA IN</t>
        </is>
      </c>
      <c r="F657" s="3" t="inlineStr">
        <is>
          <t>NOT DETERMINED — the code carries no note saying what this is for, and it has no row in the old inventory. Needs reading.</t>
        </is>
      </c>
      <c r="G657" s="11" t="inlineStr">
        <is>
          <t>res = await fetch(TREASURY_API)
csv = await res.text()
rows = csv.trim().split('\n').slice(1)
value = rows[i].split(',')[1].trim()
rate = parse float(value)
[LOOP — the answer is found inside a loop the extractor cannot render; the steps above are the ones before it. Read by hand.]</t>
        </is>
      </c>
      <c r="H657" s="3" t="inlineStr">
        <is>
          <t>Res is await fetch(TREASURY_API). Csv is await res.text(). Rows is csv.trim().split('\n').slice(1). Value is rows[i].split(',')[1].trim(). Rate is parse float(value). The answer is rate, to the cent. The answer is found inside a loop that cannot be rendered here; read the code by hand.</t>
        </is>
      </c>
      <c r="I657" s="3" t="inlineStr">
        <is>
          <t>PARTLY READ — the body has a loop the extractor cannot render; the steps shown are the ones before it. Needs a hand pass (G23).</t>
        </is>
      </c>
      <c r="J657" s="3" t="inlineStr">
        <is>
          <t>Nothing is handed to it</t>
        </is>
      </c>
      <c r="K657" s="3" t="inlineStr">
        <is>
          <t>Promise&lt;number&gt;</t>
        </is>
      </c>
      <c r="L657" s="3" t="inlineStr">
        <is>
          <t>—</t>
        </is>
      </c>
      <c r="M657" s="3" t="inlineStr">
        <is>
          <t>· Rounds the answer to two decimals (cents).</t>
        </is>
      </c>
      <c r="N657" s="3" t="inlineStr">
        <is>
          <t>No</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MK-XS-F-142</t>
        </is>
      </c>
      <c r="B658" s="3" t="inlineStr">
        <is>
          <t>makeInviteCode</t>
        </is>
      </c>
      <c r="C658" s="3" t="inlineStr">
        <is>
          <t>src/services/firebase.ts</t>
        </is>
      </c>
      <c r="D658" s="3" t="n">
        <v>535</v>
      </c>
      <c r="E658" s="3" t="inlineStr">
        <is>
          <t>3 · DEPENDENT</t>
        </is>
      </c>
      <c r="F658" s="3" t="inlineStr">
        <is>
          <t>── Household / spouse invites ───────────────────────────────────── Spouses share ONE data document: all reads/writes go to users/{householdId} where householdId = the inviter's uid.</t>
        </is>
      </c>
      <c r="G658" s="11" t="inlineStr">
        <is>
          <t>alphabet = 'ABCDEFGHJKMNPQRSTUVWXYZ23456789'
the answer = array.from({ length: 6 }, () =&gt; ALPHABET[math.floor(math.random() × ALPHABET.length)]).join('')</t>
        </is>
      </c>
      <c r="H658" s="3" t="inlineStr">
        <is>
          <t>Alphabet is 'ABCDEFGHJKMNPQRSTUVWXYZ23456789'. The answer is array.from({ length: 6 }, () =&gt; ALPHABET[math.floor(math.random() times ALPHABET.length)]).join('').</t>
        </is>
      </c>
      <c r="I658" s="3" t="inlineStr">
        <is>
          <t>PARTLY READ — some of the code is still showing through; needs a hand pass</t>
        </is>
      </c>
      <c r="J658" s="3" t="inlineStr">
        <is>
          <t>Nothing is handed to it</t>
        </is>
      </c>
      <c r="K658" s="3" t="inlineStr">
        <is>
          <t>string</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MK-XS-F-143</t>
        </is>
      </c>
      <c r="B659" s="3" t="inlineStr">
        <is>
          <t>yahooSymbol</t>
        </is>
      </c>
      <c r="C659" s="3" t="inlineStr">
        <is>
          <t>src/services/marketData.ts</t>
        </is>
      </c>
      <c r="D659" s="3" t="n">
        <v>40</v>
      </c>
      <c r="E659" s="3" t="inlineStr">
        <is>
          <t>4 · BRINGS DATA IN</t>
        </is>
      </c>
      <c r="F659" s="3" t="inlineStr">
        <is>
          <t>Map a plain ticker to the provider's symbol convention (crypto needs the -USD pair on Yahoo).</t>
        </is>
      </c>
      <c r="G659"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59"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59" s="3" t="inlineStr">
        <is>
          <t>PARTLY READ — some of the code is still showing through; needs a hand pass</t>
        </is>
      </c>
      <c r="J659" s="3" t="inlineStr">
        <is>
          <t>ticker: string</t>
        </is>
      </c>
      <c r="K659" s="3" t="inlineStr">
        <is>
          <t>string</t>
        </is>
      </c>
      <c r="L659" s="3" t="inlineStr">
        <is>
          <t>—</t>
        </is>
      </c>
      <c r="M659" s="3" t="inlineStr">
        <is>
          <t>None found in this function — anything it assumes comes from the functions it depends on.</t>
        </is>
      </c>
      <c r="N659" s="3" t="inlineStr">
        <is>
          <t>No</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inlineStr">
        <is>
          <t>[from MK-NW-M-029, Formula (mathematical)] Is the formula embedded directly in the code and not as a separate function? Live price was to be sourced from Yahoo or similar engine.</t>
        </is>
      </c>
      <c r="X659" s="6" t="inlineStr">
        <is>
          <t>This is the feed: Yahoo Finance daily closes, free, no key. 'Current price' on the holding screen = the last close of this series, picked on the screen (no named function). Answer in full on MK-NW-M-029.</t>
        </is>
      </c>
      <c r="Y659" s="6" t="inlineStr">
        <is>
          <t>WAITING ON YOU — answer to read</t>
        </is>
      </c>
    </row>
    <row r="660" ht="60" customHeight="1">
      <c r="A660" s="3" t="inlineStr">
        <is>
          <t>MK-XS-F-144</t>
        </is>
      </c>
      <c r="B660" s="3" t="inlineStr">
        <is>
          <t>guessCategory</t>
        </is>
      </c>
      <c r="C660" s="3" t="inlineStr">
        <is>
          <t>src/services/receiptOCR.ts</t>
        </is>
      </c>
      <c r="D660" s="3" t="n">
        <v>287</v>
      </c>
      <c r="E660" s="3" t="inlineStr">
        <is>
          <t>3 · DEPENDENT (feeds an action only)</t>
        </is>
      </c>
      <c r="F660" s="3" t="inlineStr">
        <is>
          <t>NOT DETERMINED — the code carries no note saying what this is for, and it has no row in the old inventory. Needs reading.</t>
        </is>
      </c>
      <c r="G660"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60"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60" s="3" t="inlineStr">
        <is>
          <t>PARTLY READ — some of the code is still showing through; needs a hand pass</t>
        </is>
      </c>
      <c r="J660" s="3" t="inlineStr">
        <is>
          <t>1. store: string
2. text: string</t>
        </is>
      </c>
      <c r="K660" s="3" t="inlineStr">
        <is>
          <t>string</t>
        </is>
      </c>
      <c r="L660" s="3" t="inlineStr">
        <is>
          <t>—</t>
        </is>
      </c>
      <c r="M660" s="3" t="inlineStr">
        <is>
          <t>None found in this function — anything it assumes comes from the functions it depends on.</t>
        </is>
      </c>
      <c r="N660" s="3" t="inlineStr">
        <is>
          <t>No</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MK-XS-F-145</t>
        </is>
      </c>
      <c r="B661" s="3" t="inlineStr">
        <is>
          <t>flatSymbol</t>
        </is>
      </c>
      <c r="C661" s="3" t="inlineStr">
        <is>
          <t>src/services/sync/snaptrade.ts</t>
        </is>
      </c>
      <c r="D661" s="3" t="n">
        <v>170</v>
      </c>
      <c r="E661" s="3" t="inlineStr">
        <is>
          <t>3 · DEPENDENT (feeds an action only)</t>
        </is>
      </c>
      <c r="F661" s="3" t="inlineStr">
        <is>
          <t>── positions → our holdings ───────────────────────────────────────────────────────────────────</t>
        </is>
      </c>
      <c r="G661" s="11" t="inlineStr">
        <is>
          <t>s = symbol
nothing   when s is missing
the answer:
symbol   if symbol and typeof symbol = 'object'
s   otherwise</t>
        </is>
      </c>
      <c r="H661" s="3" t="inlineStr">
        <is>
          <t>S is symbol. When s is missing, it answers no answer. The answer is symbol — when symbol and typeof symbol = 'object'; s — otherwise.</t>
        </is>
      </c>
      <c r="I661" s="3" t="inlineStr">
        <is>
          <t>PARTLY READ — some of the code is still showing through; needs a hand pass</t>
        </is>
      </c>
      <c r="J661" s="3" t="inlineStr">
        <is>
          <t>p: StPosition</t>
        </is>
      </c>
      <c r="K661" s="3" t="inlineStr">
        <is>
          <t>StSymbol | null</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MK-XS-F-146</t>
        </is>
      </c>
      <c r="B662" s="3" t="inlineStr">
        <is>
          <t>prettyExpiry</t>
        </is>
      </c>
      <c r="C662" s="3" t="inlineStr">
        <is>
          <t>src/services/sync/snaptrade.ts</t>
        </is>
      </c>
      <c r="D662" s="3" t="n">
        <v>272</v>
      </c>
      <c r="E662" s="3" t="inlineStr">
        <is>
          <t>3 · DEPENDENT (feeds an action only)</t>
        </is>
      </c>
      <c r="F662" s="3" t="inlineStr">
        <is>
          <t>NOT DETERMINED — the code carries no note saying what this is for, and it has no row in the old inventory. Needs reading.</t>
        </is>
      </c>
      <c r="G662" s="11" t="inlineStr">
        <is>
          <t>`${MONTHS[m − 1]} ${d} ${y}`   if y and m and d
'unknown expiry'   otherwise</t>
        </is>
      </c>
      <c r="H662" s="3" t="inlineStr">
        <is>
          <t>`${MONTHS[m minus 1]} ${d} ${y}` — when y and m and d; 'unknown expiry' — otherwise.</t>
        </is>
      </c>
      <c r="I662" s="3" t="inlineStr">
        <is>
          <t>PARTLY READ — some of the code is still showing through; needs a hand pass</t>
        </is>
      </c>
      <c r="J662" s="3" t="inlineStr">
        <is>
          <t>iso: string | null | undefined</t>
        </is>
      </c>
      <c r="K662" s="3" t="inlineStr">
        <is>
          <t>NOT DECLARED — the code does not say what it gives back</t>
        </is>
      </c>
      <c r="L662" s="3" t="inlineStr">
        <is>
          <t>—</t>
        </is>
      </c>
      <c r="M662" s="3" t="inlineStr">
        <is>
          <t>None found in this function — anything it assumes comes from the functions it depends on.</t>
        </is>
      </c>
      <c r="N662" s="3" t="inlineStr">
        <is>
          <t>No</t>
        </is>
      </c>
      <c r="O662" s="3" t="inlineStr">
        <is>
          <t>MK-CF-F-132 map</t>
        </is>
      </c>
      <c r="P662" s="3" t="n">
        <v>1</v>
      </c>
      <c r="Q662" s="3" t="inlineStr">
        <is>
          <t>MK-CF-F-132 map</t>
        </is>
      </c>
      <c r="R662" s="3" t="inlineStr">
        <is>
          <t>MK-CF-F-132 map → MK-XS-F-146 prettyExpiry</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MK-XS-F-147</t>
        </is>
      </c>
      <c r="B663" s="3" t="inlineStr">
        <is>
          <t>call</t>
        </is>
      </c>
      <c r="C663" s="3" t="inlineStr">
        <is>
          <t>src/services/sync/snaptradeClient.ts</t>
        </is>
      </c>
      <c r="D663" s="3" t="n">
        <v>93</v>
      </c>
      <c r="E663" s="3" t="inlineStr">
        <is>
          <t>4 · BRINGS DATA IN</t>
        </is>
      </c>
      <c r="F663" s="3" t="inlineStr">
        <is>
          <t>NOT DETERMINED — the code carries no note saying what this is for, and it has no row in the old inventory. Needs reading.</t>
        </is>
      </c>
      <c r="G663" s="11" t="inlineStr">
        <is>
          <t>url = relay url()
token = await current id token()
data = await res.json().catch(() =&gt; nothing)
the answer = data as T</t>
        </is>
      </c>
      <c r="H663" s="3" t="inlineStr">
        <is>
          <t>Url is relay url(). Token is await current id token(). Data is await res.json().catch(() =&gt; no answer). The answer is data as T.</t>
        </is>
      </c>
      <c r="I663" s="3" t="inlineStr">
        <is>
          <t>PARTLY READ — some of the code is still showing through; needs a hand pass</t>
        </is>
      </c>
      <c r="J663" s="3" t="inlineStr">
        <is>
          <t>1. action: string
2. params: Record&lt;string, unknown&gt; = {}</t>
        </is>
      </c>
      <c r="K663" s="3" t="inlineStr">
        <is>
          <t>Promise&lt;T&gt;</t>
        </is>
      </c>
      <c r="L663" s="3" t="inlineStr">
        <is>
          <t>—</t>
        </is>
      </c>
      <c r="M663" s="3" t="inlineStr">
        <is>
          <t>None found in this function — anything it assumes comes from the functions it depends on.</t>
        </is>
      </c>
      <c r="N663" s="3" t="inlineStr">
        <is>
          <t>No</t>
        </is>
      </c>
      <c r="O663" s="3" t="inlineStr">
        <is>
          <t>1. MK-ST-F-027 accountId
2. MK-XS-F-064 currentIdToken
3. MK-XS-F-112 relayUrl</t>
        </is>
      </c>
      <c r="P663" s="3" t="n">
        <v>3</v>
      </c>
      <c r="Q663" s="3" t="inlineStr">
        <is>
          <t>1. MK-ST-F-027 accountId
2. MK-XS-F-064 currentIdToken
3. MK-XS-F-112 relayUrl</t>
        </is>
      </c>
      <c r="R663" s="3" t="inlineStr">
        <is>
          <t>1. MK-ST-F-027 accountId → MK-XS-F-147 call
2. MK-XS-F-064 currentIdToken → MK-XS-F-147 call
3. MK-XS-F-112 relayUrl → MK-XS-F-147 call</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MK-XS-F-148</t>
        </is>
      </c>
      <c r="B664" s="3" t="inlineStr">
        <is>
          <t>unwrapActivities</t>
        </is>
      </c>
      <c r="C664" s="3" t="inlineStr">
        <is>
          <t>src/services/sync/snaptradeSync.ts</t>
        </is>
      </c>
      <c r="D664" s="3" t="n">
        <v>73</v>
      </c>
      <c r="E664" s="3" t="inlineStr">
        <is>
          <t>3 · DEPENDENT</t>
        </is>
      </c>
      <c r="F664" s="3" t="inlineStr">
        <is>
          <t>SnapTrade wraps this endpoint in a pagination envelope {data, pagination:{total}} — LIVE-VERIFIED 2026-07-19 against a real E*TRADE connection (their docs' examples show a bare array; production does not).</t>
        </is>
      </c>
      <c r="G664"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64"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64" s="3" t="inlineStr">
        <is>
          <t>PARTLY READ — some of the code is still showing through; needs a hand pass</t>
        </is>
      </c>
      <c r="J664" s="3" t="inlineStr">
        <is>
          <t>raw: unknown</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MK-XS-F-149</t>
        </is>
      </c>
      <c r="B665" s="3" t="inlineStr">
        <is>
          <t>allActivities</t>
        </is>
      </c>
      <c r="C665" s="3" t="inlineStr">
        <is>
          <t>src/services/sync/snaptradeSync.ts</t>
        </is>
      </c>
      <c r="D665" s="3" t="n">
        <v>102</v>
      </c>
      <c r="E665" s="3" t="inlineStr">
        <is>
          <t>3 · DEPENDENT</t>
        </is>
      </c>
      <c r="F665" s="3" t="inlineStr">
        <is>
          <t>NOT DETERMINED — the code carries no note saying what this is for, and it has no row in the old inventory. Needs reading.</t>
        </is>
      </c>
      <c r="G665" s="11" t="inlineStr">
        <is>
          <t>out = []
the answer = out</t>
        </is>
      </c>
      <c r="H665" s="3" t="inlineStr">
        <is>
          <t>Out is []. The answer is out.</t>
        </is>
      </c>
      <c r="I665" s="3" t="inlineStr">
        <is>
          <t>READ FROM THE CODE — rendered from the expressions the function runs</t>
        </is>
      </c>
      <c r="J665" s="3" t="inlineStr">
        <is>
          <t>1. accountId: string
2. startDate?: string</t>
        </is>
      </c>
      <c r="K665" s="3" t="inlineStr">
        <is>
          <t>Promise&lt;StActivity[]&gt;</t>
        </is>
      </c>
      <c r="L665" s="3" t="inlineStr">
        <is>
          <t>—</t>
        </is>
      </c>
      <c r="M665" s="3" t="inlineStr">
        <is>
          <t>· Uses a built-in page of 0.</t>
        </is>
      </c>
      <c r="N665" s="3" t="inlineStr">
        <is>
          <t>Yes</t>
        </is>
      </c>
      <c r="O665" s="3" t="inlineStr">
        <is>
          <t>1. MK-ST-F-027 accountId
2. MK-XS-F-148 unwrapActivities</t>
        </is>
      </c>
      <c r="P665" s="3" t="n">
        <v>2</v>
      </c>
      <c r="Q665" s="3" t="inlineStr">
        <is>
          <t>1. MK-ST-F-027 accountId
2. MK-XS-F-148 unwrapActivities</t>
        </is>
      </c>
      <c r="R665" s="3" t="inlineStr">
        <is>
          <t>1. MK-ST-F-027 accountId → MK-XS-F-149 allActivities
2. MK-XS-F-148 unwrapActivities → MK-XS-F-149 allActivities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MK-XS-F-170</t>
        </is>
      </c>
      <c r="B666" s="3" t="inlineStr">
        <is>
          <t>daysSince</t>
        </is>
      </c>
      <c r="C666" s="3" t="inlineStr">
        <is>
          <t>src/domain/gaps/index.ts</t>
        </is>
      </c>
      <c r="D666" s="3" t="n">
        <v>56</v>
      </c>
      <c r="E666" s="3" t="inlineStr">
        <is>
          <t>3 · DEPENDENT</t>
        </is>
      </c>
      <c r="F666" s="3" t="inlineStr">
        <is>
          <t>NOT DETERMINED — the code carries no note saying what this is for, and it has no row in the old inventory. Needs reading.</t>
        </is>
      </c>
      <c r="G666" s="11" t="inlineStr">
        <is>
          <t>nothing   when iso is missing
t = date.parse(string(iso))
the answer:
nothing   if number.is na n(t)
max(0, round down((now − t) ÷ 86400000))   otherwise</t>
        </is>
      </c>
      <c r="H666" s="3" t="inlineStr">
        <is>
          <t>When iso is missing, it answers no answer. T is date.parse(string(iso)). The answer is no answer — when number.is na n(t); (now minus t, rounded down divided by 86400000, never below zero) — otherwise.</t>
        </is>
      </c>
      <c r="I666" s="3" t="inlineStr">
        <is>
          <t>PARTLY READ — some of the code is still showing through; needs a hand pass</t>
        </is>
      </c>
      <c r="J666" s="3" t="inlineStr">
        <is>
          <t>1. iso: string | null | undefined
2. now: number</t>
        </is>
      </c>
      <c r="K666" s="3" t="inlineStr">
        <is>
          <t>number | null</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MK-XS-F-171</t>
        </is>
      </c>
      <c r="B667" s="3" t="inlineStr">
        <is>
          <t>numOrNaN</t>
        </is>
      </c>
      <c r="C667" s="3" t="inlineStr">
        <is>
          <t>src/domain/import/holdingsImport.ts</t>
        </is>
      </c>
      <c r="D667" s="3" t="n">
        <v>233</v>
      </c>
      <c r="E667" s="3" t="inlineStr">
        <is>
          <t>3 · DEPENDENT</t>
        </is>
      </c>
      <c r="F667" s="3" t="inlineStr">
        <is>
          <t>NOT DETERMINED — the code carries no note saying what this is for, and it has no row in the old inventory. Needs reading.</t>
        </is>
      </c>
      <c r="G667" s="11" t="inlineStr">
        <is>
          <t>n = parse float(string(v ?? '').replace( ÷ [$,%\s] ÷ g, '').replace( ÷ [()] ÷ g, ''))
the answer:
n   if number.is finite(n)
na n   otherwise</t>
        </is>
      </c>
      <c r="H667" s="3" t="inlineStr">
        <is>
          <t>N is parse float(string(v ?? '').replace( divided by [$,%\s] divided by g, '').replace( divided by [()] divided by g, '')). The answer is n — when number.is finite(n); na n — otherwise.</t>
        </is>
      </c>
      <c r="I667" s="3" t="inlineStr">
        <is>
          <t>PARTLY READ — some of the code is still showing through; needs a hand pass</t>
        </is>
      </c>
      <c r="J667" s="3" t="inlineStr">
        <is>
          <t>v: string</t>
        </is>
      </c>
      <c r="K667" s="3" t="inlineStr">
        <is>
          <t>number</t>
        </is>
      </c>
      <c r="L667" s="3" t="inlineStr">
        <is>
          <t>—</t>
        </is>
      </c>
      <c r="M667" s="3" t="inlineStr">
        <is>
          <t>None found in this function — anything it assumes comes from the functions it depends on.</t>
        </is>
      </c>
      <c r="N667" s="3" t="inlineStr">
        <is>
          <t>Yes</t>
        </is>
      </c>
      <c r="O667" s="3" t="inlineStr">
        <is>
          <t>MK-XS-F-122 n</t>
        </is>
      </c>
      <c r="P667" s="3" t="n">
        <v>1</v>
      </c>
      <c r="Q667" s="3" t="inlineStr">
        <is>
          <t>MK-XS-F-122 n</t>
        </is>
      </c>
      <c r="R667" s="3" t="inlineStr">
        <is>
          <t>MK-XS-F-122 n → MK-XS-F-171 numOrNaN</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MK-XS-F-172</t>
        </is>
      </c>
      <c r="B668" s="3" t="inlineStr">
        <is>
          <t>assetClassForSymbol</t>
        </is>
      </c>
      <c r="C668" s="3" t="inlineStr">
        <is>
          <t>src/domain/import/holdingsImport.ts</t>
        </is>
      </c>
      <c r="D668" s="3" t="n">
        <v>352</v>
      </c>
      <c r="E668" s="3" t="inlineStr">
        <is>
          <t>3 · DEPENDENT</t>
        </is>
      </c>
      <c r="F668" s="3" t="inlineStr">
        <is>
          <t>B7 (founder brief 2026-08-20): classification lives in the ONE function — this road only adapts.</t>
        </is>
      </c>
      <c r="G668" s="11" t="inlineStr">
        <is>
          <t>classify holding class({ ticker: symbol, name, has security identity: true }).cls</t>
        </is>
      </c>
      <c r="H668" s="3" t="inlineStr">
        <is>
          <t>classify holding class({ ticker: symbol, name, has security identity: true }).cls.</t>
        </is>
      </c>
      <c r="I668" s="3" t="inlineStr">
        <is>
          <t>PARTLY READ — some of the code is still showing through; needs a hand pass</t>
        </is>
      </c>
      <c r="J668" s="3" t="inlineStr">
        <is>
          <t>1. symbol: string
2. name = ''</t>
        </is>
      </c>
      <c r="K668" s="3" t="inlineStr">
        <is>
          <t>AssetClass</t>
        </is>
      </c>
      <c r="L668" s="3" t="inlineStr">
        <is>
          <t>—</t>
        </is>
      </c>
      <c r="M668" s="3" t="inlineStr">
        <is>
          <t>None found in this function — anything it assumes comes from the functions it depends on.</t>
        </is>
      </c>
      <c r="N668" s="3" t="inlineStr">
        <is>
          <t>Yes</t>
        </is>
      </c>
      <c r="O668" s="3" t="inlineStr">
        <is>
          <t>MK-ST-F-011 classifyHoldingClass</t>
        </is>
      </c>
      <c r="P668" s="3" t="n">
        <v>8</v>
      </c>
      <c r="Q668" s="3" t="inlineStr">
        <is>
          <t>1. MK-ST-F-011 classifyHoldingClass
2. MK-ST-F-010 nameEvidence
3. MK-XS-F-147 call
4. MK-ST-F-056 has
5. MK-CF-F-132 map
6. MK-ST-F-027 accountId
7. MK-XS-F-064 currentIdToken
8. MK-XS-F-112 relayUrl</t>
        </is>
      </c>
      <c r="R668"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MK-XS-F-173</t>
        </is>
      </c>
      <c r="B669" s="3" t="inlineStr">
        <is>
          <t>getOrCreateKey</t>
        </is>
      </c>
      <c r="C669" s="3" t="inlineStr">
        <is>
          <t>src/store/secureStorage.ts</t>
        </is>
      </c>
      <c r="D669" s="3" t="n">
        <v>47</v>
      </c>
      <c r="E669" s="3" t="inlineStr">
        <is>
          <t>4 · BRINGS DATA IN</t>
        </is>
      </c>
      <c r="F669" s="3" t="inlineStr">
        <is>
          <t>NOT DETERMINED — the code carries no note saying what this is for, and it has no row in the old inventory. Needs reading.</t>
        </is>
      </c>
      <c r="G669"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69"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69" s="3" t="inlineStr">
        <is>
          <t>PARTLY READ — some of the code is still showing through; needs a hand pass</t>
        </is>
      </c>
      <c r="J669" s="3" t="inlineStr">
        <is>
          <t>Nothing is handed to it</t>
        </is>
      </c>
      <c r="K669" s="3" t="inlineStr">
        <is>
          <t>Promise&lt;string&gt;</t>
        </is>
      </c>
      <c r="L669" s="3" t="inlineStr">
        <is>
          <t>—</t>
        </is>
      </c>
      <c r="M669" s="3" t="inlineStr">
        <is>
          <t>None found in this function — anything it assumes comes from the functions it depends on.</t>
        </is>
      </c>
      <c r="N669" s="3" t="inlineStr">
        <is>
          <t>No</t>
        </is>
      </c>
      <c r="O669" s="3" t="inlineStr">
        <is>
          <t>1. MK-XS-F-135 secureGet
2. MK-XS-F-136 secureSet</t>
        </is>
      </c>
      <c r="P669" s="3" t="n">
        <v>2</v>
      </c>
      <c r="Q669" s="3" t="inlineStr">
        <is>
          <t>1. MK-XS-F-135 secureGet
2. MK-XS-F-136 secureSet</t>
        </is>
      </c>
      <c r="R669" s="3" t="inlineStr">
        <is>
          <t>1. MK-XS-F-135 secureGet → MK-XS-F-173 getOrCreateKey
2. MK-XS-F-136 secureSet → MK-XS-F-173 getOrCreateKey</t>
        </is>
      </c>
      <c r="S669" s="3" t="inlineStr">
        <is>
          <t>—</t>
        </is>
      </c>
      <c r="T669" s="3" t="inlineStr">
        <is>
          <t>—</t>
        </is>
      </c>
      <c r="U669" s="3" t="inlineStr">
        <is>
          <t>ACTIVE</t>
        </is>
      </c>
      <c r="V669" s="3" t="inlineStr">
        <is>
          <t>2026-09-12</t>
        </is>
      </c>
      <c r="W669" s="3" t="n"/>
      <c r="X669" s="3" t="n"/>
      <c r="Y669" s="3" t="inlineStr">
        <is>
          <t>NOTHING OPEN</t>
        </is>
      </c>
    </row>
    <row r="670" ht="60" customHeight="1">
      <c r="A670" s="3" t="inlineStr">
        <is>
          <t>MK-XS-F-174</t>
        </is>
      </c>
      <c r="B670" s="3" t="inlineStr">
        <is>
          <t>recomputeBalances</t>
        </is>
      </c>
      <c r="C670" s="3" t="inlineStr">
        <is>
          <t>src/store/useStore.ts</t>
        </is>
      </c>
      <c r="D670" s="3" t="n">
        <v>60</v>
      </c>
      <c r="E670" s="3" t="inlineStr">
        <is>
          <t>3 · DEPENDENT</t>
        </is>
      </c>
      <c r="F670" s="3" t="inlineStr">
        <is>
          <t>Recompute the cached `balance` of every ledger-managed account = cash sleeve + Σ(position × live price).</t>
        </is>
      </c>
      <c r="G670"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70"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70" s="3" t="inlineStr">
        <is>
          <t>PARTLY READ — some of the code is still showing through; needs a hand pass</t>
        </is>
      </c>
      <c r="J670" s="3" t="inlineStr">
        <is>
          <t>1. accs: AssetAccount[]
2. cache: Record&lt;string, PriceSeries&gt;</t>
        </is>
      </c>
      <c r="K670" s="3" t="inlineStr">
        <is>
          <t>AssetAccount[]</t>
        </is>
      </c>
      <c r="L670" s="3" t="inlineStr">
        <is>
          <t>—</t>
        </is>
      </c>
      <c r="M670" s="3" t="inlineStr">
        <is>
          <t>· If cash balance is missing it counts as zero, so nothing recorded and a real zero look the same.</t>
        </is>
      </c>
      <c r="N670" s="3" t="inlineStr">
        <is>
          <t>Yes</t>
        </is>
      </c>
      <c r="O670" s="3" t="inlineStr">
        <is>
          <t>1. MK-ST-F-028 buildDayFromAccounts
2. MK-PF-F-002 costBasis
3. MK-CF-F-038 debtsFromOnboarding
4. MK-PF-F-009 latestClose
5. MK-CF-F-132 map
6. MK-PF-F-004 marketValue
7. MK-ST-F-030 record
8. MK-XS-F-024 resolveLens
9. MK-ST-F-055 round2
10. MK-ST-F-044 setMoneyFormat</t>
        </is>
      </c>
      <c r="P670" s="3" t="n">
        <v>79</v>
      </c>
      <c r="Q670"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70"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MK-XS-F-175</t>
        </is>
      </c>
      <c r="B671" s="3" t="inlineStr">
        <is>
          <t>uid</t>
        </is>
      </c>
      <c r="C671" s="3" t="inlineStr">
        <is>
          <t>src/store/useStore.ts</t>
        </is>
      </c>
      <c r="D671" s="3" t="n">
        <v>586</v>
      </c>
      <c r="E671" s="3" t="inlineStr">
        <is>
          <t>2 · DISPLAYED</t>
        </is>
      </c>
      <c r="F671" s="3" t="inlineStr">
        <is>
          <t>NOT DETERMINED — the code carries no note saying what this is for, and it has no row in the old inventory. Needs reading.</t>
        </is>
      </c>
      <c r="G671"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1"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1" s="3" t="inlineStr">
        <is>
          <t>PARTLY READ — the body has a loop the extractor cannot render; the steps shown are the ones before it. Needs a hand pass (G23).</t>
        </is>
      </c>
      <c r="J671" s="3" t="inlineStr">
        <is>
          <t>1. Nothing is handed to it
2. reads the app's stored data</t>
        </is>
      </c>
      <c r="K671" s="3" t="inlineStr">
        <is>
          <t>NOT DECLARED — the code does not say what it gives back</t>
        </is>
      </c>
      <c r="L671" s="3" t="inlineStr">
        <is>
          <t>NOT FOUND — a screen calls it, but the words printed beside its answer could not be traced automatically. Needs reading.</t>
        </is>
      </c>
      <c r="M671"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1" s="3" t="inlineStr">
        <is>
          <t>Yes</t>
        </is>
      </c>
      <c r="O671"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1" s="3" t="n">
        <v>79</v>
      </c>
      <c r="Q671"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1"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1" s="3" t="inlineStr">
        <is>
          <t>—</t>
        </is>
      </c>
      <c r="T671" s="3" t="inlineStr">
        <is>
          <t>—</t>
        </is>
      </c>
      <c r="U671" s="3" t="inlineStr">
        <is>
          <t>ACTIVE</t>
        </is>
      </c>
      <c r="V671" s="3" t="inlineStr">
        <is>
          <t>2026-09-25</t>
        </is>
      </c>
      <c r="W671" s="3" t="n"/>
      <c r="X671" s="3" t="n"/>
      <c r="Y671" s="3" t="inlineStr">
        <is>
          <t>NOTHING OPEN</t>
        </is>
      </c>
    </row>
    <row r="672" ht="60" customHeight="1">
      <c r="A672" s="3" t="inlineStr">
        <is>
          <t>MK-XS-F-176</t>
        </is>
      </c>
      <c r="B672" s="3" t="inlineStr">
        <is>
          <t>useMonthlyStats</t>
        </is>
      </c>
      <c r="C672" s="3" t="inlineStr">
        <is>
          <t>src/store/useStore.ts</t>
        </is>
      </c>
      <c r="D672" s="3" t="n">
        <v>1296</v>
      </c>
      <c r="E672" s="3" t="inlineStr">
        <is>
          <t>2 · DISPLAYED</t>
        </is>
      </c>
      <c r="F672" s="3" t="inlineStr">
        <is>
          <t>── Selectors ──────────────────────────────────────────────────────────</t>
        </is>
      </c>
      <c r="G672"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2"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2" s="3" t="inlineStr">
        <is>
          <t>PARTLY READ — some of the code is still showing through; needs a hand pass</t>
        </is>
      </c>
      <c r="J672" s="3" t="inlineStr">
        <is>
          <t>1. Nothing is handed to it
2. reads the app's stored data</t>
        </is>
      </c>
      <c r="K672" s="3" t="inlineStr">
        <is>
          <t>NOT DECLARED — the code does not say what it gives back</t>
        </is>
      </c>
      <c r="L672" s="3" t="inlineStr">
        <is>
          <t>NOT FOUND — a screen calls it, but the words printed beside its answer could not be traced automatically. Needs reading.</t>
        </is>
      </c>
      <c r="M672" s="3" t="inlineStr">
        <is>
          <t>· Uses today's date from the device clock, so the answer changes by itself overnight.</t>
        </is>
      </c>
      <c r="N672" s="3" t="inlineStr">
        <is>
          <t>Yes</t>
        </is>
      </c>
      <c r="O672" s="3" t="inlineStr">
        <is>
          <t>MK-CF-O-002 expenses</t>
        </is>
      </c>
      <c r="P672" s="3" t="n">
        <v>15</v>
      </c>
      <c r="Q67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2"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MK-XS-F-177</t>
        </is>
      </c>
      <c r="B673" s="3" t="inlineStr">
        <is>
          <t>useCategorySpend</t>
        </is>
      </c>
      <c r="C673" s="3" t="inlineStr">
        <is>
          <t>src/store/useStore.ts</t>
        </is>
      </c>
      <c r="D673" s="3" t="n">
        <v>1353</v>
      </c>
      <c r="E673" s="3" t="inlineStr">
        <is>
          <t>2 · DISPLAYED</t>
        </is>
      </c>
      <c r="F673" s="3" t="inlineStr">
        <is>
          <t>NOT DETERMINED — the code carries no note saying what this is for, and it has no row in the old inventory. Needs reading.</t>
        </is>
      </c>
      <c r="G673" s="11" t="inlineStr">
        <is>
          <t>now = new date()
d = the date date
to date string() = now.to date string()   when budget frequency = 'daily'
d ≥ new date(now.get time() − 7 × 86400000)   when budget frequency = 'weekly'
the answer = get full year() = now.get full year() and get month() = now.get month()
map = {}</t>
        </is>
      </c>
      <c r="H673"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73" s="3" t="inlineStr">
        <is>
          <t>PARTLY READ — some of the code is still showing through; needs a hand pass</t>
        </is>
      </c>
      <c r="J673" s="3" t="inlineStr">
        <is>
          <t>1. Nothing is handed to it
2. reads the app's stored data</t>
        </is>
      </c>
      <c r="K673" s="3" t="inlineStr">
        <is>
          <t>NOT DECLARED — the code does not say what it gives back</t>
        </is>
      </c>
      <c r="L673" s="3" t="inlineStr">
        <is>
          <t>NOT FOUND — a screen calls it, but the words printed beside its answer could not be traced automatically. Needs reading.</t>
        </is>
      </c>
      <c r="M673" s="3" t="inlineStr">
        <is>
          <t>1. If category] is missing it counts as zero, so nothing recorded and a real zero look the same.
2. Uses today's date from the device clock, so the answer changes by itself overnight.</t>
        </is>
      </c>
      <c r="N673" s="3" t="inlineStr">
        <is>
          <t>Yes</t>
        </is>
      </c>
      <c r="O673" s="3" t="inlineStr">
        <is>
          <t>1. MK-CF-O-002 expenses
2. MK-CF-F-132 map</t>
        </is>
      </c>
      <c r="P673" s="3" t="n">
        <v>15</v>
      </c>
      <c r="Q673"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73"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73" s="3" t="inlineStr">
        <is>
          <t>—</t>
        </is>
      </c>
      <c r="T673" s="3" t="inlineStr">
        <is>
          <t>—</t>
        </is>
      </c>
      <c r="U673" s="3" t="inlineStr">
        <is>
          <t>ACTIVE</t>
        </is>
      </c>
      <c r="V673" s="3" t="inlineStr">
        <is>
          <t>2026-09-12</t>
        </is>
      </c>
      <c r="W673" s="3" t="n"/>
      <c r="X673" s="3" t="n"/>
      <c r="Y673" s="3" t="inlineStr">
        <is>
          <t>NOTHING OPEN</t>
        </is>
      </c>
    </row>
    <row r="674" ht="60" customHeight="1">
      <c r="A674" s="3" t="inlineStr">
        <is>
          <t>MK-XS-F-178</t>
        </is>
      </c>
      <c r="B674" s="3" t="inlineStr">
        <is>
          <t>useLevel</t>
        </is>
      </c>
      <c r="C674" s="3" t="inlineStr">
        <is>
          <t>src/store/useStore.ts</t>
        </is>
      </c>
      <c r="D674" s="3" t="n">
        <v>1386</v>
      </c>
      <c r="E674" s="3" t="inlineStr">
        <is>
          <t>2 · DISPLAYED</t>
        </is>
      </c>
      <c r="F674" s="3" t="inlineStr">
        <is>
          <t>NOT DETERMINED — the code carries no note saying what this is for, and it has no row in the old inventory. Needs reading.</t>
        </is>
      </c>
      <c r="G674" s="11" t="inlineStr">
        <is>
          <t>xp = use store((s) =&gt; xp)
current = levels[0], next = levels[1]
pct = min(((xp − current.min) ÷ (next.min − current.min)) × 100, 100)   if next.min &gt; current.min
100   otherwise
the answer = { ...current, next, xp, pct }</t>
        </is>
      </c>
      <c r="H674" s="3" t="inlineStr">
        <is>
          <t>Xp is use store((s) =&gt; xp). Current is levels[0], next = levels[1]. Pct: the smaller of ((xp minus current.min) divided by (next.min minus current.min)) times 100 and 100 — when next.min &gt; current.min; 100 — otherwise. The answer is { ...current, next, xp, pct }.</t>
        </is>
      </c>
      <c r="I674" s="3" t="inlineStr">
        <is>
          <t>PARTLY READ — some of the code is still showing through; needs a hand pass</t>
        </is>
      </c>
      <c r="J674" s="3" t="inlineStr">
        <is>
          <t>1. Nothing is handed to it
2. reads the app's stored data</t>
        </is>
      </c>
      <c r="K674" s="3" t="inlineStr">
        <is>
          <t>NOT DECLARED — the code does not say what it gives back</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MK-XS-F-179</t>
        </is>
      </c>
      <c r="B675" s="3" t="inlineStr">
        <is>
          <t>ageToday</t>
        </is>
      </c>
      <c r="C675" s="3" t="inlineStr">
        <is>
          <t>src/domain/profile/calc.ts</t>
        </is>
      </c>
      <c r="D675" s="3" t="n">
        <v>78</v>
      </c>
      <c r="E675" s="3" t="inlineStr">
        <is>
          <t>2 · DISPLAYED</t>
        </is>
      </c>
      <c r="F675"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75" s="11" t="inlineStr">
        <is>
          <t>y = number(birth year); if (!y or !number.is finite(y)) return nothing
m = birth month read as a number
current age(y, m, as of)   when m ≥ 1 and m ≤ 12
the answer = as of.get full year() − y</t>
        </is>
      </c>
      <c r="H675" s="3" t="inlineStr">
        <is>
          <t>Y is number(birth year); — when (!y or !number.is finite(y)) return no answer. M is birth month read as a number. When m is at least 1 and m is at most 12, it answers current age(y, m, as of). The answer is as of.get full year() minus y.</t>
        </is>
      </c>
      <c r="I675" s="3" t="inlineStr">
        <is>
          <t>PARTLY READ — some of the code is still showing through; needs a hand pass</t>
        </is>
      </c>
      <c r="J675" s="3" t="inlineStr">
        <is>
          <t>1. birthYear: number | null | undefined
2. birthMonth: number | null | undefined
3. asOf: Date = new Date()</t>
        </is>
      </c>
      <c r="K675" s="3" t="inlineStr">
        <is>
          <t>number | null</t>
        </is>
      </c>
      <c r="L675" s="3" t="inlineStr">
        <is>
          <t>NOT FOUND — a screen calls it, but the words printed beside its answer could not be traced automatically. Needs reading.</t>
        </is>
      </c>
      <c r="M675"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75" s="3" t="inlineStr">
        <is>
          <t>Yes</t>
        </is>
      </c>
      <c r="O675" s="3" t="inlineStr">
        <is>
          <t>MK-XS-F-017 currentAge</t>
        </is>
      </c>
      <c r="P675" s="3" t="n">
        <v>1</v>
      </c>
      <c r="Q675" s="3" t="inlineStr">
        <is>
          <t>MK-XS-F-017 currentAge</t>
        </is>
      </c>
      <c r="R675" s="3" t="inlineStr">
        <is>
          <t>MK-XS-F-017 currentAge → MK-XS-F-179 ageToday</t>
        </is>
      </c>
      <c r="S675" s="3" t="inlineStr">
        <is>
          <t>—</t>
        </is>
      </c>
      <c r="T675" s="3" t="inlineStr">
        <is>
          <t>—</t>
        </is>
      </c>
      <c r="U675" s="3" t="inlineStr">
        <is>
          <t>ACTIVE</t>
        </is>
      </c>
      <c r="V675" s="3" t="inlineStr">
        <is>
          <t>2026-09-12</t>
        </is>
      </c>
      <c r="W675" s="3" t="n"/>
      <c r="X675" s="3" t="n"/>
      <c r="Y675" s="3" t="inlineStr">
        <is>
          <t>NOTHING OPEN</t>
        </is>
      </c>
    </row>
    <row r="676" ht="60" customHeight="1">
      <c r="A676" s="3" t="inlineStr">
        <is>
          <t>MK-XS-F-180</t>
        </is>
      </c>
      <c r="B676" s="3" t="inlineStr">
        <is>
          <t>declareFigures</t>
        </is>
      </c>
      <c r="C676" s="3" t="inlineStr">
        <is>
          <t>MoneyKeel/functions/_figure-spec.ts</t>
        </is>
      </c>
      <c r="D676" s="3" t="n">
        <v>170</v>
      </c>
      <c r="E676" s="3" t="inlineStr">
        <is>
          <t>3 · DEPENDENT</t>
        </is>
      </c>
      <c r="F676" s="3" t="inlineStr">
        <is>
          <t>Declare the figures a door hands out.</t>
        </is>
      </c>
      <c r="G676" s="11" t="inlineStr">
        <is>
          <t>NOT READ YET — the body is not a shape this can render faithfully, so nothing is claimed rather than something being guessed. It needs reading by hand.</t>
        </is>
      </c>
      <c r="H676" s="3" t="inlineStr">
        <is>
          <t>NOT READ YET — the body is not a shape this can render faithfully, so nothing is claimed rather than something being guessed. It needs reading by hand.</t>
        </is>
      </c>
      <c r="I676" s="3" t="inlineStr">
        <is>
          <t>NOT READ — nothing is claimed rather than something guessed</t>
        </is>
      </c>
      <c r="J676" s="3" t="inlineStr">
        <is>
          <t>f: T</t>
        </is>
      </c>
      <c r="K676" s="3" t="inlineStr">
        <is>
          <t>T</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2026-09-14</t>
        </is>
      </c>
      <c r="W676" s="3" t="n"/>
      <c r="X676" s="3" t="n"/>
      <c r="Y676" s="3" t="inlineStr">
        <is>
          <t>NOTHING OPEN</t>
        </is>
      </c>
    </row>
    <row r="677" ht="60" customHeight="1">
      <c r="A677" s="3" t="inlineStr">
        <is>
          <t>MK-XS-F-181</t>
        </is>
      </c>
      <c r="B677" s="3" t="inlineStr">
        <is>
          <t>merge</t>
        </is>
      </c>
      <c r="C677" s="3" t="inlineStr">
        <is>
          <t>MoneyKeel/functions/figures.ts</t>
        </is>
      </c>
      <c r="D677" s="3" t="n">
        <v>65</v>
      </c>
      <c r="E677" s="3" t="inlineStr">
        <is>
          <t>3 · DEPENDENT (feeds an action only)</t>
        </is>
      </c>
      <c r="F677" s="3" t="inlineStr">
        <is>
          <t>NOT DETERMINED — the code carries no note saying what this is for, and it has no row in the old inventory. Needs reading.</t>
        </is>
      </c>
      <c r="G677" s="11" t="inlineStr">
        <is>
          <t>out = {}
from = {}
the answer = out</t>
        </is>
      </c>
      <c r="H677" s="3" t="inlineStr">
        <is>
          <t>Out is {}. From is {}. The answer is out.</t>
        </is>
      </c>
      <c r="I677" s="3" t="inlineStr">
        <is>
          <t>READ FROM THE CODE — rendered from the expressions the function runs</t>
        </is>
      </c>
      <c r="J677" s="3" t="inlineStr">
        <is>
          <t>Nothing is handed to it</t>
        </is>
      </c>
      <c r="K677" s="3" t="inlineStr">
        <is>
          <t>Record&lt;string, FigureSpec&gt;</t>
        </is>
      </c>
      <c r="L677" s="3" t="inlineStr">
        <is>
          <t>—</t>
        </is>
      </c>
      <c r="M677" s="3" t="inlineStr">
        <is>
          <t>None found in this function — anything it assumes comes from the functions it depends on.</t>
        </is>
      </c>
      <c r="N677" s="3" t="inlineStr">
        <is>
          <t>No</t>
        </is>
      </c>
      <c r="O677" s="3" t="inlineStr">
        <is>
          <t>MK-CF-F-132 map</t>
        </is>
      </c>
      <c r="P677" s="3" t="n">
        <v>1</v>
      </c>
      <c r="Q677" s="3" t="inlineStr">
        <is>
          <t>MK-CF-F-132 map</t>
        </is>
      </c>
      <c r="R677" s="3" t="inlineStr">
        <is>
          <t>MK-CF-F-132 map → MK-XS-F-181 merge</t>
        </is>
      </c>
      <c r="S677" s="3" t="inlineStr">
        <is>
          <t>—</t>
        </is>
      </c>
      <c r="T677" s="3" t="inlineStr">
        <is>
          <t>—</t>
        </is>
      </c>
      <c r="U677" s="3" t="inlineStr">
        <is>
          <t>ACTIVE</t>
        </is>
      </c>
      <c r="V677" s="3" t="inlineStr">
        <is>
          <t>2026-09-14</t>
        </is>
      </c>
      <c r="W677" s="3" t="n"/>
      <c r="X677" s="3" t="n"/>
      <c r="Y677" s="3" t="inlineStr">
        <is>
          <t>NOTHING OPEN</t>
        </is>
      </c>
    </row>
    <row r="678" ht="45" customHeight="1">
      <c r="A678" s="3" t="inlineStr">
        <is>
          <t>MK-XS-F-182</t>
        </is>
      </c>
      <c r="B678" s="3" t="inlineStr">
        <is>
          <t>figureSpec</t>
        </is>
      </c>
      <c r="C678" s="3" t="inlineStr">
        <is>
          <t>MoneyKeel/functions/figures.ts</t>
        </is>
      </c>
      <c r="D678" s="3" t="n">
        <v>99</v>
      </c>
      <c r="E678" s="3" t="inlineStr">
        <is>
          <t>2 · DISPLAYED</t>
        </is>
      </c>
      <c r="F678" s="3" t="inlineStr">
        <is>
          <t>The declaration behind an identifier, or a refusal that names the identifier — never a silent blank.</t>
        </is>
      </c>
      <c r="G678" s="11" t="inlineStr">
        <is>
          <t>spec = FIGURE_REGISTER[id]
the answer = spec</t>
        </is>
      </c>
      <c r="H678" s="3" t="inlineStr">
        <is>
          <t>Spec is FIGURE_REGISTER[id]. The answer is spec.</t>
        </is>
      </c>
      <c r="I678" s="3" t="inlineStr">
        <is>
          <t>READ FROM THE CODE — rendered from the expressions the function runs</t>
        </is>
      </c>
      <c r="J678" s="3" t="inlineStr">
        <is>
          <t>id: string</t>
        </is>
      </c>
      <c r="K678" s="3" t="inlineStr">
        <is>
          <t>FigureSpec</t>
        </is>
      </c>
      <c r="L678" s="3" t="inlineStr">
        <is>
          <t>NOT FOUND — a screen calls it, but the words printed beside its answer could not be traced automatically. Needs reading.</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2026-09-14</t>
        </is>
      </c>
      <c r="W678" s="3" t="n"/>
      <c r="X678" s="3" t="n"/>
      <c r="Y678" s="3" t="inlineStr">
        <is>
          <t>NOTHING OPEN</t>
        </is>
      </c>
    </row>
    <row r="679" ht="60" customHeight="1">
      <c r="A679" s="3" t="inlineStr">
        <is>
          <t>MK-XS-F-183</t>
        </is>
      </c>
      <c r="B679" s="3" t="inlineStr">
        <is>
          <t>writeFigure</t>
        </is>
      </c>
      <c r="C679" s="3" t="inlineStr">
        <is>
          <t>MoneyKeel/functions/_figure-spec.ts</t>
        </is>
      </c>
      <c r="D679" s="3" t="n">
        <v>66</v>
      </c>
      <c r="E679" s="3" t="inlineStr">
        <is>
          <t>2 · DISPLAYED</t>
        </is>
      </c>
      <c r="F679" s="3" t="inlineStr">
        <is>
          <t>WRITE A FIGURE THE WAY THE SCREEN WRITES IT — one writer, two callers (2026-09-28).</t>
        </is>
      </c>
      <c r="G679" s="11" t="inlineStr">
        <is>
          <t>spec.refusal   when value = nothing (or !number.is finite(value) when missing or zero)
body + (opts.spoken ? ` a ${spec.per}` : ` ÷ ${spec.per}`)   when opts.with period and spec.per
body</t>
        </is>
      </c>
      <c r="H679" s="3" t="inlineStr">
        <is>
          <t>When value is missing (or !number.is finite(value) — when missing or zero), it answers spec.refusal. When opts.with period and spec.per, it answers body plus (opts.spoken ? ` a ${spec.per}` : ` divided by ${spec.per}`). body.</t>
        </is>
      </c>
      <c r="I679" s="3" t="inlineStr">
        <is>
          <t>PARTLY READ — some of the code is still showing through; needs a hand pass</t>
        </is>
      </c>
      <c r="J679" s="3" t="inlineStr">
        <is>
          <t>1. spec: FigureSpec
2. value: number | null
3. opts?: { spoken?: boolean; withPeriod?: boolean }</t>
        </is>
      </c>
      <c r="K679" s="3" t="inlineStr">
        <is>
          <t>string</t>
        </is>
      </c>
      <c r="L679" s="3" t="inlineStr">
        <is>
          <t>NOT FOUND — a screen calls it, but the words printed beside its answer could not be traced automatically. Needs reading.</t>
        </is>
      </c>
      <c r="M679" s="3" t="inlineStr">
        <is>
          <t>1. Rounds the answer to 1 decimal place.
2. Shows 2 decimal places.
3. Shows 1 decimal place.</t>
        </is>
      </c>
      <c r="N679" s="3" t="inlineStr">
        <is>
          <t>Yes</t>
        </is>
      </c>
      <c r="O679" s="3" t="inlineStr">
        <is>
          <t>1. MK-ST-F-049 formatMoney
2. MK-ST-F-050 formatMoneyCents
3. MK-ST-F-039 on
4. MK-ST-F-060 verdict</t>
        </is>
      </c>
      <c r="P679" s="3" t="n">
        <v>7</v>
      </c>
      <c r="Q679" s="3" t="inlineStr">
        <is>
          <t>1. MK-ST-F-049 formatMoney
2. MK-ST-F-050 formatMoneyCents
3. MK-ST-F-039 on
4. MK-ST-F-060 verdict
5. MK-ST-F-048 currencySymbol
6. MK-XS-F-122 n
7. MK-ST-F-047 activeCurrency</t>
        </is>
      </c>
      <c r="R679"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MK-ST-F-039 on → MK-XS-F-183 writeFigure
7. MK-ST-F-060 verdict → MK-XS-F-183 writeFigure</t>
        </is>
      </c>
      <c r="S679" s="3" t="inlineStr">
        <is>
          <t>—</t>
        </is>
      </c>
      <c r="T679" s="3" t="inlineStr">
        <is>
          <t>—</t>
        </is>
      </c>
      <c r="U679" s="3" t="inlineStr">
        <is>
          <t>ACTIVE</t>
        </is>
      </c>
      <c r="V679" s="3" t="inlineStr">
        <is>
          <t>2026-09-28</t>
        </is>
      </c>
      <c r="W679" s="3" t="n"/>
      <c r="X679" s="3" t="n"/>
      <c r="Y679" s="3" t="inlineStr">
        <is>
          <t>NOTHING OPEN</t>
        </is>
      </c>
    </row>
  </sheetData>
  <autoFilter ref="A1:Y67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108</v>
      </c>
      <c r="C3" s="3" t="n">
        <v>31</v>
      </c>
      <c r="D3" s="3" t="n">
        <v>0</v>
      </c>
      <c r="E3" s="3" t="n">
        <v>60</v>
      </c>
      <c r="F3" s="3" t="n">
        <v>20</v>
      </c>
    </row>
    <row r="4" ht="15" customHeight="1">
      <c r="A4" s="3" t="inlineStr">
        <is>
          <t>2 · DISPLAYED</t>
        </is>
      </c>
      <c r="B4" s="3" t="n">
        <v>258</v>
      </c>
      <c r="C4" s="3" t="n">
        <v>41</v>
      </c>
      <c r="D4" s="3" t="n">
        <v>4</v>
      </c>
      <c r="E4" s="3" t="n">
        <v>62</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210</v>
      </c>
      <c r="C6" s="3" t="n">
        <v>19</v>
      </c>
      <c r="D6" s="3" t="n">
        <v>0</v>
      </c>
      <c r="E6" s="3" t="n">
        <v>23</v>
      </c>
      <c r="F6" s="3" t="n">
        <v>10</v>
      </c>
    </row>
    <row r="7" ht="15" customHeight="1">
      <c r="A7" s="3" t="inlineStr">
        <is>
          <t>3 · DEPENDENT (feeds an action only)</t>
        </is>
      </c>
      <c r="B7" s="3" t="n">
        <v>82</v>
      </c>
      <c r="C7" s="3" t="n">
        <v>15</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677</v>
      </c>
      <c r="C9" s="3" t="n">
        <v>111</v>
      </c>
      <c r="D9" s="3" t="n">
        <v>4</v>
      </c>
      <c r="E9" s="3" t="n">
        <v>166</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1</v>
      </c>
      <c r="D4" s="3" t="n">
        <v>1</v>
      </c>
      <c r="E4" s="3" t="n">
        <v>0</v>
      </c>
      <c r="F4" s="3" t="n">
        <v>2</v>
      </c>
    </row>
    <row r="5" ht="15" customHeight="1">
      <c r="A5" s="3" t="inlineStr">
        <is>
          <t>Menu</t>
        </is>
      </c>
      <c r="B5" s="3" t="n">
        <v>30</v>
      </c>
      <c r="C5" s="3" t="n">
        <v>0</v>
      </c>
      <c r="D5" s="3" t="n">
        <v>8</v>
      </c>
      <c r="E5" s="3" t="n">
        <v>15</v>
      </c>
      <c r="F5" s="3" t="n">
        <v>7</v>
      </c>
    </row>
    <row r="6" ht="15" customHeight="1">
      <c r="A6" s="3" t="inlineStr">
        <is>
          <t>Networth</t>
        </is>
      </c>
      <c r="B6" s="3" t="n">
        <v>48</v>
      </c>
      <c r="C6" s="3" t="n">
        <v>0</v>
      </c>
      <c r="D6" s="3" t="n">
        <v>1</v>
      </c>
      <c r="E6" s="3" t="n">
        <v>44</v>
      </c>
      <c r="F6" s="3" t="n">
        <v>3</v>
      </c>
    </row>
    <row r="7" ht="15" customHeight="1">
      <c r="A7" s="3" t="inlineStr">
        <is>
          <t>Performance</t>
        </is>
      </c>
      <c r="B7" s="3" t="n">
        <v>11</v>
      </c>
      <c r="C7" s="3" t="n">
        <v>0</v>
      </c>
      <c r="D7" s="3" t="n">
        <v>3</v>
      </c>
      <c r="E7" s="3" t="n">
        <v>8</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190</v>
      </c>
      <c r="C10" s="3" t="n">
        <v>2</v>
      </c>
      <c r="D10" s="3" t="n">
        <v>24</v>
      </c>
      <c r="E10" s="3" t="n">
        <v>127</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2026-09-30T22:18:15Z</dcterms:created>
  <dcterms:modified xsi:type="dcterms:W3CDTF">2026-09-30T22:18:58Z</dcterms:modified>
</cp:coreProperties>
</file>