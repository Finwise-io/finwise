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multiple_screens" sheetId="3" state="visible" r:id="rId3"/>
    <sheet name="home" sheetId="4" state="visible" r:id="rId4"/>
    <sheet name="networth" sheetId="5" state="visible" r:id="rId5"/>
    <sheet name="performance" sheetId="6" state="visible" r:id="rId6"/>
    <sheet name="plan" sheetId="7" state="visible" r:id="rId7"/>
    <sheet name="cashflow" sheetId="8" state="visible" r:id="rId8"/>
    <sheet name="menu" sheetId="9" state="visible" r:id="rId9"/>
    <sheet name="inputs" sheetId="10" state="visible" r:id="rId10"/>
    <sheet name="database" sheetId="11" state="visible" r:id="rId11"/>
    <sheet name="core_screens" sheetId="12" state="visible" r:id="rId12"/>
    <sheet name="reconciliation" sheetId="13" state="visible" r:id="rId13"/>
    <sheet name="engines-old-tab" sheetId="14" state="visible" r:id="rId14"/>
    <sheet name="functions_from_code" sheetId="15" state="visible" r:id="rId15"/>
    <sheet name="functions_summary" sheetId="16" state="visible" r:id="rId16"/>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1F3864"/>
    </font>
    <font>
      <b val="1"/>
      <color rgb="009C0006"/>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top" wrapText="1"/>
    </xf>
    <xf numFmtId="0" fontId="4"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7"/>
  <sheetViews>
    <sheetView workbookViewId="0">
      <pane ySplit="1" topLeftCell="A2" activePane="bottomLeft" state="frozen"/>
      <selection pane="bottomLeft" activeCell="A1" sqref="A1"/>
    </sheetView>
  </sheetViews>
  <sheetFormatPr baseColWidth="8" defaultRowHeight="15"/>
  <cols>
    <col width="46" customWidth="1" min="1" max="1"/>
    <col width="118" customWidth="1" min="2" max="2"/>
  </cols>
  <sheetData>
    <row r="1">
      <c r="A1" s="1" t="inlineStr">
        <is>
          <t>Item</t>
        </is>
      </c>
      <c r="B1" s="1" t="inlineStr">
        <is>
          <t>Detail</t>
        </is>
      </c>
    </row>
    <row r="2">
      <c r="A2" s="2" t="inlineStr">
        <is>
          <t>STANDING DECISION — how numbers are held and shown</t>
        </is>
      </c>
      <c r="B2" s="3" t="inlineStr">
        <is>
          <t>Every number is held as a float internally. Decimals are SHOWN only for prices of stocks, bonds and options, for interest and dividend rates, and for expenses; everything else displays whole dollars. Rounding happens once, at the edge, never in the middle. Founder, 2026-08-22.</t>
        </is>
      </c>
    </row>
    <row r="3">
      <c r="A3" s="2" t="inlineStr">
        <is>
          <t>Date file created</t>
        </is>
      </c>
      <c r="B3" s="3" t="inlineStr">
        <is>
          <t>2026-08-25</t>
        </is>
      </c>
    </row>
    <row r="4">
      <c r="A4" s="2" t="inlineStr">
        <is>
          <t>Date file last modified</t>
        </is>
      </c>
      <c r="B4" s="3" t="inlineStr">
        <is>
          <t>2026-08-25  (stamped by the build, not typed; unchanged when the file is only read)</t>
        </is>
      </c>
    </row>
    <row r="5">
      <c r="A5" s="2" t="inlineStr">
        <is>
          <t>Objective of this file</t>
        </is>
      </c>
      <c r="B5" s="3" t="inlineStr">
        <is>
          <t>One row for every figure a person reads on screen, tied to the metric behind it, the engine that produces it, and the identifier that joins them — so a wrong number can be traced from the label on screen to its engine and formula in a minute. Serves objectives 3 and 4.</t>
        </is>
      </c>
    </row>
    <row r="6">
      <c r="A6" s="2" t="inlineStr"/>
      <c r="B6" s="3" t="inlineStr"/>
    </row>
    <row r="7">
      <c r="A7" s="2" t="inlineStr">
        <is>
          <t>TAB — Specification</t>
        </is>
      </c>
      <c r="B7" s="3" t="inlineStr">
        <is>
          <t>Everything a row must carry before its calculation can be written in code, NUMBERED S01 upwards so a piece of work can be named by its number. The last column says where each one stands in this file today.</t>
        </is>
      </c>
    </row>
    <row r="8">
      <c r="A8" s="2" t="inlineStr">
        <is>
          <t>TAB — Reference</t>
        </is>
      </c>
      <c r="B8" s="3" t="inlineStr">
        <is>
          <t>This tab. What the file is, what each tab holds, what each column means, and what it must comply with.</t>
        </is>
      </c>
    </row>
    <row r="9">
      <c r="A9" s="2" t="inlineStr">
        <is>
          <t>TAB — multiple_screens</t>
        </is>
      </c>
      <c r="B9" s="3" t="inlineStr">
        <is>
          <t>Figures shown on more than one parent screen. A figure lives here ONCE, with every screen and every label it wears listed, so the same figure can never have two definitions.</t>
        </is>
      </c>
    </row>
    <row r="10">
      <c r="A10" s="2" t="inlineStr">
        <is>
          <t>TAB — home</t>
        </is>
      </c>
      <c r="B10" s="3" t="inlineStr">
        <is>
          <t>Figures shown only on Home and the screens reached from it.</t>
        </is>
      </c>
    </row>
    <row r="11">
      <c r="A11" s="2" t="inlineStr">
        <is>
          <t>TAB — networth</t>
        </is>
      </c>
      <c r="B11" s="3" t="inlineStr">
        <is>
          <t>Figures shown only on Net worth and the screens reached from it.</t>
        </is>
      </c>
    </row>
    <row r="12">
      <c r="A12" s="2" t="inlineStr">
        <is>
          <t>TAB — performance</t>
        </is>
      </c>
      <c r="B12" s="3" t="inlineStr">
        <is>
          <t>Figures shown only on Performance and the screens reached from it.</t>
        </is>
      </c>
    </row>
    <row r="13">
      <c r="A13" s="2" t="inlineStr">
        <is>
          <t>TAB — plan</t>
        </is>
      </c>
      <c r="B13" s="3" t="inlineStr">
        <is>
          <t>Figures shown only on Plan and the screens reached from it.</t>
        </is>
      </c>
    </row>
    <row r="14">
      <c r="A14" s="2" t="inlineStr">
        <is>
          <t>TAB — cashflow</t>
        </is>
      </c>
      <c r="B14" s="3" t="inlineStr">
        <is>
          <t>Figures shown only on Cash flow and the screens reached from it.</t>
        </is>
      </c>
    </row>
    <row r="15">
      <c r="A15" s="2" t="inlineStr">
        <is>
          <t>TAB — menu</t>
        </is>
      </c>
      <c r="B15" s="3" t="inlineStr">
        <is>
          <t>Screens reachable only from the menu, and the figures on them.</t>
        </is>
      </c>
    </row>
    <row r="16">
      <c r="A16" s="2" t="inlineStr">
        <is>
          <t>TAB — engines-old-tab</t>
        </is>
      </c>
      <c r="B16" s="3" t="inlineStr">
        <is>
          <t>One row per engine identifier — the definitive list every dependency and every figure points at. Carries where the engine is implemented, what it answers, and which figures reach it.</t>
        </is>
      </c>
    </row>
    <row r="17">
      <c r="A17" s="2" t="inlineStr">
        <is>
          <t>TAB — functions_summary</t>
        </is>
      </c>
      <c r="B17" s="3" t="inlineStr">
        <is>
          <t>A count per category: how many functions there are, how many are handed nothing at all, how many are handed nothing but reach into the stored data, and how many never say what they give back.</t>
        </is>
      </c>
    </row>
    <row r="18">
      <c r="A18" s="2" t="inlineStr">
        <is>
          <t>TAB — functions_from_code</t>
        </is>
      </c>
      <c r="B18"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19">
      <c r="A19" s="2" t="inlineStr">
        <is>
          <t>TAB — reconciliation</t>
        </is>
      </c>
      <c r="B19" s="3" t="inlineStr">
        <is>
          <t>The input map checked in BOTH directions: what the inputs tab says uses each input, against what each engine actually names in its own input list. Where the two disagree the row says so. The section at the foot lists inputs an engine names that appear nowhere on the inputs tab.</t>
        </is>
      </c>
    </row>
    <row r="20">
      <c r="A20" s="2" t="inlineStr">
        <is>
          <t>TAB — core_screens</t>
        </is>
      </c>
      <c r="B20" s="3" t="inlineStr">
        <is>
          <t>Every screen in the app, its parent, my recommendation on whether it belongs to the 55-70 core, and a column for the founder to decide. Until this is decided, no row in the file can honestly claim to be in scope (S17).</t>
        </is>
      </c>
    </row>
    <row r="21">
      <c r="A21" s="2" t="inlineStr">
        <is>
          <t>TAB — database</t>
        </is>
      </c>
      <c r="B21" s="3" t="inlineStr">
        <is>
          <t>What the app saves in the cloud: where each thing is stored, what it holds, which figures depend on it, how often it is written and at what grain. Also names what is deliberately NOT saved.</t>
        </is>
      </c>
    </row>
    <row r="22">
      <c r="A22" s="2" t="inlineStr">
        <is>
          <t>TAB — inputs</t>
        </is>
      </c>
      <c r="B22" s="3" t="inlineStr">
        <is>
          <t>The raw values the engines need before any calculation happens.</t>
        </is>
      </c>
    </row>
    <row r="23">
      <c r="A23" s="2" t="inlineStr"/>
      <c r="B23" s="3" t="inlineStr"/>
    </row>
    <row r="24">
      <c r="A24" s="2" t="inlineStr">
        <is>
          <t>COLUMN — Metric ID</t>
        </is>
      </c>
      <c r="B24" s="3" t="inlineStr">
        <is>
          <t>The identifier of the figure, per moneykeel_naming_spec_unique-identifier_v01.md. Given once, never changed, never reused.</t>
        </is>
      </c>
    </row>
    <row r="25">
      <c r="A25" s="2" t="inlineStr">
        <is>
          <t>COLUMN — Parent Screen Name</t>
        </is>
      </c>
      <c r="B25" s="3" t="inlineStr">
        <is>
          <t>One of: Home, Networth, Performance, Cashflow, Plan, Menu. Menu means reachable only from the menu.</t>
        </is>
      </c>
    </row>
    <row r="26">
      <c r="A26" s="2" t="inlineStr">
        <is>
          <t>COLUMN — Secondary Screen Name</t>
        </is>
      </c>
      <c r="B26" s="3" t="inlineStr">
        <is>
          <t>The screen reached from the parent, or NA when the figure is on the parent screen itself.</t>
        </is>
      </c>
    </row>
    <row r="27">
      <c r="A27" s="2" t="inlineStr">
        <is>
          <t>COLUMN — Name on Screen</t>
        </is>
      </c>
      <c r="B27" s="3" t="inlineStr">
        <is>
          <t>The label copied exactly as it is worded on screen, including capitals. Where a figure wears different labels on different screens, all are listed.</t>
        </is>
      </c>
    </row>
    <row r="28">
      <c r="A28" s="2" t="inlineStr">
        <is>
          <t>COLUMN — Name of Underlying Metric</t>
        </is>
      </c>
      <c r="B28" s="3" t="inlineStr">
        <is>
          <t>The metric's name in the code.</t>
        </is>
      </c>
    </row>
    <row r="29">
      <c r="A29" s="2" t="inlineStr">
        <is>
          <t>COLUMN — Name of Underlying Engine</t>
        </is>
      </c>
      <c r="B29" s="3" t="inlineStr">
        <is>
          <t>The engine that produces the figure. NOT IN OLD MASTER means the engine exists in the code but has no row in the old master file.</t>
        </is>
      </c>
    </row>
    <row r="30">
      <c r="A30" s="2" t="inlineStr">
        <is>
          <t>COLUMN — Inputs it needs (S02)</t>
        </is>
      </c>
      <c r="B30" s="3" t="inlineStr">
        <is>
          <t>Every input the engine reads, named. Carried from the old master where it has a row there.</t>
        </is>
      </c>
    </row>
    <row r="31">
      <c r="A31" s="2" t="inlineStr">
        <is>
          <t>COLUMN — What comes out (S04)</t>
        </is>
      </c>
      <c r="B31" s="3" t="inlineStr">
        <is>
          <t>Dollars, a percentage, a date, a count; how it is held and how it is shown. Marked "derived by rule" where it was worked out from the label and formula rather than read from the engine — those need confirming.</t>
        </is>
      </c>
    </row>
    <row r="32">
      <c r="A32" s="2" t="inlineStr">
        <is>
          <t>COLUMN — What it says when it cannot be computed (S05)</t>
        </is>
      </c>
      <c r="B32" s="3" t="inlineStr">
        <is>
          <t>The refusal. Written where the engine has been read; NOT DETERMINED where it has not, rather than guessed.</t>
        </is>
      </c>
    </row>
    <row r="33">
      <c r="A33" s="2" t="inlineStr">
        <is>
          <t>COLUMN — Grain (S06)</t>
        </is>
      </c>
      <c r="B33" s="3" t="inlineStr">
        <is>
          <t>One figure per what: holding, account, debt, goal, category, month, or person.</t>
        </is>
      </c>
    </row>
    <row r="34">
      <c r="A34" s="2" t="inlineStr">
        <is>
          <t>COLUMN — Period (S07)</t>
        </is>
      </c>
      <c r="B34" s="3" t="inlineStr">
        <is>
          <t>As of when, and over what window.</t>
        </is>
      </c>
    </row>
    <row r="35">
      <c r="A35" s="2" t="inlineStr">
        <is>
          <t>COLUMN — Dependency (S11)</t>
        </is>
      </c>
      <c r="B35" s="3" t="inlineStr">
        <is>
          <t>The engines this one leans on, each named by ITS identifier and by the output it gives. Read from the code itself, never from a document. "None" means the engine reads raw inputs only.</t>
        </is>
      </c>
    </row>
    <row r="36">
      <c r="A36" s="2" t="inlineStr">
        <is>
          <t>COLUMN — Secondary calculations and decisions the engine makes</t>
        </is>
      </c>
      <c r="B36" s="3" t="inlineStr">
        <is>
          <t>The judgements an engine must make BEFORE its headline figure exists: what class an asset is, what to call it on screen, which units apply, whether a value is fresh. Each of these is a formula of its own and needs its own row.</t>
        </is>
      </c>
    </row>
    <row r="37">
      <c r="A37" s="2" t="inlineStr">
        <is>
          <t>COLUMN — Function ID</t>
        </is>
      </c>
      <c r="B37" s="3" t="inlineStr">
        <is>
          <t>Every function in the code carries one, MK-[family]-F-[number]. The family comes from the folder the code sits in.</t>
        </is>
      </c>
    </row>
    <row r="38">
      <c r="A38" s="2" t="inlineStr">
        <is>
          <t>COLUMN — What it is for</t>
        </is>
      </c>
      <c r="B38" s="3" t="inlineStr">
        <is>
          <t>The purpose of the function in one sentence, taken from the note written above it in the code, or from the old inventory when the code carries none. NOT DETERMINED where neither exists — never invented.</t>
        </is>
      </c>
    </row>
    <row r="39">
      <c r="A39" s="2" t="inlineStr">
        <is>
          <t>COLUMN — What it is handed / what it gives back</t>
        </is>
      </c>
      <c r="B39" s="3" t="inlineStr">
        <is>
          <t>Read from the function's own signature: the values passed to it, whether it also reads the stored data, and what it returns. NOT DECLARED means the code does not say what comes back.</t>
        </is>
      </c>
    </row>
    <row r="40">
      <c r="A40" s="2" t="inlineStr">
        <is>
          <t>COLUMN — Where its answer appears</t>
        </is>
      </c>
      <c r="B40" s="3" t="inlineStr">
        <is>
          <t>In plain English: the words printed beside the answer, which screen they are on, and the section they sit under. NOT FOUND means a screen calls the function but the words could not be traced automatically and need reading.</t>
        </is>
      </c>
    </row>
    <row r="41">
      <c r="A41" s="2" t="inlineStr">
        <is>
          <t>COLUMN — Assumptions it makes</t>
        </is>
      </c>
      <c r="B41"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42">
      <c r="A42" s="2" t="inlineStr">
        <is>
          <t>COLUMN — Dependent functions</t>
        </is>
      </c>
      <c r="B42"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43">
      <c r="A43" s="2" t="inlineStr">
        <is>
          <t>COLUMN — The chain, ending in this function</t>
        </is>
      </c>
      <c r="B43" s="3" t="inlineStr">
        <is>
          <t>Read left to right. The function that shows the answer sits at the END, and everything feeding it comes before it. A loop is marked where a chain turns back on itself. Chains are cut at five levels and eight paths, and say so.</t>
        </is>
      </c>
    </row>
    <row r="44">
      <c r="A44" s="2" t="inlineStr">
        <is>
          <t>COLUMN — Same figure as (S16)</t>
        </is>
      </c>
      <c r="B44" s="3" t="inlineStr">
        <is>
          <t>Where the same figure appears under more than one identifier, the row names the surviving identifier and why. Nothing is deleted: identifiers are never reused, so a folded row stays visible and says what it became.</t>
        </is>
      </c>
    </row>
    <row r="45">
      <c r="A45" s="2" t="inlineStr">
        <is>
          <t>COLUMN — Questions for you (numbered)</t>
        </is>
      </c>
      <c r="B45" s="3" t="inlineStr">
        <is>
          <t>My open questions about that engine or figure, each with a number that never changes. A number is never reused or renumbered, so an answer can always be matched to its question.</t>
        </is>
      </c>
    </row>
    <row r="46">
      <c r="A46" s="2" t="inlineStr">
        <is>
          <t>COLUMN — YOUR ANSWER — use the same number</t>
        </is>
      </c>
      <c r="B46" s="3" t="inlineStr">
        <is>
          <t>Answer here, starting each answer with the question number. Nothing else in the file needs to line up.</t>
        </is>
      </c>
    </row>
    <row r="47">
      <c r="A47" s="2" t="inlineStr">
        <is>
          <t>COLUMN — Errors or findings to address</t>
        </is>
      </c>
      <c r="B47" s="3" t="inlineStr">
        <is>
          <t>What is known to be wrong or unproved about this figure, in plain English. Blank means nothing is on record yet — not that nothing is wrong.</t>
        </is>
      </c>
    </row>
    <row r="48">
      <c r="A48" s="2" t="inlineStr">
        <is>
          <t>COLUMN — Decisions made (S03)</t>
        </is>
      </c>
      <c r="B48"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49">
      <c r="A49" s="2" t="inlineStr">
        <is>
          <t>COLUMN — Formula (mathematical)</t>
        </is>
      </c>
      <c r="B49" s="3" t="inlineStr">
        <is>
          <t>The rule written as arithmetic, so it can be followed symbol by symbol and checked against the code.</t>
        </is>
      </c>
    </row>
    <row r="50">
      <c r="A50" s="2" t="inlineStr">
        <is>
          <t>COLUMN — Formula (in words)</t>
        </is>
      </c>
      <c r="B50" s="3" t="inlineStr">
        <is>
          <t>The same rule in plain English, followable by hand. Where the engine has a row in the old master this is its wording, carried over; where it does not, it is written here from reading the code.</t>
        </is>
      </c>
    </row>
    <row r="51">
      <c r="A51" s="2" t="inlineStr">
        <is>
          <t>COLUMN — Engine ID</t>
        </is>
      </c>
      <c r="B51" s="3" t="inlineStr">
        <is>
          <t>The identifier of that engine. Blank where the figure is worked out on the screen itself rather than by an engine — which is itself a finding.</t>
        </is>
      </c>
    </row>
    <row r="52">
      <c r="A52" s="2" t="inlineStr">
        <is>
          <t>COLUMN — Your name for it (72-metric file)</t>
        </is>
      </c>
      <c r="B52" s="3" t="inlineStr">
        <is>
          <t>The founder's own name for the same figure, from METRICS-DELIVERABLE-ANSWERED-2026-08-20.xlsx. This column is the bridge between his vocabulary and the code's.</t>
        </is>
      </c>
    </row>
    <row r="53">
      <c r="A53" s="2" t="inlineStr">
        <is>
          <t>COLUMN — Core screen?</t>
        </is>
      </c>
      <c r="B53" s="3" t="inlineStr">
        <is>
          <t>Whether the screen is part of the 55-70 core, the agreed first scope. Currently NOT DETERMINED on every row: the core list has never been written down, so no row can honestly claim to be in or out of it.</t>
        </is>
      </c>
    </row>
    <row r="54">
      <c r="A54" s="2" t="inlineStr">
        <is>
          <t>COLUMN — Row status</t>
        </is>
      </c>
      <c r="B54" s="3" t="inlineStr">
        <is>
          <t>VERIFIED with its date means a person read the screen and confirmed the chain. NOT STARTED means the screen has not been read yet. Nothing in between is claimed.</t>
        </is>
      </c>
    </row>
    <row r="55">
      <c r="A55" s="2" t="inlineStr"/>
      <c r="B55" s="3" t="inlineStr"/>
    </row>
    <row r="56">
      <c r="A56" s="2" t="inlineStr">
        <is>
          <t>COLUMN — Input ID</t>
        </is>
      </c>
      <c r="B56" s="3" t="inlineStr">
        <is>
          <t>The identifier of a raw input, per the same standard.</t>
        </is>
      </c>
    </row>
    <row r="57">
      <c r="A57" s="2" t="inlineStr">
        <is>
          <t>COLUMN — Variable name</t>
        </is>
      </c>
      <c r="B57" s="3" t="inlineStr">
        <is>
          <t>What the raw value is called.</t>
        </is>
      </c>
    </row>
    <row r="58">
      <c r="A58" s="2" t="inlineStr">
        <is>
          <t>COLUMN — Source</t>
        </is>
      </c>
      <c r="B58" s="3" t="inlineStr">
        <is>
          <t>Where the value comes from: the person typed it, an institution download, a connected provider, or another engine computed it.</t>
        </is>
      </c>
    </row>
    <row r="59">
      <c r="A59" s="2" t="inlineStr">
        <is>
          <t>COLUMN — Which metric uses it</t>
        </is>
      </c>
      <c r="B59" s="3" t="inlineStr">
        <is>
          <t>Every metric identifier that depends on this input.</t>
        </is>
      </c>
    </row>
    <row r="60">
      <c r="A60" s="2" t="inlineStr">
        <is>
          <t>COLUMN — Which engine uses it</t>
        </is>
      </c>
      <c r="B60" s="3" t="inlineStr">
        <is>
          <t>Every engine identifier that reads this input.</t>
        </is>
      </c>
    </row>
    <row r="61">
      <c r="A61" s="2" t="inlineStr"/>
      <c r="B61" s="3" t="inlineStr"/>
    </row>
    <row r="62">
      <c r="A62" s="2" t="inlineStr">
        <is>
          <t>Complies with — naming</t>
        </is>
      </c>
      <c r="B62" s="3" t="inlineStr">
        <is>
          <t>MoneyKeel/documents/standards/moneykeel_naming_spec_file-and-folder-naming_v01.md</t>
        </is>
      </c>
    </row>
    <row r="63">
      <c r="A63" s="2" t="inlineStr">
        <is>
          <t>Complies with — identifiers</t>
        </is>
      </c>
      <c r="B63" s="3" t="inlineStr">
        <is>
          <t>MoneyKeel/documents/standards/moneykeel_naming_spec_unique-identifier_v01.md</t>
        </is>
      </c>
    </row>
    <row r="64">
      <c r="A64" s="2" t="inlineStr">
        <is>
          <t>Complies with — objectives</t>
        </is>
      </c>
      <c r="B64" s="3" t="inlineStr">
        <is>
          <t>MoneyKeel/documents/standards/moneykeel_calc_spec_objectives-and-verification_v01.md</t>
        </is>
      </c>
    </row>
    <row r="65">
      <c r="A65" s="2" t="inlineStr"/>
      <c r="B65" s="3" t="inlineStr"/>
    </row>
    <row r="66">
      <c r="A66" s="2" t="inlineStr">
        <is>
          <t>COVERAGE — screens read so far</t>
        </is>
      </c>
      <c r="B66" s="3" t="inlineStr">
        <is>
          <t>49 of 49. Every screen in the app has been read: the five parent screens, every secondary screen and every menu screen. Twelve screens carry no calculated figure and say so.</t>
        </is>
      </c>
    </row>
    <row r="67">
      <c r="A67" s="2" t="inlineStr">
        <is>
          <t>COVERAGE — what that means</t>
        </is>
      </c>
      <c r="B67" s="3" t="inlineStr">
        <is>
          <t>Every screen in the app is listed on its tab. Only Home carries figures so far; the rest are marked NOT STARTED. A rising count is not completeness while screens remain unread.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No.</t>
        </is>
      </c>
      <c r="B1" s="1" t="inlineStr">
        <is>
          <t>What is needed</t>
        </is>
      </c>
      <c r="C1" s="1" t="inlineStr">
        <is>
          <t>Why it is needed</t>
        </is>
      </c>
      <c r="D1" s="1" t="inlineStr">
        <is>
          <t>Where it stands in this file today</t>
        </is>
      </c>
    </row>
    <row r="2">
      <c r="A2" t="inlineStr"/>
      <c r="B2" s="4" t="inlineStr">
        <is>
          <t>SECTION — WHAT THE NUMBER IS</t>
        </is>
      </c>
      <c r="C2" s="3" t="inlineStr"/>
      <c r="D2" s="3" t="inlineStr"/>
    </row>
    <row r="3">
      <c r="A3" t="inlineStr">
        <is>
          <t>S01</t>
        </is>
      </c>
      <c r="B3" s="3" t="inlineStr">
        <is>
          <t>The formula</t>
        </is>
      </c>
      <c r="C3" s="3" t="inlineStr">
        <is>
          <t>The actual rules, both as arithmetic and in plain English, followable by hand.</t>
        </is>
      </c>
      <c r="D3" s="3" t="inlineStr">
        <is>
          <t>COMPLETE — 163 of 163 carry both forms.</t>
        </is>
      </c>
    </row>
    <row r="4">
      <c r="A4" t="inlineStr">
        <is>
          <t>S02</t>
        </is>
      </c>
      <c r="B4" s="3" t="inlineStr">
        <is>
          <t>The inputs, one by one</t>
        </is>
      </c>
      <c r="C4" s="3" t="inlineStr">
        <is>
          <t>Every input named, with its INPUT IDENTIFIER beside it, its unit and where it comes from.</t>
        </is>
      </c>
      <c r="D4" s="3" t="inlineStr">
        <is>
          <t>PARTIAL — 59 rows name inputs carrying their identifiers; 72 rows name at least one input that appears nowhere on the inputs tab, and say so in the cell. The reconciliation tab checks both directions and is where the gap is counted.</t>
        </is>
      </c>
    </row>
    <row r="5">
      <c r="A5"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c r="A6" t="inlineStr">
        <is>
          <t>S04</t>
        </is>
      </c>
      <c r="B6" s="3" t="inlineStr">
        <is>
          <t>What comes out</t>
        </is>
      </c>
      <c r="C6" s="3" t="inlineStr">
        <is>
          <t>Dollars, a percentage, a date, a count; its unit and its rounding.</t>
        </is>
      </c>
      <c r="D6" s="3" t="inlineStr">
        <is>
          <t>COMPLETE — 163 of 163, derived by rule from the label and formula and marked as derived. Confirm rather than trust.</t>
        </is>
      </c>
    </row>
    <row r="7">
      <c r="A7" t="inlineStr">
        <is>
          <t>S05</t>
        </is>
      </c>
      <c r="B7" s="3" t="inlineStr">
        <is>
          <t>What it says when it cannot be computed</t>
        </is>
      </c>
      <c r="C7" s="3" t="inlineStr">
        <is>
          <t>The exact refusal — where wrong numbers get invented.</t>
        </is>
      </c>
      <c r="D7" s="3" t="inlineStr">
        <is>
          <t>PARTIAL — 126 of 163 written; 37 read NOT DETERMINED because that engine has not been read for its refusal yet.</t>
        </is>
      </c>
    </row>
    <row r="8">
      <c r="A8" t="inlineStr">
        <is>
          <t>S06</t>
        </is>
      </c>
      <c r="B8" s="3" t="inlineStr">
        <is>
          <t>The grain</t>
        </is>
      </c>
      <c r="C8" s="3" t="inlineStr">
        <is>
          <t>One figure per holding, account, debt, goal, category, month or person.</t>
        </is>
      </c>
      <c r="D8" s="3" t="inlineStr">
        <is>
          <t>COMPLETE — 163 of 163, derived by rule and marked as derived.</t>
        </is>
      </c>
    </row>
    <row r="9">
      <c r="A9" t="inlineStr">
        <is>
          <t>S07</t>
        </is>
      </c>
      <c r="B9" s="3" t="inlineStr">
        <is>
          <t>The period</t>
        </is>
      </c>
      <c r="C9" s="3" t="inlineStr">
        <is>
          <t>As of when, and over what window.</t>
        </is>
      </c>
      <c r="D9" s="3" t="inlineStr">
        <is>
          <t>COMPLETE — 163 of 163, derived by rule and marked as derived.</t>
        </is>
      </c>
    </row>
    <row r="10">
      <c r="A10" t="inlineStr"/>
      <c r="B10" s="4" t="inlineStr">
        <is>
          <t>SECTION — WHAT PROVES IT</t>
        </is>
      </c>
      <c r="C10" s="3" t="inlineStr"/>
      <c r="D10" s="3" t="inlineStr"/>
    </row>
    <row r="11">
      <c r="A11" t="inlineStr">
        <is>
          <t>S08</t>
        </is>
      </c>
      <c r="B11" s="3" t="inlineStr">
        <is>
          <t>Worked examples</t>
        </is>
      </c>
      <c r="C11" s="3" t="inlineStr">
        <is>
          <t>These inputs give this answer. Rung 2 re-runs them through the real engine on every build.</t>
        </is>
      </c>
      <c r="D11" s="3" t="inlineStr">
        <is>
          <t>NOT STARTED — waits on the founder's answers to the numbered questions, since an example needs the rule settled first.</t>
        </is>
      </c>
    </row>
    <row r="12">
      <c r="A12"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c r="A13" t="inlineStr">
        <is>
          <t>S10</t>
        </is>
      </c>
      <c r="B13" s="3" t="inlineStr">
        <is>
          <t>Verification level</t>
        </is>
      </c>
      <c r="C13" s="3" t="inlineStr">
        <is>
          <t>Which engines are marked for rung 4 and rung 5. Marked by the founder, recommended by me.</t>
        </is>
      </c>
      <c r="D13" s="3" t="inlineStr">
        <is>
          <t>NOT STARTED — the column does not exist yet.</t>
        </is>
      </c>
    </row>
    <row r="14">
      <c r="A14" t="inlineStr"/>
      <c r="B14" s="4" t="inlineStr">
        <is>
          <t>SECTION — WHAT CONNECTS IT</t>
        </is>
      </c>
      <c r="C14" s="3" t="inlineStr"/>
      <c r="D14" s="3" t="inlineStr"/>
    </row>
    <row r="15">
      <c r="A15" t="inlineStr">
        <is>
          <t>S11</t>
        </is>
      </c>
      <c r="B15" s="3" t="inlineStr">
        <is>
          <t>Which engines feed this engine</t>
        </is>
      </c>
      <c r="C15" s="3" t="inlineStr">
        <is>
          <t>Each dependency named by ITS engine identifier and by the output it gives, so a chain can be followed without knowing any engine by name.</t>
        </is>
      </c>
      <c r="D15" s="3" t="inlineStr">
        <is>
          <t>COMPLETE — read from the code itself, not from any document. 64 rows name a dependency by identifier; the rest read raw inputs only.</t>
        </is>
      </c>
    </row>
    <row r="16">
      <c r="A16" t="inlineStr">
        <is>
          <t>S12</t>
        </is>
      </c>
      <c r="B16" s="3" t="inlineStr">
        <is>
          <t>Where it is implemented</t>
        </is>
      </c>
      <c r="C16" s="3" t="inlineStr">
        <is>
          <t>The file and function that carry it, so file and code can be checked against each other on every build.</t>
        </is>
      </c>
      <c r="D16" s="3" t="inlineStr">
        <is>
          <t>PARTIAL — the engines tab carries the file and line for every engine identifier that has one on record; the rest read NOT DETERMINED, and the ones worked out on a screen say so.</t>
        </is>
      </c>
    </row>
    <row r="17">
      <c r="A17" t="inlineStr"/>
      <c r="B17" s="4" t="inlineStr">
        <is>
          <t>SECTION — GOVERNANCE</t>
        </is>
      </c>
      <c r="C17" s="3" t="inlineStr"/>
      <c r="D17" s="3" t="inlineStr"/>
    </row>
    <row r="18">
      <c r="A18" t="inlineStr">
        <is>
          <t>S13</t>
        </is>
      </c>
      <c r="B18" s="3" t="inlineStr">
        <is>
          <t>The founder's verdict</t>
        </is>
      </c>
      <c r="C18" s="3" t="inlineStr">
        <is>
          <t>A row counts as documented only when he has approved it.</t>
        </is>
      </c>
      <c r="D18" s="3" t="inlineStr">
        <is>
          <t>NOT STARTED — the column does not exist yet, so the coverage count means nothing until it does.</t>
        </is>
      </c>
    </row>
    <row r="19">
      <c r="A19" t="inlineStr">
        <is>
          <t>S14</t>
        </is>
      </c>
      <c r="B19" s="3" t="inlineStr">
        <is>
          <t>Lifecycle</t>
        </is>
      </c>
      <c r="C19" s="3" t="inlineStr">
        <is>
          <t>Live, cut, or superseded by another identifier.</t>
        </is>
      </c>
      <c r="D19" s="3" t="inlineStr">
        <is>
          <t>NOT STARTED.</t>
        </is>
      </c>
    </row>
    <row r="20">
      <c r="A20" t="inlineStr"/>
      <c r="B20" s="4" t="inlineStr">
        <is>
          <t>SECTION — NOT ON THE ORIGINAL LIST, STILL NEEDED</t>
        </is>
      </c>
      <c r="C20" s="3" t="inlineStr"/>
      <c r="D20" s="3" t="inlineStr"/>
    </row>
    <row r="21">
      <c r="A21" t="inlineStr">
        <is>
          <t>S15</t>
        </is>
      </c>
      <c r="B21" s="3" t="inlineStr">
        <is>
          <t>Your name for it, from the 72-metric file</t>
        </is>
      </c>
      <c r="C21" s="3" t="inlineStr">
        <is>
          <t>The bridge between the founder's vocabulary and the code's.</t>
        </is>
      </c>
      <c r="D21" s="3" t="inlineStr">
        <is>
          <t>NOT STARTED — 0 of 163 rows.</t>
        </is>
      </c>
    </row>
    <row r="22">
      <c r="A22" t="inlineStr">
        <is>
          <t>S18</t>
        </is>
      </c>
      <c r="B22" s="3" t="inlineStr">
        <is>
          <t>The reconciliation engine</t>
        </is>
      </c>
      <c r="C22" s="3" t="inlineStr">
        <is>
          <t>Both records kept independently and checked against each other as a build gate — an input an engine names that is on no row, an input declared that no engine names, an engine identifier that does not exist, an engine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engine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c r="A23" t="inlineStr">
        <is>
          <t>S19</t>
        </is>
      </c>
      <c r="B23" s="3" t="inlineStr">
        <is>
          <t>Duplicate calculations in the CODE</t>
        </is>
      </c>
      <c r="C23" s="3" t="inlineStr">
        <is>
          <t>S16 compared the figures on screens, so it could only see engines a figure names. Two functions in different files that compute the same thing, named by no figure, are invisible to it — alternativesSummary and alternativesTotal both total the same holdings. A second pass is needed over the code itself.</t>
        </is>
      </c>
      <c r="D23" s="3" t="inlineStr">
        <is>
          <t>NOT STARTED — found while answering a question about S16, not by S16.</t>
        </is>
      </c>
    </row>
    <row r="24">
      <c r="A24" t="inlineStr">
        <is>
          <t>S20</t>
        </is>
      </c>
      <c r="B24" s="3" t="inlineStr">
        <is>
          <t>Engine names that exist nowhere</t>
        </is>
      </c>
      <c r="C24" s="3" t="inlineStr">
        <is>
          <t>Twenty engine names in this file were assigned while reading a screen and have no engine row anywhere. Every one now says so on its row rather than looking documented.</t>
        </is>
      </c>
      <c r="D24" s="3" t="inlineStr">
        <is>
          <t>FLAGGED — the names are marked; each still needs a row of its own, or to be pointed at an engine that already exists.</t>
        </is>
      </c>
    </row>
    <row r="25">
      <c r="A25" t="inlineStr">
        <is>
          <t>S16</t>
        </is>
      </c>
      <c r="B25" s="3" t="inlineStr">
        <is>
          <t>The duplication pass</t>
        </is>
      </c>
      <c r="C25" s="3" t="inlineStr">
        <is>
          <t>Figures that are the same thing under two identifiers.</t>
        </is>
      </c>
      <c r="D25" s="3" t="inlineStr">
        <is>
          <t>COMPLETE — every group judged one at a time. 11 figures were being shown under 24 identifiers; the 13 folded rows now name the identifier that survives and why. 18 groups were checked and are NOT duplicates — one engine legitimately producing several figures — and say so, so the question is not asked twice. Two mis-assigned engines were found and recorded as findings.</t>
        </is>
      </c>
    </row>
    <row r="26">
      <c r="A26" t="inlineStr">
        <is>
          <t>S17</t>
        </is>
      </c>
      <c r="B26" s="3" t="inlineStr">
        <is>
          <t>Which screens are the 55-70 core</t>
        </is>
      </c>
      <c r="C26" s="3" t="inlineStr">
        <is>
          <t>The agreed first scope has never been written down.</t>
        </is>
      </c>
      <c r="D26" s="3" t="inlineStr">
        <is>
          <t>READY FOR THE FOUNDER — the core_screens tab lists all 49 screens with my recommendation (39 in, 5 out, 5 borderline) and a column for his decision.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MK-XS-M-001</t>
        </is>
      </c>
      <c r="B2" t="inlineStr">
        <is>
          <t>Home · Networth</t>
        </is>
      </c>
      <c r="C2" t="inlineStr">
        <is>
          <t>NA</t>
        </is>
      </c>
      <c r="D2" t="inlineStr">
        <is>
          <t>Net worth · YOUR NET WORTH</t>
        </is>
      </c>
      <c r="E2" t="inlineStr">
        <is>
          <t>nw.net_worth</t>
        </is>
      </c>
      <c r="F2" t="inlineStr">
        <is>
          <t>NET_WORTH</t>
        </is>
      </c>
      <c r="G2" t="inlineStr">
        <is>
          <t>MK-XS-E-001</t>
        </is>
      </c>
      <c r="H2" t="inlineStr">
        <is>
          <t>net worth = Σ(all asset balances) − Σ(all debt balances)</t>
        </is>
      </c>
      <c r="I2"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2" t="inlineStr">
        <is>
          <t>everything owned → grossAssets  [MK-XS-I-001] · everything owed → grossDebt  [MK-XS-I-014]</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None — this engine reads raw inputs only</t>
        </is>
      </c>
      <c r="P2" t="inlineStr"/>
      <c r="Q2" t="inlineStr"/>
      <c r="R2" t="inlineStr">
        <is>
          <t>[Founder] Assets minus debts, computed each time and never stored as a third number that could disagree with its own halves. A genuine negative is shown, never floored at zero.</t>
        </is>
      </c>
      <c r="S2" t="inlineStr">
        <is>
          <t>THE SURVIVING IDENTIFIER for this figure. Folded in: MK-NW-M-016. Net worth. "Net worth so far" during setup is the same figure as the headline, mid-way through entry.</t>
        </is>
      </c>
      <c r="T2" t="inlineStr"/>
      <c r="U2" t="inlineStr"/>
      <c r="V2" t="inlineStr"/>
      <c r="W2" t="inlineStr">
        <is>
          <t>NOT DETERMINED</t>
        </is>
      </c>
      <c r="X2" t="inlineStr">
        <is>
          <t>VERIFIED 2026-08-22</t>
        </is>
      </c>
    </row>
    <row r="3">
      <c r="A3" t="inlineStr">
        <is>
          <t>MK-XS-M-002</t>
        </is>
      </c>
      <c r="B3" t="inlineStr">
        <is>
          <t>Home · Plan · Cashflow</t>
        </is>
      </c>
      <c r="C3" t="inlineStr">
        <is>
          <t>NA</t>
        </is>
      </c>
      <c r="D3" t="inlineStr">
        <is>
          <t>Will my money last / Is my money lasting (odds)</t>
        </is>
      </c>
      <c r="E3" t="inlineStr">
        <is>
          <t>wil.chance</t>
        </is>
      </c>
      <c r="F3" t="inlineStr">
        <is>
          <t>WILL_IT_LAST_RESULT</t>
        </is>
      </c>
      <c r="G3" t="inlineStr">
        <is>
          <t>MK-XS-E-007</t>
        </is>
      </c>
      <c r="H3" t="inlineStr">
        <is>
          <t>run 1,000 futures; in each year: balance ← balance × (1 + random return) − (spending − guaranteed income);  odds = futures that never run out ÷ 1,000</t>
        </is>
      </c>
      <c r="I3"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 t="inlineStr">
        <is>
          <t>everything → WILL_IT_LAST_INPUTS  [NOT AN INPUT — another engine’s answer; see the dependency column] · is a range wanted → withBand  [NOT AN INPUT — a setting or a filter, not data anyone supplies]</t>
        </is>
      </c>
      <c r="K3" t="inlineStr">
        <is>
          <t>Percent · rounded to the nearest 5 · a real 100 or 0 shown literally  [derived by rule — confirm]</t>
        </is>
      </c>
      <c r="L3" t="inlineStr">
        <is>
          <t>No odds at all until the three facts are answered. A sample is shown in their place, labelled as a sample, never as the person's own number.</t>
        </is>
      </c>
      <c r="M3" t="inlineStr">
        <is>
          <t>One figure per person — or per household when two people share one record  [derived by rule — confirm]</t>
        </is>
      </c>
      <c r="N3" t="inlineStr">
        <is>
          <t>As of today, from the latest figures held  [derived by rule — confirm]</t>
        </is>
      </c>
      <c r="O3" t="inlineStr">
        <is>
          <t>MK-XS-E-002 (NEST_EGG) → What is my retirement pot worth?
MK-XS-E-003 (ODDS_DISPLAY) → The retirement odds a person actually sees. Answers: 0, 5, 10 … 100 — the exact simulation
MK-XS-E-004 (RETIREMENT_SPENDING) → What will be spent each month in retirement?
MK-XS-E-005 (WILL_IT_LAST) → Will my money last?
MK-XS-E-006 (WILL_IT_LAST_INPUTS) → What goes into working out the odds?</t>
        </is>
      </c>
      <c r="P3" t="inlineStr"/>
      <c r="Q3" t="inlineStr">
        <is>
          <t>The odds shown on Home, Plan and Cash flow are rounded to the nearest 5, while the compare tables still show them exact. One figure, two precisions — founder's open question.</t>
        </is>
      </c>
      <c r="R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S3" t="inlineStr"/>
      <c r="T3" t="inlineStr">
        <is>
          <t>Q19 — The odds are rounded to the nearest 5 on screen but shown exact in the compare tables. Round everywhere, or show exact everywhere?</t>
        </is>
      </c>
      <c r="U3" t="inlineStr"/>
      <c r="V3" t="inlineStr"/>
      <c r="W3" t="inlineStr">
        <is>
          <t>NOT DETERMINED</t>
        </is>
      </c>
      <c r="X3" t="inlineStr">
        <is>
          <t>VERIFIED 2026-08-22</t>
        </is>
      </c>
    </row>
    <row r="4">
      <c r="A4" t="inlineStr">
        <is>
          <t>MK-XS-M-003</t>
        </is>
      </c>
      <c r="B4" t="inlineStr">
        <is>
          <t>Home · Performance · Networth</t>
        </is>
      </c>
      <c r="C4" t="inlineStr">
        <is>
          <t>NA</t>
        </is>
      </c>
      <c r="D4" t="inlineStr">
        <is>
          <t>YOUR INVESTMENTS · 📈 INVESTMENTS</t>
        </is>
      </c>
      <c r="E4" t="inlineStr">
        <is>
          <t>investTotal</t>
        </is>
      </c>
      <c r="F4" t="inlineStr">
        <is>
          <t>TOTAL_INVESTMENTS</t>
        </is>
      </c>
      <c r="G4" t="inlineStr">
        <is>
          <t>MK-XS-E-009</t>
        </is>
      </c>
      <c r="H4" t="inlineStr">
        <is>
          <t>investments = Σ(balance of each account whose class ∈ {brokerage, retirement, other investments})</t>
        </is>
      </c>
      <c r="I4" t="inlineStr">
        <is>
          <t>Add up the balances of every account whose class is Stocks / Funds, Bonds &amp; CDs, Alternatives or Unclassified. Excludes cash, the house and the car.</t>
        </is>
      </c>
      <c r="J4" t="inlineStr">
        <is>
          <t>each account's class → assetClassOf  [MK-XS-I-048] · each account's money → balance  [MK-XS-I-001]</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As of today, from the latest figures held  [derived by rule — confirm]</t>
        </is>
      </c>
      <c r="O4" t="inlineStr">
        <is>
          <t>MK-XS-E-008 (ASSET_CLASS_OF_ACCOUNT) → What kind of thing is this account — cash, a bond, shares, or something else?</t>
        </is>
      </c>
      <c r="P4" t="inlineStr"/>
      <c r="Q4" t="inlineStr"/>
      <c r="R4" t="inlineStr">
        <is>
          <t>[The person] The retirement age in their plan.</t>
        </is>
      </c>
      <c r="S4" t="inlineStr"/>
      <c r="T4" t="inlineStr"/>
      <c r="U4" t="inlineStr"/>
      <c r="V4" t="inlineStr"/>
      <c r="W4" t="inlineStr">
        <is>
          <t>NOT DETERMINED</t>
        </is>
      </c>
      <c r="X4" t="inlineStr">
        <is>
          <t>VERIFIED 2026-08-22</t>
        </is>
      </c>
    </row>
    <row r="5">
      <c r="A5" t="inlineStr">
        <is>
          <t>MK-XS-M-004</t>
        </is>
      </c>
      <c r="B5" t="inlineStr">
        <is>
          <t>Home · Performance</t>
        </is>
      </c>
      <c r="C5" t="inlineStr">
        <is>
          <t>NA</t>
        </is>
      </c>
      <c r="D5" t="inlineStr">
        <is>
          <t>▲ up/▼ down $X (Y%) this month · Return · YOUR RETURN</t>
        </is>
      </c>
      <c r="E5" t="inlineStr">
        <is>
          <t>youReturn / shownReturn</t>
        </is>
      </c>
      <c r="F5" t="inlineStr">
        <is>
          <t>VALUE_WEIGHTED_RETURN</t>
        </is>
      </c>
      <c r="G5" t="inlineStr">
        <is>
          <t>MK-XS-E-010</t>
        </is>
      </c>
      <c r="H5" t="inlineStr">
        <is>
          <t>return = (ending − beginning − net money in) ÷ (beginning + net money in weighted by when it arrived)</t>
        </is>
      </c>
      <c r="I5" t="inlineStr">
        <is>
          <t>Weight each holding's return by how much money is in it, and add: Σ(return × value) ÷ Σ(value).
Money-weighted, not an equal average: $90,000 up 10% and $10,000 flat is +9%, where averaging the two would say +5% and be badly wrong.
A holding with no return is dropped from BOTH the top and the bottom of the sum, so it neither drags the answer down nor distorts the weights.
Nothing usable → nothing, never 0%.
This is a PRICE-based return. It does not know when you added money, which is what PERSONAL_RETURN answers — the two will differ, and both are right about different questions.</t>
        </is>
      </c>
      <c r="J5" t="inlineStr">
        <is>
          <t>each holding's return → rows[].periodReturn  [NOT AN INPUT — another engine’s answer; see the dependency column] · its value → rows[].marketValue  [NOT AN INPUT — another engine’s answer; see the dependency column]</t>
        </is>
      </c>
      <c r="K5" t="inlineStr">
        <is>
          <t>Percent · one decimal shown  [derived by rule — confirm]</t>
        </is>
      </c>
      <c r="L5" t="inlineStr">
        <is>
          <t>A division: with nothing on the bottom there is no answer, and the line must not appear as zero. NOT YET CONFIRMED against the engine.</t>
        </is>
      </c>
      <c r="M5" t="inlineStr">
        <is>
          <t>One figure per month  [derived by rule — confirm]</t>
        </is>
      </c>
      <c r="N5" t="inlineStr">
        <is>
          <t>This calendar month, to today  [derived by rule — confirm]</t>
        </is>
      </c>
      <c r="O5" t="inlineStr">
        <is>
          <t>None — this engine reads raw inputs only</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MK-XS-M-005</t>
        </is>
      </c>
      <c r="B6" t="inlineStr">
        <is>
          <t>Home · Cashflow</t>
        </is>
      </c>
      <c r="C6" t="inlineStr">
        <is>
          <t>NA</t>
        </is>
      </c>
      <c r="D6" t="inlineStr">
        <is>
          <t>Spent so far · Spent $X of $Y left to spend this month</t>
        </is>
      </c>
      <c r="E6" t="inlineStr">
        <is>
          <t>bva.spent_total</t>
        </is>
      </c>
      <c r="F6" t="inlineStr">
        <is>
          <t>NOT IN OLD MASTER — budgetVsActual, src/domain/budget</t>
        </is>
      </c>
      <c r="G6" t="inlineStr">
        <is>
          <t>MK-XS-E-011</t>
        </is>
      </c>
      <c r="H6" t="inlineStr">
        <is>
          <t>spent(bucket) = Σ(expenses dated in this month in that bucket, debt payments excluded);  remaining = planned − spent</t>
        </is>
      </c>
      <c r="I6" t="inlineStr">
        <is>
          <t>Adds up this month’s logged expenses by bucket and sets each against what was planned. Debt payments are deliberately left out, because debt is tracked on its own.</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month  [derived by rule — confirm]</t>
        </is>
      </c>
      <c r="N6" t="inlineStr">
        <is>
          <t>This calendar month, to today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MK-XS-M-006</t>
        </is>
      </c>
      <c r="B7" t="inlineStr">
        <is>
          <t>Home · Cashflow</t>
        </is>
      </c>
      <c r="C7" t="inlineStr">
        <is>
          <t>NA</t>
        </is>
      </c>
      <c r="D7" t="inlineStr">
        <is>
          <t>Income · In (received) · In (take-home)</t>
        </is>
      </c>
      <c r="E7" t="inlineStr">
        <is>
          <t>thisMonthNet</t>
        </is>
      </c>
      <c r="F7" t="inlineStr">
        <is>
          <t>NOT IN OLD MASTER — incomeMonthlyGrid, src/domain/income</t>
        </is>
      </c>
      <c r="G7" t="inlineStr">
        <is>
          <t>MK-XS-E-012</t>
        </is>
      </c>
      <c r="H7" t="inlineStr">
        <is>
          <t>money in month m = salary(m) + tips(m) + rental ÷ 12 + bonus(m) + equity vesting(m) − withholding(m) − pre-tax contributions(m)</t>
        </is>
      </c>
      <c r="I7" t="inlineStr">
        <is>
          <t>Builds twelve months of money in, one month at a time. Salary comes from the per-month table, equity lands in the months it vests, the bonus lands in its own month, and each month has its own withholding rate.</t>
        </is>
      </c>
      <c r="J7" t="inlineStr">
        <is>
          <t>NOT DETERMINED — no input list on record for this engine</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This calendar month, to today  [derived by rule — confirm]</t>
        </is>
      </c>
      <c r="O7" t="inlineStr">
        <is>
          <t>NOT DETERMINED</t>
        </is>
      </c>
      <c r="P7" t="inlineStr"/>
      <c r="Q7" t="inlineStr"/>
      <c r="R7" t="inlineStr">
        <is>
          <t>NOT DETERMINED — no assumption recorded for this figure yet.</t>
        </is>
      </c>
      <c r="S7" t="inlineStr">
        <is>
          <t>THE SURVIVING IDENTIFIER for this figure. Folded in: MK-CF-M-018. Money in this month. "In (take-home)" on Cash flow is the same figure as "Income" on Home.</t>
        </is>
      </c>
      <c r="T7" t="inlineStr"/>
      <c r="U7" t="inlineStr"/>
      <c r="V7" t="inlineStr"/>
      <c r="W7" t="inlineStr">
        <is>
          <t>NOT DETERMINED</t>
        </is>
      </c>
      <c r="X7" t="inlineStr">
        <is>
          <t>VERIFIED 2026-08-22</t>
        </is>
      </c>
    </row>
    <row r="8">
      <c r="A8" t="inlineStr">
        <is>
          <t>MK-XS-M-007</t>
        </is>
      </c>
      <c r="B8" t="inlineStr">
        <is>
          <t>Home · Cashflow</t>
        </is>
      </c>
      <c r="C8" t="inlineStr">
        <is>
          <t>NA</t>
        </is>
      </c>
      <c r="D8" t="inlineStr">
        <is>
          <t>Left / Over · left to spend this month</t>
        </is>
      </c>
      <c r="E8" t="inlineStr">
        <is>
          <t>left</t>
        </is>
      </c>
      <c r="F8" t="inlineStr">
        <is>
          <t>worked out on the screen: money in − spent so far</t>
        </is>
      </c>
      <c r="G8" t="inlineStr"/>
      <c r="H8" t="inlineStr">
        <is>
          <t>left to spend = money in this month − spent so far</t>
        </is>
      </c>
      <c r="I8" t="inlineStr">
        <is>
          <t>Worked out on the screen itself, with no engine behind it — a place a second definition can appear.</t>
        </is>
      </c>
      <c r="J8" t="inlineStr">
        <is>
          <t>NOT DETERMINED — no input list on record for this engine</t>
        </is>
      </c>
      <c r="K8" t="inlineStr">
        <is>
          <t>US dollars · held to the cent · shown as whole dollars  [derived by rule — confirm]</t>
        </is>
      </c>
      <c r="L8" t="inlineStr">
        <is>
          <t>Inherits the refusal of the figures it is built from: if either side is missing, this line is not shown.</t>
        </is>
      </c>
      <c r="M8" t="inlineStr">
        <is>
          <t>One figure per month  [derived by rule — confirm]</t>
        </is>
      </c>
      <c r="N8" t="inlineStr">
        <is>
          <t>This calendar month, to today  [derived by rule — confirm]</t>
        </is>
      </c>
      <c r="O8" t="inlineStr">
        <is>
          <t>NOT DETERMINED</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0"/>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MK-HM-M-001</t>
        </is>
      </c>
      <c r="B2" t="inlineStr">
        <is>
          <t>Home</t>
        </is>
      </c>
      <c r="C2" t="inlineStr">
        <is>
          <t>NA</t>
        </is>
      </c>
      <c r="D2" t="inlineStr">
        <is>
          <t>prices updated &lt;when&gt;</t>
        </is>
      </c>
      <c r="E2" t="inlineStr">
        <is>
          <t>freshness</t>
        </is>
      </c>
      <c r="F2" t="inlineStr">
        <is>
          <t>PRICE_FRESHNESS</t>
        </is>
      </c>
      <c r="G2" t="inlineStr">
        <is>
          <t>MK-HM-E-001</t>
        </is>
      </c>
      <c r="H2" t="inlineStr">
        <is>
          <t>age = now − the moment prices were last fetched;  stale when age &gt; the freshness limit</t>
        </is>
      </c>
      <c r="I2"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t="inlineStr">
        <is>
          <t>when it was fetched → fetchedAt  [MK-XS-I-006] · now → now  [NOT AN INPUT — a setting or a filter, not data anyone supplies]</t>
        </is>
      </c>
      <c r="K2" t="inlineStr">
        <is>
          <t>US dollars per unit · held to 8 decimal places · decimals shown  [derived by rule — confirm]</t>
        </is>
      </c>
      <c r="L2" t="inlineStr">
        <is>
          <t>With no priced holdings there is no freshness to report and the line does not appear.</t>
        </is>
      </c>
      <c r="M2" t="inlineStr">
        <is>
          <t>One figure per person — or per household when two people share one record  [derived by rule — confirm]</t>
        </is>
      </c>
      <c r="N2" t="inlineStr">
        <is>
          <t>As of today, from the latest figures held  [derived by rule — confirm]</t>
        </is>
      </c>
      <c r="O2" t="inlineStr">
        <is>
          <t>MK-XS-E-013 (FETCH_PRICES) → What are these holdings worth?</t>
        </is>
      </c>
      <c r="P2" t="inlineStr">
        <is>
          <t>DECIDES the moment a price stops being current.</t>
        </is>
      </c>
      <c r="Q2" t="inlineStr">
        <is>
          <t>Prices are never synced, so freshness is per device. Two devices can legitimately disagree about how current a value is.</t>
        </is>
      </c>
      <c r="R2" t="inlineStr">
        <is>
          <t>NOT DETERMINED — no assumption recorded for this figure yet.</t>
        </is>
      </c>
      <c r="S2" t="inlineStr"/>
      <c r="T2" t="inlineStr">
        <is>
          <t>Q22 — How old is too old for a price before the screen warns? Today it is a fixed limit in the code; you have never set it.</t>
        </is>
      </c>
      <c r="U2" t="inlineStr"/>
      <c r="V2" t="inlineStr"/>
      <c r="W2" t="inlineStr">
        <is>
          <t>NOT DETERMINED</t>
        </is>
      </c>
      <c r="X2" t="inlineStr">
        <is>
          <t>VERIFIED 2026-08-22</t>
        </is>
      </c>
    </row>
    <row r="3">
      <c r="A3" t="inlineStr">
        <is>
          <t>MK-HM-M-002</t>
        </is>
      </c>
      <c r="B3" t="inlineStr">
        <is>
          <t>Home</t>
        </is>
      </c>
      <c r="C3" t="inlineStr">
        <is>
          <t>NA</t>
        </is>
      </c>
      <c r="D3" t="inlineStr">
        <is>
          <t>Your net worth just crossed X</t>
        </is>
      </c>
      <c r="E3" t="inlineStr">
        <is>
          <t>milestone</t>
        </is>
      </c>
      <c r="F3" t="inlineStr">
        <is>
          <t>NOT IN OLD MASTER — milestoneCrossed, src/domain/milestones.ts</t>
        </is>
      </c>
      <c r="G3" t="inlineStr">
        <is>
          <t>MK-HM-E-002</t>
        </is>
      </c>
      <c r="H3" t="inlineStr">
        <is>
          <t>crossed when net worth ≥ the next round mark above the highest mark already seen</t>
        </is>
      </c>
      <c r="I3" t="inlineStr">
        <is>
          <t>Notices when net worth passes a round number for the first time, and remembers the highest one already shown so the same milestone is never announced twice.</t>
        </is>
      </c>
      <c r="J3" t="inlineStr">
        <is>
          <t>NOT DETERMINED — no input list on record for this engine</t>
        </is>
      </c>
      <c r="K3" t="inlineStr">
        <is>
          <t>US dollars · held to the cent · shown as whole dollars  [derived by rule — confirm]</t>
        </is>
      </c>
      <c r="L3" t="inlineStr">
        <is>
          <t>NOT DETERMINED — this engine has not been read for its refusal yet.</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MK-HM-M-003</t>
        </is>
      </c>
      <c r="B4" t="inlineStr">
        <is>
          <t>Home</t>
        </is>
      </c>
      <c r="C4" t="inlineStr">
        <is>
          <t>NA</t>
        </is>
      </c>
      <c r="D4" t="inlineStr">
        <is>
          <t>Needs your attention (1, 2, 3)</t>
        </is>
      </c>
      <c r="E4" t="inlineStr">
        <is>
          <t>topInsights</t>
        </is>
      </c>
      <c r="F4" t="inlineStr">
        <is>
          <t>NOT IN OLD MASTER — useInsights, src/domain/insights</t>
        </is>
      </c>
      <c r="G4" t="inlineStr">
        <is>
          <t>MK-HM-E-003</t>
        </is>
      </c>
      <c r="H4" t="inlineStr">
        <is>
          <t>each insight scores its own dollars at stake; the list = the highest few, ranked</t>
        </is>
      </c>
      <c r="I4" t="inlineStr">
        <is>
          <t>Works out what is worth saying today, puts a dollar amount against each, and shows the few that matter most.</t>
        </is>
      </c>
      <c r="J4" t="inlineStr">
        <is>
          <t>NOT DETERMINED — no input list on record for this engine</t>
        </is>
      </c>
      <c r="K4" t="inlineStr">
        <is>
          <t>US dollars · held to the cent · shown as whole dollars  [derived by rule — confirm]</t>
        </is>
      </c>
      <c r="L4" t="inlineStr">
        <is>
          <t>NOT DETERMINED — this engine has not been read for its refusal yet.</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is>
          <t>THE SAME FIGURE AS MK-MN-M-015 — The insights list. Home shows the top three of the same list the Insights screen shows in full.</t>
        </is>
      </c>
      <c r="T4" t="inlineStr"/>
      <c r="U4" t="inlineStr"/>
      <c r="V4" t="inlineStr"/>
      <c r="W4" t="inlineStr">
        <is>
          <t>NOT DETERMINED</t>
        </is>
      </c>
      <c r="X4" t="inlineStr">
        <is>
          <t>VERIFIED 2026-08-22</t>
        </is>
      </c>
    </row>
    <row r="5">
      <c r="A5" t="inlineStr">
        <is>
          <t>MK-HM-M-004</t>
        </is>
      </c>
      <c r="B5" t="inlineStr">
        <is>
          <t>Home</t>
        </is>
      </c>
      <c r="C5" t="inlineStr">
        <is>
          <t>NA</t>
        </is>
      </c>
      <c r="D5" t="inlineStr">
        <is>
          <t>&lt;n&gt;% spent · day n of m</t>
        </is>
      </c>
      <c r="E5" t="inlineStr">
        <is>
          <t>pctSpent</t>
        </is>
      </c>
      <c r="F5" t="inlineStr">
        <is>
          <t>worked out on the screen: spent so far ÷ money in</t>
        </is>
      </c>
      <c r="G5" t="inlineStr"/>
      <c r="H5" t="inlineStr">
        <is>
          <t>share spent = spent so far ÷ money in this month</t>
        </is>
      </c>
      <c r="I5" t="inlineStr">
        <is>
          <t>Worked out on the screen itself, with no engine behind it — a place a second definition can appear.</t>
        </is>
      </c>
      <c r="J5" t="inlineStr">
        <is>
          <t>NOT DETERMINED — no input list on record for this engine</t>
        </is>
      </c>
      <c r="K5" t="inlineStr">
        <is>
          <t>Percent · one decimal shown  [derived by rule — confirm]</t>
        </is>
      </c>
      <c r="L5" t="inlineStr">
        <is>
          <t>Inherits the refusal of the figures it is built from: if either side is missing, this line is not shown.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c r="B6" t="inlineStr">
        <is>
          <t>Home</t>
        </is>
      </c>
      <c r="C6" t="inlineStr">
        <is>
          <t>/add-account</t>
        </is>
      </c>
      <c r="D6" t="inlineStr">
        <is>
          <t>—</t>
        </is>
      </c>
      <c r="E6" t="inlineStr">
        <is>
          <t>—</t>
        </is>
      </c>
      <c r="F6" t="inlineStr">
        <is>
          <t>—</t>
        </is>
      </c>
      <c r="G6" t="inlineStr"/>
      <c r="H6" t="inlineStr"/>
      <c r="I6" t="inlineStr"/>
      <c r="J6" t="inlineStr"/>
      <c r="K6" t="inlineStr"/>
      <c r="L6" t="inlineStr"/>
      <c r="M6" t="inlineStr"/>
      <c r="N6" t="inlineStr"/>
      <c r="O6" t="inlineStr"/>
      <c r="P6" t="inlineStr"/>
      <c r="Q6" t="inlineStr"/>
      <c r="R6" t="inlineStr"/>
      <c r="S6" t="inlineStr"/>
      <c r="T6" t="inlineStr"/>
      <c r="U6" t="inlineStr"/>
      <c r="V6" t="inlineStr">
        <is>
          <t>NOT DETERMINED</t>
        </is>
      </c>
      <c r="W6" t="inlineStr">
        <is>
          <t>READ 2026-08-22 — no calculated figure on this screen</t>
        </is>
      </c>
    </row>
    <row r="7">
      <c r="A7" t="inlineStr"/>
      <c r="B7" t="inlineStr">
        <is>
          <t>Home</t>
        </is>
      </c>
      <c r="C7" t="inlineStr">
        <is>
          <t>/connect</t>
        </is>
      </c>
      <c r="D7" t="inlineStr">
        <is>
          <t>—</t>
        </is>
      </c>
      <c r="E7" t="inlineStr">
        <is>
          <t>—</t>
        </is>
      </c>
      <c r="F7" t="inlineStr">
        <is>
          <t>—</t>
        </is>
      </c>
      <c r="G7" t="inlineStr"/>
      <c r="H7" t="inlineStr"/>
      <c r="I7" t="inlineStr"/>
      <c r="J7" t="inlineStr"/>
      <c r="K7" t="inlineStr"/>
      <c r="L7" t="inlineStr"/>
      <c r="M7" t="inlineStr"/>
      <c r="N7" t="inlineStr"/>
      <c r="O7" t="inlineStr"/>
      <c r="P7" t="inlineStr"/>
      <c r="Q7" t="inlineStr"/>
      <c r="R7" t="inlineStr"/>
      <c r="S7" t="inlineStr"/>
      <c r="T7" t="inlineStr"/>
      <c r="U7" t="inlineStr"/>
      <c r="V7" t="inlineStr">
        <is>
          <t>NOT DETERMINED</t>
        </is>
      </c>
      <c r="W7" t="inlineStr">
        <is>
          <t>READ 2026-08-22 — no calculated figure on this screen</t>
        </is>
      </c>
    </row>
    <row r="8">
      <c r="A8" t="inlineStr"/>
      <c r="B8" t="inlineStr">
        <is>
          <t>Home</t>
        </is>
      </c>
      <c r="C8" t="inlineStr">
        <is>
          <t>/import-holdings</t>
        </is>
      </c>
      <c r="D8" t="inlineStr">
        <is>
          <t>—</t>
        </is>
      </c>
      <c r="E8" t="inlineStr">
        <is>
          <t>—</t>
        </is>
      </c>
      <c r="F8" t="inlineStr">
        <is>
          <t>—</t>
        </is>
      </c>
      <c r="G8" t="inlineStr"/>
      <c r="H8" t="inlineStr"/>
      <c r="I8" t="inlineStr"/>
      <c r="J8" t="inlineStr"/>
      <c r="K8" t="inlineStr"/>
      <c r="L8" t="inlineStr"/>
      <c r="M8" t="inlineStr"/>
      <c r="N8" t="inlineStr"/>
      <c r="O8" t="inlineStr"/>
      <c r="P8" t="inlineStr"/>
      <c r="Q8" t="inlineStr"/>
      <c r="R8" t="inlineStr"/>
      <c r="S8" t="inlineStr"/>
      <c r="T8" t="inlineStr"/>
      <c r="U8" t="inlineStr"/>
      <c r="V8" t="inlineStr">
        <is>
          <t>NOT DETERMINED</t>
        </is>
      </c>
      <c r="W8" t="inlineStr">
        <is>
          <t>READ 2026-08-22 — no calculated figure on this screen</t>
        </is>
      </c>
    </row>
    <row r="9">
      <c r="A9" t="inlineStr"/>
      <c r="B9" t="inlineStr">
        <is>
          <t>Home</t>
        </is>
      </c>
      <c r="C9" t="inlineStr">
        <is>
          <t>/onboarding</t>
        </is>
      </c>
      <c r="D9" t="inlineStr">
        <is>
          <t>—</t>
        </is>
      </c>
      <c r="E9" t="inlineStr">
        <is>
          <t>—</t>
        </is>
      </c>
      <c r="F9" t="inlineStr">
        <is>
          <t>—</t>
        </is>
      </c>
      <c r="G9" t="inlineStr"/>
      <c r="H9" t="inlineStr"/>
      <c r="I9" t="inlineStr"/>
      <c r="J9" t="inlineStr"/>
      <c r="K9" t="inlineStr"/>
      <c r="L9" t="inlineStr"/>
      <c r="M9" t="inlineStr"/>
      <c r="N9" t="inlineStr"/>
      <c r="O9" t="inlineStr"/>
      <c r="P9" t="inlineStr"/>
      <c r="Q9" t="inlineStr"/>
      <c r="R9" t="inlineStr"/>
      <c r="S9" t="inlineStr"/>
      <c r="T9" t="inlineStr"/>
      <c r="U9" t="inlineStr"/>
      <c r="V9" t="inlineStr">
        <is>
          <t>NOT DETERMINED</t>
        </is>
      </c>
      <c r="W9" t="inlineStr">
        <is>
          <t>READ 2026-08-22 — no calculated figure on this screen</t>
        </is>
      </c>
    </row>
    <row r="10">
      <c r="A10" t="inlineStr"/>
      <c r="B10" t="inlineStr">
        <is>
          <t>Home</t>
        </is>
      </c>
      <c r="C10" t="inlineStr">
        <is>
          <t>/performance</t>
        </is>
      </c>
      <c r="D10" t="inlineStr">
        <is>
          <t>—</t>
        </is>
      </c>
      <c r="E10" t="inlineStr">
        <is>
          <t>—</t>
        </is>
      </c>
      <c r="F10" t="inlineStr">
        <is>
          <t>—</t>
        </is>
      </c>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is>
          <t>NOT DETERMINED</t>
        </is>
      </c>
      <c r="W10" t="inlineStr">
        <is>
          <t>READ 2026-08-22 — the same screen as /invest, reached by a second route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49"/>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MK-NW-M-001</t>
        </is>
      </c>
      <c r="B2" t="inlineStr">
        <is>
          <t>Networth</t>
        </is>
      </c>
      <c r="C2" t="inlineStr">
        <is>
          <t>NA</t>
        </is>
      </c>
      <c r="D2" t="inlineStr">
        <is>
          <t>Change in net worth +$X</t>
        </is>
      </c>
      <c r="E2" t="inlineStr">
        <is>
          <t>changeThisYear</t>
        </is>
      </c>
      <c r="F2" t="inlineStr">
        <is>
          <t>TREND_SERIES</t>
        </is>
      </c>
      <c r="G2" t="inlineStr">
        <is>
          <t>MK-NW-E-001</t>
        </is>
      </c>
      <c r="H2" t="inlineStr">
        <is>
          <t>the line is the recorded net worth at each point;  change over the year = net worth today − net worth at the first point of the year</t>
        </is>
      </c>
      <c r="I2"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2" t="inlineStr">
        <is>
          <t>monthly snapshots → monthly  [MK-XS-I-031] · daily points → daily  [MK-XS-I-031]</t>
        </is>
      </c>
      <c r="K2" t="inlineStr">
        <is>
          <t>US dollars · held to the cent · shown as whole dollars  [derived by rule — confirm]</t>
        </is>
      </c>
      <c r="L2" t="inlineStr">
        <is>
          <t>A line needs at least two points; with one, the point is shown and the line is not drawn.</t>
        </is>
      </c>
      <c r="M2" t="inlineStr">
        <is>
          <t>One figure per person — or per household when two people share one record  [derived by rule — confirm]</t>
        </is>
      </c>
      <c r="N2" t="inlineStr">
        <is>
          <t>As of today, from the latest figures held  [derived by rule — confirm]</t>
        </is>
      </c>
      <c r="O2" t="inlineStr">
        <is>
          <t>MK-XS-E-014 (SNAPSHOT_READ_ALL) → What history do we hold?</t>
        </is>
      </c>
      <c r="P2" t="inlineStr"/>
      <c r="Q2" t="inlineStr">
        <is>
          <t>The daily and monthly points are synced, but the DAILY RECORD they are checked against is not. On a second device the trend survives and the walk behind it does not.</t>
        </is>
      </c>
      <c r="R2" t="inlineStr">
        <is>
          <t>NOT DETERMINED — no assumption recorded for this figure yet.</t>
        </is>
      </c>
      <c r="S2" t="inlineStr"/>
      <c r="T2" t="inlineStr">
        <is>
          <t>Q32 — The trend survives on a new device but the walk behind it does not. Should the trend say so, or show quietly?</t>
        </is>
      </c>
      <c r="U2" t="inlineStr"/>
      <c r="V2" t="inlineStr"/>
      <c r="W2" t="inlineStr">
        <is>
          <t>NOT DETERMINED</t>
        </is>
      </c>
      <c r="X2" t="inlineStr">
        <is>
          <t>VERIFIED 2026-08-22</t>
        </is>
      </c>
    </row>
    <row r="3">
      <c r="A3" t="inlineStr">
        <is>
          <t>MK-NW-M-002</t>
        </is>
      </c>
      <c r="B3" t="inlineStr">
        <is>
          <t>Networth</t>
        </is>
      </c>
      <c r="C3" t="inlineStr">
        <is>
          <t>NA</t>
        </is>
      </c>
      <c r="D3" t="inlineStr">
        <is>
          <t>Return on cash + investments ±X%</t>
        </is>
      </c>
      <c r="E3" t="inlineStr">
        <is>
          <t>invPct</t>
        </is>
      </c>
      <c r="F3" t="inlineStr">
        <is>
          <t>NW_CHANGE_PCT</t>
        </is>
      </c>
      <c r="G3" t="inlineStr">
        <is>
          <t>MK-NW-E-002</t>
        </is>
      </c>
      <c r="H3" t="inlineStr">
        <is>
          <t>return = (investable now − investable then) ÷ investable then — money paid in or taken out is NOT removed, so a deposit shows up as a gain</t>
        </is>
      </c>
      <c r="I3" t="inlineStr">
        <is>
          <t>(today's investable − the baseline value) ÷ the baseline value.
The baseline is the EARLIEST stored daily point on or after the baseline date. The house is left out because it only moves when someone retypes it, which would otherwise read as a market gain.
No history → NO percentage. It is never back-guessed, which is right.
THE DEFECT IS WHAT THE BASELINE IS. It is whatever day the app happened to be opened, not a date a person chose. If the only stored point was written after a fall, the fall is invisible and the small recovery since reads as a gain — which is exactly how a −4.2% year showed as +2.0%.</t>
        </is>
      </c>
      <c r="J3" t="inlineStr">
        <is>
          <t>stored history → daily  [MK-XS-I-031] · today's value → currentInvestable  [NOT AN INPUT — another engine’s answer; see the dependency column] · baseline date → sinceKey  [MK-XS-I-031]</t>
        </is>
      </c>
      <c r="K3" t="inlineStr">
        <is>
          <t>Percent · one decimal shown  [derived by rule — confirm]</t>
        </is>
      </c>
      <c r="L3" t="inlineStr">
        <is>
          <t>No baseline, or nothing invested, means the line is simply absent rather than shown as zero.</t>
        </is>
      </c>
      <c r="M3" t="inlineStr">
        <is>
          <t>One figure per person — or per household when two people share one record  [derived by rule — confirm]</t>
        </is>
      </c>
      <c r="N3" t="inlineStr">
        <is>
          <t>The window the person chose on screen  [derived by rule — confirm]</t>
        </is>
      </c>
      <c r="O3" t="inlineStr">
        <is>
          <t>None — this engine reads raw inputs only</t>
        </is>
      </c>
      <c r="P3" t="inlineStr"/>
      <c r="Q3" t="inlineStr">
        <is>
          <t>The line is labelled "Return on cash + investments" but is computed as (now − then) ÷ then with NO adjustment for money paid in or taken out. Move $50,000 in and it reports a gain. Either the label is wrong or the formula is — founder's call.</t>
        </is>
      </c>
      <c r="R3" t="inlineStr">
        <is>
          <t>NOT DETERMINED — no assumption recorded for this figure yet.</t>
        </is>
      </c>
      <c r="S3" t="inlineStr"/>
      <c r="T3" t="inlineStr">
        <is>
          <t>Q17 — "Return on cash + investments" counts money you paid in as a gain. Is the LABEL wrong, or the FORMULA? Fixing the formula means removing deposits and withdrawals before measuring.</t>
        </is>
      </c>
      <c r="U3" t="inlineStr"/>
      <c r="V3" t="inlineStr"/>
      <c r="W3" t="inlineStr">
        <is>
          <t>NOT DETERMINED</t>
        </is>
      </c>
      <c r="X3" t="inlineStr">
        <is>
          <t>VERIFIED 2026-08-22</t>
        </is>
      </c>
    </row>
    <row r="4">
      <c r="A4" t="inlineStr">
        <is>
          <t>MK-NW-M-003</t>
        </is>
      </c>
      <c r="B4" t="inlineStr">
        <is>
          <t>Networth</t>
        </is>
      </c>
      <c r="C4" t="inlineStr">
        <is>
          <t>NA</t>
        </is>
      </c>
      <c r="D4" t="inlineStr">
        <is>
          <t>the trend line</t>
        </is>
      </c>
      <c r="E4" t="inlineStr">
        <is>
          <t>series</t>
        </is>
      </c>
      <c r="F4" t="inlineStr">
        <is>
          <t>TREND_SERIES</t>
        </is>
      </c>
      <c r="G4" t="inlineStr">
        <is>
          <t>MK-NW-E-001</t>
        </is>
      </c>
      <c r="H4" t="inlineStr">
        <is>
          <t>the line is the recorded net worth at each point;  change over the year = net worth today − net worth at the first point of the year</t>
        </is>
      </c>
      <c r="I4"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4" t="inlineStr">
        <is>
          <t>monthly snapshots → monthly  [MK-XS-I-031] · daily points → daily  [MK-XS-I-031]</t>
        </is>
      </c>
      <c r="K4" t="inlineStr">
        <is>
          <t>US dollars · held to the cent · shown as whole dollars  [derived by rule — confirm]</t>
        </is>
      </c>
      <c r="L4" t="inlineStr">
        <is>
          <t>A line needs at least two points; with one, the point is shown and the line is not drawn.</t>
        </is>
      </c>
      <c r="M4" t="inlineStr">
        <is>
          <t>One figure per person — or per household when two people share one record  [derived by rule — confirm]</t>
        </is>
      </c>
      <c r="N4" t="inlineStr">
        <is>
          <t>As of today, from the latest figures held  [derived by rule — confirm]</t>
        </is>
      </c>
      <c r="O4" t="inlineStr">
        <is>
          <t>MK-XS-E-014 (SNAPSHOT_READ_ALL) → What history do we hold?</t>
        </is>
      </c>
      <c r="P4" t="inlineStr"/>
      <c r="Q4" t="inlineStr">
        <is>
          <t>The daily and monthly points are synced, but the DAILY RECORD they are checked against is not. On a second device the trend survives and the walk behind it does not.</t>
        </is>
      </c>
      <c r="R4" t="inlineStr">
        <is>
          <t>NOT DETERMINED — no assumption recorded for this figure yet.</t>
        </is>
      </c>
      <c r="S4" t="inlineStr"/>
      <c r="T4" t="inlineStr"/>
      <c r="U4" t="inlineStr"/>
      <c r="V4" t="inlineStr"/>
      <c r="W4" t="inlineStr">
        <is>
          <t>NOT DETERMINED</t>
        </is>
      </c>
      <c r="X4" t="inlineStr">
        <is>
          <t>VERIFIED 2026-08-22</t>
        </is>
      </c>
    </row>
    <row r="5">
      <c r="A5" t="inlineStr">
        <is>
          <t>MK-NW-M-004</t>
        </is>
      </c>
      <c r="B5" t="inlineStr">
        <is>
          <t>Networth</t>
        </is>
      </c>
      <c r="C5" t="inlineStr">
        <is>
          <t>NA</t>
        </is>
      </c>
      <c r="D5" t="inlineStr">
        <is>
          <t>WHAT YOU OWN</t>
        </is>
      </c>
      <c r="E5" t="inlineStr">
        <is>
          <t>totalAssets</t>
        </is>
      </c>
      <c r="F5" t="inlineStr">
        <is>
          <t>ACCOUNT_SHARE_OF_TOTAL</t>
        </is>
      </c>
      <c r="G5" t="inlineStr">
        <is>
          <t>MK-NW-E-003</t>
        </is>
      </c>
      <c r="H5" t="inlineStr">
        <is>
          <t>assets = Σ(balance of every account);  share of an account = balance ÷ assets</t>
        </is>
      </c>
      <c r="I5" t="inlineStr">
        <is>
          <t>Each account's share = its balance ÷ the total, so the shares add to 100. The blended return is weighted by money, not an average of the rates.
No money at all → every share is 0 and a stated default return is used, rather than dividing by nothing.</t>
        </is>
      </c>
      <c r="J5" t="inlineStr">
        <is>
          <t>each balance → balance  [MK-XS-I-001] · each assumed return → target_return  [MK-XS-I-028]</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account  [derived by rule — confirm]</t>
        </is>
      </c>
      <c r="N5" t="inlineStr">
        <is>
          <t>As of today, from the latest figures held  [derived by rule — confirm]</t>
        </is>
      </c>
      <c r="O5" t="inlineStr">
        <is>
          <t>None — this engine reads raw inputs only</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MK-NW-M-005</t>
        </is>
      </c>
      <c r="B6" t="inlineStr">
        <is>
          <t>Networth</t>
        </is>
      </c>
      <c r="C6" t="inlineStr">
        <is>
          <t>NA</t>
        </is>
      </c>
      <c r="D6" t="inlineStr">
        <is>
          <t>💵 CASH</t>
        </is>
      </c>
      <c r="E6" t="inlineStr">
        <is>
          <t>cashOnHand</t>
        </is>
      </c>
      <c r="F6" t="inlineStr">
        <is>
          <t>TOTAL_CASH</t>
        </is>
      </c>
      <c r="G6" t="inlineStr">
        <is>
          <t>MK-NW-E-004</t>
        </is>
      </c>
      <c r="H6" t="inlineStr">
        <is>
          <t>cash = Σ(balance of each account whose class = Cash)</t>
        </is>
      </c>
      <c r="I6" t="inlineStr">
        <is>
          <t>Add up the balances of every account whose class is Cash. Under the founder's 2026-08-04 rule that means checking, savings, high-yield savings and the uninvested sweep at a broker — and NOT money-market funds, which pay dividends and are measured with the investments.</t>
        </is>
      </c>
      <c r="J6" t="inlineStr">
        <is>
          <t>each account's class → assetClassOf  [MK-XS-I-048] · each account's money → balance  [MK-XS-I-001]</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MK-XS-E-015 (ACCOUNT_SPLIT) → This one brokerage account holds several different things — how much of it is each?
MK-XS-E-008 (ASSET_CLASS_OF_ACCOUNT) → What kind of thing is this account — cash, a bond, shares, or something else?</t>
        </is>
      </c>
      <c r="P6" t="inlineStr">
        <is>
          <t>DECIDES what counts as cash — and deliberately excludes money-market funds.</t>
        </is>
      </c>
      <c r="Q6" t="inlineStr">
        <is>
          <t>Money-market funds are deliberately NOT counted as cash. Any institution that reports a sweep as a fund will therefore land in investments — worth watching per provider.</t>
        </is>
      </c>
      <c r="R6" t="inlineStr">
        <is>
          <t>[Founder] Cash means checking, savings, high-yield savings and the uninvested sweep at a broker. Money-market funds are investments, because they pay dividends and are measured with the investments (founder, 2026-08-04).</t>
        </is>
      </c>
      <c r="S6" t="inlineStr"/>
      <c r="T6" t="inlineStr">
        <is>
          <t>Q16 — Does foreign-currency cash count towards Cash, or sit apart until it is converted?</t>
        </is>
      </c>
      <c r="U6" t="inlineStr"/>
      <c r="V6" t="inlineStr"/>
      <c r="W6" t="inlineStr">
        <is>
          <t>NOT DETERMINED</t>
        </is>
      </c>
      <c r="X6" t="inlineStr">
        <is>
          <t>VERIFIED 2026-08-22</t>
        </is>
      </c>
    </row>
    <row r="7">
      <c r="A7" t="inlineStr">
        <is>
          <t>MK-NW-M-006</t>
        </is>
      </c>
      <c r="B7" t="inlineStr">
        <is>
          <t>Networth</t>
        </is>
      </c>
      <c r="C7" t="inlineStr">
        <is>
          <t>NA</t>
        </is>
      </c>
      <c r="D7" t="inlineStr">
        <is>
          <t>🏠 PERSONAL PROPERTY</t>
        </is>
      </c>
      <c r="E7" t="inlineStr">
        <is>
          <t>sectionTotals</t>
        </is>
      </c>
      <c r="F7" t="inlineStr">
        <is>
          <t>worked out on the screen: the sum of the accounts in the personal-property section</t>
        </is>
      </c>
      <c r="G7" t="inlineStr"/>
      <c r="H7" t="inlineStr"/>
      <c r="I7" t="inlineStr"/>
      <c r="J7" t="inlineStr">
        <is>
          <t>NOT DETERMINED — no input list on record for this engine</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is>
          <t>CORRECTED 2026-08-25 — this row used to name ACCOUNT_SHARE_OF_TOTAL. Personal property is its own total, worked out on the screen, not a share of a total.</t>
        </is>
      </c>
      <c r="R7" t="inlineStr">
        <is>
          <t>NOT DETERMINED — no assumption recorded for this figure yet.</t>
        </is>
      </c>
      <c r="S7" t="inlineStr"/>
      <c r="T7" t="inlineStr"/>
      <c r="U7" t="inlineStr"/>
      <c r="V7" t="inlineStr"/>
      <c r="W7" t="inlineStr">
        <is>
          <t>NOT DETERMINED</t>
        </is>
      </c>
      <c r="X7" t="inlineStr">
        <is>
          <t>VERIFIED 2026-08-22</t>
        </is>
      </c>
    </row>
    <row r="8">
      <c r="A8" t="inlineStr">
        <is>
          <t>MK-NW-M-007</t>
        </is>
      </c>
      <c r="B8" t="inlineStr">
        <is>
          <t>Networth</t>
        </is>
      </c>
      <c r="C8" t="inlineStr">
        <is>
          <t>NA</t>
        </is>
      </c>
      <c r="D8" t="inlineStr">
        <is>
          <t>class rows — by class, institution or type</t>
        </is>
      </c>
      <c r="E8" t="inlineStr">
        <is>
          <t>classRows</t>
        </is>
      </c>
      <c r="F8" t="inlineStr">
        <is>
          <t>ALLOCATION_BY_CLASS</t>
        </is>
      </c>
      <c r="G8" t="inlineStr">
        <is>
          <t>MK-NW-E-005</t>
        </is>
      </c>
      <c r="H8" t="inlineStr">
        <is>
          <t>value in class k = Σ(balance of accounts in class k);  share(k) = value(k) ÷ Σ value</t>
        </is>
      </c>
      <c r="I8" t="inlineStr">
        <is>
          <t>For every account: if it has its own breakdown (an account holding several classes at once), add each piece to its own class. Otherwise put the WHOLE balance in the one class the account resolves to. Round each total to the cent at the end, never during.
The totals must add to total assets — this is what the donut draws, so any leak shows as a wrong slice.</t>
        </is>
      </c>
      <c r="J8" t="inlineStr">
        <is>
          <t>each account's class → assetClassOf  [MK-XS-I-048] · each account's money → balance  [MK-XS-I-001] · any split → accountClassBreakdown  [NOT AN INPUT — another engine’s answer; see the dependency column]</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category  [derived by rule — confirm]</t>
        </is>
      </c>
      <c r="N8" t="inlineStr">
        <is>
          <t>As of today, from the latest figures held  [derived by rule — confirm]</t>
        </is>
      </c>
      <c r="O8" t="inlineStr">
        <is>
          <t>MK-XS-E-015 (ACCOUNT_SPLIT) → This one brokerage account holds several different things — how much of it is each?
MK-XS-E-008 (ASSET_CLASS_OF_ACCOUNT) → What kind of thing is this account — cash, a bond, shares, or something else?</t>
        </is>
      </c>
      <c r="P8" t="inlineStr">
        <is>
          <t>DECIDES the class of every asset before it can group them, and DECIDES the words shown for each class. The classifying rule itself is engine MK-ST-E-xxx — see the asset-classification standard.</t>
        </is>
      </c>
      <c r="Q8" t="inlineStr"/>
      <c r="R8" t="inlineStr">
        <is>
          <t>NOT DETERMINED — no assumption recorded for this figure yet.</t>
        </is>
      </c>
      <c r="S8" t="inlineStr"/>
      <c r="T8"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U8" t="inlineStr"/>
      <c r="V8" t="inlineStr"/>
      <c r="W8" t="inlineStr">
        <is>
          <t>NOT DETERMINED</t>
        </is>
      </c>
      <c r="X8" t="inlineStr">
        <is>
          <t>VERIFIED 2026-08-22</t>
        </is>
      </c>
    </row>
    <row r="9">
      <c r="A9" t="inlineStr">
        <is>
          <t>MK-NW-M-008</t>
        </is>
      </c>
      <c r="B9" t="inlineStr">
        <is>
          <t>Networth</t>
        </is>
      </c>
      <c r="C9" t="inlineStr">
        <is>
          <t>NA</t>
        </is>
      </c>
      <c r="D9" t="inlineStr">
        <is>
          <t>each account and its balance</t>
        </is>
      </c>
      <c r="E9" t="inlineStr">
        <is>
          <t>a.balance</t>
        </is>
      </c>
      <c r="F9" t="inlineStr">
        <is>
          <t>ACCOUNT_SPLIT</t>
        </is>
      </c>
      <c r="G9" t="inlineStr">
        <is>
          <t>MK-XS-E-015</t>
        </is>
      </c>
      <c r="H9" t="inlineStr">
        <is>
          <t>for one account: value in class k = balance × weight(k), where Σ weight(k) = 1</t>
        </is>
      </c>
      <c r="I9"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9" t="inlineStr">
        <is>
          <t>the account → a  [MK-XS-I-001] · its total → balance  [MK-XS-I-001] · uninvested → cash_balance  [MK-XS-I-001] · holdings → positions[]  [MK-XS-I-004] · options → option_holdings[]  [MK-XS-I-034]</t>
        </is>
      </c>
      <c r="K9" t="inlineStr">
        <is>
          <t>A count · whole units, except crypto which keeps its fractions  [derived by rule — confirm]</t>
        </is>
      </c>
      <c r="L9" t="inlineStr">
        <is>
          <t>Adds up to $0 when there is nothing to add. Zero and "nothing recorded yet" look identical on screen — worth a decision.</t>
        </is>
      </c>
      <c r="M9" t="inlineStr">
        <is>
          <t>One figure per account  [derived by rule — confirm]</t>
        </is>
      </c>
      <c r="N9" t="inlineStr">
        <is>
          <t>As of today, from the latest figures held  [derived by rule — confirm]</t>
        </is>
      </c>
      <c r="O9" t="inlineStr">
        <is>
          <t>MK-XS-E-008 (ASSET_CLASS_OF_ACCOUNT) → What kind of thing is this account — cash, a bond, shares, or something else?
MK-XS-E-016 (CLASS_FROM_NAME_TEXT) → Reading the NAME alone, is this cash, a money-market fund, or a CD / T-bill?</t>
        </is>
      </c>
      <c r="P9" t="inlineStr">
        <is>
          <t>DECIDES which class each holding inside one account belongs to, then how much of the account total sits in each.</t>
        </is>
      </c>
      <c r="Q9" t="inlineStr">
        <is>
          <t>Reported by the 54-item audit as one of the places a total and its parts can disagree; the reconciliation assertion now catches it, but the screen has no way to say so yet.</t>
        </is>
      </c>
      <c r="R9" t="inlineStr">
        <is>
          <t>NOT DETERMINED — no assumption recorded for this figure yet.</t>
        </is>
      </c>
      <c r="S9" t="inlineStr"/>
      <c r="T9" t="inlineStr">
        <is>
          <t>Q14 — What should a MIXED account be called on screen, when it holds several classes at once?</t>
        </is>
      </c>
      <c r="U9" t="inlineStr"/>
      <c r="V9" t="inlineStr"/>
      <c r="W9" t="inlineStr">
        <is>
          <t>NOT DETERMINED</t>
        </is>
      </c>
      <c r="X9" t="inlineStr">
        <is>
          <t>VERIFIED 2026-08-22</t>
        </is>
      </c>
    </row>
    <row r="10">
      <c r="A10" t="inlineStr">
        <is>
          <t>MK-NW-M-009</t>
        </is>
      </c>
      <c r="B10" t="inlineStr">
        <is>
          <t>Networth</t>
        </is>
      </c>
      <c r="C10" t="inlineStr">
        <is>
          <t>NA</t>
        </is>
      </c>
      <c r="D10" t="inlineStr">
        <is>
          <t>WHAT YOU OWE · 💳 DEBTS</t>
        </is>
      </c>
      <c r="E10" t="inlineStr">
        <is>
          <t>dState.total_debt_balance</t>
        </is>
      </c>
      <c r="F10" t="inlineStr">
        <is>
          <t>DEBT_PICTURE</t>
        </is>
      </c>
      <c r="G10" t="inlineStr">
        <is>
          <t>MK-NW-E-006</t>
        </is>
      </c>
      <c r="H10" t="inlineStr">
        <is>
          <t>owed = Σ(remaining balance);  monthly debt payments = Σ(required payment of each debt)</t>
        </is>
      </c>
      <c r="I10"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0" t="inlineStr">
        <is>
          <t>every debt → debts  [MK-XS-I-014] · rates → interest_rate_apr  [MK-XS-I-015] · payments → the minimum and chosen payments  [MK-XS-I-016]</t>
        </is>
      </c>
      <c r="K10" t="inlineStr">
        <is>
          <t>US dollars · held to the cent · shown as whole dollars  [derived by rule — confirm]</t>
        </is>
      </c>
      <c r="L10" t="inlineStr">
        <is>
          <t>Adds up to $0 when there is nothing to add. Zero and "nothing recorded yet" look identical on screen — worth a decision.</t>
        </is>
      </c>
      <c r="M10" t="inlineStr">
        <is>
          <t>One figure per debt, and one total per person  [derived by rule — confirm]</t>
        </is>
      </c>
      <c r="N10" t="inlineStr">
        <is>
          <t>As of today, from the latest figures held  [derived by rule — confirm]</t>
        </is>
      </c>
      <c r="O10" t="inlineStr">
        <is>
          <t>MK-XS-E-017 (DEBT_MINIMUM_TOTAL) → What must I pay across all debts to stay current?
MK-XS-E-018 (DEBT_PAYMENTS_ACTUAL) → What is actually going out on debt each month?</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MK-NW-M-010</t>
        </is>
      </c>
      <c r="B11" t="inlineStr">
        <is>
          <t>Networth</t>
        </is>
      </c>
      <c r="C11" t="inlineStr">
        <is>
          <t>NA</t>
        </is>
      </c>
      <c r="D11" t="inlineStr">
        <is>
          <t>each debt and what is left on it</t>
        </is>
      </c>
      <c r="E11" t="inlineStr">
        <is>
          <t>d.remaining_balance</t>
        </is>
      </c>
      <c r="F11" t="inlineStr">
        <is>
          <t>DEBT_PICTURE</t>
        </is>
      </c>
      <c r="G11" t="inlineStr">
        <is>
          <t>MK-NW-E-006</t>
        </is>
      </c>
      <c r="H11" t="inlineStr">
        <is>
          <t>owed = Σ(remaining balance);  monthly debt payments = Σ(required payment of each debt)</t>
        </is>
      </c>
      <c r="I1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1" t="inlineStr">
        <is>
          <t>every debt → debts  [MK-XS-I-014] · rates → interest_rate_apr  [MK-XS-I-015] · payments → the minimum and chosen payments  [MK-XS-I-016]</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debt, and one total per person  [derived by rule — confirm]</t>
        </is>
      </c>
      <c r="N11" t="inlineStr">
        <is>
          <t>As of today, from the latest figures held  [derived by rule — confirm]</t>
        </is>
      </c>
      <c r="O11" t="inlineStr">
        <is>
          <t>MK-XS-E-017 (DEBT_MINIMUM_TOTAL) → What must I pay across all debts to stay current?
MK-XS-E-018 (DEBT_PAYMENTS_ACTUAL) → What is actually going out on debt each month?</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MK-NW-M-011</t>
        </is>
      </c>
      <c r="B12" t="inlineStr">
        <is>
          <t>Networth</t>
        </is>
      </c>
      <c r="C12" t="inlineStr">
        <is>
          <t>NA</t>
        </is>
      </c>
      <c r="D12" t="inlineStr">
        <is>
          <t>minimum monthly payment on a debt</t>
        </is>
      </c>
      <c r="E12" t="inlineStr">
        <is>
          <t>d.minimum_monthly_payment</t>
        </is>
      </c>
      <c r="F12" t="inlineStr">
        <is>
          <t>DEBT_REQUIRED_PAYMENT</t>
        </is>
      </c>
      <c r="G12" t="inlineStr">
        <is>
          <t>MK-NW-E-007</t>
        </is>
      </c>
      <c r="H12" t="inlineStr">
        <is>
          <t>required payment = the stated minimum, or interest + 1% of balance when none is stated</t>
        </is>
      </c>
      <c r="I12" t="inlineStr">
        <is>
          <t>Due in full → 0. It is a dated bill, and calling it a monthly payment overstates what a person is committed to. Otherwise the LARGER of the minimum and whatever payment they have chosen, so overpaying on purpose shows up.</t>
        </is>
      </c>
      <c r="J12" t="inlineStr">
        <is>
          <t>shape → paymentShape  [MK-XS-I-042] · minimum → minimum_monthly_payment  [MK-XS-I-016] · chosen → monthly_payment  [MK-XS-I-041]</t>
        </is>
      </c>
      <c r="K12" t="inlineStr">
        <is>
          <t>US dollars · held to the cent · shown as whole dollars  [derived by rule — confirm]</t>
        </is>
      </c>
      <c r="L12" t="inlineStr">
        <is>
          <t>NOT DETERMINED — this engine has not been read for its refusal yet.</t>
        </is>
      </c>
      <c r="M12" t="inlineStr">
        <is>
          <t>One figure per debt, and one total per person  [derived by rule — confirm]</t>
        </is>
      </c>
      <c r="N12" t="inlineStr">
        <is>
          <t>As of today, from the latest figures held  [derived by rule — confirm]</t>
        </is>
      </c>
      <c r="O12" t="inlineStr">
        <is>
          <t>MK-XS-E-019 (DEBT_SHAPE) → How is THIS debt repaid?</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MK-NW-M-012</t>
        </is>
      </c>
      <c r="B13" t="inlineStr">
        <is>
          <t>Networth</t>
        </is>
      </c>
      <c r="C13" t="inlineStr">
        <is>
          <t>NA</t>
        </is>
      </c>
      <c r="D13" t="inlineStr">
        <is>
          <t>Monthly debt payments $X/mo</t>
        </is>
      </c>
      <c r="E13" t="inlineStr">
        <is>
          <t>dState.total_monthly_debt_service</t>
        </is>
      </c>
      <c r="F13" t="inlineStr">
        <is>
          <t>DEBT_PICTURE</t>
        </is>
      </c>
      <c r="G13" t="inlineStr">
        <is>
          <t>MK-NW-E-006</t>
        </is>
      </c>
      <c r="H13" t="inlineStr">
        <is>
          <t>owed = Σ(remaining balance);  monthly debt payments = Σ(required payment of each debt)</t>
        </is>
      </c>
      <c r="I13"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3" t="inlineStr">
        <is>
          <t>every debt → debts  [MK-XS-I-014] · rates → interest_rate_apr  [MK-XS-I-015] · payments → the minimum and chosen payments  [MK-XS-I-016]</t>
        </is>
      </c>
      <c r="K13" t="inlineStr">
        <is>
          <t>US dollars · held to the cent · shown as whole dollars  [derived by rule — confirm]</t>
        </is>
      </c>
      <c r="L13" t="inlineStr">
        <is>
          <t>Adds up to $0 when there is nothing to add. Zero and "nothing recorded yet" look identical on screen — worth a decision.</t>
        </is>
      </c>
      <c r="M13" t="inlineStr">
        <is>
          <t>One figure per debt, and one total per person  [derived by rule — confirm]</t>
        </is>
      </c>
      <c r="N13" t="inlineStr">
        <is>
          <t>As of today, from the latest figures held  [derived by rule — confirm]</t>
        </is>
      </c>
      <c r="O13" t="inlineStr">
        <is>
          <t>MK-XS-E-017 (DEBT_MINIMUM_TOTAL) → What must I pay across all debts to stay current?
MK-XS-E-018 (DEBT_PAYMENTS_ACTUAL) → What is actually going out on debt each month?</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MK-NW-M-013</t>
        </is>
      </c>
      <c r="B14" t="inlineStr">
        <is>
          <t>Networth</t>
        </is>
      </c>
      <c r="C14" t="inlineStr">
        <is>
          <t>NA</t>
        </is>
      </c>
      <c r="D14" t="inlineStr">
        <is>
          <t>EMERGENCY CUSHION — X.X months</t>
        </is>
      </c>
      <c r="E14" t="inlineStr">
        <is>
          <t>runwayMonths</t>
        </is>
      </c>
      <c r="F14" t="inlineStr">
        <is>
          <t>worked out on the screen: cash ÷ a typical month of essentials</t>
        </is>
      </c>
      <c r="G14" t="inlineStr"/>
      <c r="H14" t="inlineStr">
        <is>
          <t>cushion in months = cash ÷ essentials a month</t>
        </is>
      </c>
      <c r="I14" t="inlineStr">
        <is>
          <t>Worked out on the screen itself, with no engine behind it — a place a second definition can appear.</t>
        </is>
      </c>
      <c r="J14" t="inlineStr">
        <is>
          <t>NOT DETERMINED — no input list on record for this engine</t>
        </is>
      </c>
      <c r="K14" t="inlineStr">
        <is>
          <t>Months · one decimal  [derived by rule — confirm]</t>
        </is>
      </c>
      <c r="L14" t="inlineStr">
        <is>
          <t>Inherits the refusal of the figures it is built from: if either side is missing, this line is not shown.</t>
        </is>
      </c>
      <c r="M14" t="inlineStr">
        <is>
          <t>One figure per month  [derived by rule — confirm]</t>
        </is>
      </c>
      <c r="N14" t="inlineStr">
        <is>
          <t>As of today, from the latest figures held  [derived by rule — confirm]</t>
        </is>
      </c>
      <c r="O14" t="inlineStr">
        <is>
          <t>NOT DETERMINED</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MK-NW-M-014</t>
        </is>
      </c>
      <c r="B15" t="inlineStr">
        <is>
          <t>Networth</t>
        </is>
      </c>
      <c r="C15" t="inlineStr">
        <is>
          <t>NA</t>
        </is>
      </c>
      <c r="D15" t="inlineStr">
        <is>
          <t>of essentials covered by your cash — $X cash ÷ $Y/mo essentials</t>
        </is>
      </c>
      <c r="E15" t="inlineStr">
        <is>
          <t>cashOnHand / monthlySpend</t>
        </is>
      </c>
      <c r="F15" t="inlineStr">
        <is>
          <t>TOTAL_CASH · PLANNED_SPENDING</t>
        </is>
      </c>
      <c r="G15" t="inlineStr">
        <is>
          <t>MK-NW-E-008</t>
        </is>
      </c>
      <c r="H15" t="inlineStr">
        <is>
          <t>months of cushion = cash ÷ essentials a month</t>
        </is>
      </c>
      <c r="I15" t="inlineStr">
        <is>
          <t>Add up the balances of every account whose class is Cash. Under the founder's 2026-08-04 rule that means checking, savings, high-yield savings and the uninvested sweep at a broker — and NOT money-market funds, which pay dividends and are measured with the investments. · 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5" t="inlineStr">
        <is>
          <t>each account's class → assetClassOf  [MK-XS-I-048] · each account's money → balance  [MK-XS-I-001] · the categories → SPENDING_BY_KIND  [MK-XS-I-032] · the single figure → monthlySpending  [MK-XS-I-024, MK-XS-I-030]</t>
        </is>
      </c>
      <c r="K15" t="inlineStr">
        <is>
          <t>US dollars · held to the cent · shown as whole dollars  [derived by rule — confirm]</t>
        </is>
      </c>
      <c r="L15" t="inlineStr">
        <is>
          <t>A division: with nothing on the bottom there is no answer, and the line must not appear as zero. NOT YET CONFIRMED against the engine.</t>
        </is>
      </c>
      <c r="M15" t="inlineStr">
        <is>
          <t>One figure per person — or per household when two people share one record  [derived by rule — confirm]</t>
        </is>
      </c>
      <c r="N15" t="inlineStr">
        <is>
          <t>As of today, from the latest figures held  [derived by rule — confirm]</t>
        </is>
      </c>
      <c r="O15" t="inlineStr">
        <is>
          <t>MK-XS-E-015 (ACCOUNT_SPLIT) → This one brokerage account holds several different things — how much of it is each?
MK-XS-E-008 (ASSET_CLASS_OF_ACCOUNT) → What kind of thing is this account — cash, a bond, shares, or something else?
MK-XS-E-020 (READ_A_NUMBER) → What number did the person actually type?
MK-XS-E-021 (SPENDING_BY_KIND) → What is spent each month, split by kind?</t>
        </is>
      </c>
      <c r="P15" t="inlineStr">
        <is>
          <t>DECIDES what counts as cash — and deliberately excludes money-market funds.</t>
        </is>
      </c>
      <c r="Q15" t="inlineStr">
        <is>
          <t>Money-market funds are deliberately NOT counted as cash. Any institution that reports a sweep as a fund will therefore land in investments — worth watching per provider.</t>
        </is>
      </c>
      <c r="R15" t="inlineStr">
        <is>
          <t>[Founder] Cash means checking, savings, high-yield savings and the uninvested sweep at a broker. Money-market funds are investments, because they pay dividends and are measured with the investments (founder, 2026-08-04).</t>
        </is>
      </c>
      <c r="S15" t="inlineStr"/>
      <c r="T15" t="inlineStr"/>
      <c r="U15" t="inlineStr"/>
      <c r="V15" t="inlineStr"/>
      <c r="W15" t="inlineStr">
        <is>
          <t>NOT DETERMINED</t>
        </is>
      </c>
      <c r="X15" t="inlineStr">
        <is>
          <t>VERIFIED 2026-08-22</t>
        </is>
      </c>
    </row>
    <row r="16">
      <c r="A16" t="inlineStr">
        <is>
          <t>MK-NW-M-015</t>
        </is>
      </c>
      <c r="B16" t="inlineStr">
        <is>
          <t>Networth</t>
        </is>
      </c>
      <c r="C16" t="inlineStr">
        <is>
          <t>NA</t>
        </is>
      </c>
      <c r="D16" t="inlineStr">
        <is>
          <t>YOUR RETIREMENT PLAN — on track for $X by age Y</t>
        </is>
      </c>
      <c r="E16" t="inlineStr">
        <is>
          <t>pathAhead</t>
        </is>
      </c>
      <c r="F16" t="inlineStr">
        <is>
          <t>POT_AT_RETIREMENT</t>
        </is>
      </c>
      <c r="G16" t="inlineStr">
        <is>
          <t>MK-NW-E-009</t>
        </is>
      </c>
      <c r="H16" t="inlineStr">
        <is>
          <t>pot = balance × (1 + r)^n + Σ(contribution × (1 + r)^(n − year)),  n = years to retirement</t>
        </is>
      </c>
      <c r="I16"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16" t="inlineStr">
        <is>
          <t>the same inputs → inp  [MK-XS-I-001]</t>
        </is>
      </c>
      <c r="K16" t="inlineStr">
        <is>
          <t>Age in whole years  [derived by rule — confirm]</t>
        </is>
      </c>
      <c r="L16" t="inlineStr">
        <is>
          <t>No figure when there is nothing to grow, or when retirement is not ahead of the person.</t>
        </is>
      </c>
      <c r="M16" t="inlineStr">
        <is>
          <t>One figure per person — or per household when two people share one record  [derived by rule — confirm]</t>
        </is>
      </c>
      <c r="N16" t="inlineStr">
        <is>
          <t>From today to the retirement age in the plan  [derived by rule — confirm]</t>
        </is>
      </c>
      <c r="O16" t="inlineStr">
        <is>
          <t>MK-XS-E-005 (WILL_IT_LAST) → Will my money last?</t>
        </is>
      </c>
      <c r="P16" t="inlineStr"/>
      <c r="Q16" t="inlineStr">
        <is>
          <t>The Net worth screen builds this projection WITHOUT the person's big costs, while Cash flow, Budget, Goals and Social Security timing all include them. Same person, same day, two different nest eggs. Seen in the code; not yet confirmed on screen.</t>
        </is>
      </c>
      <c r="R16"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16" t="inlineStr">
        <is>
          <t>THE SAME FIGURE AS MK-PL-M-033 — The projected pot at retirement, shown on Net worth as "on track for $X by age Y" and on the cockpit as "your $X grows to $Y". One figure, two screens — the founder spotted this one himself.</t>
        </is>
      </c>
      <c r="T16" t="inlineStr">
        <is>
          <t>Q18 — Net worth projects the pot WITHOUT your big costs; Cash flow, Budget, Goals and Social Security timing all include them. Which is right for the Net worth screen?</t>
        </is>
      </c>
      <c r="U16" t="inlineStr"/>
      <c r="V16" t="inlineStr"/>
      <c r="W16" t="inlineStr">
        <is>
          <t>NOT DETERMINED</t>
        </is>
      </c>
      <c r="X16" t="inlineStr">
        <is>
          <t>VERIFIED 2026-08-22</t>
        </is>
      </c>
    </row>
    <row r="17">
      <c r="A17" t="inlineStr">
        <is>
          <t>MK-NW-M-016</t>
        </is>
      </c>
      <c r="B17" t="inlineStr">
        <is>
          <t>Networth</t>
        </is>
      </c>
      <c r="C17" t="inlineStr">
        <is>
          <t>NA</t>
        </is>
      </c>
      <c r="D17" t="inlineStr">
        <is>
          <t>Net worth so far (setup)</t>
        </is>
      </c>
      <c r="E17" t="inlineStr">
        <is>
          <t>nw.net_worth</t>
        </is>
      </c>
      <c r="F17" t="inlineStr">
        <is>
          <t>NET_WORTH</t>
        </is>
      </c>
      <c r="G17" t="inlineStr">
        <is>
          <t>MK-XS-E-001</t>
        </is>
      </c>
      <c r="H17" t="inlineStr">
        <is>
          <t>net worth = Σ(all asset balances) − Σ(all debt balances)</t>
        </is>
      </c>
      <c r="I17"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17" t="inlineStr">
        <is>
          <t>everything owned → grossAssets  [MK-XS-I-001] · everything owed → grossDebt  [MK-XS-I-014]</t>
        </is>
      </c>
      <c r="K17" t="inlineStr">
        <is>
          <t>US dollars · held to the cent · shown as whole dollars  [derived by rule — confirm]</t>
        </is>
      </c>
      <c r="L17" t="inlineStr">
        <is>
          <t>Adds up to $0 when there is nothing to add. Zero and "nothing recorded yet" look identical on screen — worth a decision.</t>
        </is>
      </c>
      <c r="M17" t="inlineStr">
        <is>
          <t>One figure per person — or per household when two people share one record  [derived by rule — confirm]</t>
        </is>
      </c>
      <c r="N17" t="inlineStr">
        <is>
          <t>As of today, from the latest figures held  [derived by rule — confirm]</t>
        </is>
      </c>
      <c r="O17" t="inlineStr">
        <is>
          <t>None — this engine reads raw inputs only</t>
        </is>
      </c>
      <c r="P17" t="inlineStr"/>
      <c r="Q17" t="inlineStr"/>
      <c r="R17" t="inlineStr">
        <is>
          <t>[Founder] Assets minus debts, computed each time and never stored as a third number that could disagree with its own halves. A genuine negative is shown, never floored at zero.</t>
        </is>
      </c>
      <c r="S17" t="inlineStr">
        <is>
          <t>THE SAME FIGURE AS MK-XS-M-001 — Net worth. "Net worth so far" during setup is the same figure as the headline, mid-way through entry.</t>
        </is>
      </c>
      <c r="T17" t="inlineStr"/>
      <c r="U17" t="inlineStr"/>
      <c r="V17" t="inlineStr"/>
      <c r="W17" t="inlineStr">
        <is>
          <t>NOT DETERMINED</t>
        </is>
      </c>
      <c r="X17" t="inlineStr">
        <is>
          <t>VERIFIED 2026-08-22</t>
        </is>
      </c>
    </row>
    <row r="18">
      <c r="A18" t="inlineStr">
        <is>
          <t>MK-NW-M-017</t>
        </is>
      </c>
      <c r="B18" t="inlineStr">
        <is>
          <t>Networth</t>
        </is>
      </c>
      <c r="C18" t="inlineStr">
        <is>
          <t>NA</t>
        </is>
      </c>
      <c r="D18" t="inlineStr">
        <is>
          <t>Assets $X − Debts $Y = Net worth $Z</t>
        </is>
      </c>
      <c r="E18" t="inlineStr">
        <is>
          <t>totalAssets / dState.total_debt_balance</t>
        </is>
      </c>
      <c r="F18" t="inlineStr">
        <is>
          <t>NET_WORTH · DEBT_PICTURE</t>
        </is>
      </c>
      <c r="G18" t="inlineStr">
        <is>
          <t>MK-NW-E-010</t>
        </is>
      </c>
      <c r="H18" t="inlineStr">
        <is>
          <t>net worth = Σ(assets) − Σ(debts);  debts = Σ(remaining balance of each debt)</t>
        </is>
      </c>
      <c r="I18"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 · 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8" t="inlineStr">
        <is>
          <t>everything owned → grossAssets  [MK-XS-I-001] · everything owed → grossDebt  [MK-XS-I-014] · every debt → debts  [MK-XS-I-014] · rates → interest_rate_apr  [MK-XS-I-015] · payments → the minimum and chosen payments  [MK-XS-I-016]</t>
        </is>
      </c>
      <c r="K18" t="inlineStr">
        <is>
          <t>US dollars · held to the cent · shown as whole dollars  [derived by rule — confirm]</t>
        </is>
      </c>
      <c r="L18" t="inlineStr">
        <is>
          <t>Adds up to $0 when there is nothing to add. Zero and "nothing recorded yet" look identical on screen — worth a decision.</t>
        </is>
      </c>
      <c r="M18" t="inlineStr">
        <is>
          <t>One figure per debt, and one total per person  [derived by rule — confirm]</t>
        </is>
      </c>
      <c r="N18" t="inlineStr">
        <is>
          <t>As of today, from the latest figures held  [derived by rule — confirm]</t>
        </is>
      </c>
      <c r="O18" t="inlineStr">
        <is>
          <t>MK-XS-E-017 (DEBT_MINIMUM_TOTAL) → What must I pay across all debts to stay current?
MK-XS-E-018 (DEBT_PAYMENTS_ACTUAL) → What is actually going out on debt each month?</t>
        </is>
      </c>
      <c r="P18" t="inlineStr"/>
      <c r="Q18" t="inlineStr"/>
      <c r="R18" t="inlineStr">
        <is>
          <t>[Founder] Assets minus debts, computed each time and never stored as a third number that could disagree with its own halves. A genuine negative is shown, never floored at zero.</t>
        </is>
      </c>
      <c r="S18" t="inlineStr"/>
      <c r="T18" t="inlineStr"/>
      <c r="U18" t="inlineStr"/>
      <c r="V18" t="inlineStr"/>
      <c r="W18" t="inlineStr">
        <is>
          <t>NOT DETERMINED</t>
        </is>
      </c>
      <c r="X18" t="inlineStr">
        <is>
          <t>VERIFIED 2026-08-22</t>
        </is>
      </c>
    </row>
    <row r="19">
      <c r="A19" t="inlineStr">
        <is>
          <t>MK-NW-M-018</t>
        </is>
      </c>
      <c r="B19" t="inlineStr">
        <is>
          <t>Networth</t>
        </is>
      </c>
      <c r="C19" t="inlineStr">
        <is>
          <t>/account-detail</t>
        </is>
      </c>
      <c r="D19" t="inlineStr">
        <is>
          <t>Market value</t>
        </is>
      </c>
      <c r="E19" t="inlineStr">
        <is>
          <t>account.balance</t>
        </is>
      </c>
      <c r="F19" t="inlineStr">
        <is>
          <t>HAND_VALUE_AGE</t>
        </is>
      </c>
      <c r="G19" t="inlineStr">
        <is>
          <t>MK-NW-E-011</t>
        </is>
      </c>
      <c r="H19" t="inlineStr">
        <is>
          <t>value = the balance last recorded;  age = today − date it was recorded</t>
        </is>
      </c>
      <c r="I19"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9" t="inlineStr">
        <is>
          <t>the account → a  [MK-XS-I-001] · when the value was set → value_as_of  [MK-XS-I-033] · today → now  [NOT AN INPUT — a setting or a filter, not data anyone supplies]</t>
        </is>
      </c>
      <c r="K19" t="inlineStr">
        <is>
          <t>US dollars · held to the cent · shown as whole dollars  [derived by rule — confirm]</t>
        </is>
      </c>
      <c r="L19" t="inlineStr">
        <is>
          <t>Always answers, but carries the age of the figure and warns once it is stale.</t>
        </is>
      </c>
      <c r="M19" t="inlineStr">
        <is>
          <t>One figure per person — or per household when two people share one record  [derived by rule — confirm]</t>
        </is>
      </c>
      <c r="N19" t="inlineStr">
        <is>
          <t>As of today, from the latest figures held  [derived by rule — confirm]</t>
        </is>
      </c>
      <c r="O19" t="inlineStr">
        <is>
          <t>None — this engine reads raw inputs only</t>
        </is>
      </c>
      <c r="P19" t="inlineStr">
        <is>
          <t>DECIDES whether a stated value is fresh enough to show without a warning.</t>
        </is>
      </c>
      <c r="Q19" t="inlineStr"/>
      <c r="R19" t="inlineStr">
        <is>
          <t>NOT DETERMINED — no assumption recorded for this figure yet.</t>
        </is>
      </c>
      <c r="S19" t="inlineStr">
        <is>
          <t>THE SURVIVING IDENTIFIER for this figure. Folded in: MK-PL-M-016. An account's value. The balance listed under required withdrawals is the same figure as Market value on account detail.</t>
        </is>
      </c>
      <c r="T19" t="inlineStr">
        <is>
          <t>Q23 — Same question for a value you typed by hand: after how long should the app ask you to check it?</t>
        </is>
      </c>
      <c r="U19" t="inlineStr"/>
      <c r="V19" t="inlineStr"/>
      <c r="W19" t="inlineStr">
        <is>
          <t>NOT DETERMINED</t>
        </is>
      </c>
      <c r="X19" t="inlineStr">
        <is>
          <t>VERIFIED 2026-08-22</t>
        </is>
      </c>
    </row>
    <row r="20">
      <c r="A20" t="inlineStr">
        <is>
          <t>MK-NW-M-019</t>
        </is>
      </c>
      <c r="B20" t="inlineStr">
        <is>
          <t>Networth</t>
        </is>
      </c>
      <c r="C20" t="inlineStr">
        <is>
          <t>/account-detail</t>
        </is>
      </c>
      <c r="D20" t="inlineStr">
        <is>
          <t>Income</t>
        </is>
      </c>
      <c r="E20" t="inlineStr">
        <is>
          <t>acctIncome</t>
        </is>
      </c>
      <c r="F20" t="inlineStr">
        <is>
          <t>the ledger sum of interest and dividends for the account</t>
        </is>
      </c>
      <c r="G20" t="inlineStr">
        <is>
          <t>MK-NW-E-012</t>
        </is>
      </c>
      <c r="H20" t="inlineStr">
        <is>
          <t>income = Σ(interest + dividends recorded on this account in the period)</t>
        </is>
      </c>
      <c r="I20" t="inlineStr">
        <is>
          <t>Adds the income lines the ledger holds for this account over the period shown.</t>
        </is>
      </c>
      <c r="J20" t="inlineStr">
        <is>
          <t>NOT DETERMINED — no input list on record for this engine</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person — or per household when two people share one record  [derived by rule — confirm]</t>
        </is>
      </c>
      <c r="N20" t="inlineStr">
        <is>
          <t>As of today, from the latest figures held  [derived by rule — confirm]</t>
        </is>
      </c>
      <c r="O20" t="inlineStr">
        <is>
          <t>NOT DETERMINED</t>
        </is>
      </c>
      <c r="P20" t="inlineStr"/>
      <c r="Q20" t="inlineStr"/>
      <c r="R20" t="inlineStr">
        <is>
          <t>NOT DETERMINED — no assumption recorded for this figure yet.</t>
        </is>
      </c>
      <c r="S20" t="inlineStr"/>
      <c r="T20" t="inlineStr">
        <is>
          <t>Q15 — An institution word we do not recognise: refuse the line and ask you, or book it as unclassified with no direction? The old sign-guess is what minted the $1.4 million.</t>
        </is>
      </c>
      <c r="U20" t="inlineStr"/>
      <c r="V20" t="inlineStr"/>
      <c r="W20" t="inlineStr">
        <is>
          <t>NOT DETERMINED</t>
        </is>
      </c>
      <c r="X20" t="inlineStr">
        <is>
          <t>VERIFIED 2026-08-22</t>
        </is>
      </c>
    </row>
    <row r="21">
      <c r="A21" t="inlineStr">
        <is>
          <t>MK-NW-M-020</t>
        </is>
      </c>
      <c r="B21" t="inlineStr">
        <is>
          <t>Networth</t>
        </is>
      </c>
      <c r="C21" t="inlineStr">
        <is>
          <t>/account-detail</t>
        </is>
      </c>
      <c r="D21" t="inlineStr">
        <is>
          <t>each asset class inside the account</t>
        </is>
      </c>
      <c r="E21" t="inlineStr">
        <is>
          <t>breakdown[k]</t>
        </is>
      </c>
      <c r="F21" t="inlineStr">
        <is>
          <t>ACCOUNT_SPLIT</t>
        </is>
      </c>
      <c r="G21" t="inlineStr">
        <is>
          <t>MK-XS-E-015</t>
        </is>
      </c>
      <c r="H21" t="inlineStr">
        <is>
          <t>for one account: value in class k = balance × weight(k), where Σ weight(k) = 1</t>
        </is>
      </c>
      <c r="I21"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21" t="inlineStr">
        <is>
          <t>the account → a  [MK-XS-I-001] · its total → balance  [MK-XS-I-001] · uninvested → cash_balance  [MK-XS-I-001] · holdings → positions[]  [MK-XS-I-004] · options → option_holdings[]  [MK-XS-I-034]</t>
        </is>
      </c>
      <c r="K21" t="inlineStr">
        <is>
          <t>A count · whole units, except crypto which keeps its fractions  [derived by rule — confirm]</t>
        </is>
      </c>
      <c r="L21" t="inlineStr">
        <is>
          <t>Adds up to $0 when there is nothing to add. Zero and "nothing recorded yet" look identical on screen — worth a decision.</t>
        </is>
      </c>
      <c r="M21" t="inlineStr">
        <is>
          <t>One figure per account  [derived by rule — confirm]</t>
        </is>
      </c>
      <c r="N21" t="inlineStr">
        <is>
          <t>As of today, from the latest figures held  [derived by rule — confirm]</t>
        </is>
      </c>
      <c r="O21" t="inlineStr">
        <is>
          <t>MK-XS-E-008 (ASSET_CLASS_OF_ACCOUNT) → What kind of thing is this account — cash, a bond, shares, or something else?
MK-XS-E-016 (CLASS_FROM_NAME_TEXT) → Reading the NAME alone, is this cash, a money-market fund, or a CD / T-bill?</t>
        </is>
      </c>
      <c r="P21" t="inlineStr">
        <is>
          <t>DECIDES which class each holding inside one account belongs to, then how much of the account total sits in each.</t>
        </is>
      </c>
      <c r="Q21" t="inlineStr">
        <is>
          <t>Reported by the 54-item audit as one of the places a total and its parts can disagree; the reconciliation assertion now catches it, but the screen has no way to say so yet.</t>
        </is>
      </c>
      <c r="R21" t="inlineStr">
        <is>
          <t>NOT DETERMINED — no assumption recorded for this figure yet.</t>
        </is>
      </c>
      <c r="S21" t="inlineStr"/>
      <c r="T21" t="inlineStr"/>
      <c r="U21" t="inlineStr"/>
      <c r="V21" t="inlineStr"/>
      <c r="W21" t="inlineStr">
        <is>
          <t>NOT DETERMINED</t>
        </is>
      </c>
      <c r="X21" t="inlineStr">
        <is>
          <t>VERIFIED 2026-08-22</t>
        </is>
      </c>
    </row>
    <row r="22">
      <c r="A22" t="inlineStr">
        <is>
          <t>MK-NW-M-021</t>
        </is>
      </c>
      <c r="B22" t="inlineStr">
        <is>
          <t>Networth</t>
        </is>
      </c>
      <c r="C22" t="inlineStr">
        <is>
          <t>/account-detail</t>
        </is>
      </c>
      <c r="D22" t="inlineStr">
        <is>
          <t>Income: &lt;amount&gt; on a holding row</t>
        </is>
      </c>
      <c r="E22" t="inlineStr">
        <is>
          <t>incomeOf(rw)</t>
        </is>
      </c>
      <c r="F22" t="inlineStr">
        <is>
          <t>the ledger sum for that holding</t>
        </is>
      </c>
      <c r="G22" t="inlineStr">
        <is>
          <t>MK-NW-E-013</t>
        </is>
      </c>
      <c r="H22" t="inlineStr">
        <is>
          <t>income = Σ(income lines recorded against this holding)</t>
        </is>
      </c>
      <c r="I22" t="inlineStr">
        <is>
          <t>Adds the income the ledger holds for that one holding.</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holding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MK-NW-M-022</t>
        </is>
      </c>
      <c r="B23" t="inlineStr">
        <is>
          <t>Networth</t>
        </is>
      </c>
      <c r="C23" t="inlineStr">
        <is>
          <t>/account-detail</t>
        </is>
      </c>
      <c r="D23" t="inlineStr">
        <is>
          <t>ACTIVITY — n records</t>
        </is>
      </c>
      <c r="E23" t="inlineStr">
        <is>
          <t>txns.length</t>
        </is>
      </c>
      <c r="F23" t="inlineStr">
        <is>
          <t>HISTORY_DEPTH</t>
        </is>
      </c>
      <c r="G23" t="inlineStr">
        <is>
          <t>MK-NW-E-014</t>
        </is>
      </c>
      <c r="H23" t="inlineStr">
        <is>
          <t>records = count(transactions held for this account)</t>
        </is>
      </c>
      <c r="I23" t="inlineStr">
        <is>
          <t>Take the earliest valid date in this sync and keep whichever is earlier — it or what we already had. Depth only ever grows; a shallower sync never shortens it. Unreadable dates are ignored, and a sync with no activity leaves the answer untouched.
It exists because brokers back-fill DIFFERENT depths — one sends a year, the next ninety days. Without knowing the depth, a "past year" income figure silently understates, so year-scale figures label themselves with this date.</t>
        </is>
      </c>
      <c r="J23" t="inlineStr">
        <is>
          <t>what we knew → existing  [NOT AN INPUT — another engine’s answer; see the dependency column] · the dates in this sync → activityDates  [NOT AN INPUT — another engine’s answer; see the dependency column]</t>
        </is>
      </c>
      <c r="K23" t="inlineStr">
        <is>
          <t>A count · whole units, except crypto which keeps its fractions  [derived by rule — confirm]</t>
        </is>
      </c>
      <c r="L23" t="inlineStr">
        <is>
          <t>NOT DETERMINED — this engine has not been read for its refusal yet.</t>
        </is>
      </c>
      <c r="M23" t="inlineStr">
        <is>
          <t>One figure per person — or per household when two people share one record  [derived by rule — confirm]</t>
        </is>
      </c>
      <c r="N23" t="inlineStr">
        <is>
          <t>As of today, from the latest figures held  [derived by rule — confirm]</t>
        </is>
      </c>
      <c r="O23" t="inlineStr">
        <is>
          <t>None — this engine reads raw inputs only</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MK-NW-M-023</t>
        </is>
      </c>
      <c r="B24" t="inlineStr">
        <is>
          <t>Networth</t>
        </is>
      </c>
      <c r="C24" t="inlineStr">
        <is>
          <t>/account-detail</t>
        </is>
      </c>
      <c r="D24" t="inlineStr">
        <is>
          <t>Face value</t>
        </is>
      </c>
      <c r="E24" t="inlineStr">
        <is>
          <t>b.face</t>
        </is>
      </c>
      <c r="F24" t="inlineStr">
        <is>
          <t>BOND_FACTS</t>
        </is>
      </c>
      <c r="G24" t="inlineStr">
        <is>
          <t>MK-NW-E-015</t>
        </is>
      </c>
      <c r="H24" t="inlineStr">
        <is>
          <t>face, coupon rate and maturity as recorded;  bonds total = Σ(value of each bond),  face total = Σ(face)</t>
        </is>
      </c>
      <c r="I24" t="inlineStr">
        <is>
          <t>Reads the stored bond fields off the holding and computes its yields. A holding with none of them is not a bond and returns nothing.</t>
        </is>
      </c>
      <c r="J24" t="inlineStr">
        <is>
          <t>the holding → position/account  [MK-XS-I-004]</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bond  [derived by rule — confirm]</t>
        </is>
      </c>
      <c r="N24" t="inlineStr">
        <is>
          <t>As of today, from the latest figures held  [derived by rule — confirm]</t>
        </is>
      </c>
      <c r="O24" t="inlineStr">
        <is>
          <t>None — this engine reads raw inputs only</t>
        </is>
      </c>
      <c r="P24" t="inlineStr">
        <is>
          <t>DECIDES how a bond is NAMED on screen — issuer, or the identifying number, or a plain description; and DECIDES whether a line is a bond at all.</t>
        </is>
      </c>
      <c r="Q24" t="inlineStr"/>
      <c r="R24" t="inlineStr">
        <is>
          <t>NOT DETERMINED — no assumption recorded for this figure yet.</t>
        </is>
      </c>
      <c r="S24" t="inlineStr"/>
      <c r="T24" t="inlineStr">
        <is>
          <t>Q01 — Is Quantity for a bond the FACE amount (e.g. 227,000) with the price quoted per $100 of face, or the number of bonds? It decides how value and gain are worked out.
Q02 — How should a bond be NAMED on screen? Draft: "US Treasury 4.25% Nov 2029", with the identifying number shown as a detail rather than the headline. Approve or rewrite.
Q03 — Certificates of deposit: under Fixed Income, or their own class? They carry a term, a rate and an early-withdrawal penalty that a bond does not.</t>
        </is>
      </c>
      <c r="U24" t="inlineStr"/>
      <c r="V24" t="inlineStr"/>
      <c r="W24" t="inlineStr">
        <is>
          <t>NOT DETERMINED</t>
        </is>
      </c>
      <c r="X24" t="inlineStr">
        <is>
          <t>VERIFIED 2026-08-22</t>
        </is>
      </c>
    </row>
    <row r="25">
      <c r="A25" t="inlineStr">
        <is>
          <t>MK-NW-M-024</t>
        </is>
      </c>
      <c r="B25" t="inlineStr">
        <is>
          <t>Networth</t>
        </is>
      </c>
      <c r="C25" t="inlineStr">
        <is>
          <t>/account-detail</t>
        </is>
      </c>
      <c r="D25" t="inlineStr">
        <is>
          <t>Interest payments — X%/yr · $Y/yr</t>
        </is>
      </c>
      <c r="E25" t="inlineStr">
        <is>
          <t>annualCoupon(b)</t>
        </is>
      </c>
      <c r="F25" t="inlineStr">
        <is>
          <t>BOND_COUPON</t>
        </is>
      </c>
      <c r="G25" t="inlineStr">
        <is>
          <t>MK-NW-E-016</t>
        </is>
      </c>
      <c r="H25" t="inlineStr">
        <is>
          <t>annual coupon = face × coupon rate</t>
        </is>
      </c>
      <c r="I25" t="inlineStr">
        <is>
          <t>face value × coupon rate. NOT what the bond is worth today × the rate — a $10,000 bond paying 4% pays $400 whether it is trading at $9,800 or $11,000.</t>
        </is>
      </c>
      <c r="J25" t="inlineStr">
        <is>
          <t>face value → face  [MK-XS-I-011] · coupon rate → couponRate  [MK-XS-I-012]</t>
        </is>
      </c>
      <c r="K25" t="inlineStr">
        <is>
          <t>Percent · one decimal shown  [derived by rule — confirm]</t>
        </is>
      </c>
      <c r="L25" t="inlineStr">
        <is>
          <t>NOT DETERMINED — this engine has not been read for its refusal yet.</t>
        </is>
      </c>
      <c r="M25" t="inlineStr">
        <is>
          <t>One figure per bond  [derived by rule — confirm]</t>
        </is>
      </c>
      <c r="N25" t="inlineStr">
        <is>
          <t>The last twelve months  [derived by rule — confirm]</t>
        </is>
      </c>
      <c r="O25" t="inlineStr">
        <is>
          <t>None — this engine reads raw inputs only</t>
        </is>
      </c>
      <c r="P25" t="inlineStr"/>
      <c r="Q25" t="inlineStr"/>
      <c r="R25" t="inlineStr">
        <is>
          <t>NOT DETERMINED — no assumption recorded for this figure yet.</t>
        </is>
      </c>
      <c r="S25" t="inlineStr">
        <is>
          <t>THE SURVIVING IDENTIFIER for this figure. Folded in: MK-NW-M-043. The coupon a bond pays in a year. "Interest payments" on account detail and "COUPON / YR" on the bonds screen.</t>
        </is>
      </c>
      <c r="T25" t="inlineStr">
        <is>
          <t>Q04 — "Annual income" on a bond: the last twelve months actually received, or the forward estimate from today's coupon? Both are defensible and they differ.</t>
        </is>
      </c>
      <c r="U25" t="inlineStr"/>
      <c r="V25" t="inlineStr"/>
      <c r="W25" t="inlineStr">
        <is>
          <t>NOT DETERMINED</t>
        </is>
      </c>
      <c r="X25" t="inlineStr">
        <is>
          <t>VERIFIED 2026-08-22</t>
        </is>
      </c>
    </row>
    <row r="26">
      <c r="A26" t="inlineStr">
        <is>
          <t>MK-NW-M-025</t>
        </is>
      </c>
      <c r="B26" t="inlineStr">
        <is>
          <t>Networth</t>
        </is>
      </c>
      <c r="C26" t="inlineStr">
        <is>
          <t>/account-detail</t>
        </is>
      </c>
      <c r="D26" t="inlineStr">
        <is>
          <t>Matures — &lt;date&gt; (n years away)</t>
        </is>
      </c>
      <c r="E26" t="inlineStr">
        <is>
          <t>years</t>
        </is>
      </c>
      <c r="F26" t="inlineStr">
        <is>
          <t>BOND_YEARS_LEFT</t>
        </is>
      </c>
      <c r="G26" t="inlineStr">
        <is>
          <t>MK-NW-E-017</t>
        </is>
      </c>
      <c r="H26" t="inlineStr">
        <is>
          <t>years to maturity = (maturity date − today) ÷ 365</t>
        </is>
      </c>
      <c r="I26" t="inlineStr">
        <is>
          <t>maturity date − today, in years. Anything already past → 0. No maturity date → 0, treated as due now rather than as never.</t>
        </is>
      </c>
      <c r="J26" t="inlineStr">
        <is>
          <t>maturity → maturity  [MK-XS-I-013] · today → now  [NOT AN INPUT — a setting or a filter, not data anyone supplies]</t>
        </is>
      </c>
      <c r="K26" t="inlineStr">
        <is>
          <t>A date  [derived by rule — confirm]</t>
        </is>
      </c>
      <c r="L26" t="inlineStr">
        <is>
          <t>A division: with nothing on the bottom there is no answer, and the line must not appear as zero. NOT YET CONFIRMED against the engine.</t>
        </is>
      </c>
      <c r="M26" t="inlineStr">
        <is>
          <t>One figure per bond  [derived by rule — confirm]</t>
        </is>
      </c>
      <c r="N26" t="inlineStr">
        <is>
          <t>This calendar year, to today  [derived by rule — confirm]</t>
        </is>
      </c>
      <c r="O26" t="inlineStr">
        <is>
          <t>None — this engine reads raw inputs only</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MK-NW-M-026</t>
        </is>
      </c>
      <c r="B27" t="inlineStr">
        <is>
          <t>Networth</t>
        </is>
      </c>
      <c r="C27" t="inlineStr">
        <is>
          <t>/account-detail</t>
        </is>
      </c>
      <c r="D27" t="inlineStr">
        <is>
          <t>Yield if held to maturity</t>
        </is>
      </c>
      <c r="E27" t="inlineStr">
        <is>
          <t>ytm</t>
        </is>
      </c>
      <c r="F27" t="inlineStr">
        <is>
          <t>BOND_YIELD_TO_MATURITY</t>
        </is>
      </c>
      <c r="G27" t="inlineStr">
        <is>
          <t>MK-NW-E-018</t>
        </is>
      </c>
      <c r="H27" t="inlineStr">
        <is>
          <t>y solves: value = Σ(coupon ÷ (1+y)ᵗ) + face ÷ (1+y)ⁿ,  t = 1…n years to maturity</t>
        </is>
      </c>
      <c r="I27" t="inlineStr">
        <is>
          <t>Adds the pull back to face value to the running income:
(annual coupon + (face − value) ÷ years left) ÷ ((face + value) ÷ 2).
A bond bought below face gains as it matures, so this comes out above the current yield. Already matured, or no value → no answer, never zero.</t>
        </is>
      </c>
      <c r="J27" t="inlineStr">
        <is>
          <t>coupon → annualCoupon  [MK-XS-I-012] · face → face  [MK-XS-I-011] · value → value  [MK-XS-I-001] · years left → yearsToMaturity  [MK-XS-I-013]</t>
        </is>
      </c>
      <c r="K27" t="inlineStr">
        <is>
          <t>Percent · one decimal shown  [derived by rule — confirm]</t>
        </is>
      </c>
      <c r="L27" t="inlineStr">
        <is>
          <t>No answer once the bond has matured, and none without a price.</t>
        </is>
      </c>
      <c r="M27" t="inlineStr">
        <is>
          <t>One figure per bond  [derived by rule — confirm]</t>
        </is>
      </c>
      <c r="N27" t="inlineStr">
        <is>
          <t>As of today, from the latest figures held  [derived by rule — confirm]</t>
        </is>
      </c>
      <c r="O27" t="inlineStr">
        <is>
          <t>MK-NW-E-016 (BOND_COUPON) → How much income does this bond pay in a year?
MK-NW-E-017 (BOND_YEARS_LEFT) → How long until this bond pays back?</t>
        </is>
      </c>
      <c r="P27" t="inlineStr"/>
      <c r="Q27" t="inlineStr"/>
      <c r="R27" t="inlineStr">
        <is>
          <t>NOT DETERMINED — no assumption recorded for this figure yet.</t>
        </is>
      </c>
      <c r="S27" t="inlineStr"/>
      <c r="T27" t="inlineStr">
        <is>
          <t>Q05 — Accrued interest: do we work it out ourselves — which needs a day-count rule per bond type — or only show what the institution gives us?</t>
        </is>
      </c>
      <c r="U27" t="inlineStr"/>
      <c r="V27" t="inlineStr"/>
      <c r="W27" t="inlineStr">
        <is>
          <t>NOT DETERMINED</t>
        </is>
      </c>
      <c r="X27" t="inlineStr">
        <is>
          <t>VERIFIED 2026-08-22</t>
        </is>
      </c>
    </row>
    <row r="28">
      <c r="A28" t="inlineStr">
        <is>
          <t>MK-NW-M-027</t>
        </is>
      </c>
      <c r="B28" t="inlineStr">
        <is>
          <t>Networth</t>
        </is>
      </c>
      <c r="C28" t="inlineStr">
        <is>
          <t>/account-detail</t>
        </is>
      </c>
      <c r="D28" t="inlineStr">
        <is>
          <t>Yield on today's value</t>
        </is>
      </c>
      <c r="E28" t="inlineStr">
        <is>
          <t>cy</t>
        </is>
      </c>
      <c r="F28" t="inlineStr">
        <is>
          <t>BOND_CURRENT_YIELD</t>
        </is>
      </c>
      <c r="G28" t="inlineStr">
        <is>
          <t>MK-NW-E-019</t>
        </is>
      </c>
      <c r="H28" t="inlineStr">
        <is>
          <t>current yield = annual coupon ÷ current value</t>
        </is>
      </c>
      <c r="I28" t="inlineStr">
        <is>
          <t>annual coupon ÷ current value. A bond bought at a discount yields MORE than its stated coupon; one bought at a premium yields less. No value → no answer, never a division by zero.</t>
        </is>
      </c>
      <c r="J28" t="inlineStr">
        <is>
          <t>coupon → annualCoupon  [MK-XS-I-012] · what it is worth → value  [MK-XS-I-001]</t>
        </is>
      </c>
      <c r="K28" t="inlineStr">
        <is>
          <t>Percent · one decimal shown  [derived by rule — confirm]</t>
        </is>
      </c>
      <c r="L28" t="inlineStr">
        <is>
          <t>No value means no answer — never a division by zero.</t>
        </is>
      </c>
      <c r="M28" t="inlineStr">
        <is>
          <t>One figure per bond  [derived by rule — confirm]</t>
        </is>
      </c>
      <c r="N28" t="inlineStr">
        <is>
          <t>As of today, from the latest figures held  [derived by rule — confirm]</t>
        </is>
      </c>
      <c r="O28" t="inlineStr">
        <is>
          <t>MK-NW-E-016 (BOND_COUPON) → How much income does this bond pay in a year?</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MK-NW-M-028</t>
        </is>
      </c>
      <c r="B29" t="inlineStr">
        <is>
          <t>Networth</t>
        </is>
      </c>
      <c r="C29" t="inlineStr">
        <is>
          <t>/account-detail</t>
        </is>
      </c>
      <c r="D29" t="inlineStr">
        <is>
          <t>Rates rise 1% → value roughly $X–$Y</t>
        </is>
      </c>
      <c r="E29" t="inlineStr">
        <is>
          <t>sens.ratesUp</t>
        </is>
      </c>
      <c r="F29" t="inlineStr">
        <is>
          <t>BOND_RATE_SENSITIVITY  [NAME ASSIGNED HERE — no engine row exists for it yet]</t>
        </is>
      </c>
      <c r="G29" t="inlineStr">
        <is>
          <t>MK-NW-E-020</t>
        </is>
      </c>
      <c r="H29" t="inlineStr">
        <is>
          <t>change in value ≈ − duration × change in rate × value</t>
        </is>
      </c>
      <c r="I29" t="inlineStr">
        <is>
          <t>Shows roughly what a one percent move in interest rates would do to the bond's value. Longer to maturity means a bigger swing. An illustration, not a forecast.</t>
        </is>
      </c>
      <c r="J29" t="inlineStr">
        <is>
          <t>NOT DETERMINED — no input list on record for this engine</t>
        </is>
      </c>
      <c r="K29" t="inlineStr">
        <is>
          <t>Percent · one decimal shown  [derived by rule — confirm]</t>
        </is>
      </c>
      <c r="L29" t="inlineStr">
        <is>
          <t>NOT DETERMINED — this engine has not been read for its refusal yet.</t>
        </is>
      </c>
      <c r="M29" t="inlineStr">
        <is>
          <t>One figure per bond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is>
          <t>MK-NW-M-029</t>
        </is>
      </c>
      <c r="B30" t="inlineStr">
        <is>
          <t>Networth</t>
        </is>
      </c>
      <c r="C30" t="inlineStr">
        <is>
          <t>/holding-detail</t>
        </is>
      </c>
      <c r="D30" t="inlineStr">
        <is>
          <t>CURRENT PRICE · LIVE</t>
        </is>
      </c>
      <c r="E30" t="inlineStr">
        <is>
          <t>price</t>
        </is>
      </c>
      <c r="F30" t="inlineStr">
        <is>
          <t>the price feed, with its freshness</t>
        </is>
      </c>
      <c r="G30" t="inlineStr">
        <is>
          <t>MK-NW-E-021</t>
        </is>
      </c>
      <c r="H30" t="inlineStr">
        <is>
          <t>price = the latest close from the feed, with the time it was fetched</t>
        </is>
      </c>
      <c r="I30" t="inlineStr">
        <is>
          <t>The most recent price the feed gave, carrying the moment it was fetched so staleness can be shown.</t>
        </is>
      </c>
      <c r="J30" t="inlineStr">
        <is>
          <t>NOT DETERMINED — no input list on record for this engine</t>
        </is>
      </c>
      <c r="K30" t="inlineStr">
        <is>
          <t>US dollars per unit · held to 8 decimal places · decimals shown  [derived by rule — confirm]</t>
        </is>
      </c>
      <c r="L30" t="inlineStr">
        <is>
          <t>NOT DETERMINED — this engine has not been read for its refusal yet.</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c r="Q30" t="inlineStr"/>
      <c r="R30" t="inlineStr">
        <is>
          <t>NOT DETERMINED — no assumption recorded for this figure yet.</t>
        </is>
      </c>
      <c r="S30" t="inlineStr"/>
      <c r="T30" t="inlineStr"/>
      <c r="U30" t="inlineStr"/>
      <c r="V30" t="inlineStr"/>
      <c r="W30" t="inlineStr">
        <is>
          <t>NOT DETERMINED</t>
        </is>
      </c>
      <c r="X30" t="inlineStr">
        <is>
          <t>VERIFIED 2026-08-22</t>
        </is>
      </c>
    </row>
    <row r="31">
      <c r="A31" t="inlineStr">
        <is>
          <t>MK-NW-M-030</t>
        </is>
      </c>
      <c r="B31" t="inlineStr">
        <is>
          <t>Networth</t>
        </is>
      </c>
      <c r="C31" t="inlineStr">
        <is>
          <t>/holding-detail</t>
        </is>
      </c>
      <c r="D31" t="inlineStr">
        <is>
          <t>Current value</t>
        </is>
      </c>
      <c r="E31" t="inlineStr">
        <is>
          <t>value</t>
        </is>
      </c>
      <c r="F31" t="inlineStr">
        <is>
          <t>HOLDING_MARKET_VALUE</t>
        </is>
      </c>
      <c r="G31" t="inlineStr">
        <is>
          <t>MK-NW-E-022</t>
        </is>
      </c>
      <c r="H31" t="inlineStr">
        <is>
          <t>value = quantity × latest price</t>
        </is>
      </c>
      <c r="I31" t="inlineStr">
        <is>
          <t>shares × latest price.
NO PRICE MEANS ZERO, NOT A GUESS. An unpriced holding contributes nothing and the screen says the price is missing — it is never valued at what it cost, which would silently report a gain of exactly zero.</t>
        </is>
      </c>
      <c r="J31" t="inlineStr">
        <is>
          <t>shares → totalShares  [MK-XS-I-004] · price → the latest close  [MK-XS-I-005]</t>
        </is>
      </c>
      <c r="K31" t="inlineStr">
        <is>
          <t>US dollars · held to the cent · shown as whole dollars  [derived by rule — confirm]</t>
        </is>
      </c>
      <c r="L31" t="inlineStr">
        <is>
          <t>NOT DETERMINED — this engine has not been read for its refusal yet.</t>
        </is>
      </c>
      <c r="M31" t="inlineStr">
        <is>
          <t>One figure per holding  [derived by rule — confirm]</t>
        </is>
      </c>
      <c r="N31" t="inlineStr">
        <is>
          <t>As of today, from the latest figures held  [derived by rule — confirm]</t>
        </is>
      </c>
      <c r="O31" t="inlineStr">
        <is>
          <t>MK-XS-E-022 (HOLDING_SHARES) → How many shares of this do I own?</t>
        </is>
      </c>
      <c r="P31" t="inlineStr">
        <is>
          <t>DECIDES whether a line is a share, a bond, an option, a crypto amount or a currency, because the units differ; and DECIDES the price to use when the feed has none.</t>
        </is>
      </c>
      <c r="Q3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R31" t="inlineStr">
        <is>
          <t>[Founder] A price is a ratio, not money: it keeps eight decimal places and is never rounded to cents. Rounding a Treasury bill price of $0.9888 to $0.99 invented $276 of gain on one row.</t>
        </is>
      </c>
      <c r="S31" t="inlineStr">
        <is>
          <t>THE SURVIVING IDENTIFIER for this figure. Folded in: MK-NW-M-040. A holding's current value, on holding detail and again while itemising an account.</t>
        </is>
      </c>
      <c r="T31" t="inlineStr">
        <is>
          <t>Q06 — Options: is quantity held in CONTRACTS with the price per share (so value = contracts x 100 x price), or is the price already per contract? Today neither is applied and the value may be a hundredth of the truth.
Q07 — Crypto: how many decimal places should a quantity keep? Some coins are held in very small fractions.
Q08 — Foreign currency: is this cash held at an institution, or currency trading? And should that tab's "Dividend" row be "Interest"?</t>
        </is>
      </c>
      <c r="U31" t="inlineStr"/>
      <c r="V31" t="inlineStr"/>
      <c r="W31" t="inlineStr">
        <is>
          <t>NOT DETERMINED</t>
        </is>
      </c>
      <c r="X31" t="inlineStr">
        <is>
          <t>VERIFIED 2026-08-22</t>
        </is>
      </c>
    </row>
    <row r="32">
      <c r="A32" t="inlineStr">
        <is>
          <t>MK-NW-M-031</t>
        </is>
      </c>
      <c r="B32" t="inlineStr">
        <is>
          <t>Networth</t>
        </is>
      </c>
      <c r="C32" t="inlineStr">
        <is>
          <t>/holding-detail</t>
        </is>
      </c>
      <c r="D32" t="inlineStr">
        <is>
          <t>Quantity — n shares</t>
        </is>
      </c>
      <c r="E32" t="inlineStr">
        <is>
          <t>shares</t>
        </is>
      </c>
      <c r="F32" t="inlineStr">
        <is>
          <t>HOLDING_SHARES</t>
        </is>
      </c>
      <c r="G32" t="inlineStr">
        <is>
          <t>MK-XS-E-022</t>
        </is>
      </c>
      <c r="H32" t="inlineStr">
        <is>
          <t>quantity = Σ(shares bought) − Σ(shares sold)</t>
        </is>
      </c>
      <c r="I32" t="inlineStr">
        <is>
          <t>Add the shares across every purchase lot. A position is the SUM OF ITS LOTS, never one stored figure — that is what makes gain-since-purchase possible.</t>
        </is>
      </c>
      <c r="J32" t="inlineStr">
        <is>
          <t>each lot's shares → lots[].shares  [MK-XS-I-004, MK-XS-I-007]</t>
        </is>
      </c>
      <c r="K32" t="inlineStr">
        <is>
          <t>A count · whole units, except crypto which keeps its fractions  [derived by rule — confirm]</t>
        </is>
      </c>
      <c r="L32" t="inlineStr">
        <is>
          <t>Adds up to $0 when there is nothing to add. Zero and "nothing recorded yet" look identical on screen — worth a decision.</t>
        </is>
      </c>
      <c r="M32" t="inlineStr">
        <is>
          <t>One figure per holding  [derived by rule — confirm]</t>
        </is>
      </c>
      <c r="N32" t="inlineStr">
        <is>
          <t>As of today, from the latest figures held  [derived by rule — confirm]</t>
        </is>
      </c>
      <c r="O32" t="inlineStr">
        <is>
          <t>None — this engine reads raw inputs only</t>
        </is>
      </c>
      <c r="P32" t="inlineStr"/>
      <c r="Q32" t="inlineStr">
        <is>
          <t>OPTIONS: quantity is held in contracts for options and in shares for stock, in the same field, with nothing marking which. Anything multiplying quantity by price inherits the ambiguity.</t>
        </is>
      </c>
      <c r="R32" t="inlineStr">
        <is>
          <t>NOT DETERMINED — no assumption recorded for this figure yet.</t>
        </is>
      </c>
      <c r="S32" t="inlineStr"/>
      <c r="T32" t="inlineStr">
        <is>
          <t>Q09 — Should the app store the UNIT beside every quantity — shares, contracts, coins, units of face, currency units — so nothing can be multiplied by the wrong price? Today one field holds all of them with nothing marking which.</t>
        </is>
      </c>
      <c r="U32" t="inlineStr"/>
      <c r="V32" t="inlineStr"/>
      <c r="W32" t="inlineStr">
        <is>
          <t>NOT DETERMINED</t>
        </is>
      </c>
      <c r="X32" t="inlineStr">
        <is>
          <t>VERIFIED 2026-08-22</t>
        </is>
      </c>
    </row>
    <row r="33">
      <c r="A33" t="inlineStr">
        <is>
          <t>MK-NW-M-032</t>
        </is>
      </c>
      <c r="B33" t="inlineStr">
        <is>
          <t>Networth</t>
        </is>
      </c>
      <c r="C33" t="inlineStr">
        <is>
          <t>/holding-detail</t>
        </is>
      </c>
      <c r="D33" t="inlineStr">
        <is>
          <t>Price paid (average)</t>
        </is>
      </c>
      <c r="E33" t="inlineStr">
        <is>
          <t>rawAvg</t>
        </is>
      </c>
      <c r="F33" t="inlineStr">
        <is>
          <t>HOLDING_COST_BASIS</t>
        </is>
      </c>
      <c r="G33" t="inlineStr">
        <is>
          <t>MK-NW-E-023</t>
        </is>
      </c>
      <c r="H33" t="inlineStr">
        <is>
          <t>total paid = Σ(shares in each lot × price paid in that lot);  average = total paid ÷ quantity</t>
        </is>
      </c>
      <c r="I33" t="inlineStr">
        <is>
          <t>Add shares × cost per share across every lot. A lot with no cost recorded contributes nothing, but its shares still count as owned.</t>
        </is>
      </c>
      <c r="J33" t="inlineStr">
        <is>
          <t>each lot's shares and cost → lots[].shares, lots[].cost_per_share  [MK-XS-I-004, MK-XS-I-007]</t>
        </is>
      </c>
      <c r="K33" t="inlineStr">
        <is>
          <t>US dollars per unit · held to 8 decimal places · decimals shown  [derived by rule — confirm]</t>
        </is>
      </c>
      <c r="L33" t="inlineStr">
        <is>
          <t>Adds up to $0 when there is nothing to add. Zero and "nothing recorded yet" look identical on screen — worth a decision.</t>
        </is>
      </c>
      <c r="M33" t="inlineStr">
        <is>
          <t>One figure per holding  [derived by rule — confirm]</t>
        </is>
      </c>
      <c r="N33" t="inlineStr">
        <is>
          <t>As of today, from the latest figures held  [derived by rule — confirm]</t>
        </is>
      </c>
      <c r="O33" t="inlineStr">
        <is>
          <t>None — this engine reads raw inputs only</t>
        </is>
      </c>
      <c r="P33" t="inlineStr"/>
      <c r="Q33" t="inlineStr">
        <is>
          <t>OPTIONS: same contract-multiplier question as market value — cost per share × shares, with no ×100 for a contract. TO VERIFY.</t>
        </is>
      </c>
      <c r="R33" t="inlineStr">
        <is>
          <t>[Founder] Cost basis comes from recorded lots. A lot with no cost is skipped rather than treated as free shares, because free shares would report the whole value as gain and tax it.</t>
        </is>
      </c>
      <c r="S33" t="inlineStr"/>
      <c r="T33" t="inlineStr"/>
      <c r="U33" t="inlineStr"/>
      <c r="V33" t="inlineStr"/>
      <c r="W33" t="inlineStr">
        <is>
          <t>NOT DETERMINED</t>
        </is>
      </c>
      <c r="X33" t="inlineStr">
        <is>
          <t>VERIFIED 2026-08-22</t>
        </is>
      </c>
    </row>
    <row r="34">
      <c r="A34" t="inlineStr">
        <is>
          <t>MK-NW-M-033</t>
        </is>
      </c>
      <c r="B34" t="inlineStr">
        <is>
          <t>Networth</t>
        </is>
      </c>
      <c r="C34" t="inlineStr">
        <is>
          <t>/holding-detail</t>
        </is>
      </c>
      <c r="D34" t="inlineStr">
        <is>
          <t>Total paid</t>
        </is>
      </c>
      <c r="E34" t="inlineStr">
        <is>
          <t>basis</t>
        </is>
      </c>
      <c r="F34" t="inlineStr">
        <is>
          <t>HOLDING_COST_BASIS</t>
        </is>
      </c>
      <c r="G34" t="inlineStr">
        <is>
          <t>MK-NW-E-023</t>
        </is>
      </c>
      <c r="H34" t="inlineStr">
        <is>
          <t>total paid = Σ(shares in each lot × price paid in that lot);  average = total paid ÷ quantity</t>
        </is>
      </c>
      <c r="I34" t="inlineStr">
        <is>
          <t>Add shares × cost per share across every lot. A lot with no cost recorded contributes nothing, but its shares still count as owned.</t>
        </is>
      </c>
      <c r="J34" t="inlineStr">
        <is>
          <t>each lot's shares and cost → lots[].shares, lots[].cost_per_share  [MK-XS-I-004, MK-XS-I-007]</t>
        </is>
      </c>
      <c r="K34" t="inlineStr">
        <is>
          <t>US dollars · held to the cent · shown as whole dollars  [derived by rule — confirm]</t>
        </is>
      </c>
      <c r="L34" t="inlineStr">
        <is>
          <t>Adds up to $0 when there is nothing to add. Zero and "nothing recorded yet" look identical on screen — worth a decision.</t>
        </is>
      </c>
      <c r="M34" t="inlineStr">
        <is>
          <t>One figure per holding  [derived by rule — confirm]</t>
        </is>
      </c>
      <c r="N34" t="inlineStr">
        <is>
          <t>As of today, from the latest figures held  [derived by rule — confirm]</t>
        </is>
      </c>
      <c r="O34" t="inlineStr">
        <is>
          <t>None — this engine reads raw inputs only</t>
        </is>
      </c>
      <c r="P34" t="inlineStr"/>
      <c r="Q34" t="inlineStr">
        <is>
          <t>OPTIONS: same contract-multiplier question as market value — cost per share × shares, with no ×100 for a contract. TO VERIFY.</t>
        </is>
      </c>
      <c r="R34" t="inlineStr">
        <is>
          <t>[Founder] Cost basis comes from recorded lots. A lot with no cost is skipped rather than treated as free shares, because free shares would report the whole value as gain and tax it.</t>
        </is>
      </c>
      <c r="S34" t="inlineStr"/>
      <c r="T34" t="inlineStr"/>
      <c r="U34" t="inlineStr"/>
      <c r="V34" t="inlineStr"/>
      <c r="W34" t="inlineStr">
        <is>
          <t>NOT DETERMINED</t>
        </is>
      </c>
      <c r="X34" t="inlineStr">
        <is>
          <t>VERIFIED 2026-08-22</t>
        </is>
      </c>
    </row>
    <row r="35">
      <c r="A35" t="inlineStr">
        <is>
          <t>MK-NW-M-034</t>
        </is>
      </c>
      <c r="B35" t="inlineStr">
        <is>
          <t>Networth</t>
        </is>
      </c>
      <c r="C35" t="inlineStr">
        <is>
          <t>/holding-detail</t>
        </is>
      </c>
      <c r="D35" t="inlineStr">
        <is>
          <t>Dividends received (12 mo)</t>
        </is>
      </c>
      <c r="E35" t="inlineStr">
        <is>
          <t>dividends.trailing12</t>
        </is>
      </c>
      <c r="F35" t="inlineStr">
        <is>
          <t>the ledger sum of dividends over twelve months</t>
        </is>
      </c>
      <c r="G35" t="inlineStr">
        <is>
          <t>MK-NW-E-024</t>
        </is>
      </c>
      <c r="H35" t="inlineStr">
        <is>
          <t>dividends = Σ(dividend lines in the last 12 months)</t>
        </is>
      </c>
      <c r="I35" t="inlineStr">
        <is>
          <t>Adds the dividends recorded for this holding over the last twelve months.</t>
        </is>
      </c>
      <c r="J35" t="inlineStr">
        <is>
          <t>NOT DETERMINED — no input list on record for this engine</t>
        </is>
      </c>
      <c r="K35" t="inlineStr">
        <is>
          <t>US dollars · held to the cent · shown as whole dollars  [derived by rule — confirm]</t>
        </is>
      </c>
      <c r="L35" t="inlineStr">
        <is>
          <t>Adds up to $0 when there is nothing to add. Zero and "nothing recorded yet" look identical on screen — worth a decision.</t>
        </is>
      </c>
      <c r="M35" t="inlineStr">
        <is>
          <t>One figure per person — or per household when two people share one record  [derived by rule — confirm]</t>
        </is>
      </c>
      <c r="N35" t="inlineStr">
        <is>
          <t>This calendar month, to today  [derived by rule — confirm]</t>
        </is>
      </c>
      <c r="O35" t="inlineStr">
        <is>
          <t>NOT DETERMINED</t>
        </is>
      </c>
      <c r="P35" t="inlineStr"/>
      <c r="Q35" t="inlineStr"/>
      <c r="R35" t="inlineStr">
        <is>
          <t>NOT DETERMINED — no assumption recorded for this figure yet.</t>
        </is>
      </c>
      <c r="S35" t="inlineStr"/>
      <c r="T35" t="inlineStr"/>
      <c r="U35" t="inlineStr"/>
      <c r="V35" t="inlineStr"/>
      <c r="W35" t="inlineStr">
        <is>
          <t>NOT DETERMINED</t>
        </is>
      </c>
      <c r="X35" t="inlineStr">
        <is>
          <t>VERIFIED 2026-08-22</t>
        </is>
      </c>
    </row>
    <row r="36">
      <c r="A36" t="inlineStr">
        <is>
          <t>MK-NW-M-035</t>
        </is>
      </c>
      <c r="B36" t="inlineStr">
        <is>
          <t>Networth</t>
        </is>
      </c>
      <c r="C36" t="inlineStr">
        <is>
          <t>/holding-detail</t>
        </is>
      </c>
      <c r="D36" t="inlineStr">
        <is>
          <t>Realized gain from your buys and sells</t>
        </is>
      </c>
      <c r="E36" t="inlineStr">
        <is>
          <t>realized</t>
        </is>
      </c>
      <c r="F36" t="inlineStr">
        <is>
          <t>REALISED_GAIN</t>
        </is>
      </c>
      <c r="G36" t="inlineStr">
        <is>
          <t>MK-NW-E-025</t>
        </is>
      </c>
      <c r="H36" t="inlineStr">
        <is>
          <t>realised gain = Σ over sales of (proceeds − cost of the shares sold, oldest first)</t>
        </is>
      </c>
      <c r="I36" t="inlineStr">
        <is>
          <t>Walk buys and sells in date order. Each sale consumes the OLDEST buy lots first, and the gain is proceeds minus the cost of the shares it consumed.
Lots are kept separately per account AND per ticker, so a Schwab holding never covers a Robinhood sale of the same share.
A SALE WITH NO RECORDED BUY CONTRIBUTES NOTHING and is counted separately, so the screen can say how much it could not see. A cost is never invented — inventing one would report the entire sale as profit.</t>
        </is>
      </c>
      <c r="J36" t="inlineStr">
        <is>
          <t>the ledger → txns  [MK-XS-I-008] · optionally one ticker → opts.ticker  [NOT AN INPUT — a setting or a filter, not data anyone supplies] · optionally one account → opts.accountId  [NOT AN INPUT — a setting or a filter, not data anyone supplies] · today → opts.now  [NOT AN INPUT — a setting or a filter, not data anyone supplies]</t>
        </is>
      </c>
      <c r="K36" t="inlineStr">
        <is>
          <t>US dollars · held to the cent · shown as whole dollars  [derived by rule — confirm]</t>
        </is>
      </c>
      <c r="L36" t="inlineStr">
        <is>
          <t>Sales with no recorded purchase are counted separately and named on screen: "N sales had no recorded purchase, so their gain isn't counted."</t>
        </is>
      </c>
      <c r="M36" t="inlineStr">
        <is>
          <t>One figure per person — or per household when two people share one record  [derived by rule — confirm]</t>
        </is>
      </c>
      <c r="N36" t="inlineStr">
        <is>
          <t>As of today, from the latest figures held  [derived by rule — confirm]</t>
        </is>
      </c>
      <c r="O36" t="inlineStr">
        <is>
          <t>None — this engine reads raw inputs only</t>
        </is>
      </c>
      <c r="P36" t="inlineStr"/>
      <c r="Q36" t="inlineStr">
        <is>
          <t>Reads the transaction ledger, which is device-only. On a second device it reports nothing — not because nothing was sold, but because the record is elsewhere.</t>
        </is>
      </c>
      <c r="R36" t="inlineStr">
        <is>
          <t>NOT DETERMINED — no assumption recorded for this figure yet.</t>
        </is>
      </c>
      <c r="S36" t="inlineStr"/>
      <c r="T36" t="inlineStr">
        <is>
          <t>Q21 — On a second device the ledger is absent, so this reads nothing. Until history syncs, should it refuse in words rather than show a figure that looks like zero?</t>
        </is>
      </c>
      <c r="U36" t="inlineStr"/>
      <c r="V36" t="inlineStr"/>
      <c r="W36" t="inlineStr">
        <is>
          <t>NOT DETERMINED</t>
        </is>
      </c>
      <c r="X36" t="inlineStr">
        <is>
          <t>VERIFIED 2026-08-22</t>
        </is>
      </c>
    </row>
    <row r="37">
      <c r="A37" t="inlineStr">
        <is>
          <t>MK-NW-M-036</t>
        </is>
      </c>
      <c r="B37" t="inlineStr">
        <is>
          <t>Networth</t>
        </is>
      </c>
      <c r="C37" t="inlineStr">
        <is>
          <t>/holding-detail</t>
        </is>
      </c>
      <c r="D37" t="inlineStr">
        <is>
          <t>Gain — long-term (held over 1 yr)</t>
        </is>
      </c>
      <c r="E37" t="inlineStr">
        <is>
          <t>cg.longGain</t>
        </is>
      </c>
      <c r="F37" t="inlineStr">
        <is>
          <t>HOLDING_CAP_GAINS</t>
        </is>
      </c>
      <c r="G37" t="inlineStr">
        <is>
          <t>MK-NW-E-026</t>
        </is>
      </c>
      <c r="H37" t="inlineStr">
        <is>
          <t>per lot: gain = shares × (price − cost per share);  long-term if the lot was held ≥ 365 whole days, otherwise short-term;  a lot with no cost recorded is skipped</t>
        </is>
      </c>
      <c r="I37"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7" t="inlineStr">
        <is>
          <t>each lot → lots[]  [MK-XS-I-007] · price → the latest close  [MK-XS-I-005] · today → now  [NOT AN INPUT — a setting or a filter, not data anyone supplies]</t>
        </is>
      </c>
      <c r="K37" t="inlineStr">
        <is>
          <t>US dollars · held to the cent · shown as whole dollars  [derived by rule — confirm]</t>
        </is>
      </c>
      <c r="L37" t="inlineStr">
        <is>
          <t>A lot with no recorded purchase price is SKIPPED. Today the screen does not say so, which is finding Q20.</t>
        </is>
      </c>
      <c r="M37" t="inlineStr">
        <is>
          <t>One figure per holding  [derived by rule — confirm]</t>
        </is>
      </c>
      <c r="N37" t="inlineStr">
        <is>
          <t>As of today, from the latest figures held  [derived by rule — confirm]</t>
        </is>
      </c>
      <c r="O37" t="inlineStr">
        <is>
          <t>None — this engine reads raw inputs only</t>
        </is>
      </c>
      <c r="P37" t="inlineStr"/>
      <c r="Q37" t="inlineStr">
        <is>
          <t>OPTIONS: gain per lot = shares × (price − cost), again with no contract multiplier. TO VERIFY. Separately: a lot with no recorded cost is skipped, so a position of skipped lots reports no gain at all rather than saying it cannot tell.</t>
        </is>
      </c>
      <c r="R37" t="inlineStr">
        <is>
          <t>[Founder] Long-term is decided by DAYS, not calendar months (correction E7): 335 days used to count as long-term and be taxed at the lower rate.</t>
        </is>
      </c>
      <c r="S37" t="inlineStr"/>
      <c r="T37" t="inlineStr">
        <is>
          <t>Q20 — A lot with no recorded purchase price is skipped, so its gain is simply absent. Should the screen SAY so — "gain not counted for N shares, no purchase price on record" — rather than quietly reporting less?</t>
        </is>
      </c>
      <c r="U37" t="inlineStr"/>
      <c r="V37" t="inlineStr"/>
      <c r="W37" t="inlineStr">
        <is>
          <t>NOT DETERMINED</t>
        </is>
      </c>
      <c r="X37" t="inlineStr">
        <is>
          <t>VERIFIED 2026-08-22</t>
        </is>
      </c>
    </row>
    <row r="38">
      <c r="A38" t="inlineStr">
        <is>
          <t>MK-NW-M-037</t>
        </is>
      </c>
      <c r="B38" t="inlineStr">
        <is>
          <t>Networth</t>
        </is>
      </c>
      <c r="C38" t="inlineStr">
        <is>
          <t>/holding-detail</t>
        </is>
      </c>
      <c r="D38" t="inlineStr">
        <is>
          <t>Gain — short-term (under 1 yr)</t>
        </is>
      </c>
      <c r="E38" t="inlineStr">
        <is>
          <t>cg.shortGain</t>
        </is>
      </c>
      <c r="F38" t="inlineStr">
        <is>
          <t>HOLDING_CAP_GAINS</t>
        </is>
      </c>
      <c r="G38" t="inlineStr">
        <is>
          <t>MK-NW-E-026</t>
        </is>
      </c>
      <c r="H38" t="inlineStr">
        <is>
          <t>per lot: gain = shares × (price − cost per share);  long-term if the lot was held ≥ 365 whole days, otherwise short-term;  a lot with no cost recorded is skipped</t>
        </is>
      </c>
      <c r="I38"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8" t="inlineStr">
        <is>
          <t>each lot → lots[]  [MK-XS-I-007] · price → the latest close  [MK-XS-I-005] · today → now  [NOT AN INPUT — a setting or a filter, not data anyone supplies]</t>
        </is>
      </c>
      <c r="K38" t="inlineStr">
        <is>
          <t>US dollars · held to the cent · shown as whole dollars  [derived by rule — confirm]</t>
        </is>
      </c>
      <c r="L38" t="inlineStr">
        <is>
          <t>A lot with no recorded purchase price is SKIPPED. Today the screen does not say so, which is finding Q20.</t>
        </is>
      </c>
      <c r="M38" t="inlineStr">
        <is>
          <t>One figure per holding  [derived by rule — confirm]</t>
        </is>
      </c>
      <c r="N38" t="inlineStr">
        <is>
          <t>As of today, from the latest figures held  [derived by rule — confirm]</t>
        </is>
      </c>
      <c r="O38" t="inlineStr">
        <is>
          <t>None — this engine reads raw inputs only</t>
        </is>
      </c>
      <c r="P38" t="inlineStr"/>
      <c r="Q38" t="inlineStr">
        <is>
          <t>OPTIONS: gain per lot = shares × (price − cost), again with no contract multiplier. TO VERIFY. Separately: a lot with no recorded cost is skipped, so a position of skipped lots reports no gain at all rather than saying it cannot tell.</t>
        </is>
      </c>
      <c r="R38" t="inlineStr">
        <is>
          <t>[Founder] Long-term is decided by DAYS, not calendar months (correction E7): 335 days used to count as long-term and be taxed at the lower rate.</t>
        </is>
      </c>
      <c r="S38" t="inlineStr"/>
      <c r="T38" t="inlineStr"/>
      <c r="U38" t="inlineStr"/>
      <c r="V38" t="inlineStr"/>
      <c r="W38" t="inlineStr">
        <is>
          <t>NOT DETERMINED</t>
        </is>
      </c>
      <c r="X38" t="inlineStr">
        <is>
          <t>VERIFIED 2026-08-22</t>
        </is>
      </c>
    </row>
    <row r="39">
      <c r="A39" t="inlineStr">
        <is>
          <t>MK-NW-M-038</t>
        </is>
      </c>
      <c r="B39" t="inlineStr">
        <is>
          <t>Networth</t>
        </is>
      </c>
      <c r="C39" t="inlineStr">
        <is>
          <t>/itemize</t>
        </is>
      </c>
      <c r="D39" t="inlineStr">
        <is>
          <t>We keep the total at $X</t>
        </is>
      </c>
      <c r="E39" t="inlineStr">
        <is>
          <t>lump.balance</t>
        </is>
      </c>
      <c r="F39" t="inlineStr">
        <is>
          <t>the account balance being itemised</t>
        </is>
      </c>
      <c r="G39" t="inlineStr">
        <is>
          <t>MK-NW-E-027</t>
        </is>
      </c>
      <c r="H39" t="inlineStr">
        <is>
          <t>the balance of the account being broken into holdings</t>
        </is>
      </c>
      <c r="I39" t="inlineStr">
        <is>
          <t>The single account total that the holdings entered must add up to.</t>
        </is>
      </c>
      <c r="J39" t="inlineStr">
        <is>
          <t>NOT DETERMINED — no input list on record for this engine</t>
        </is>
      </c>
      <c r="K39" t="inlineStr">
        <is>
          <t>US dollars · held to the cent · shown as whole dollars  [derived by rule — confirm]</t>
        </is>
      </c>
      <c r="L39" t="inlineStr">
        <is>
          <t>NOT DETERMINED — this engine has not been read for its refusal yet.</t>
        </is>
      </c>
      <c r="M39" t="inlineStr">
        <is>
          <t>One figure per person — or per household when two people share one record  [derived by rule — confirm]</t>
        </is>
      </c>
      <c r="N39" t="inlineStr">
        <is>
          <t>As of today, from the latest figures held  [derived by rule — confirm]</t>
        </is>
      </c>
      <c r="O39" t="inlineStr">
        <is>
          <t>NOT DETERMINED</t>
        </is>
      </c>
      <c r="P39" t="inlineStr"/>
      <c r="Q39" t="inlineStr"/>
      <c r="R39" t="inlineStr">
        <is>
          <t>NOT DETERMINED — no assumption recorded for this figure yet.</t>
        </is>
      </c>
      <c r="S39" t="inlineStr"/>
      <c r="T39" t="inlineStr"/>
      <c r="U39" t="inlineStr"/>
      <c r="V39" t="inlineStr"/>
      <c r="W39" t="inlineStr">
        <is>
          <t>NOT DETERMINED</t>
        </is>
      </c>
      <c r="X39" t="inlineStr">
        <is>
          <t>VERIFIED 2026-08-22</t>
        </is>
      </c>
    </row>
    <row r="40">
      <c r="A40" t="inlineStr">
        <is>
          <t>MK-NW-M-039</t>
        </is>
      </c>
      <c r="B40" t="inlineStr">
        <is>
          <t>Networth</t>
        </is>
      </c>
      <c r="C40" t="inlineStr">
        <is>
          <t>/itemize</t>
        </is>
      </c>
      <c r="D40" t="inlineStr">
        <is>
          <t>$X of $Y itemized · remainder</t>
        </is>
      </c>
      <c r="E40" t="inlineStr">
        <is>
          <t>allocated / remainder</t>
        </is>
      </c>
      <c r="F40" t="inlineStr">
        <is>
          <t>worked out on the screen: total − what has been itemised</t>
        </is>
      </c>
      <c r="G40" t="inlineStr"/>
      <c r="H40" t="inlineStr">
        <is>
          <t>left to itemise = the account total − Σ(holdings entered)</t>
        </is>
      </c>
      <c r="I40" t="inlineStr">
        <is>
          <t>Worked out on the screen itself, with no engine behind it — a place a second definition can appear.</t>
        </is>
      </c>
      <c r="J40" t="inlineStr">
        <is>
          <t>NOT DETERMINED — no input list on record for this engine</t>
        </is>
      </c>
      <c r="K40" t="inlineStr">
        <is>
          <t>US dollars · held to the cent · shown as whole dollars  [derived by rule — confirm]</t>
        </is>
      </c>
      <c r="L40" t="inlineStr">
        <is>
          <t>Inherits the refusal of the figures it is built from: if either side is missing, this line is not shown.</t>
        </is>
      </c>
      <c r="M40" t="inlineStr">
        <is>
          <t>One figure per person — or per household when two people share one record  [derived by rule — confirm]</t>
        </is>
      </c>
      <c r="N40" t="inlineStr">
        <is>
          <t>As of today, from the latest figures held  [derived by rule — confirm]</t>
        </is>
      </c>
      <c r="O40" t="inlineStr">
        <is>
          <t>NOT DETERMINED</t>
        </is>
      </c>
      <c r="P40" t="inlineStr"/>
      <c r="Q40" t="inlineStr"/>
      <c r="R40" t="inlineStr">
        <is>
          <t>NOT DETERMINED — no assumption recorded for this figure yet.</t>
        </is>
      </c>
      <c r="S40" t="inlineStr"/>
      <c r="T40" t="inlineStr"/>
      <c r="U40" t="inlineStr"/>
      <c r="V40" t="inlineStr"/>
      <c r="W40" t="inlineStr">
        <is>
          <t>NOT DETERMINED</t>
        </is>
      </c>
      <c r="X40" t="inlineStr">
        <is>
          <t>VERIFIED 2026-08-22</t>
        </is>
      </c>
    </row>
    <row r="41">
      <c r="A41" t="inlineStr">
        <is>
          <t>MK-NW-M-040</t>
        </is>
      </c>
      <c r="B41" t="inlineStr">
        <is>
          <t>Networth</t>
        </is>
      </c>
      <c r="C41" t="inlineStr">
        <is>
          <t>/itemize</t>
        </is>
      </c>
      <c r="D41" t="inlineStr">
        <is>
          <t>each holding and its value</t>
        </is>
      </c>
      <c r="E41" t="inlineStr">
        <is>
          <t>h.value</t>
        </is>
      </c>
      <c r="F41" t="inlineStr">
        <is>
          <t>HOLDING_MARKET_VALUE</t>
        </is>
      </c>
      <c r="G41" t="inlineStr">
        <is>
          <t>MK-NW-E-022</t>
        </is>
      </c>
      <c r="H41" t="inlineStr">
        <is>
          <t>value = quantity × latest price</t>
        </is>
      </c>
      <c r="I41" t="inlineStr">
        <is>
          <t>shares × latest price.
NO PRICE MEANS ZERO, NOT A GUESS. An unpriced holding contributes nothing and the screen says the price is missing — it is never valued at what it cost, which would silently report a gain of exactly zero.</t>
        </is>
      </c>
      <c r="J41" t="inlineStr">
        <is>
          <t>shares → totalShares  [MK-XS-I-004] · price → the latest close  [MK-XS-I-005]</t>
        </is>
      </c>
      <c r="K41" t="inlineStr">
        <is>
          <t>US dollars · held to the cent · shown as whole dollars  [derived by rule — confirm]</t>
        </is>
      </c>
      <c r="L41" t="inlineStr">
        <is>
          <t>NOT DETERMINED — this engine has not been read for its refusal yet.</t>
        </is>
      </c>
      <c r="M41" t="inlineStr">
        <is>
          <t>One figure per holding  [derived by rule — confirm]</t>
        </is>
      </c>
      <c r="N41" t="inlineStr">
        <is>
          <t>As of today, from the latest figures held  [derived by rule — confirm]</t>
        </is>
      </c>
      <c r="O41" t="inlineStr">
        <is>
          <t>MK-XS-E-022 (HOLDING_SHARES) → How many shares of this do I own?</t>
        </is>
      </c>
      <c r="P41" t="inlineStr">
        <is>
          <t>DECIDES whether a line is a share, a bond, an option, a crypto amount or a currency, because the units differ; and DECIDES the price to use when the feed has none.</t>
        </is>
      </c>
      <c r="Q4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R41" t="inlineStr">
        <is>
          <t>[Founder] A price is a ratio, not money: it keeps eight decimal places and is never rounded to cents. Rounding a Treasury bill price of $0.9888 to $0.99 invented $276 of gain on one row.</t>
        </is>
      </c>
      <c r="S41" t="inlineStr">
        <is>
          <t>THE SAME FIGURE AS MK-NW-M-030 — A holding's current value, on holding detail and again while itemising an account.</t>
        </is>
      </c>
      <c r="T41" t="inlineStr"/>
      <c r="U41" t="inlineStr"/>
      <c r="V41" t="inlineStr"/>
      <c r="W41" t="inlineStr">
        <is>
          <t>NOT DETERMINED</t>
        </is>
      </c>
      <c r="X41" t="inlineStr">
        <is>
          <t>VERIFIED 2026-08-22</t>
        </is>
      </c>
    </row>
    <row r="42">
      <c r="A42" t="inlineStr">
        <is>
          <t>MK-NW-M-041</t>
        </is>
      </c>
      <c r="B42" t="inlineStr">
        <is>
          <t>Networth</t>
        </is>
      </c>
      <c r="C42" t="inlineStr">
        <is>
          <t>/bonds</t>
        </is>
      </c>
      <c r="D42" t="inlineStr">
        <is>
          <t>total value of your bonds</t>
        </is>
      </c>
      <c r="E42" t="inlineStr">
        <is>
          <t>summary.totalValue</t>
        </is>
      </c>
      <c r="F42" t="inlineStr">
        <is>
          <t>BOND_FACTS</t>
        </is>
      </c>
      <c r="G42" t="inlineStr">
        <is>
          <t>MK-NW-E-015</t>
        </is>
      </c>
      <c r="H42" t="inlineStr">
        <is>
          <t>face, coupon rate and maturity as recorded;  bonds total = Σ(value of each bond),  face total = Σ(face)</t>
        </is>
      </c>
      <c r="I42" t="inlineStr">
        <is>
          <t>Reads the stored bond fields off the holding and computes its yields. A holding with none of them is not a bond and returns nothing.</t>
        </is>
      </c>
      <c r="J42" t="inlineStr">
        <is>
          <t>the holding → position/account  [MK-XS-I-004]</t>
        </is>
      </c>
      <c r="K42" t="inlineStr">
        <is>
          <t>US dollars · held to the cent · shown as whole dollars  [derived by rule — confirm]</t>
        </is>
      </c>
      <c r="L42" t="inlineStr">
        <is>
          <t>Adds up to $0 when there is nothing to add. Zero and "nothing recorded yet" look identical on screen — worth a decision.</t>
        </is>
      </c>
      <c r="M42" t="inlineStr">
        <is>
          <t>One figure per bond  [derived by rule — confirm]</t>
        </is>
      </c>
      <c r="N42" t="inlineStr">
        <is>
          <t>As of today, from the latest figures held  [derived by rule — confirm]</t>
        </is>
      </c>
      <c r="O42" t="inlineStr">
        <is>
          <t>None — this engine reads raw inputs only</t>
        </is>
      </c>
      <c r="P42" t="inlineStr">
        <is>
          <t>DECIDES how a bond is NAMED on screen — issuer, or the identifying number, or a plain description; and DECIDES whether a line is a bond at all.</t>
        </is>
      </c>
      <c r="Q42" t="inlineStr"/>
      <c r="R42" t="inlineStr">
        <is>
          <t>NOT DETERMINED — no assumption recorded for this figure yet.</t>
        </is>
      </c>
      <c r="S42" t="inlineStr"/>
      <c r="T42" t="inlineStr"/>
      <c r="U42" t="inlineStr"/>
      <c r="V42" t="inlineStr"/>
      <c r="W42" t="inlineStr">
        <is>
          <t>NOT DETERMINED</t>
        </is>
      </c>
      <c r="X42" t="inlineStr">
        <is>
          <t>VERIFIED 2026-08-22</t>
        </is>
      </c>
    </row>
    <row r="43">
      <c r="A43" t="inlineStr">
        <is>
          <t>MK-NW-M-042</t>
        </is>
      </c>
      <c r="B43" t="inlineStr">
        <is>
          <t>Networth</t>
        </is>
      </c>
      <c r="C43" t="inlineStr">
        <is>
          <t>/bonds</t>
        </is>
      </c>
      <c r="D43" t="inlineStr">
        <is>
          <t>n bonds · face $X</t>
        </is>
      </c>
      <c r="E43" t="inlineStr">
        <is>
          <t>summary.totalFace</t>
        </is>
      </c>
      <c r="F43" t="inlineStr">
        <is>
          <t>BOND_FACTS</t>
        </is>
      </c>
      <c r="G43" t="inlineStr">
        <is>
          <t>MK-NW-E-015</t>
        </is>
      </c>
      <c r="H43" t="inlineStr">
        <is>
          <t>face, coupon rate and maturity as recorded;  bonds total = Σ(value of each bond),  face total = Σ(face)</t>
        </is>
      </c>
      <c r="I43" t="inlineStr">
        <is>
          <t>Reads the stored bond fields off the holding and computes its yields. A holding with none of them is not a bond and returns nothing.</t>
        </is>
      </c>
      <c r="J43" t="inlineStr">
        <is>
          <t>the holding → position/account  [MK-XS-I-004]</t>
        </is>
      </c>
      <c r="K43" t="inlineStr">
        <is>
          <t>US dollars · held to the cent · shown as whole dollars  [derived by rule — confirm]</t>
        </is>
      </c>
      <c r="L43" t="inlineStr">
        <is>
          <t>Adds up to $0 when there is nothing to add. Zero and "nothing recorded yet" look identical on screen — worth a decision.</t>
        </is>
      </c>
      <c r="M43" t="inlineStr">
        <is>
          <t>One figure per bond  [derived by rule — confirm]</t>
        </is>
      </c>
      <c r="N43" t="inlineStr">
        <is>
          <t>As of today, from the latest figures held  [derived by rule — confirm]</t>
        </is>
      </c>
      <c r="O43" t="inlineStr">
        <is>
          <t>None — this engine reads raw inputs only</t>
        </is>
      </c>
      <c r="P43" t="inlineStr">
        <is>
          <t>DECIDES how a bond is NAMED on screen — issuer, or the identifying number, or a plain description; and DECIDES whether a line is a bond at all.</t>
        </is>
      </c>
      <c r="Q43" t="inlineStr"/>
      <c r="R43" t="inlineStr">
        <is>
          <t>NOT DETERMINED — no assumption recorded for this figure yet.</t>
        </is>
      </c>
      <c r="S43" t="inlineStr"/>
      <c r="T43" t="inlineStr"/>
      <c r="U43" t="inlineStr"/>
      <c r="V43" t="inlineStr"/>
      <c r="W43" t="inlineStr">
        <is>
          <t>NOT DETERMINED</t>
        </is>
      </c>
      <c r="X43" t="inlineStr">
        <is>
          <t>VERIFIED 2026-08-22</t>
        </is>
      </c>
    </row>
    <row r="44">
      <c r="A44" t="inlineStr">
        <is>
          <t>MK-NW-M-043</t>
        </is>
      </c>
      <c r="B44" t="inlineStr">
        <is>
          <t>Networth</t>
        </is>
      </c>
      <c r="C44" t="inlineStr">
        <is>
          <t>/bonds</t>
        </is>
      </c>
      <c r="D44" t="inlineStr">
        <is>
          <t>COUPON / YR</t>
        </is>
      </c>
      <c r="E44" t="inlineStr">
        <is>
          <t>summary.coupon</t>
        </is>
      </c>
      <c r="F44" t="inlineStr">
        <is>
          <t>BOND_COUPON</t>
        </is>
      </c>
      <c r="G44" t="inlineStr">
        <is>
          <t>MK-NW-E-016</t>
        </is>
      </c>
      <c r="H44" t="inlineStr">
        <is>
          <t>annual coupon = face × coupon rate</t>
        </is>
      </c>
      <c r="I44" t="inlineStr">
        <is>
          <t>face value × coupon rate. NOT what the bond is worth today × the rate — a $10,000 bond paying 4% pays $400 whether it is trading at $9,800 or $11,000.</t>
        </is>
      </c>
      <c r="J44" t="inlineStr">
        <is>
          <t>face value → face  [MK-XS-I-011] · coupon rate → couponRate  [MK-XS-I-012]</t>
        </is>
      </c>
      <c r="K44" t="inlineStr">
        <is>
          <t>US dollars · held to the cent · shown as whole dollars  [derived by rule — confirm]</t>
        </is>
      </c>
      <c r="L44" t="inlineStr">
        <is>
          <t>NOT DETERMINED — this engine has not been read for its refusal yet.</t>
        </is>
      </c>
      <c r="M44" t="inlineStr">
        <is>
          <t>One figure per bond  [derived by rule — confirm]</t>
        </is>
      </c>
      <c r="N44" t="inlineStr">
        <is>
          <t>As of today, from the latest figures held  [derived by rule — confirm]</t>
        </is>
      </c>
      <c r="O44" t="inlineStr">
        <is>
          <t>None — this engine reads raw inputs only</t>
        </is>
      </c>
      <c r="P44" t="inlineStr"/>
      <c r="Q44" t="inlineStr"/>
      <c r="R44" t="inlineStr">
        <is>
          <t>NOT DETERMINED — no assumption recorded for this figure yet.</t>
        </is>
      </c>
      <c r="S44" t="inlineStr">
        <is>
          <t>THE SAME FIGURE AS MK-NW-M-024 — The coupon a bond pays in a year. "Interest payments" on account detail and "COUPON / YR" on the bonds screen.</t>
        </is>
      </c>
      <c r="T44" t="inlineStr"/>
      <c r="U44" t="inlineStr"/>
      <c r="V44" t="inlineStr"/>
      <c r="W44" t="inlineStr">
        <is>
          <t>NOT DETERMINED</t>
        </is>
      </c>
      <c r="X44" t="inlineStr">
        <is>
          <t>VERIFIED 2026-08-22</t>
        </is>
      </c>
    </row>
    <row r="45">
      <c r="A45" t="inlineStr">
        <is>
          <t>MK-NW-M-044</t>
        </is>
      </c>
      <c r="B45" t="inlineStr">
        <is>
          <t>Networth</t>
        </is>
      </c>
      <c r="C45" t="inlineStr">
        <is>
          <t>/bonds</t>
        </is>
      </c>
      <c r="D45" t="inlineStr">
        <is>
          <t>AVG YIELD</t>
        </is>
      </c>
      <c r="E45" t="inlineStr">
        <is>
          <t>summary.yield</t>
        </is>
      </c>
      <c r="F45" t="inlineStr">
        <is>
          <t>BOND_CURRENT_YIELD</t>
        </is>
      </c>
      <c r="G45" t="inlineStr">
        <is>
          <t>MK-NW-E-019</t>
        </is>
      </c>
      <c r="H45" t="inlineStr">
        <is>
          <t>current yield = annual coupon ÷ current value</t>
        </is>
      </c>
      <c r="I45" t="inlineStr">
        <is>
          <t>annual coupon ÷ current value. A bond bought at a discount yields MORE than its stated coupon; one bought at a premium yields less. No value → no answer, never a division by zero.</t>
        </is>
      </c>
      <c r="J45" t="inlineStr">
        <is>
          <t>coupon → annualCoupon  [MK-XS-I-012] · what it is worth → value  [MK-XS-I-001]</t>
        </is>
      </c>
      <c r="K45" t="inlineStr">
        <is>
          <t>Percent · one decimal shown  [derived by rule — confirm]</t>
        </is>
      </c>
      <c r="L45" t="inlineStr">
        <is>
          <t>No value means no answer — never a division by zero.</t>
        </is>
      </c>
      <c r="M45" t="inlineStr">
        <is>
          <t>One figure per bond  [derived by rule — confirm]</t>
        </is>
      </c>
      <c r="N45" t="inlineStr">
        <is>
          <t>As of today, from the latest figures held  [derived by rule — confirm]</t>
        </is>
      </c>
      <c r="O45" t="inlineStr">
        <is>
          <t>MK-NW-E-016 (BOND_COUPON) → How much income does this bond pay in a year?</t>
        </is>
      </c>
      <c r="P45" t="inlineStr"/>
      <c r="Q45" t="inlineStr"/>
      <c r="R45" t="inlineStr">
        <is>
          <t>NOT DETERMINED — no assumption recorded for this figure yet.</t>
        </is>
      </c>
      <c r="S45" t="inlineStr"/>
      <c r="T45" t="inlineStr"/>
      <c r="U45" t="inlineStr"/>
      <c r="V45" t="inlineStr"/>
      <c r="W45" t="inlineStr">
        <is>
          <t>NOT DETERMINED</t>
        </is>
      </c>
      <c r="X45" t="inlineStr">
        <is>
          <t>VERIFIED 2026-08-22</t>
        </is>
      </c>
    </row>
    <row r="46">
      <c r="A46" t="inlineStr">
        <is>
          <t>MK-NW-M-045</t>
        </is>
      </c>
      <c r="B46" t="inlineStr">
        <is>
          <t>Networth</t>
        </is>
      </c>
      <c r="C46" t="inlineStr">
        <is>
          <t>/bonds</t>
        </is>
      </c>
      <c r="D46" t="inlineStr">
        <is>
          <t>each bond — face, coupon, yield</t>
        </is>
      </c>
      <c r="E46" t="inlineStr">
        <is>
          <t>bi</t>
        </is>
      </c>
      <c r="F46" t="inlineStr">
        <is>
          <t>BOND_FACTS · BOND_COUPON</t>
        </is>
      </c>
      <c r="G46" t="inlineStr">
        <is>
          <t>MK-NW-E-028</t>
        </is>
      </c>
      <c r="H46" t="inlineStr">
        <is>
          <t>annual coupon = face × coupon rate</t>
        </is>
      </c>
      <c r="I46" t="inlineStr">
        <is>
          <t>Reads the stored bond fields off the holding and computes its yields. A holding with none of them is not a bond and returns nothing. · face value × coupon rate. NOT what the bond is worth today × the rate — a $10,000 bond paying 4% pays $400 whether it is trading at $9,800 or $11,000.</t>
        </is>
      </c>
      <c r="J46" t="inlineStr">
        <is>
          <t>the holding → position/account  [MK-XS-I-004] · face value → face  [MK-XS-I-011] · coupon rate → couponRate  [MK-XS-I-012]</t>
        </is>
      </c>
      <c r="K46" t="inlineStr">
        <is>
          <t>Percent · one decimal shown  [derived by rule — confirm]</t>
        </is>
      </c>
      <c r="L46" t="inlineStr">
        <is>
          <t>NOT DETERMINED — this engine has not been read for its refusal yet.</t>
        </is>
      </c>
      <c r="M46" t="inlineStr">
        <is>
          <t>One figure per bond  [derived by rule — confirm]</t>
        </is>
      </c>
      <c r="N46" t="inlineStr">
        <is>
          <t>As of today, from the latest figures held  [derived by rule — confirm]</t>
        </is>
      </c>
      <c r="O46" t="inlineStr">
        <is>
          <t>None — this engine reads raw inputs only</t>
        </is>
      </c>
      <c r="P46" t="inlineStr">
        <is>
          <t>DECIDES how a bond is NAMED on screen — issuer, or the identifying number, or a plain description; and DECIDES whether a line is a bond at all.</t>
        </is>
      </c>
      <c r="Q46" t="inlineStr"/>
      <c r="R46" t="inlineStr">
        <is>
          <t>NOT DETERMINED — no assumption recorded for this figure yet.</t>
        </is>
      </c>
      <c r="S46" t="inlineStr"/>
      <c r="T46" t="inlineStr"/>
      <c r="U46" t="inlineStr"/>
      <c r="V46" t="inlineStr"/>
      <c r="W46" t="inlineStr">
        <is>
          <t>NOT DETERMINED</t>
        </is>
      </c>
      <c r="X46" t="inlineStr">
        <is>
          <t>VERIFIED 2026-08-22</t>
        </is>
      </c>
    </row>
    <row r="47">
      <c r="A47" t="inlineStr"/>
      <c r="B47" t="inlineStr">
        <is>
          <t>Networth</t>
        </is>
      </c>
      <c r="C47" t="inlineStr">
        <is>
          <t>/add-account</t>
        </is>
      </c>
      <c r="D47" t="inlineStr">
        <is>
          <t>—</t>
        </is>
      </c>
      <c r="E47" t="inlineStr">
        <is>
          <t>—</t>
        </is>
      </c>
      <c r="F47" t="inlineStr">
        <is>
          <t>—</t>
        </is>
      </c>
      <c r="G47" t="inlineStr"/>
      <c r="H47" t="inlineStr"/>
      <c r="I47" t="inlineStr"/>
      <c r="J47" t="inlineStr"/>
      <c r="K47" t="inlineStr"/>
      <c r="L47" t="inlineStr"/>
      <c r="M47" t="inlineStr"/>
      <c r="N47" t="inlineStr"/>
      <c r="O47" t="inlineStr"/>
      <c r="P47" t="inlineStr"/>
      <c r="Q47" t="inlineStr"/>
      <c r="R47" t="inlineStr"/>
      <c r="S47" t="inlineStr"/>
      <c r="T47" t="inlineStr"/>
      <c r="U47" t="inlineStr"/>
      <c r="V47" t="inlineStr">
        <is>
          <t>NOT DETERMINED</t>
        </is>
      </c>
      <c r="W47" t="inlineStr">
        <is>
          <t>READ 2026-08-22 — no calculated figure on this screen</t>
        </is>
      </c>
    </row>
    <row r="48">
      <c r="A48" t="inlineStr"/>
      <c r="B48" t="inlineStr">
        <is>
          <t>Networth</t>
        </is>
      </c>
      <c r="C48" t="inlineStr">
        <is>
          <t>/connect</t>
        </is>
      </c>
      <c r="D48" t="inlineStr">
        <is>
          <t>—</t>
        </is>
      </c>
      <c r="E48" t="inlineStr">
        <is>
          <t>—</t>
        </is>
      </c>
      <c r="F48" t="inlineStr">
        <is>
          <t>—</t>
        </is>
      </c>
      <c r="G48" t="inlineStr"/>
      <c r="H48" t="inlineStr"/>
      <c r="I48" t="inlineStr"/>
      <c r="J48" t="inlineStr"/>
      <c r="K48" t="inlineStr"/>
      <c r="L48" t="inlineStr"/>
      <c r="M48" t="inlineStr"/>
      <c r="N48" t="inlineStr"/>
      <c r="O48" t="inlineStr"/>
      <c r="P48" t="inlineStr"/>
      <c r="Q48" t="inlineStr"/>
      <c r="R48" t="inlineStr"/>
      <c r="S48" t="inlineStr"/>
      <c r="T48" t="inlineStr"/>
      <c r="U48" t="inlineStr"/>
      <c r="V48" t="inlineStr">
        <is>
          <t>NOT DETERMINED</t>
        </is>
      </c>
      <c r="W48" t="inlineStr">
        <is>
          <t>READ 2026-08-22 — no calculated figure on this screen</t>
        </is>
      </c>
    </row>
    <row r="49">
      <c r="A49" t="inlineStr"/>
      <c r="B49" t="inlineStr">
        <is>
          <t>Networth</t>
        </is>
      </c>
      <c r="C49" t="inlineStr">
        <is>
          <t>/import-holdings</t>
        </is>
      </c>
      <c r="D49" t="inlineStr">
        <is>
          <t>—</t>
        </is>
      </c>
      <c r="E49" t="inlineStr">
        <is>
          <t>—</t>
        </is>
      </c>
      <c r="F49" t="inlineStr">
        <is>
          <t>—</t>
        </is>
      </c>
      <c r="G49" t="inlineStr"/>
      <c r="H49" t="inlineStr"/>
      <c r="I49" t="inlineStr"/>
      <c r="J49" t="inlineStr"/>
      <c r="K49" t="inlineStr"/>
      <c r="L49" t="inlineStr"/>
      <c r="M49" t="inlineStr"/>
      <c r="N49" t="inlineStr"/>
      <c r="O49" t="inlineStr"/>
      <c r="P49" t="inlineStr"/>
      <c r="Q49" t="inlineStr"/>
      <c r="R49" t="inlineStr"/>
      <c r="S49" t="inlineStr"/>
      <c r="T49" t="inlineStr"/>
      <c r="U49" t="inlineStr"/>
      <c r="V49" t="inlineStr">
        <is>
          <t>NOT DETERMINED</t>
        </is>
      </c>
      <c r="W49" t="inlineStr">
        <is>
          <t>READ 2026-08-22 — no calculated figure on this screen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1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MK-PF-M-001</t>
        </is>
      </c>
      <c r="B2" t="inlineStr">
        <is>
          <t>Performance</t>
        </is>
      </c>
      <c r="C2" t="inlineStr">
        <is>
          <t>NA</t>
        </is>
      </c>
      <c r="D2" t="inlineStr">
        <is>
          <t>Ending value</t>
        </is>
      </c>
      <c r="E2" t="inlineStr">
        <is>
          <t>walk.ending</t>
        </is>
      </c>
      <c r="F2" t="inlineStr">
        <is>
          <t>NW_CHANGE_WALK</t>
        </is>
      </c>
      <c r="G2" t="inlineStr">
        <is>
          <t>MK-PF-E-001</t>
        </is>
      </c>
      <c r="H2" t="inlineStr">
        <is>
          <t>ending = beginning + money in − money out + income − costs + market change  (the identity that must close)</t>
        </is>
      </c>
      <c r="I2"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2"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2" t="inlineStr">
        <is>
          <t>US dollars · held to the cent · shown as whole dollars  [derived by rule — confirm]</t>
        </is>
      </c>
      <c r="L2" t="inlineStr">
        <is>
          <t>Where the record does not reach back far enough, the beginning is back-solved and the walk says so. With neither record nor flows it refuses.</t>
        </is>
      </c>
      <c r="M2" t="inlineStr">
        <is>
          <t>One figure per person — or per household when two people share one record  [derived by rule — confirm]</t>
        </is>
      </c>
      <c r="N2" t="inlineStr">
        <is>
          <t>As of today, from the latest figures held  [derived by rule — confirm]</t>
        </is>
      </c>
      <c r="O2" t="inlineStr">
        <is>
          <t>None — this engine reads raw inputs only</t>
        </is>
      </c>
      <c r="P2" t="inlineStr"/>
      <c r="Q2" t="inlineStr">
        <is>
          <t>Beginning values are read from the daily record, which never leaves the phone. On a new device there is no beginning, so the walk back-solves one or refuses.</t>
        </is>
      </c>
      <c r="R2" t="inlineStr">
        <is>
          <t>[Founder] The identity must close: ending = beginning + money in − money out + income − costs + market change. A direction stated by the institution never overrides a contradicting sign — a −$500 line marked IN is a reversal.</t>
        </is>
      </c>
      <c r="S2" t="inlineStr">
        <is>
          <t>THE SURVIVING IDENTIFIER for this figure. Folded in: MK-PF-M-003. The ending value, shown as its own line and again inside the heading "HOW $X BECAME $Y". Same screen, same figure, twice.</t>
        </is>
      </c>
      <c r="T2" t="inlineStr"/>
      <c r="U2" t="inlineStr"/>
      <c r="V2" t="inlineStr"/>
      <c r="W2" t="inlineStr">
        <is>
          <t>NOT DETERMINED</t>
        </is>
      </c>
      <c r="X2" t="inlineStr">
        <is>
          <t>VERIFIED 2026-08-22</t>
        </is>
      </c>
    </row>
    <row r="3">
      <c r="A3" t="inlineStr">
        <is>
          <t>MK-PF-M-002</t>
        </is>
      </c>
      <c r="B3" t="inlineStr">
        <is>
          <t>Performance</t>
        </is>
      </c>
      <c r="C3" t="inlineStr">
        <is>
          <t>NA</t>
        </is>
      </c>
      <c r="D3" t="inlineStr">
        <is>
          <t>Wealth generated</t>
        </is>
      </c>
      <c r="E3" t="inlineStr">
        <is>
          <t>walk.wealthGenerated</t>
        </is>
      </c>
      <c r="F3" t="inlineStr">
        <is>
          <t>NW_CHANGE_WALK</t>
        </is>
      </c>
      <c r="G3" t="inlineStr">
        <is>
          <t>MK-PF-E-001</t>
        </is>
      </c>
      <c r="H3" t="inlineStr">
        <is>
          <t>ending = beginning + money in − money out + income − costs + market change  (the identity that must close)</t>
        </is>
      </c>
      <c r="I3"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3"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3" t="inlineStr">
        <is>
          <t>Percent · one decimal shown  [derived by rule — confirm]</t>
        </is>
      </c>
      <c r="L3" t="inlineStr">
        <is>
          <t>Where the record does not reach back far enough, the beginning is back-solved and the walk says so. With neither record nor flows it refuses.</t>
        </is>
      </c>
      <c r="M3" t="inlineStr">
        <is>
          <t>One figure per person — or per household when two people share one record  [derived by rule — confirm]</t>
        </is>
      </c>
      <c r="N3" t="inlineStr">
        <is>
          <t>As of today, from the latest figures held  [derived by rule — confirm]</t>
        </is>
      </c>
      <c r="O3" t="inlineStr">
        <is>
          <t>None — this engine reads raw inputs only</t>
        </is>
      </c>
      <c r="P3" t="inlineStr"/>
      <c r="Q3" t="inlineStr">
        <is>
          <t>Beginning values are read from the daily record, which never leaves the phone. On a new device there is no beginning, so the walk back-solves one or refuses.</t>
        </is>
      </c>
      <c r="R3" t="inlineStr">
        <is>
          <t>[Founder] The identity must close: ending = beginning + money in − money out + income − costs + market change. A direction stated by the institution never overrides a contradicting sign — a −$500 line marked IN is a reversal.</t>
        </is>
      </c>
      <c r="S3" t="inlineStr"/>
      <c r="T3" t="inlineStr"/>
      <c r="U3" t="inlineStr"/>
      <c r="V3" t="inlineStr"/>
      <c r="W3" t="inlineStr">
        <is>
          <t>NOT DETERMINED</t>
        </is>
      </c>
      <c r="X3" t="inlineStr">
        <is>
          <t>VERIFIED 2026-08-22</t>
        </is>
      </c>
    </row>
    <row r="4">
      <c r="A4" t="inlineStr">
        <is>
          <t>MK-PF-M-003</t>
        </is>
      </c>
      <c r="B4" t="inlineStr">
        <is>
          <t>Performance</t>
        </is>
      </c>
      <c r="C4" t="inlineStr">
        <is>
          <t>NA</t>
        </is>
      </c>
      <c r="D4" t="inlineStr">
        <is>
          <t>HOW $X BECAME $Y · ALL ACCOUNTS</t>
        </is>
      </c>
      <c r="E4" t="inlineStr">
        <is>
          <t>walk.beginning / walk.ending</t>
        </is>
      </c>
      <c r="F4" t="inlineStr">
        <is>
          <t>NW_CHANGE_WALK</t>
        </is>
      </c>
      <c r="G4" t="inlineStr">
        <is>
          <t>MK-PF-E-001</t>
        </is>
      </c>
      <c r="H4" t="inlineStr">
        <is>
          <t>ending = beginning + money in − money out + income − costs + market change  (the identity that must close)</t>
        </is>
      </c>
      <c r="I4"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4"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4" t="inlineStr">
        <is>
          <t>A count · whole units, except crypto which keeps its fractions  [derived by rule — confirm]</t>
        </is>
      </c>
      <c r="L4" t="inlineStr">
        <is>
          <t>Where the record does not reach back far enough, the beginning is back-solved and the walk says so. With neither record nor flows it refuses.</t>
        </is>
      </c>
      <c r="M4" t="inlineStr">
        <is>
          <t>One figure per account  [derived by rule — confirm]</t>
        </is>
      </c>
      <c r="N4" t="inlineStr">
        <is>
          <t>As of today, from the latest figures held  [derived by rule — confirm]</t>
        </is>
      </c>
      <c r="O4" t="inlineStr">
        <is>
          <t>None — this engine reads raw inputs only</t>
        </is>
      </c>
      <c r="P4" t="inlineStr"/>
      <c r="Q4" t="inlineStr">
        <is>
          <t>Beginning values are read from the daily record, which never leaves the phone. On a new device there is no beginning, so the walk back-solves one or refuses.</t>
        </is>
      </c>
      <c r="R4" t="inlineStr">
        <is>
          <t>[Founder] The identity must close: ending = beginning + money in − money out + income − costs + market change. A direction stated by the institution never overrides a contradicting sign — a −$500 line marked IN is a reversal.</t>
        </is>
      </c>
      <c r="S4" t="inlineStr">
        <is>
          <t>THE SAME FIGURE AS MK-PF-M-001 — The ending value, shown as its own line and again inside the heading "HOW $X BECAME $Y". Same screen, same figure, twice.</t>
        </is>
      </c>
      <c r="T4" t="inlineStr"/>
      <c r="U4" t="inlineStr"/>
      <c r="V4" t="inlineStr"/>
      <c r="W4" t="inlineStr">
        <is>
          <t>NOT DETERMINED</t>
        </is>
      </c>
      <c r="X4" t="inlineStr">
        <is>
          <t>VERIFIED 2026-08-22</t>
        </is>
      </c>
    </row>
    <row r="5">
      <c r="A5" t="inlineStr">
        <is>
          <t>MK-PF-M-004</t>
        </is>
      </c>
      <c r="B5" t="inlineStr">
        <is>
          <t>Performance</t>
        </is>
      </c>
      <c r="C5" t="inlineStr">
        <is>
          <t>NA</t>
        </is>
      </c>
      <c r="D5" t="inlineStr">
        <is>
          <t>Ending market value (per account)</t>
        </is>
      </c>
      <c r="E5" t="inlineStr">
        <is>
          <t>w.ending</t>
        </is>
      </c>
      <c r="F5" t="inlineStr">
        <is>
          <t>NW_CHANGE_WALK</t>
        </is>
      </c>
      <c r="G5" t="inlineStr">
        <is>
          <t>MK-PF-E-001</t>
        </is>
      </c>
      <c r="H5" t="inlineStr">
        <is>
          <t>ending = beginning + money in − money out + income − costs + market change  (the identity that must close)</t>
        </is>
      </c>
      <c r="I5"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5"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5" t="inlineStr">
        <is>
          <t>A count · whole units, except crypto which keeps its fractions  [derived by rule — confirm]</t>
        </is>
      </c>
      <c r="L5" t="inlineStr">
        <is>
          <t>Where the record does not reach back far enough, the beginning is back-solved and the walk says so. With neither record nor flows it refuses.</t>
        </is>
      </c>
      <c r="M5" t="inlineStr">
        <is>
          <t>One figure per account  [derived by rule — confirm]</t>
        </is>
      </c>
      <c r="N5" t="inlineStr">
        <is>
          <t>As of today, from the latest figures held  [derived by rule — confirm]</t>
        </is>
      </c>
      <c r="O5" t="inlineStr">
        <is>
          <t>None — this engine reads raw inputs only</t>
        </is>
      </c>
      <c r="P5" t="inlineStr"/>
      <c r="Q5" t="inlineStr">
        <is>
          <t>Beginning values are read from the daily record, which never leaves the phone. On a new device there is no beginning, so the walk back-solves one or refuses.</t>
        </is>
      </c>
      <c r="R5" t="inlineStr">
        <is>
          <t>[Founder] The identity must close: ending = beginning + money in − money out + income − costs + market change. A direction stated by the institution never overrides a contradicting sign — a −$500 line marked IN is a reversal.</t>
        </is>
      </c>
      <c r="S5" t="inlineStr"/>
      <c r="T5" t="inlineStr"/>
      <c r="U5" t="inlineStr"/>
      <c r="V5" t="inlineStr"/>
      <c r="W5" t="inlineStr">
        <is>
          <t>NOT DETERMINED</t>
        </is>
      </c>
      <c r="X5" t="inlineStr">
        <is>
          <t>VERIFIED 2026-08-22</t>
        </is>
      </c>
    </row>
    <row r="6">
      <c r="A6" t="inlineStr">
        <is>
          <t>MK-PF-M-005</t>
        </is>
      </c>
      <c r="B6" t="inlineStr">
        <is>
          <t>Performance</t>
        </is>
      </c>
      <c r="C6" t="inlineStr">
        <is>
          <t>NA</t>
        </is>
      </c>
      <c r="D6" t="inlineStr">
        <is>
          <t>each account and its ending value</t>
        </is>
      </c>
      <c r="E6" t="inlineStr">
        <is>
          <t>a.ending</t>
        </is>
      </c>
      <c r="F6" t="inlineStr">
        <is>
          <t>PERFORMANCE_TABLE</t>
        </is>
      </c>
      <c r="G6" t="inlineStr">
        <is>
          <t>MK-PF-E-002</t>
        </is>
      </c>
      <c r="H6" t="inlineStr">
        <is>
          <t>per account: ending;  per category: earned = Σ(ending − beginning − net money in);  return = earned ÷ average value held</t>
        </is>
      </c>
      <c r="I6"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6" t="inlineStr">
        <is>
          <t>the holdings → positions  [MK-XS-I-004] · prices → priceOf(ticker)  [MK-XS-I-005] · the chosen chip → period  [NOT AN INPUT — a setting or a filter, not data anyone supplies] · today → now  [NOT AN INPUT — a setting or a filter, not data anyone supplies]</t>
        </is>
      </c>
      <c r="K6" t="inlineStr">
        <is>
          <t>A count · whole units, except crypto which keeps its fractions  [derived by rule — confirm]</t>
        </is>
      </c>
      <c r="L6" t="inlineStr">
        <is>
          <t>Adds up to $0 when there is nothing to add. Zero and "nothing recorded yet" look identical on screen — worth a decision.</t>
        </is>
      </c>
      <c r="M6" t="inlineStr">
        <is>
          <t>One figure per account  [derived by rule — confirm]</t>
        </is>
      </c>
      <c r="N6" t="inlineStr">
        <is>
          <t>As of today, from the latest figures held  [derived by rule — confirm]</t>
        </is>
      </c>
      <c r="O6"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MK-PF-M-006</t>
        </is>
      </c>
      <c r="B7" t="inlineStr">
        <is>
          <t>Performance</t>
        </is>
      </c>
      <c r="C7" t="inlineStr">
        <is>
          <t>NA</t>
        </is>
      </c>
      <c r="D7" t="inlineStr">
        <is>
          <t>WHAT EACH CATEGORY EARNED — RETURN</t>
        </is>
      </c>
      <c r="E7" t="inlineStr">
        <is>
          <t>b.earned / b.ret</t>
        </is>
      </c>
      <c r="F7" t="inlineStr">
        <is>
          <t>PERFORMANCE_TABLE</t>
        </is>
      </c>
      <c r="G7" t="inlineStr">
        <is>
          <t>MK-PF-E-002</t>
        </is>
      </c>
      <c r="H7" t="inlineStr">
        <is>
          <t>per account: ending;  per category: earned = Σ(ending − beginning − net money in);  return = earned ÷ average value held</t>
        </is>
      </c>
      <c r="I7"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7" t="inlineStr">
        <is>
          <t>the holdings → positions  [MK-XS-I-004] · prices → priceOf(ticker)  [MK-XS-I-005] · the chosen chip → period  [NOT AN INPUT — a setting or a filter, not data anyone supplies] · today → now  [NOT AN INPUT — a setting or a filter, not data anyone supplies]</t>
        </is>
      </c>
      <c r="K7" t="inlineStr">
        <is>
          <t>Percent · one decimal shown  [derived by rule — confirm]</t>
        </is>
      </c>
      <c r="L7" t="inlineStr">
        <is>
          <t>Adds up to $0 when there is nothing to add. Zero and "nothing recorded yet" look identical on screen — worth a decision.</t>
        </is>
      </c>
      <c r="M7" t="inlineStr">
        <is>
          <t>One figure per category  [derived by rule — confirm]</t>
        </is>
      </c>
      <c r="N7" t="inlineStr">
        <is>
          <t>The window the person chose on screen  [derived by rule — confirm]</t>
        </is>
      </c>
      <c r="O7"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MK-PF-M-007</t>
        </is>
      </c>
      <c r="B8" t="inlineStr">
        <is>
          <t>Performance</t>
        </is>
      </c>
      <c r="C8" t="inlineStr">
        <is>
          <t>NA</t>
        </is>
      </c>
      <c r="D8" t="inlineStr">
        <is>
          <t>All categories</t>
        </is>
      </c>
      <c r="E8" t="inlineStr">
        <is>
          <t>total</t>
        </is>
      </c>
      <c r="F8" t="inlineStr">
        <is>
          <t>PERFORMANCE_TABLE</t>
        </is>
      </c>
      <c r="G8" t="inlineStr">
        <is>
          <t>MK-PF-E-002</t>
        </is>
      </c>
      <c r="H8" t="inlineStr">
        <is>
          <t>per account: ending;  per category: earned = Σ(ending − beginning − net money in);  return = earned ÷ average value held</t>
        </is>
      </c>
      <c r="I8"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8" t="inlineStr">
        <is>
          <t>the holdings → positions  [MK-XS-I-004] · prices → priceOf(ticker)  [MK-XS-I-005] · the chosen chip → period  [NOT AN INPUT — a setting or a filter, not data anyone supplies] · today → now  [NOT AN INPUT — a setting or a filter, not data anyone supplies]</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person — or per household when two people share one record  [derived by rule — confirm]</t>
        </is>
      </c>
      <c r="N8" t="inlineStr">
        <is>
          <t>As of today, from the latest figures held  [derived by rule — confirm]</t>
        </is>
      </c>
      <c r="O8"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MK-PF-M-008</t>
        </is>
      </c>
      <c r="B9" t="inlineStr">
        <is>
          <t>Performance</t>
        </is>
      </c>
      <c r="C9" t="inlineStr">
        <is>
          <t>NA</t>
        </is>
      </c>
      <c r="D9" t="inlineStr">
        <is>
          <t>HONEST COMPARISON</t>
        </is>
      </c>
      <c r="E9" t="inlineStr">
        <is>
          <t>benchPort</t>
        </is>
      </c>
      <c r="F9" t="inlineStr">
        <is>
          <t>BENCHMARK_RETURN_BLENDED</t>
        </is>
      </c>
      <c r="G9" t="inlineStr">
        <is>
          <t>MK-PF-E-003</t>
        </is>
      </c>
      <c r="H9" t="inlineStr">
        <is>
          <t>benchmark return = Σ(weight of each class × that class’s index return over the same window)</t>
        </is>
      </c>
      <c r="I9" t="inlineStr">
        <is>
          <t>The same money-weighted blend, over each holding's own benchmark rather than the holding itself. Blending the benchmarks the same way is what makes "you beat it by" a fair statement rather than a comparison against a single index nobody holds.</t>
        </is>
      </c>
      <c r="J9" t="inlineStr">
        <is>
          <t>each holding's benchmark return → rows[].benchReturn  [NOT AN INPUT — another engine’s answer; see the dependency column] · its value → rows[].marketValue  [NOT AN INPUT — another engine’s answer; see the dependency column]</t>
        </is>
      </c>
      <c r="K9" t="inlineStr">
        <is>
          <t>US dollars · held to the cent · shown as whole dollars  [derived by rule — confirm]</t>
        </is>
      </c>
      <c r="L9" t="inlineStr">
        <is>
          <t>Adds up to $0 when there is nothing to add. Zero and "nothing recorded yet" look identical on screen — worth a decision.</t>
        </is>
      </c>
      <c r="M9" t="inlineStr">
        <is>
          <t>One figure per person — or per household when two people share one record  [derived by rule — confirm]</t>
        </is>
      </c>
      <c r="N9" t="inlineStr">
        <is>
          <t>The window the person chose on screen  [derived by rule — confirm]</t>
        </is>
      </c>
      <c r="O9" t="inlineStr">
        <is>
          <t>None — this engine reads raw inputs only</t>
        </is>
      </c>
      <c r="P9" t="inlineStr"/>
      <c r="Q9" t="inlineStr"/>
      <c r="R9" t="inlineStr">
        <is>
          <t>NOT DETERMINED — no assumption recorded for this figure yet.</t>
        </is>
      </c>
      <c r="S9" t="inlineStr"/>
      <c r="T9" t="inlineStr">
        <is>
          <t>Q33 — Which index should each asset class be compared against, and should the person be able to change it?</t>
        </is>
      </c>
      <c r="U9" t="inlineStr"/>
      <c r="V9" t="inlineStr"/>
      <c r="W9" t="inlineStr">
        <is>
          <t>NOT DETERMINED</t>
        </is>
      </c>
      <c r="X9" t="inlineStr">
        <is>
          <t>VERIFIED 2026-08-22</t>
        </is>
      </c>
    </row>
    <row r="10">
      <c r="A10" t="inlineStr">
        <is>
          <t>MK-PF-M-009</t>
        </is>
      </c>
      <c r="B10" t="inlineStr">
        <is>
          <t>Performance</t>
        </is>
      </c>
      <c r="C10" t="inlineStr">
        <is>
          <t>NA</t>
        </is>
      </c>
      <c r="D10" t="inlineStr">
        <is>
          <t>Return (money-weighted, when the record covers it)</t>
        </is>
      </c>
      <c r="E10" t="inlineStr">
        <is>
          <t>mw.rate</t>
        </is>
      </c>
      <c r="F10" t="inlineStr">
        <is>
          <t>MODIFIED_DIETZ (Calculation Module code/engines/window-return.ts)</t>
        </is>
      </c>
      <c r="G10" t="inlineStr">
        <is>
          <t>MK-PF-E-004</t>
        </is>
      </c>
      <c r="H10" t="inlineStr">
        <is>
          <t>r = (EMV − BMV − F) ÷ (BMV + Σ(Fᵢ × wᵢ)),  wᵢ = (days in window − days before flow i) ÷ days in window</t>
        </is>
      </c>
      <c r="I10" t="inlineStr">
        <is>
          <t>A return that accounts for WHEN money moved in or out: each flow is weighted by how much of the window it was invested for. Refused, with the dollar walk shown instead, when the timing matters too much for one percentage to be honest.</t>
        </is>
      </c>
      <c r="J10" t="inlineStr">
        <is>
          <t>NOT DETERMINED — no input list on record for this engine</t>
        </is>
      </c>
      <c r="K10" t="inlineStr">
        <is>
          <t>Percent · one decimal shown  [derived by rule — confirm]</t>
        </is>
      </c>
      <c r="L10" t="inlineStr">
        <is>
          <t>REFUSES when the timing of money moving in or out drives the percentage more than the investments do, and shows the dollar walk instead. Also refuses when the starting value is zero or negative.</t>
        </is>
      </c>
      <c r="M10" t="inlineStr">
        <is>
          <t>One figure per person — or per household when two people share one record  [derived by rule — confirm]</t>
        </is>
      </c>
      <c r="N10" t="inlineStr">
        <is>
          <t>The window the person chose on screen  [derived by rule — confirm]</t>
        </is>
      </c>
      <c r="O10" t="inlineStr">
        <is>
          <t>NOT DETERMINED</t>
        </is>
      </c>
      <c r="P10" t="inlineStr"/>
      <c r="Q10" t="inlineStr"/>
      <c r="R10" t="inlineStr">
        <is>
          <t>[Founder] When the timing of money moving in or out drives the percentage more than the investments do, the figure is REFUSED and the dollar walk is shown instead.</t>
        </is>
      </c>
      <c r="S10" t="inlineStr"/>
      <c r="T10" t="inlineStr"/>
      <c r="U10" t="inlineStr"/>
      <c r="V10" t="inlineStr"/>
      <c r="W10" t="inlineStr">
        <is>
          <t>NOT DETERMINED</t>
        </is>
      </c>
      <c r="X10" t="inlineStr">
        <is>
          <t>VERIFIED 2026-08-22</t>
        </is>
      </c>
    </row>
    <row r="11">
      <c r="A11" t="inlineStr">
        <is>
          <t>MK-PF-M-010</t>
        </is>
      </c>
      <c r="B11" t="inlineStr">
        <is>
          <t>Performance</t>
        </is>
      </c>
      <c r="C11" t="inlineStr">
        <is>
          <t>/look-back</t>
        </is>
      </c>
      <c r="D11" t="inlineStr">
        <is>
          <t>Left in &lt;fund&gt; it became $X (up/down $Y, Z%)</t>
        </is>
      </c>
      <c r="E11" t="inlineStr">
        <is>
          <t>result.stayed</t>
        </is>
      </c>
      <c r="F11" t="inlineStr">
        <is>
          <t>LOOK_BACK</t>
        </is>
      </c>
      <c r="G11" t="inlineStr">
        <is>
          <t>MK-PF-E-005</t>
        </is>
      </c>
      <c r="H11" t="inlineStr">
        <is>
          <t>stayed = value × (1 + return of what is held);  moved = value × (1 + return of the alternative);  difference = moved − stayed</t>
        </is>
      </c>
      <c r="I11"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1" t="inlineStr">
        <is>
          <t>the amount → amount  [MK-XS-I-008] · where it sat → fromSeries  [NOT AN INPUT — another engine’s answer; see the dependency column] · where it might have gone → toSeries  [NOT AN INPUT — another engine’s answer; see the dependency column] · how far back → months  [NOT AN INPUT — a setting or a filter, not data anyone supplies]</t>
        </is>
      </c>
      <c r="K11" t="inlineStr">
        <is>
          <t>Percent · one decimal shown  [derived by rule — confirm]</t>
        </is>
      </c>
      <c r="L11" t="inlineStr">
        <is>
          <t>Without enough price history for both sides it declines the comparison rather than compare unequal periods.</t>
        </is>
      </c>
      <c r="M11" t="inlineStr">
        <is>
          <t>One figure per person — or per household when two people share one record  [derived by rule — confirm]</t>
        </is>
      </c>
      <c r="N11" t="inlineStr">
        <is>
          <t>As of today, from the latest figures held  [derived by rule — confirm]</t>
        </is>
      </c>
      <c r="O11" t="inlineStr">
        <is>
          <t>MK-XS-E-031 (PRICE_FACTOR_OVER_WINDOW) → By what multiple did this price move over the last N months?</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MK-PF-M-011</t>
        </is>
      </c>
      <c r="B12" t="inlineStr">
        <is>
          <t>Performance</t>
        </is>
      </c>
      <c r="C12" t="inlineStr">
        <is>
          <t>/look-back</t>
        </is>
      </c>
      <c r="D12" t="inlineStr">
        <is>
          <t>Moved to &lt;fund&gt; it would be $X</t>
        </is>
      </c>
      <c r="E12" t="inlineStr">
        <is>
          <t>result.moved</t>
        </is>
      </c>
      <c r="F12" t="inlineStr">
        <is>
          <t>LOOK_BACK</t>
        </is>
      </c>
      <c r="G12" t="inlineStr">
        <is>
          <t>MK-PF-E-005</t>
        </is>
      </c>
      <c r="H12" t="inlineStr">
        <is>
          <t>stayed = value × (1 + return of what is held);  moved = value × (1 + return of the alternative);  difference = moved − stayed</t>
        </is>
      </c>
      <c r="I12"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2" t="inlineStr">
        <is>
          <t>the amount → amount  [MK-XS-I-008] · where it sat → fromSeries  [NOT AN INPUT — another engine’s answer; see the dependency column] · where it might have gone → toSeries  [NOT AN INPUT — another engine’s answer; see the dependency column] · how far back → months  [NOT AN INPUT — a setting or a filter, not data anyone supplies]</t>
        </is>
      </c>
      <c r="K12" t="inlineStr">
        <is>
          <t>US dollars · held to the cent · shown as whole dollars  [derived by rule — confirm]</t>
        </is>
      </c>
      <c r="L12" t="inlineStr">
        <is>
          <t>Without enough price history for both sides it declines the comparison rather than compare unequal periods.</t>
        </is>
      </c>
      <c r="M12" t="inlineStr">
        <is>
          <t>One figure per person — or per household when two people share one record  [derived by rule — confirm]</t>
        </is>
      </c>
      <c r="N12" t="inlineStr">
        <is>
          <t>As of today, from the latest figures held  [derived by rule — confirm]</t>
        </is>
      </c>
      <c r="O12" t="inlineStr">
        <is>
          <t>MK-XS-E-031 (PRICE_FACTOR_OVER_WINDOW) → By what multiple did this price move over the last N months?</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MK-PF-M-012</t>
        </is>
      </c>
      <c r="B13" t="inlineStr">
        <is>
          <t>Performance</t>
        </is>
      </c>
      <c r="C13" t="inlineStr">
        <is>
          <t>/look-back</t>
        </is>
      </c>
      <c r="D13" t="inlineStr">
        <is>
          <t>Difference: $X more/less if you had moved</t>
        </is>
      </c>
      <c r="E13" t="inlineStr">
        <is>
          <t>result.difference</t>
        </is>
      </c>
      <c r="F13" t="inlineStr">
        <is>
          <t>LOOK_BACK</t>
        </is>
      </c>
      <c r="G13" t="inlineStr">
        <is>
          <t>MK-PF-E-005</t>
        </is>
      </c>
      <c r="H13" t="inlineStr">
        <is>
          <t>stayed = value × (1 + return of what is held);  moved = value × (1 + return of the alternative);  difference = moved − stayed</t>
        </is>
      </c>
      <c r="I13"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3" t="inlineStr">
        <is>
          <t>the amount → amount  [MK-XS-I-008] · where it sat → fromSeries  [NOT AN INPUT — another engine’s answer; see the dependency column] · where it might have gone → toSeries  [NOT AN INPUT — another engine’s answer; see the dependency column] · how far back → months  [NOT AN INPUT — a setting or a filter, not data anyone supplies]</t>
        </is>
      </c>
      <c r="K13" t="inlineStr">
        <is>
          <t>US dollars · held to the cent · shown as whole dollars  [derived by rule — confirm]</t>
        </is>
      </c>
      <c r="L13" t="inlineStr">
        <is>
          <t>Without enough price history for both sides it declines the comparison rather than compare unequal periods.</t>
        </is>
      </c>
      <c r="M13" t="inlineStr">
        <is>
          <t>One figure per person — or per household when two people share one record  [derived by rule — confirm]</t>
        </is>
      </c>
      <c r="N13" t="inlineStr">
        <is>
          <t>As of today, from the latest figures held  [derived by rule — confirm]</t>
        </is>
      </c>
      <c r="O13" t="inlineStr">
        <is>
          <t>MK-XS-E-031 (PRICE_FACTOR_OVER_WINDOW) → By what multiple did this price move over the last N months?</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c r="B14" t="inlineStr">
        <is>
          <t>Performance</t>
        </is>
      </c>
      <c r="C14" t="inlineStr">
        <is>
          <t>/add-account</t>
        </is>
      </c>
      <c r="D14" t="inlineStr">
        <is>
          <t>—</t>
        </is>
      </c>
      <c r="E14" t="inlineStr">
        <is>
          <t>—</t>
        </is>
      </c>
      <c r="F14" t="inlineStr">
        <is>
          <t>—</t>
        </is>
      </c>
      <c r="G14" t="inlineStr"/>
      <c r="H14" t="inlineStr"/>
      <c r="I14" t="inlineStr"/>
      <c r="J14" t="inlineStr"/>
      <c r="K14" t="inlineStr"/>
      <c r="L14" t="inlineStr"/>
      <c r="M14" t="inlineStr"/>
      <c r="N14" t="inlineStr"/>
      <c r="O14" t="inlineStr"/>
      <c r="P14" t="inlineStr"/>
      <c r="Q14" t="inlineStr"/>
      <c r="R14" t="inlineStr"/>
      <c r="S14" t="inlineStr"/>
      <c r="T14" t="inlineStr"/>
      <c r="U14" t="inlineStr"/>
      <c r="V14" t="inlineStr">
        <is>
          <t>NOT DETERMINED</t>
        </is>
      </c>
      <c r="W14" t="inlineStr">
        <is>
          <t>READ 2026-08-22 — no calculated figure on this screen</t>
        </is>
      </c>
    </row>
    <row r="15">
      <c r="A15" t="inlineStr"/>
      <c r="B15" t="inlineStr">
        <is>
          <t>Performance</t>
        </is>
      </c>
      <c r="C15" t="inlineStr">
        <is>
          <t>/connect</t>
        </is>
      </c>
      <c r="D15" t="inlineStr">
        <is>
          <t>—</t>
        </is>
      </c>
      <c r="E15" t="inlineStr">
        <is>
          <t>—</t>
        </is>
      </c>
      <c r="F15" t="inlineStr">
        <is>
          <t>—</t>
        </is>
      </c>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is>
          <t>NOT DETERMINED</t>
        </is>
      </c>
      <c r="W15" t="inlineStr">
        <is>
          <t>READ 2026-08-22 — no calculated figure on this screen</t>
        </is>
      </c>
    </row>
    <row r="16">
      <c r="A16" t="inlineStr"/>
      <c r="B16" t="inlineStr">
        <is>
          <t>Performance</t>
        </is>
      </c>
      <c r="C16" t="inlineStr">
        <is>
          <t>/import-holdings</t>
        </is>
      </c>
      <c r="D16" t="inlineStr">
        <is>
          <t>—</t>
        </is>
      </c>
      <c r="E16" t="inlineStr">
        <is>
          <t>—</t>
        </is>
      </c>
      <c r="F16" t="inlineStr">
        <is>
          <t>—</t>
        </is>
      </c>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is>
          <t>NOT DETERMINED</t>
        </is>
      </c>
      <c r="W16" t="inlineStr">
        <is>
          <t>READ 2026-08-22 — no calculated figure on this screen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X43"/>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MK-PL-M-001</t>
        </is>
      </c>
      <c r="B2" t="inlineStr">
        <is>
          <t>Plan</t>
        </is>
      </c>
      <c r="C2" t="inlineStr">
        <is>
          <t>NA</t>
        </is>
      </c>
      <c r="D2" t="inlineStr">
        <is>
          <t>✓ What you have — already in: N accounts, $X counted</t>
        </is>
      </c>
      <c r="E2" t="inlineStr">
        <is>
          <t>door.credit.total</t>
        </is>
      </c>
      <c r="F2" t="inlineStr">
        <is>
          <t>WHAT_THE_PLAN_STILL_NEEDS</t>
        </is>
      </c>
      <c r="G2" t="inlineStr">
        <is>
          <t>MK-PL-E-001</t>
        </is>
      </c>
      <c r="H2" t="inlineStr">
        <is>
          <t>missing = the inputs with no answer;  counted = Σ(balances already in)</t>
        </is>
      </c>
      <c r="I2"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t="inlineStr">
        <is>
          <t>their age → birthYear or age  [MK-XS-I-017] · what they spend → monthlySpending  [MK-XS-I-024] · money that counts toward retirement → NEST_EGG  [NOT AN INPUT — another engine’s answer; see the dependency column]</t>
        </is>
      </c>
      <c r="K2" t="inlineStr">
        <is>
          <t>A count · whole units, except crypto which keeps its fractions  [derived by rule — confirm]</t>
        </is>
      </c>
      <c r="L2" t="inlineStr">
        <is>
          <t>This engine IS the refusal: it names what is missing and what is already counted.</t>
        </is>
      </c>
      <c r="M2" t="inlineStr">
        <is>
          <t>One figure per account  [derived by rule — confirm]</t>
        </is>
      </c>
      <c r="N2" t="inlineStr">
        <is>
          <t>As of today, from the latest figures held  [derived by rule — confirm]</t>
        </is>
      </c>
      <c r="O2" t="inlineStr">
        <is>
          <t>MK-XS-E-002 (NEST_EGG) → What is my retirement pot worth?</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MK-PL-M-002</t>
        </is>
      </c>
      <c r="B3" t="inlineStr">
        <is>
          <t>Plan</t>
        </is>
      </c>
      <c r="C3" t="inlineStr">
        <is>
          <t>NA</t>
        </is>
      </c>
      <c r="D3" t="inlineStr">
        <is>
          <t>Your odds — can't work them out yet. Add &lt;what&gt; below.</t>
        </is>
      </c>
      <c r="E3" t="inlineStr">
        <is>
          <t>door.missing</t>
        </is>
      </c>
      <c r="F3" t="inlineStr">
        <is>
          <t>WHAT_THE_PLAN_STILL_NEEDS</t>
        </is>
      </c>
      <c r="G3" t="inlineStr">
        <is>
          <t>MK-PL-E-001</t>
        </is>
      </c>
      <c r="H3" t="inlineStr">
        <is>
          <t>missing = the inputs with no answer;  counted = Σ(balances already in)</t>
        </is>
      </c>
      <c r="I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t="inlineStr">
        <is>
          <t>their age → birthYear or age  [MK-XS-I-017] · what they spend → monthlySpending  [MK-XS-I-024] · money that counts toward retirement → NEST_EGG  [NOT AN INPUT — another engine’s answer; see the dependency column]</t>
        </is>
      </c>
      <c r="K3" t="inlineStr">
        <is>
          <t>Percent · rounded to the nearest 5 · a real 100 or 0 shown literally  [derived by rule — confirm]</t>
        </is>
      </c>
      <c r="L3" t="inlineStr">
        <is>
          <t>This engine IS the refusal: it names what is missing and what is already counted.</t>
        </is>
      </c>
      <c r="M3" t="inlineStr">
        <is>
          <t>One figure per person — or per household when two people share one record  [derived by rule — confirm]</t>
        </is>
      </c>
      <c r="N3" t="inlineStr">
        <is>
          <t>As of today, from the latest figures held  [derived by rule — confirm]</t>
        </is>
      </c>
      <c r="O3" t="inlineStr">
        <is>
          <t>MK-XS-E-002 (NEST_EGG) → What is my retirement pot worth?</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MK-PL-M-003</t>
        </is>
      </c>
      <c r="B4" t="inlineStr">
        <is>
          <t>Plan</t>
        </is>
      </c>
      <c r="C4" t="inlineStr">
        <is>
          <t>NA</t>
        </is>
      </c>
      <c r="D4" t="inlineStr">
        <is>
          <t>YOUR RETIREMENT PAYCHECK — each guaranteed source</t>
        </is>
      </c>
      <c r="E4" t="inlineStr">
        <is>
          <t>g.amount</t>
        </is>
      </c>
      <c r="F4" t="inlineStr">
        <is>
          <t>NOT IN OLD MASTER — retirementPaycheckYear, src/domain/paycheck</t>
        </is>
      </c>
      <c r="G4" t="inlineStr">
        <is>
          <t>MK-PL-E-002</t>
        </is>
      </c>
      <c r="H4" t="inlineStr">
        <is>
          <t>for each month: guaranteed total = Σ(streams live that month);  paycheck = guaranteed total + safe draw</t>
        </is>
      </c>
      <c r="I4" t="inlineStr">
        <is>
          <t>Builds the retirement paycheck month by month: what is guaranteed that month, plus what can safely be drawn from savings.</t>
        </is>
      </c>
      <c r="J4" t="inlineStr">
        <is>
          <t>NOT DETERMINED — no input list on record for this engine</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From today to the retirement age in the plan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MK-PL-M-004</t>
        </is>
      </c>
      <c r="B5" t="inlineStr">
        <is>
          <t>Plan</t>
        </is>
      </c>
      <c r="C5" t="inlineStr">
        <is>
          <t>NA</t>
        </is>
      </c>
      <c r="D5">
        <f> Guaranteed</f>
        <v/>
      </c>
      <c r="E5" t="inlineStr">
        <is>
          <t>payMonth.guaranteedTotal</t>
        </is>
      </c>
      <c r="F5" t="inlineStr">
        <is>
          <t>NOT IN OLD MASTER — retirementPaycheckYear, src/domain/paycheck</t>
        </is>
      </c>
      <c r="G5" t="inlineStr">
        <is>
          <t>MK-PL-E-002</t>
        </is>
      </c>
      <c r="H5" t="inlineStr">
        <is>
          <t>for each month: guaranteed total = Σ(streams live that month);  paycheck = guaranteed total + safe draw</t>
        </is>
      </c>
      <c r="I5" t="inlineStr">
        <is>
          <t>Builds the retirement paycheck month by month: what is guaranteed that month, plus what can safely be drawn from savings.</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MK-PL-M-005</t>
        </is>
      </c>
      <c r="B6" t="inlineStr">
        <is>
          <t>Plan</t>
        </is>
      </c>
      <c r="C6" t="inlineStr">
        <is>
          <t>NA</t>
        </is>
      </c>
      <c r="D6" t="inlineStr">
        <is>
          <t>+ Draw from savings</t>
        </is>
      </c>
      <c r="E6" t="inlineStr">
        <is>
          <t>payMonth.safeDraw</t>
        </is>
      </c>
      <c r="F6" t="inlineStr">
        <is>
          <t>NOT IN OLD MASTER — retirementPaycheckYear, src/domain/paycheck</t>
        </is>
      </c>
      <c r="G6" t="inlineStr">
        <is>
          <t>MK-PL-E-002</t>
        </is>
      </c>
      <c r="H6" t="inlineStr">
        <is>
          <t>for each month: guaranteed total = Σ(streams live that month);  paycheck = guaranteed total + safe draw</t>
        </is>
      </c>
      <c r="I6" t="inlineStr">
        <is>
          <t>Builds the retirement paycheck month by month: what is guaranteed that month, plus what can safely be drawn from savings.</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MK-PL-M-006</t>
        </is>
      </c>
      <c r="B7" t="inlineStr">
        <is>
          <t>Plan</t>
        </is>
      </c>
      <c r="C7" t="inlineStr">
        <is>
          <t>NA</t>
        </is>
      </c>
      <c r="D7" t="inlineStr">
        <is>
          <t>Your paycheck $X/mo</t>
        </is>
      </c>
      <c r="E7" t="inlineStr">
        <is>
          <t>paycheckTotal</t>
        </is>
      </c>
      <c r="F7" t="inlineStr">
        <is>
          <t>worked out on the screen: guaranteed + draw from savings</t>
        </is>
      </c>
      <c r="G7" t="inlineStr"/>
      <c r="H7" t="inlineStr">
        <is>
          <t>paycheck = guaranteed income + draw from savings</t>
        </is>
      </c>
      <c r="I7" t="inlineStr">
        <is>
          <t>Worked out on the screen itself, with no engine behind it — a place a second definition can appear.</t>
        </is>
      </c>
      <c r="J7" t="inlineStr">
        <is>
          <t>NOT DETERMINED — no input list on record for this engine</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MK-PL-M-007</t>
        </is>
      </c>
      <c r="B8" t="inlineStr">
        <is>
          <t>Plan</t>
        </is>
      </c>
      <c r="C8" t="inlineStr">
        <is>
          <t>NA</t>
        </is>
      </c>
      <c r="D8" t="inlineStr">
        <is>
          <t>SAVED SCENARIOS (n)</t>
        </is>
      </c>
      <c r="E8" t="inlineStr">
        <is>
          <t>scenarios.length</t>
        </is>
      </c>
      <c r="F8" t="inlineStr">
        <is>
          <t>NOT IN OLD MASTER — saved scenarios, src/domain/scenarios</t>
        </is>
      </c>
      <c r="G8" t="inlineStr">
        <is>
          <t>MK-PL-E-003</t>
        </is>
      </c>
      <c r="H8" t="inlineStr">
        <is>
          <t>count of scenarios saved</t>
        </is>
      </c>
      <c r="I8" t="inlineStr">
        <is>
          <t>How many what-if scenarios have been saved.</t>
        </is>
      </c>
      <c r="J8" t="inlineStr">
        <is>
          <t>NOT DETERMINED — no input list on record for this engine</t>
        </is>
      </c>
      <c r="K8" t="inlineStr">
        <is>
          <t>US dollars · held to the cent · shown as whole dollars  [derived by rule — confirm]</t>
        </is>
      </c>
      <c r="L8" t="inlineStr">
        <is>
          <t>NOT DETERMINED — this engine has not been read for its refusal yet.</t>
        </is>
      </c>
      <c r="M8" t="inlineStr">
        <is>
          <t>One figure per person — or per household when two people share one record  [derived by rule — confirm]</t>
        </is>
      </c>
      <c r="N8" t="inlineStr">
        <is>
          <t>As of today, from the latest figures held  [derived by rule — confirm]</t>
        </is>
      </c>
      <c r="O8" t="inlineStr">
        <is>
          <t>NOT DETERMINED</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MK-PL-M-008</t>
        </is>
      </c>
      <c r="B9" t="inlineStr">
        <is>
          <t>Plan</t>
        </is>
      </c>
      <c r="C9" t="inlineStr">
        <is>
          <t>/will-it-last</t>
        </is>
      </c>
      <c r="D9" t="inlineStr">
        <is>
          <t>What you have (nest egg)</t>
        </is>
      </c>
      <c r="E9" t="inlineStr">
        <is>
          <t>inp.start_balance</t>
        </is>
      </c>
      <c r="F9" t="inlineStr">
        <is>
          <t>WILL_IT_LAST_INPUTS</t>
        </is>
      </c>
      <c r="G9" t="inlineStr">
        <is>
          <t>MK-XS-E-006</t>
        </is>
      </c>
      <c r="H9" t="inlineStr">
        <is>
          <t>the inputs one plan is built from: what is held, what will be spent, what is guaranteed, and what is still being saved</t>
        </is>
      </c>
      <c r="I9"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9" t="inlineStr">
        <is>
          <t>their age → birthYear  [MK-XS-I-017] · the pot → NEST_EGG  [NOT AN INPUT — another engine’s answer; see the dependency column] · return and swing → EXPECTED_RETURN_BLENDED, EXPECTED_SWING_BLENDED  [NOT AN INPUT — another engine’s answer; see the dependency column] · spending → RETIREMENT_SPENDING  [MK-XS-I-024] · guaranteed income → RETIREMENT_INCOME, SS_BENEFIT_AT_AGE  [NOT AN INPUT — another engine’s answer; see the dependency column] · money to leave behind → legacyTarget  [MK-XS-I-047] · their own overrides → the Plan screen  [MK-XS-I-044]</t>
        </is>
      </c>
      <c r="K9" t="inlineStr">
        <is>
          <t>Percent · rounded to the nearest 5 · a real 100 or 0 shown literally  [derived by rule — confirm]</t>
        </is>
      </c>
      <c r="L9" t="inlineStr">
        <is>
          <t>NOT DETERMINED — this engine has not been read for its refusal yet.</t>
        </is>
      </c>
      <c r="M9" t="inlineStr">
        <is>
          <t>One figure per person — or per household when two people share one record  [derived by rule — confirm]</t>
        </is>
      </c>
      <c r="N9" t="inlineStr">
        <is>
          <t>From today to the retirement age in the plan  [derived by rule — confirm]</t>
        </is>
      </c>
      <c r="O9"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9" t="inlineStr"/>
      <c r="Q9" t="inlineStr"/>
      <c r="R9" t="inlineStr">
        <is>
          <t>NOT DETERMINED — no assumption recorded for this figure yet.</t>
        </is>
      </c>
      <c r="S9" t="inlineStr"/>
      <c r="T9" t="inlineStr"/>
      <c r="U9" t="inlineStr"/>
      <c r="V9" t="inlineStr"/>
      <c r="W9" t="inlineStr">
        <is>
          <t>NOT DETERMINED</t>
        </is>
      </c>
      <c r="X9" t="inlineStr">
        <is>
          <t>VERIFIED 2026-08-22</t>
        </is>
      </c>
    </row>
    <row r="10">
      <c r="A10" t="inlineStr">
        <is>
          <t>MK-PL-M-009</t>
        </is>
      </c>
      <c r="B10" t="inlineStr">
        <is>
          <t>Plan</t>
        </is>
      </c>
      <c r="C10" t="inlineStr">
        <is>
          <t>/will-it-last</t>
        </is>
      </c>
      <c r="D10" t="inlineStr">
        <is>
          <t>Monthly spending in retirement</t>
        </is>
      </c>
      <c r="E10" t="inlineStr">
        <is>
          <t>inp.retire_monthly_spend_today</t>
        </is>
      </c>
      <c r="F10" t="inlineStr">
        <is>
          <t>RETIREMENT_SPENDING</t>
        </is>
      </c>
      <c r="G10" t="inlineStr">
        <is>
          <t>MK-XS-E-004</t>
        </is>
      </c>
      <c r="H10" t="inlineStr">
        <is>
          <t>spending in retirement a month = what is spent today × the share expected to continue</t>
        </is>
      </c>
      <c r="I10" t="inlineStr">
        <is>
          <t>What the person said they expect to spend, adjusted for where they plan to live. Stated in TODAY'S dollars — the simulation inflates it to each future year, so inflating it here as well would count inflation twice.</t>
        </is>
      </c>
      <c r="J10" t="inlineStr">
        <is>
          <t>the answer → the retirement-spending question  [MK-XS-I-024] · where they will live → the location answer  [MK-XS-I-045]</t>
        </is>
      </c>
      <c r="K10" t="inlineStr">
        <is>
          <t>US dollars · held to the cent · shown as whole dollars  [derived by rule — confirm]</t>
        </is>
      </c>
      <c r="L10" t="inlineStr">
        <is>
          <t>NOT DETERMINED — this engine has not been read for its refusal yet.</t>
        </is>
      </c>
      <c r="M10" t="inlineStr">
        <is>
          <t>One figure per month  [derived by rule — confirm]</t>
        </is>
      </c>
      <c r="N10" t="inlineStr">
        <is>
          <t>From today to the retirement age in the plan  [derived by rule — confirm]</t>
        </is>
      </c>
      <c r="O10" t="inlineStr">
        <is>
          <t>MK-XS-E-045 (COST_OF_LIVING) → How much more or less does life cost where they plan to live?
MK-XS-E-020 (READ_A_NUMBER) → What number did the person actually type?</t>
        </is>
      </c>
      <c r="P10" t="inlineStr"/>
      <c r="Q10" t="inlineStr"/>
      <c r="R10" t="inlineStr">
        <is>
          <t>[The person] The retirement age in their plan.</t>
        </is>
      </c>
      <c r="S10" t="inlineStr"/>
      <c r="T10" t="inlineStr"/>
      <c r="U10" t="inlineStr"/>
      <c r="V10" t="inlineStr"/>
      <c r="W10" t="inlineStr">
        <is>
          <t>NOT DETERMINED</t>
        </is>
      </c>
      <c r="X10" t="inlineStr">
        <is>
          <t>VERIFIED 2026-08-22</t>
        </is>
      </c>
    </row>
    <row r="11">
      <c r="A11" t="inlineStr">
        <is>
          <t>MK-PL-M-010</t>
        </is>
      </c>
      <c r="B11" t="inlineStr">
        <is>
          <t>Plan</t>
        </is>
      </c>
      <c r="C11" t="inlineStr">
        <is>
          <t>/will-it-last</t>
        </is>
      </c>
      <c r="D11" t="inlineStr">
        <is>
          <t>Guaranteed income — $X/mo from age Y</t>
        </is>
      </c>
      <c r="E11" t="inlineStr">
        <is>
          <t>inp.guaranteed_monthly_income</t>
        </is>
      </c>
      <c r="F11" t="inlineStr">
        <is>
          <t>GUARANTEED_STREAMS (engines: B1 rebuild)</t>
        </is>
      </c>
      <c r="G11" t="inlineStr">
        <is>
          <t>MK-PL-E-004</t>
        </is>
      </c>
      <c r="H11" t="inlineStr">
        <is>
          <t>each stream grows on its own rule: Social Security rises with inflation, a fixed pension does not</t>
        </is>
      </c>
      <c r="I11" t="inlineStr">
        <is>
          <t>Each guaranteed stream grows on its own rule: Social Security rises with inflation, a fixed pension stays flat. They are never grown together.</t>
        </is>
      </c>
      <c r="J11" t="inlineStr">
        <is>
          <t>NOT DETERMINED — no input list on record for this engine</t>
        </is>
      </c>
      <c r="K11" t="inlineStr">
        <is>
          <t>Age in whole years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NOT DETERMINED</t>
        </is>
      </c>
      <c r="P11" t="inlineStr"/>
      <c r="Q11" t="inlineStr"/>
      <c r="R11" t="inlineStr">
        <is>
          <t>[Founder] Each stream grows on its own rule: Social Security rises with inflation, a fixed pension stays flat. They are never inflated together (fix B1).
[Built in] Inflation comes from a published feed, with a fallback figure when the feed is silent.</t>
        </is>
      </c>
      <c r="S11" t="inlineStr"/>
      <c r="T11" t="inlineStr"/>
      <c r="U11" t="inlineStr"/>
      <c r="V11" t="inlineStr"/>
      <c r="W11" t="inlineStr">
        <is>
          <t>NOT DETERMINED</t>
        </is>
      </c>
      <c r="X11" t="inlineStr">
        <is>
          <t>VERIFIED 2026-08-22</t>
        </is>
      </c>
    </row>
    <row r="12">
      <c r="A12" t="inlineStr">
        <is>
          <t>MK-PL-M-011</t>
        </is>
      </c>
      <c r="B12" t="inlineStr">
        <is>
          <t>Plan</t>
        </is>
      </c>
      <c r="C12" t="inlineStr">
        <is>
          <t>/will-it-last</t>
        </is>
      </c>
      <c r="D12" t="inlineStr">
        <is>
          <t>Monthly saving until then</t>
        </is>
      </c>
      <c r="E12" t="inlineStr">
        <is>
          <t>inp.annual_contrib</t>
        </is>
      </c>
      <c r="F12" t="inlineStr">
        <is>
          <t>WILL_IT_LAST_INPUTS</t>
        </is>
      </c>
      <c r="G12" t="inlineStr">
        <is>
          <t>MK-XS-E-006</t>
        </is>
      </c>
      <c r="H12" t="inlineStr">
        <is>
          <t>the inputs one plan is built from: what is held, what will be spent, what is guaranteed, and what is still being saved</t>
        </is>
      </c>
      <c r="I12"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12" t="inlineStr">
        <is>
          <t>their age → birthYear  [MK-XS-I-017] · the pot → NEST_EGG  [NOT AN INPUT — another engine’s answer; see the dependency column] · return and swing → EXPECTED_RETURN_BLENDED, EXPECTED_SWING_BLENDED  [NOT AN INPUT — another engine’s answer; see the dependency column] · spending → RETIREMENT_SPENDING  [MK-XS-I-024] · guaranteed income → RETIREMENT_INCOME, SS_BENEFIT_AT_AGE  [NOT AN INPUT — another engine’s answer; see the dependency column] · money to leave behind → legacyTarget  [MK-XS-I-047] · their own overrides → the Plan screen  [MK-XS-I-044]</t>
        </is>
      </c>
      <c r="K12" t="inlineStr">
        <is>
          <t>Percent · rounded to the nearest 5 · a real 100 or 0 shown literally  [derived by rule — confirm]</t>
        </is>
      </c>
      <c r="L12" t="inlineStr">
        <is>
          <t>NOT DETERMINED — this engine has not been read for its refusal yet.</t>
        </is>
      </c>
      <c r="M12" t="inlineStr">
        <is>
          <t>One figure per month  [derived by rule — confirm]</t>
        </is>
      </c>
      <c r="N12" t="inlineStr">
        <is>
          <t>As of today, from the latest figures held  [derived by rule — confirm]</t>
        </is>
      </c>
      <c r="O12"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12" t="inlineStr"/>
      <c r="Q12" t="inlineStr"/>
      <c r="R12" t="inlineStr">
        <is>
          <t>NOT DETERMINED — no assumption recorded for this figure yet.</t>
        </is>
      </c>
      <c r="S12" t="inlineStr">
        <is>
          <t>THE SURVIVING IDENTIFIER for this figure. Folded in: MK-PL-M-029. What is being saved each month towards retirement — "Monthly saving until then" and "Retirement saving $X/mo now".</t>
        </is>
      </c>
      <c r="T12" t="inlineStr"/>
      <c r="U12" t="inlineStr"/>
      <c r="V12" t="inlineStr"/>
      <c r="W12" t="inlineStr">
        <is>
          <t>NOT DETERMINED</t>
        </is>
      </c>
      <c r="X12" t="inlineStr">
        <is>
          <t>VERIFIED 2026-08-22</t>
        </is>
      </c>
    </row>
    <row r="13">
      <c r="A13" t="inlineStr">
        <is>
          <t>MK-PL-M-012</t>
        </is>
      </c>
      <c r="B13" t="inlineStr">
        <is>
          <t>Plan</t>
        </is>
      </c>
      <c r="C13" t="inlineStr">
        <is>
          <t>/required-withdrawals</t>
        </is>
      </c>
      <c r="D13" t="inlineStr">
        <is>
          <t>Yours starts in &lt;year&gt; (age N)</t>
        </is>
      </c>
      <c r="E13" t="inlineStr">
        <is>
          <t>rmdStartAgeFor(age)</t>
        </is>
      </c>
      <c r="F13" t="inlineStr">
        <is>
          <t>RMD_START_AGE (Calculation Module code/engines/rmd.ts)</t>
        </is>
      </c>
      <c r="G13" t="inlineStr">
        <is>
          <t>MK-PL-E-005</t>
        </is>
      </c>
      <c r="H13" t="inlineStr">
        <is>
          <t>start age = 73 for those born 1951–1959, 75 for those born 1960 or later;  Roth 401(k) is exempt</t>
        </is>
      </c>
      <c r="I13" t="inlineStr">
        <is>
          <t>The age required withdrawals begin, from one dated table: 73 for those born 1951 to 1959, 75 for those born in 1960 or later. A Roth 401(k) is exempt.</t>
        </is>
      </c>
      <c r="J13" t="inlineStr">
        <is>
          <t>NOT DETERMINED — no input list on record for this engine</t>
        </is>
      </c>
      <c r="K13" t="inlineStr">
        <is>
          <t>Age in whole years  [derived by rule — confirm]</t>
        </is>
      </c>
      <c r="L13" t="inlineStr">
        <is>
          <t>NOT DETERMINED — this engine has not been read for its refusal yet.</t>
        </is>
      </c>
      <c r="M13" t="inlineStr">
        <is>
          <t>One figure per person — or per household when two people share one record  [derived by rule — confirm]</t>
        </is>
      </c>
      <c r="N13" t="inlineStr">
        <is>
          <t>This calendar year, to today  [derived by rule — confirm]</t>
        </is>
      </c>
      <c r="O13" t="inlineStr">
        <is>
          <t>NOT DETERMINED</t>
        </is>
      </c>
      <c r="P13" t="inlineStr"/>
      <c r="Q13" t="inlineStr"/>
      <c r="R13" t="inlineStr">
        <is>
          <t>[Founder] The same one dated table, after both earlier copies were deleted.</t>
        </is>
      </c>
      <c r="S13" t="inlineStr"/>
      <c r="T13" t="inlineStr"/>
      <c r="U13" t="inlineStr"/>
      <c r="V13" t="inlineStr"/>
      <c r="W13" t="inlineStr">
        <is>
          <t>NOT DETERMINED</t>
        </is>
      </c>
      <c r="X13" t="inlineStr">
        <is>
          <t>VERIFIED 2026-08-22</t>
        </is>
      </c>
    </row>
    <row r="14">
      <c r="A14" t="inlineStr">
        <is>
          <t>MK-PL-M-013</t>
        </is>
      </c>
      <c r="B14" t="inlineStr">
        <is>
          <t>Plan</t>
        </is>
      </c>
      <c r="C14" t="inlineStr">
        <is>
          <t>/required-withdrawals</t>
        </is>
      </c>
      <c r="D14" t="inlineStr">
        <is>
          <t>Required $X</t>
        </is>
      </c>
      <c r="E14" t="inlineStr">
        <is>
          <t>required</t>
        </is>
      </c>
      <c r="F14" t="inlineStr">
        <is>
          <t>REQUIRED_WITHDRAWAL  [NAME ASSIGNED HERE — no engine row exists for it yet]</t>
        </is>
      </c>
      <c r="G14" t="inlineStr">
        <is>
          <t>MK-PL-E-006</t>
        </is>
      </c>
      <c r="H14" t="inlineStr">
        <is>
          <t>required = balance on 31 December last year ÷ the life-expectancy factor for this age</t>
        </is>
      </c>
      <c r="I14" t="inlineStr">
        <is>
          <t>The amount the law requires to be taken out this year: last 31 December's balance divided by the life-expectancy factor for the person's age.</t>
        </is>
      </c>
      <c r="J14" t="inlineStr">
        <is>
          <t>NOT DETERMINED — no input list on record for this engine</t>
        </is>
      </c>
      <c r="K14" t="inlineStr">
        <is>
          <t>US dollars · held to the cent · shown as whole dollars  [derived by rule — confirm]</t>
        </is>
      </c>
      <c r="L14" t="inlineStr">
        <is>
          <t>Nothing before the start age for that birth year. A Roth 401(k) is exempt and says so.</t>
        </is>
      </c>
      <c r="M14" t="inlineStr">
        <is>
          <t>One figure per person — or per household when two people share one record  [derived by rule — confirm]</t>
        </is>
      </c>
      <c r="N14" t="inlineStr">
        <is>
          <t>As of today, from the latest figures held  [derived by rule — confirm]</t>
        </is>
      </c>
      <c r="O14" t="inlineStr">
        <is>
          <t>NOT DETERMINED</t>
        </is>
      </c>
      <c r="P14" t="inlineStr"/>
      <c r="Q14" t="inlineStr"/>
      <c r="R14" t="inlineStr">
        <is>
          <t>[Founder] One dated table. Start age is 73 for those born 1951–1959 and 75 for those born 1960 or later; a Roth 401(k) is exempt (fix B4).</t>
        </is>
      </c>
      <c r="S14" t="inlineStr"/>
      <c r="T14" t="inlineStr">
        <is>
          <t>Q31 — Required withdrawals are estimated from balances we hold. When an institution states its own required figure, does theirs win?</t>
        </is>
      </c>
      <c r="U14" t="inlineStr"/>
      <c r="V14" t="inlineStr"/>
      <c r="W14" t="inlineStr">
        <is>
          <t>NOT DETERMINED</t>
        </is>
      </c>
      <c r="X14" t="inlineStr">
        <is>
          <t>VERIFIED 2026-08-22</t>
        </is>
      </c>
    </row>
    <row r="15">
      <c r="A15" t="inlineStr">
        <is>
          <t>MK-PL-M-014</t>
        </is>
      </c>
      <c r="B15" t="inlineStr">
        <is>
          <t>Plan</t>
        </is>
      </c>
      <c r="C15" t="inlineStr">
        <is>
          <t>/required-withdrawals</t>
        </is>
      </c>
      <c r="D15" t="inlineStr">
        <is>
          <t>Taken so far $X · still to take</t>
        </is>
      </c>
      <c r="E15" t="inlineStr">
        <is>
          <t>taken / still</t>
        </is>
      </c>
      <c r="F15" t="inlineStr">
        <is>
          <t>worked out on the screen: required − taken so far</t>
        </is>
      </c>
      <c r="G15" t="inlineStr"/>
      <c r="H15" t="inlineStr">
        <is>
          <t>still to take = required this year − taken so far</t>
        </is>
      </c>
      <c r="I15" t="inlineStr">
        <is>
          <t>Worked out on the screen itself, with no engine behind it — a place a second definition can appear.</t>
        </is>
      </c>
      <c r="J15" t="inlineStr">
        <is>
          <t>NOT DETERMINED — no input list on record for this engine</t>
        </is>
      </c>
      <c r="K15" t="inlineStr">
        <is>
          <t>US dollars · held to the cent · shown as whole dollars  [derived by rule — confirm]</t>
        </is>
      </c>
      <c r="L15" t="inlineStr">
        <is>
          <t>Inherits the refusal of the figures it is built from: if either side is missing, this line is not shown.</t>
        </is>
      </c>
      <c r="M15" t="inlineStr">
        <is>
          <t>One figure per person — or per household when two people share one record  [derived by rule — confirm]</t>
        </is>
      </c>
      <c r="N15" t="inlineStr">
        <is>
          <t>As of today, from the latest figures held  [derived by rule — confirm]</t>
        </is>
      </c>
      <c r="O15" t="inlineStr">
        <is>
          <t>NOT DETERMINED</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MK-PL-M-015</t>
        </is>
      </c>
      <c r="B16" t="inlineStr">
        <is>
          <t>Plan</t>
        </is>
      </c>
      <c r="C16" t="inlineStr">
        <is>
          <t>/required-withdrawals</t>
        </is>
      </c>
      <c r="D16" t="inlineStr">
        <is>
          <t>YEAR BY YEAR (ESTIMATES) — each year and amount</t>
        </is>
      </c>
      <c r="E16" t="inlineStr">
        <is>
          <t>r.amount</t>
        </is>
      </c>
      <c r="F16" t="inlineStr">
        <is>
          <t>REQUIRED_WITHDRAWAL  [NAME ASSIGNED HERE — no engine row exists for it yet]</t>
        </is>
      </c>
      <c r="G16" t="inlineStr">
        <is>
          <t>MK-PL-E-006</t>
        </is>
      </c>
      <c r="H16" t="inlineStr">
        <is>
          <t>required = balance on 31 December last year ÷ the life-expectancy factor for this age</t>
        </is>
      </c>
      <c r="I16" t="inlineStr">
        <is>
          <t>The amount the law requires to be taken out this year: last 31 December's balance divided by the life-expectancy factor for the person's age.</t>
        </is>
      </c>
      <c r="J16" t="inlineStr">
        <is>
          <t>NOT DETERMINED — no input list on record for this engine</t>
        </is>
      </c>
      <c r="K16" t="inlineStr">
        <is>
          <t>US dollars · held to the cent · shown as whole dollars  [derived by rule — confirm]</t>
        </is>
      </c>
      <c r="L16" t="inlineStr">
        <is>
          <t>Nothing before the start age for that birth year. A Roth 401(k) is exempt and says so.</t>
        </is>
      </c>
      <c r="M16" t="inlineStr">
        <is>
          <t>One figure per person — or per household when two people share one record  [derived by rule — confirm]</t>
        </is>
      </c>
      <c r="N16" t="inlineStr">
        <is>
          <t>This calendar year, to today  [derived by rule — confirm]</t>
        </is>
      </c>
      <c r="O16" t="inlineStr">
        <is>
          <t>NOT DETERMINED</t>
        </is>
      </c>
      <c r="P16" t="inlineStr"/>
      <c r="Q16" t="inlineStr"/>
      <c r="R16" t="inlineStr">
        <is>
          <t>[Founder] One dated table. Start age is 73 for those born 1951–1959 and 75 for those born 1960 or later; a Roth 401(k) is exempt (fix B4).</t>
        </is>
      </c>
      <c r="S16" t="inlineStr"/>
      <c r="T16" t="inlineStr"/>
      <c r="U16" t="inlineStr"/>
      <c r="V16" t="inlineStr"/>
      <c r="W16" t="inlineStr">
        <is>
          <t>NOT DETERMINED</t>
        </is>
      </c>
      <c r="X16" t="inlineStr">
        <is>
          <t>VERIFIED 2026-08-22</t>
        </is>
      </c>
    </row>
    <row r="17">
      <c r="A17" t="inlineStr">
        <is>
          <t>MK-PL-M-016</t>
        </is>
      </c>
      <c r="B17" t="inlineStr">
        <is>
          <t>Plan</t>
        </is>
      </c>
      <c r="C17" t="inlineStr">
        <is>
          <t>/required-withdrawals</t>
        </is>
      </c>
      <c r="D17" t="inlineStr">
        <is>
          <t>BASED ON THESE ACCOUNTS — each balance</t>
        </is>
      </c>
      <c r="E17" t="inlineStr">
        <is>
          <t>a.balance</t>
        </is>
      </c>
      <c r="F17" t="inlineStr">
        <is>
          <t>HAND_VALUE_AGE</t>
        </is>
      </c>
      <c r="G17" t="inlineStr">
        <is>
          <t>MK-NW-E-011</t>
        </is>
      </c>
      <c r="H17" t="inlineStr">
        <is>
          <t>value = the balance last recorded;  age = today − date it was recorded</t>
        </is>
      </c>
      <c r="I17"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7" t="inlineStr">
        <is>
          <t>the account → a  [MK-XS-I-001] · when the value was set → value_as_of  [MK-XS-I-033] · today → now  [NOT AN INPUT — a setting or a filter, not data anyone supplies]</t>
        </is>
      </c>
      <c r="K17" t="inlineStr">
        <is>
          <t>A count · whole units, except crypto which keeps its fractions  [derived by rule — confirm]</t>
        </is>
      </c>
      <c r="L17" t="inlineStr">
        <is>
          <t>Always answers, but carries the age of the figure and warns once it is stale.</t>
        </is>
      </c>
      <c r="M17" t="inlineStr">
        <is>
          <t>One figure per account  [derived by rule — confirm]</t>
        </is>
      </c>
      <c r="N17" t="inlineStr">
        <is>
          <t>As of today, from the latest figures held  [derived by rule — confirm]</t>
        </is>
      </c>
      <c r="O17" t="inlineStr">
        <is>
          <t>None — this engine reads raw inputs only</t>
        </is>
      </c>
      <c r="P17" t="inlineStr">
        <is>
          <t>DECIDES whether a stated value is fresh enough to show without a warning.</t>
        </is>
      </c>
      <c r="Q17" t="inlineStr"/>
      <c r="R17" t="inlineStr">
        <is>
          <t>NOT DETERMINED — no assumption recorded for this figure yet.</t>
        </is>
      </c>
      <c r="S17" t="inlineStr">
        <is>
          <t>THE SAME FIGURE AS MK-NW-M-018 — An account's value. The balance listed under required withdrawals is the same figure as Market value on account detail.</t>
        </is>
      </c>
      <c r="T17" t="inlineStr"/>
      <c r="U17" t="inlineStr"/>
      <c r="V17" t="inlineStr"/>
      <c r="W17" t="inlineStr">
        <is>
          <t>NOT DETERMINED</t>
        </is>
      </c>
      <c r="X17" t="inlineStr">
        <is>
          <t>VERIFIED 2026-08-22</t>
        </is>
      </c>
    </row>
    <row r="18">
      <c r="A18" t="inlineStr">
        <is>
          <t>MK-PL-M-017</t>
        </is>
      </c>
      <c r="B18" t="inlineStr">
        <is>
          <t>Plan</t>
        </is>
      </c>
      <c r="C18" t="inlineStr">
        <is>
          <t>/ss-timing</t>
        </is>
      </c>
      <c r="D18" t="inlineStr">
        <is>
          <t>Monthly check (today's dollars)</t>
        </is>
      </c>
      <c r="E18" t="inlineStr">
        <is>
          <t>A.guaranteedMonthly</t>
        </is>
      </c>
      <c r="F18" t="inlineStr">
        <is>
          <t>SS_BENEFIT_AT_AGE</t>
        </is>
      </c>
      <c r="G18" t="inlineStr">
        <is>
          <t>MK-XS-E-040</t>
        </is>
      </c>
      <c r="H18" t="inlineStr">
        <is>
          <t>benefit at claim age = the statement amount at full retirement age × the claim factor for that age</t>
        </is>
      </c>
      <c r="I18" t="inlineStr">
        <is>
          <t>Statement monthly amount × the claim factor for (claim age, birth year), rounded to whole dollars.</t>
        </is>
      </c>
      <c r="J18" t="inlineStr">
        <is>
          <t>statement amount at their full retirement age (typed from their ssa.gov statement) → statement monthly  [MK-XS-I-008, MK-XS-I-018, MK-XS-I-020] · claim age (the slider) → the factor's input  [MK-XS-I-021] · birth year (setup) → the anchor  [MK-XS-I-017]</t>
        </is>
      </c>
      <c r="K18" t="inlineStr">
        <is>
          <t>US dollars · held to the cent · shown as whole dollars  [derived by rule — confirm]</t>
        </is>
      </c>
      <c r="L18" t="inlineStr">
        <is>
          <t>Without a statement amount a worked example is shown, labelled as an example throughout.</t>
        </is>
      </c>
      <c r="M18" t="inlineStr">
        <is>
          <t>One figure per month  [derived by rule — confirm]</t>
        </is>
      </c>
      <c r="N18" t="inlineStr">
        <is>
          <t>As of today, from the latest figures held  [derived by rule — confirm]</t>
        </is>
      </c>
      <c r="O18" t="inlineStr">
        <is>
          <t>MK-XS-E-046 (SS_CLAIM_FACTOR) → How much of the statement amount a claim age actually pays, anchored at the person's OWN f</t>
        </is>
      </c>
      <c r="P18" t="inlineStr"/>
      <c r="Q18" t="inlineStr"/>
      <c r="R18"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S18" t="inlineStr"/>
      <c r="T18" t="inlineStr"/>
      <c r="U18" t="inlineStr"/>
      <c r="V18" t="inlineStr"/>
      <c r="W18" t="inlineStr">
        <is>
          <t>NOT DETERMINED</t>
        </is>
      </c>
      <c r="X18" t="inlineStr">
        <is>
          <t>VERIFIED 2026-08-22</t>
        </is>
      </c>
    </row>
    <row r="19">
      <c r="A19" t="inlineStr">
        <is>
          <t>MK-PL-M-018</t>
        </is>
      </c>
      <c r="B19" t="inlineStr">
        <is>
          <t>Plan</t>
        </is>
      </c>
      <c r="C19" t="inlineStr">
        <is>
          <t>/ss-timing</t>
        </is>
      </c>
      <c r="D19" t="inlineStr">
        <is>
          <t>You receive $X/mo ✓</t>
        </is>
      </c>
      <c r="E19" t="inlineStr">
        <is>
          <t>op.ri_ss</t>
        </is>
      </c>
      <c r="F19" t="inlineStr">
        <is>
          <t>RETIREMENT_INCOME_NOW</t>
        </is>
      </c>
      <c r="G19" t="inlineStr">
        <is>
          <t>MK-PL-E-007</t>
        </is>
      </c>
      <c r="H19" t="inlineStr">
        <is>
          <t>guaranteed income now = Σ(streams already being received)</t>
        </is>
      </c>
      <c r="I19"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t="inlineStr">
        <is>
          <t>do they receive it now → incomeSources  [MK-XS-I-040] · the amounts → retirementIncomeMonthly  [MK-XS-I-008]</t>
        </is>
      </c>
      <c r="K19" t="inlineStr">
        <is>
          <t>US dollars · held to the cent · shown as whole dollars  [derived by rule — confirm]</t>
        </is>
      </c>
      <c r="L19" t="inlineStr">
        <is>
          <t>Adds up to $0 when there is nothing to add. Zero and "nothing recorded yet" look identical on screen — worth a decision.</t>
        </is>
      </c>
      <c r="M19" t="inlineStr">
        <is>
          <t>One figure per person — or per household when two people share one record  [derived by rule — confirm]</t>
        </is>
      </c>
      <c r="N19" t="inlineStr">
        <is>
          <t>As of today, from the latest figures held  [derived by rule — confirm]</t>
        </is>
      </c>
      <c r="O19" t="inlineStr">
        <is>
          <t>MK-XS-E-047 (RETIREMENT_INCOME) → How much retirement income arrives monthly?</t>
        </is>
      </c>
      <c r="P19" t="inlineStr"/>
      <c r="Q19" t="inlineStr"/>
      <c r="R19" t="inlineStr">
        <is>
          <t>NOT DETERMINED — no assumption recorded for this figure yet.</t>
        </is>
      </c>
      <c r="S19" t="inlineStr">
        <is>
          <t>THE SAME FIGURE AS MK-CF-M-011 — Guaranteed income being received now. Shown four ways: "You receive $X/mo" on Social Security timing, "incl. Social Security $X/mo" on the cockpit, as a source on Cash flow, and as a list on Monthly income. One figure, four identifiers.</t>
        </is>
      </c>
      <c r="T19" t="inlineStr"/>
      <c r="U19" t="inlineStr"/>
      <c r="V19" t="inlineStr"/>
      <c r="W19" t="inlineStr">
        <is>
          <t>NOT DETERMINED</t>
        </is>
      </c>
      <c r="X19" t="inlineStr">
        <is>
          <t>VERIFIED 2026-08-22</t>
        </is>
      </c>
    </row>
    <row r="20">
      <c r="A20" t="inlineStr">
        <is>
          <t>MK-PL-M-019</t>
        </is>
      </c>
      <c r="B20" t="inlineStr">
        <is>
          <t>Plan</t>
        </is>
      </c>
      <c r="C20" t="inlineStr">
        <is>
          <t>/ss-timing</t>
        </is>
      </c>
      <c r="D20" t="inlineStr">
        <is>
          <t>Claiming at N pays $X a month</t>
        </is>
      </c>
      <c r="E20" t="inlineStr">
        <is>
          <t>r.monthly</t>
        </is>
      </c>
      <c r="F20" t="inlineStr">
        <is>
          <t>SS_CLAIM_FACTOR · SS_BENEFIT_AT_AGE</t>
        </is>
      </c>
      <c r="G20" t="inlineStr">
        <is>
          <t>MK-PL-E-008</t>
        </is>
      </c>
      <c r="H20" t="inlineStr">
        <is>
          <t>factor = 1 − 5/9% per month for the first 36 months early, − 5/12% per month beyond that; + 2/3% per month for each month claimed late up to 70</t>
        </is>
      </c>
      <c r="I20"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t="inlineStr">
        <is>
          <t>claim age (the slider, 62–70) → months early or late vs their full retirement age  [MK-XS-I-018, MK-XS-I-021] · birth year (their setup answer) → the full retirement age it anchors to  [MK-XS-I-017, MK-XS-I-018] · statement amount at their full retirement age (typed from their ssa.gov statement) → statement monthly  [MK-XS-I-008, MK-XS-I-018, MK-XS-I-020] · claim age (the slider) → the factor's input  [MK-XS-I-021] · birth year (setup) → the anchor  [MK-XS-I-017]</t>
        </is>
      </c>
      <c r="K20" t="inlineStr">
        <is>
          <t>US dollars · held to the cent · shown as whole dollars  [derived by rule — confirm]</t>
        </is>
      </c>
      <c r="L20" t="inlineStr">
        <is>
          <t>Without a statement amount a worked example is shown, labelled as an example throughout.</t>
        </is>
      </c>
      <c r="M20" t="inlineStr">
        <is>
          <t>One figure per month  [derived by rule — confirm]</t>
        </is>
      </c>
      <c r="N20" t="inlineStr">
        <is>
          <t>As of today, from the latest figures held  [derived by rule — confirm]</t>
        </is>
      </c>
      <c r="O20" t="inlineStr">
        <is>
          <t>MK-XS-E-048 (SS_FULL_RETIREMENT_AGE) → The person's own Social Security full retirement age. Answers: 66 (born through 1954) · 66
MK-XS-E-046 (SS_CLAIM_FACTOR) → How much of the statement amount a claim age actually pays, anchored at the person's OWN f</t>
        </is>
      </c>
      <c r="P20" t="inlineStr"/>
      <c r="Q20" t="inlineStr"/>
      <c r="R20"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S20" t="inlineStr"/>
      <c r="T20" t="inlineStr"/>
      <c r="U20" t="inlineStr"/>
      <c r="V20" t="inlineStr"/>
      <c r="W20" t="inlineStr">
        <is>
          <t>NOT DETERMINED</t>
        </is>
      </c>
      <c r="X20" t="inlineStr">
        <is>
          <t>VERIFIED 2026-08-22</t>
        </is>
      </c>
    </row>
    <row r="21">
      <c r="A21" t="inlineStr">
        <is>
          <t>MK-PL-M-020</t>
        </is>
      </c>
      <c r="B21" t="inlineStr">
        <is>
          <t>Plan</t>
        </is>
      </c>
      <c r="C21" t="inlineStr">
        <is>
          <t>/ss-timing</t>
        </is>
      </c>
      <c r="D21" t="inlineStr">
        <is>
          <t>about $X in total by age N</t>
        </is>
      </c>
      <c r="E21" t="inlineStr">
        <is>
          <t>r.lifetime</t>
        </is>
      </c>
      <c r="F21" t="inlineStr">
        <is>
          <t>SS_LIFETIME_TOTAL  [NAME ASSIGNED HERE — no engine row exists for it yet]</t>
        </is>
      </c>
      <c r="G21" t="inlineStr">
        <is>
          <t>MK-PL-E-009</t>
        </is>
      </c>
      <c r="H21" t="inlineStr">
        <is>
          <t>lifetime total = monthly benefit × 12 × (life expectancy − claim age)</t>
        </is>
      </c>
      <c r="I21" t="inlineStr">
        <is>
          <t>The monthly Social Security check multiplied out to a life expectancy, so claiming early and claiming late can be compared in total dollars.</t>
        </is>
      </c>
      <c r="J21" t="inlineStr">
        <is>
          <t>NOT DETERMINED — no input list on record for this engine</t>
        </is>
      </c>
      <c r="K21" t="inlineStr">
        <is>
          <t>Age in whole years  [derived by rule — confirm]</t>
        </is>
      </c>
      <c r="L21" t="inlineStr">
        <is>
          <t>NOT DETERMINED — this engine has not been read for its refusal yet.</t>
        </is>
      </c>
      <c r="M21" t="inlineStr">
        <is>
          <t>One figure per person — or per household when two people share one record  [derived by rule — confirm]</t>
        </is>
      </c>
      <c r="N21" t="inlineStr">
        <is>
          <t>As of today, from the latest figures held  [derived by rule — confirm]</t>
        </is>
      </c>
      <c r="O21" t="inlineStr">
        <is>
          <t>NOT DETERMINED</t>
        </is>
      </c>
      <c r="P21" t="inlineStr"/>
      <c r="Q21" t="inlineStr"/>
      <c r="R21" t="inlineStr">
        <is>
          <t>[Built in] A life-expectancy figure the person never chose.
[The person] The claim age they set, and the statement amount they typed.</t>
        </is>
      </c>
      <c r="S21" t="inlineStr"/>
      <c r="T21" t="inlineStr"/>
      <c r="U21" t="inlineStr"/>
      <c r="V21" t="inlineStr"/>
      <c r="W21" t="inlineStr">
        <is>
          <t>NOT DETERMINED</t>
        </is>
      </c>
      <c r="X21" t="inlineStr">
        <is>
          <t>VERIFIED 2026-08-22</t>
        </is>
      </c>
    </row>
    <row r="22">
      <c r="A22" t="inlineStr">
        <is>
          <t>MK-PL-M-021</t>
        </is>
      </c>
      <c r="B22" t="inlineStr">
        <is>
          <t>Plan</t>
        </is>
      </c>
      <c r="C22" t="inlineStr">
        <is>
          <t>/ss-timing</t>
        </is>
      </c>
      <c r="D22" t="inlineStr">
        <is>
          <t>Showing example numbers (a $X/mo statement)</t>
        </is>
      </c>
      <c r="E22" t="inlineStr">
        <is>
          <t>exampleStmt</t>
        </is>
      </c>
      <c r="F22" t="inlineStr">
        <is>
          <t>the worked example used until a real statement goes in</t>
        </is>
      </c>
      <c r="G22" t="inlineStr">
        <is>
          <t>MK-PL-E-010</t>
        </is>
      </c>
      <c r="H22" t="inlineStr">
        <is>
          <t>a stated example amount, shown labelled as an example</t>
        </is>
      </c>
      <c r="I22" t="inlineStr">
        <is>
          <t>A worked example shown in place of a real Social Security statement, always labelled as such.</t>
        </is>
      </c>
      <c r="J22" t="inlineStr">
        <is>
          <t>NOT DETERMINED — no input list on record for this engine</t>
        </is>
      </c>
      <c r="K22" t="inlineStr">
        <is>
          <t>US dollars · held to the cent · shown as whole dollars  [derived by rule — confirm]</t>
        </is>
      </c>
      <c r="L22" t="inlineStr">
        <is>
          <t>NOT DETERMINED — this engine has not been read for its refusal yet.</t>
        </is>
      </c>
      <c r="M22" t="inlineStr">
        <is>
          <t>One figure per person — or per household when two people share one record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MK-PL-M-022</t>
        </is>
      </c>
      <c r="B23" t="inlineStr">
        <is>
          <t>Plan</t>
        </is>
      </c>
      <c r="C23" t="inlineStr">
        <is>
          <t>/roth</t>
        </is>
      </c>
      <c r="D23" t="inlineStr">
        <is>
          <t>Convert to Roth this year (&lt;year&gt;)</t>
        </is>
      </c>
      <c r="E23" t="inlineStr">
        <is>
          <t>A.rothConversionThisYear</t>
        </is>
      </c>
      <c r="F23" t="inlineStr">
        <is>
          <t>the amount the person chose</t>
        </is>
      </c>
      <c r="G23" t="inlineStr">
        <is>
          <t>MK-PL-E-011</t>
        </is>
      </c>
      <c r="H23" t="inlineStr">
        <is>
          <t>the value typed by the person</t>
        </is>
      </c>
      <c r="I23" t="inlineStr">
        <is>
          <t>A number the person entered; no calculation.</t>
        </is>
      </c>
      <c r="J23" t="inlineStr">
        <is>
          <t>NOT DETERMINED — no input list on record for this engine</t>
        </is>
      </c>
      <c r="K23" t="inlineStr">
        <is>
          <t>US dollars · held to the cent · shown as whole dollars  [derived by rule — confirm]</t>
        </is>
      </c>
      <c r="L23" t="inlineStr">
        <is>
          <t>Nothing to compute — the person either entered it or has not, and the screen shows it only when they have.</t>
        </is>
      </c>
      <c r="M23" t="inlineStr">
        <is>
          <t>One figure per person — or per household when two people share one record  [derived by rule — confirm]</t>
        </is>
      </c>
      <c r="N23" t="inlineStr">
        <is>
          <t>This calendar year, to today  [derived by rule — confirm]</t>
        </is>
      </c>
      <c r="O23" t="inlineStr">
        <is>
          <t>NOT DETERMINED</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MK-PL-M-023</t>
        </is>
      </c>
      <c r="B24" t="inlineStr">
        <is>
          <t>Plan</t>
        </is>
      </c>
      <c r="C24" t="inlineStr">
        <is>
          <t>/roth</t>
        </is>
      </c>
      <c r="D24" t="inlineStr">
        <is>
          <t>Extra tax next April (estimate) — about $X</t>
        </is>
      </c>
      <c r="E24" t="inlineStr">
        <is>
          <t>taxCost</t>
        </is>
      </c>
      <c r="F24" t="inlineStr">
        <is>
          <t>TAX_ON_CONVERSION  [NAME ASSIGNED HERE — no engine row exists for it yet]</t>
        </is>
      </c>
      <c r="G24" t="inlineStr">
        <is>
          <t>MK-PL-E-012</t>
        </is>
      </c>
      <c r="H24" t="inlineStr">
        <is>
          <t>extra tax ≈ Σ over bands of (amount converted falling in that band × its rate)</t>
        </is>
      </c>
      <c r="I24" t="inlineStr">
        <is>
          <t>The extra tax a Roth conversion would cause: the converted amount is stacked on top of this year's income and taxed band by band.</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MK-PL-M-024</t>
        </is>
      </c>
      <c r="B25" t="inlineStr">
        <is>
          <t>Plan</t>
        </is>
      </c>
      <c r="C25" t="inlineStr">
        <is>
          <t>/roth</t>
        </is>
      </c>
      <c r="D25" t="inlineStr">
        <is>
          <t>from your pre-tax $X</t>
        </is>
      </c>
      <c r="E25" t="inlineStr">
        <is>
          <t>preTax</t>
        </is>
      </c>
      <c r="F25" t="inlineStr">
        <is>
          <t>PRE_TAX_BALANCE  [NAME ASSIGNED HERE — no engine row exists for it yet]</t>
        </is>
      </c>
      <c r="G25" t="inlineStr">
        <is>
          <t>MK-PL-E-013</t>
        </is>
      </c>
      <c r="H25" t="inlineStr">
        <is>
          <t>pre-tax balance = Σ(balance of accounts whose tax type = pre-tax)</t>
        </is>
      </c>
      <c r="I25" t="inlineStr">
        <is>
          <t>Adds the balances of accounts whose money has not been taxed yet — the pot a Roth move would come from.</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c r="Q25" t="inlineStr"/>
      <c r="R25" t="inlineStr">
        <is>
          <t>NOT DETERMINED — no assumption recorded for this figure yet.</t>
        </is>
      </c>
      <c r="S25" t="inlineStr"/>
      <c r="T25" t="inlineStr"/>
      <c r="U25" t="inlineStr"/>
      <c r="V25" t="inlineStr"/>
      <c r="W25" t="inlineStr">
        <is>
          <t>NOT DETERMINED</t>
        </is>
      </c>
      <c r="X25" t="inlineStr">
        <is>
          <t>VERIFIED 2026-08-22</t>
        </is>
      </c>
    </row>
    <row r="26">
      <c r="A26" t="inlineStr">
        <is>
          <t>MK-PL-M-025</t>
        </is>
      </c>
      <c r="B26" t="inlineStr">
        <is>
          <t>Plan</t>
        </is>
      </c>
      <c r="C26" t="inlineStr">
        <is>
          <t>/what-if</t>
        </is>
      </c>
      <c r="D26" t="inlineStr">
        <is>
          <t>+$X/mo (the saving dial)</t>
        </is>
      </c>
      <c r="E26" t="inlineStr">
        <is>
          <t>addMonthly</t>
        </is>
      </c>
      <c r="F26" t="inlineStr">
        <is>
          <t>the amount the person chose</t>
        </is>
      </c>
      <c r="G26" t="inlineStr">
        <is>
          <t>MK-PL-E-011</t>
        </is>
      </c>
      <c r="H26" t="inlineStr">
        <is>
          <t>the value typed by the person</t>
        </is>
      </c>
      <c r="I26" t="inlineStr">
        <is>
          <t>A number the person entered; no calculation.</t>
        </is>
      </c>
      <c r="J26" t="inlineStr">
        <is>
          <t>NOT DETERMINED — no input list on record for this engine</t>
        </is>
      </c>
      <c r="K26" t="inlineStr">
        <is>
          <t>US dollars · held to the cent · shown as whole dollars  [derived by rule — confirm]</t>
        </is>
      </c>
      <c r="L26" t="inlineStr">
        <is>
          <t>Nothing to compute — the person either entered it or has not, and the screen shows it only when they have.</t>
        </is>
      </c>
      <c r="M26" t="inlineStr">
        <is>
          <t>One figure per person — or per household when two people share one record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MK-PL-M-026</t>
        </is>
      </c>
      <c r="B27" t="inlineStr">
        <is>
          <t>Plan</t>
        </is>
      </c>
      <c r="C27" t="inlineStr">
        <is>
          <t>/what-if</t>
        </is>
      </c>
      <c r="D27" t="inlineStr">
        <is>
          <t>$X → $Y (nest egg before and after)</t>
        </is>
      </c>
      <c r="E27" t="inlineStr">
        <is>
          <t>result.before.egg / result.after.egg</t>
        </is>
      </c>
      <c r="F27" t="inlineStr">
        <is>
          <t>POT_AT_RETIREMENT</t>
        </is>
      </c>
      <c r="G27" t="inlineStr">
        <is>
          <t>MK-NW-E-009</t>
        </is>
      </c>
      <c r="H27" t="inlineStr">
        <is>
          <t>pot = balance × (1 + r)^n + Σ(contribution × (1 + r)^(n − year)),  n = years to retirement</t>
        </is>
      </c>
      <c r="I27"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7" t="inlineStr">
        <is>
          <t>the same inputs → inp  [MK-XS-I-001]</t>
        </is>
      </c>
      <c r="K27" t="inlineStr">
        <is>
          <t>US dollars · held to the cent · shown as whole dollars  [derived by rule — confirm]</t>
        </is>
      </c>
      <c r="L27" t="inlineStr">
        <is>
          <t>No figure when there is nothing to grow, or when retirement is not ahead of the person.</t>
        </is>
      </c>
      <c r="M27" t="inlineStr">
        <is>
          <t>One figure per person — or per household when two people share one record  [derived by rule — confirm]</t>
        </is>
      </c>
      <c r="N27" t="inlineStr">
        <is>
          <t>From today to the retirement age in the plan  [derived by rule — confirm]</t>
        </is>
      </c>
      <c r="O27" t="inlineStr">
        <is>
          <t>MK-XS-E-005 (WILL_IT_LAST) → Will my money last?</t>
        </is>
      </c>
      <c r="P27" t="inlineStr"/>
      <c r="Q27" t="inlineStr">
        <is>
          <t>The Net worth screen builds this projection WITHOUT the person's big costs, while Cash flow, Budget, Goals and Social Security timing all include them. Same person, same day, two different nest eggs. Seen in the code; not yet confirmed on screen.</t>
        </is>
      </c>
      <c r="R27"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27" t="inlineStr"/>
      <c r="T27" t="inlineStr"/>
      <c r="U27" t="inlineStr"/>
      <c r="V27" t="inlineStr"/>
      <c r="W27" t="inlineStr">
        <is>
          <t>NOT DETERMINED</t>
        </is>
      </c>
      <c r="X27" t="inlineStr">
        <is>
          <t>VERIFIED 2026-08-22</t>
        </is>
      </c>
    </row>
    <row r="28">
      <c r="A28" t="inlineStr">
        <is>
          <t>MK-PL-M-027</t>
        </is>
      </c>
      <c r="B28" t="inlineStr">
        <is>
          <t>Plan</t>
        </is>
      </c>
      <c r="C28" t="inlineStr">
        <is>
          <t>/what-if</t>
        </is>
      </c>
      <c r="D28" t="inlineStr">
        <is>
          <t>the difference the change makes</t>
        </is>
      </c>
      <c r="E28" t="inlineStr">
        <is>
          <t>result.after.egg - result.before.egg</t>
        </is>
      </c>
      <c r="F28" t="inlineStr">
        <is>
          <t>worked out on the screen: after − before</t>
        </is>
      </c>
      <c r="G28" t="inlineStr"/>
      <c r="H28" t="inlineStr">
        <is>
          <t>difference = pot after the change − pot before it</t>
        </is>
      </c>
      <c r="I28" t="inlineStr">
        <is>
          <t>Worked out on the screen itself, with no engine behind it — a place a second definition can appear.</t>
        </is>
      </c>
      <c r="J28" t="inlineStr">
        <is>
          <t>NOT DETERMINED — no input list on record for this engine</t>
        </is>
      </c>
      <c r="K28" t="inlineStr">
        <is>
          <t>US dollars · held to the cent · shown as whole dollars  [derived by rule — confirm]</t>
        </is>
      </c>
      <c r="L28" t="inlineStr">
        <is>
          <t>Inherits the refusal of the figures it is built from: if either side is missing, this line is not shown.</t>
        </is>
      </c>
      <c r="M28" t="inlineStr">
        <is>
          <t>One figure per person — or per household when two people share one record  [derived by rule — confirm]</t>
        </is>
      </c>
      <c r="N28" t="inlineStr">
        <is>
          <t>As of today, from the latest figures held  [derived by rule — confirm]</t>
        </is>
      </c>
      <c r="O28" t="inlineStr">
        <is>
          <t>NOT DETERMINED</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MK-PL-M-028</t>
        </is>
      </c>
      <c r="B29" t="inlineStr">
        <is>
          <t>Plan</t>
        </is>
      </c>
      <c r="C29" t="inlineStr">
        <is>
          <t>/multi-goal</t>
        </is>
      </c>
      <c r="D29" t="inlineStr">
        <is>
          <t>each goal and its monthly amount</t>
        </is>
      </c>
      <c r="E29" t="inlineStr">
        <is>
          <t>d.monthlyAmount</t>
        </is>
      </c>
      <c r="F29" t="inlineStr">
        <is>
          <t>the amounts the person chose</t>
        </is>
      </c>
      <c r="G29" t="inlineStr">
        <is>
          <t>MK-PL-E-014</t>
        </is>
      </c>
      <c r="H29" t="inlineStr">
        <is>
          <t>the values typed by the person</t>
        </is>
      </c>
      <c r="I29" t="inlineStr">
        <is>
          <t>Amounts the person entered; no calculation.</t>
        </is>
      </c>
      <c r="J29" t="inlineStr">
        <is>
          <t>NOT DETERMINED — no input list on record for this engine</t>
        </is>
      </c>
      <c r="K29" t="inlineStr">
        <is>
          <t>US dollars · held to the cent · shown as whole dollars  [derived by rule — confirm]</t>
        </is>
      </c>
      <c r="L29" t="inlineStr">
        <is>
          <t>Nothing to compute — the person either entered it or has not, and the screen shows it only when they have.</t>
        </is>
      </c>
      <c r="M29" t="inlineStr">
        <is>
          <t>One figure per goal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is>
          <t>MK-PL-M-029</t>
        </is>
      </c>
      <c r="B30" t="inlineStr">
        <is>
          <t>Plan</t>
        </is>
      </c>
      <c r="C30" t="inlineStr">
        <is>
          <t>/multi-goal</t>
        </is>
      </c>
      <c r="D30" t="inlineStr">
        <is>
          <t>Retirement saving — $X/mo now → $Y/mo</t>
        </is>
      </c>
      <c r="E30" t="inlineStr">
        <is>
          <t>A.contribMonthly / retirementMo</t>
        </is>
      </c>
      <c r="F30" t="inlineStr">
        <is>
          <t>WILL_IT_LAST_INPUTS</t>
        </is>
      </c>
      <c r="G30" t="inlineStr">
        <is>
          <t>MK-XS-E-006</t>
        </is>
      </c>
      <c r="H30" t="inlineStr">
        <is>
          <t>the inputs one plan is built from: what is held, what will be spent, what is guaranteed, and what is still being saved</t>
        </is>
      </c>
      <c r="I30"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30" t="inlineStr">
        <is>
          <t>their age → birthYear  [MK-XS-I-017] · the pot → NEST_EGG  [NOT AN INPUT — another engine’s answer; see the dependency column] · return and swing → EXPECTED_RETURN_BLENDED, EXPECTED_SWING_BLENDED  [NOT AN INPUT — another engine’s answer; see the dependency column] · spending → RETIREMENT_SPENDING  [MK-XS-I-024] · guaranteed income → RETIREMENT_INCOME, SS_BENEFIT_AT_AGE  [NOT AN INPUT — another engine’s answer; see the dependency column] · money to leave behind → legacyTarget  [MK-XS-I-047] · their own overrides → the Plan screen  [MK-XS-I-044]</t>
        </is>
      </c>
      <c r="K30" t="inlineStr">
        <is>
          <t>Percent · rounded to the nearest 5 · a real 100 or 0 shown literally  [derived by rule — confirm]</t>
        </is>
      </c>
      <c r="L30" t="inlineStr">
        <is>
          <t>NOT DETERMINED — this engine has not been read for its refusal yet.</t>
        </is>
      </c>
      <c r="M30" t="inlineStr">
        <is>
          <t>One figure per person — or per household when two people share one record  [derived by rule — confirm]</t>
        </is>
      </c>
      <c r="N30" t="inlineStr">
        <is>
          <t>From today to the retirement age in the plan  [derived by rule — confirm]</t>
        </is>
      </c>
      <c r="O30"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30" t="inlineStr"/>
      <c r="Q30" t="inlineStr"/>
      <c r="R30" t="inlineStr">
        <is>
          <t>NOT DETERMINED — no assumption recorded for this figure yet.</t>
        </is>
      </c>
      <c r="S30" t="inlineStr">
        <is>
          <t>THE SAME FIGURE AS MK-PL-M-011 — What is being saved each month towards retirement — "Monthly saving until then" and "Retirement saving $X/mo now".</t>
        </is>
      </c>
      <c r="T30" t="inlineStr"/>
      <c r="U30" t="inlineStr"/>
      <c r="V30" t="inlineStr"/>
      <c r="W30" t="inlineStr">
        <is>
          <t>NOT DETERMINED</t>
        </is>
      </c>
      <c r="X30" t="inlineStr">
        <is>
          <t>VERIFIED 2026-08-22</t>
        </is>
      </c>
    </row>
    <row r="31">
      <c r="A31" t="inlineStr">
        <is>
          <t>MK-PL-M-030</t>
        </is>
      </c>
      <c r="B31" t="inlineStr">
        <is>
          <t>Plan</t>
        </is>
      </c>
      <c r="C31" t="inlineStr">
        <is>
          <t>/multi-goal</t>
        </is>
      </c>
      <c r="D31" t="inlineStr">
        <is>
          <t>Extra on debt $X/mo</t>
        </is>
      </c>
      <c r="E31" t="inlineStr">
        <is>
          <t>extraDebt</t>
        </is>
      </c>
      <c r="F31" t="inlineStr">
        <is>
          <t>the amount the person chose</t>
        </is>
      </c>
      <c r="G31" t="inlineStr">
        <is>
          <t>MK-PL-E-011</t>
        </is>
      </c>
      <c r="H31" t="inlineStr">
        <is>
          <t>the value typed by the person</t>
        </is>
      </c>
      <c r="I31" t="inlineStr">
        <is>
          <t>A number the person entered; no calculation.</t>
        </is>
      </c>
      <c r="J31" t="inlineStr">
        <is>
          <t>NOT DETERMINED — no input list on record for this engine</t>
        </is>
      </c>
      <c r="K31" t="inlineStr">
        <is>
          <t>US dollars · held to the cent · shown as whole dollars  [derived by rule — confirm]</t>
        </is>
      </c>
      <c r="L31" t="inlineStr">
        <is>
          <t>Nothing to compute — the person either entered it or has not, and the screen shows it only when they have.</t>
        </is>
      </c>
      <c r="M31" t="inlineStr">
        <is>
          <t>One figure per debt, and one total per person  [derived by rule — confirm]</t>
        </is>
      </c>
      <c r="N31" t="inlineStr">
        <is>
          <t>As of today, from the latest figures held  [derived by rule — confirm]</t>
        </is>
      </c>
      <c r="O31" t="inlineStr">
        <is>
          <t>NOT DETERMINED</t>
        </is>
      </c>
      <c r="P31" t="inlineStr"/>
      <c r="Q31" t="inlineStr">
        <is>
          <t>CORRECTED 2026-08-25 — this row used to name DEBT_PICTURE. "Extra on debt $X/mo" is an amount the person chose on a dial, not a figure that engine produces.</t>
        </is>
      </c>
      <c r="R31" t="inlineStr">
        <is>
          <t>NOT DETERMINED — no assumption recorded for this figure yet.</t>
        </is>
      </c>
      <c r="S31" t="inlineStr"/>
      <c r="T31" t="inlineStr"/>
      <c r="U31" t="inlineStr"/>
      <c r="V31" t="inlineStr"/>
      <c r="W31" t="inlineStr">
        <is>
          <t>NOT DETERMINED</t>
        </is>
      </c>
      <c r="X31" t="inlineStr">
        <is>
          <t>VERIFIED 2026-08-22</t>
        </is>
      </c>
    </row>
    <row r="32">
      <c r="A32" t="inlineStr">
        <is>
          <t>MK-PL-M-031</t>
        </is>
      </c>
      <c r="B32" t="inlineStr">
        <is>
          <t>Plan</t>
        </is>
      </c>
      <c r="C32" t="inlineStr">
        <is>
          <t>/multi-goal</t>
        </is>
      </c>
      <c r="D32" t="inlineStr">
        <is>
          <t>paid off &lt;month&gt; · saves $X</t>
        </is>
      </c>
      <c r="E32" t="inlineStr">
        <is>
          <t>weighed.debtPayoff</t>
        </is>
      </c>
      <c r="F32" t="inlineStr">
        <is>
          <t>DEBT_PAYOFF  [NAME ASSIGNED HERE — no engine row exists for it yet]</t>
        </is>
      </c>
      <c r="G32" t="inlineStr">
        <is>
          <t>MK-PL-E-015</t>
        </is>
      </c>
      <c r="H32" t="inlineStr">
        <is>
          <t>each month: balance ← balance × (1 + rate ÷ 12) − payment, until balance ≤ 0;  payoff month = the first month it does</t>
        </is>
      </c>
      <c r="I32" t="inlineStr">
        <is>
          <t>Runs the debt forward month by month: interest is added, the payment is taken off, and the month the balance reaches zero is the payoff date.</t>
        </is>
      </c>
      <c r="J32" t="inlineStr">
        <is>
          <t>NOT DETERMINED — no input list on record for this engine</t>
        </is>
      </c>
      <c r="K32" t="inlineStr">
        <is>
          <t>US dollars · held to the cent · shown as whole dollars  [derived by rule — confirm]</t>
        </is>
      </c>
      <c r="L32" t="inlineStr">
        <is>
          <t>A division: with nothing on the bottom there is no answer, and the line must not appear as zero. NOT YET CONFIRMED against the engine.</t>
        </is>
      </c>
      <c r="M32" t="inlineStr">
        <is>
          <t>One figure per debt, and one total per person  [derived by rule — confirm]</t>
        </is>
      </c>
      <c r="N32" t="inlineStr">
        <is>
          <t>As of today, from the latest figures held  [derived by rule — confirm]</t>
        </is>
      </c>
      <c r="O32" t="inlineStr">
        <is>
          <t>NOT DETERMINED</t>
        </is>
      </c>
      <c r="P32" t="inlineStr"/>
      <c r="Q32" t="inlineStr"/>
      <c r="R32" t="inlineStr">
        <is>
          <t>NOT DETERMINED — no assumption recorded for this figure yet.</t>
        </is>
      </c>
      <c r="S32" t="inlineStr"/>
      <c r="T32" t="inlineStr"/>
      <c r="U32" t="inlineStr"/>
      <c r="V32" t="inlineStr"/>
      <c r="W32" t="inlineStr">
        <is>
          <t>NOT DETERMINED</t>
        </is>
      </c>
      <c r="X32" t="inlineStr">
        <is>
          <t>VERIFIED 2026-08-22</t>
        </is>
      </c>
    </row>
    <row r="33">
      <c r="A33" t="inlineStr">
        <is>
          <t>MK-PL-M-032</t>
        </is>
      </c>
      <c r="B33" t="inlineStr">
        <is>
          <t>Plan</t>
        </is>
      </c>
      <c r="C33" t="inlineStr">
        <is>
          <t>/retirement</t>
        </is>
      </c>
      <c r="D33" t="inlineStr">
        <is>
          <t>incl. Social Security $X/mo from age N</t>
        </is>
      </c>
      <c r="E33" t="inlineStr">
        <is>
          <t>ssIncome</t>
        </is>
      </c>
      <c r="F33" t="inlineStr">
        <is>
          <t>RETIREMENT_INCOME_NOW</t>
        </is>
      </c>
      <c r="G33" t="inlineStr">
        <is>
          <t>MK-PL-E-007</t>
        </is>
      </c>
      <c r="H33" t="inlineStr">
        <is>
          <t>guaranteed income now = Σ(streams already being received)</t>
        </is>
      </c>
      <c r="I3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t="inlineStr">
        <is>
          <t>do they receive it now → incomeSources  [MK-XS-I-040] · the amounts → retirementIncomeMonthly  [MK-XS-I-008]</t>
        </is>
      </c>
      <c r="K33" t="inlineStr">
        <is>
          <t>Age in whole years  [derived by rule — confirm]</t>
        </is>
      </c>
      <c r="L33" t="inlineStr">
        <is>
          <t>Adds up to $0 when there is nothing to add. Zero and "nothing recorded yet" look identical on screen — worth a decision.</t>
        </is>
      </c>
      <c r="M33" t="inlineStr">
        <is>
          <t>One figure per person — or per household when two people share one record  [derived by rule — confirm]</t>
        </is>
      </c>
      <c r="N33" t="inlineStr">
        <is>
          <t>As of today, from the latest figures held  [derived by rule — confirm]</t>
        </is>
      </c>
      <c r="O33" t="inlineStr">
        <is>
          <t>MK-XS-E-047 (RETIREMENT_INCOME) → How much retirement income arrives monthly?</t>
        </is>
      </c>
      <c r="P33" t="inlineStr"/>
      <c r="Q33" t="inlineStr"/>
      <c r="R33" t="inlineStr">
        <is>
          <t>NOT DETERMINED — no assumption recorded for this figure yet.</t>
        </is>
      </c>
      <c r="S33" t="inlineStr">
        <is>
          <t>THE SAME FIGURE AS MK-CF-M-011 — Guaranteed income being received now. Shown four ways: "You receive $X/mo" on Social Security timing, "incl. Social Security $X/mo" on the cockpit, as a source on Cash flow, and as a list on Monthly income. One figure, four identifiers.</t>
        </is>
      </c>
      <c r="T33" t="inlineStr"/>
      <c r="U33" t="inlineStr"/>
      <c r="V33" t="inlineStr"/>
      <c r="W33" t="inlineStr">
        <is>
          <t>NOT DETERMINED</t>
        </is>
      </c>
      <c r="X33" t="inlineStr">
        <is>
          <t>VERIFIED 2026-08-22</t>
        </is>
      </c>
    </row>
    <row r="34">
      <c r="A34" t="inlineStr">
        <is>
          <t>MK-PL-M-033</t>
        </is>
      </c>
      <c r="B34" t="inlineStr">
        <is>
          <t>Plan</t>
        </is>
      </c>
      <c r="C34" t="inlineStr">
        <is>
          <t>/retirement</t>
        </is>
      </c>
      <c r="D34" t="inlineStr">
        <is>
          <t>your $X grows to $Y by age N at Z%/yr</t>
        </is>
      </c>
      <c r="E34" t="inlineStr">
        <is>
          <t>nestEgg / scProjected</t>
        </is>
      </c>
      <c r="F34" t="inlineStr">
        <is>
          <t>POT_AT_RETIREMENT</t>
        </is>
      </c>
      <c r="G34" t="inlineStr">
        <is>
          <t>MK-NW-E-009</t>
        </is>
      </c>
      <c r="H34" t="inlineStr">
        <is>
          <t>pot = balance × (1 + r)^n + Σ(contribution × (1 + r)^(n − year)),  n = years to retirement</t>
        </is>
      </c>
      <c r="I34"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34" t="inlineStr">
        <is>
          <t>the same inputs → inp  [MK-XS-I-001]</t>
        </is>
      </c>
      <c r="K34" t="inlineStr">
        <is>
          <t>Percent · one decimal shown  [derived by rule — confirm]</t>
        </is>
      </c>
      <c r="L34" t="inlineStr">
        <is>
          <t>No figure when there is nothing to grow, or when retirement is not ahead of the person.</t>
        </is>
      </c>
      <c r="M34" t="inlineStr">
        <is>
          <t>One figure per person — or per household when two people share one record  [derived by rule — confirm]</t>
        </is>
      </c>
      <c r="N34" t="inlineStr">
        <is>
          <t>The last twelve months  [derived by rule — confirm]</t>
        </is>
      </c>
      <c r="O34" t="inlineStr">
        <is>
          <t>MK-XS-E-005 (WILL_IT_LAST) → Will my money last?</t>
        </is>
      </c>
      <c r="P34" t="inlineStr"/>
      <c r="Q34" t="inlineStr">
        <is>
          <t>The Net worth screen builds this projection WITHOUT the person's big costs, while Cash flow, Budget, Goals and Social Security timing all include them. Same person, same day, two different nest eggs. Seen in the code; not yet confirmed on screen.</t>
        </is>
      </c>
      <c r="R34"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34" t="inlineStr">
        <is>
          <t>THE SURVIVING IDENTIFIER for this figure. Folded in: MK-NW-M-015. The projected pot at retirement, shown on Net worth as "on track for $X by age Y" and on the cockpit as "your $X grows to $Y". One figure, two screens — the founder spotted this one himself.</t>
        </is>
      </c>
      <c r="T34" t="inlineStr"/>
      <c r="U34" t="inlineStr"/>
      <c r="V34" t="inlineStr"/>
      <c r="W34" t="inlineStr">
        <is>
          <t>NOT DETERMINED</t>
        </is>
      </c>
      <c r="X34" t="inlineStr">
        <is>
          <t>VERIFIED 2026-08-22</t>
        </is>
      </c>
    </row>
    <row r="35">
      <c r="A35" t="inlineStr">
        <is>
          <t>MK-PL-M-034</t>
        </is>
      </c>
      <c r="B35" t="inlineStr">
        <is>
          <t>Plan</t>
        </is>
      </c>
      <c r="C35" t="inlineStr">
        <is>
          <t>/retirement</t>
        </is>
      </c>
      <c r="D35" t="inlineStr">
        <is>
          <t>At Z% return, your money lasts past age N</t>
        </is>
      </c>
      <c r="E35" t="inlineStr">
        <is>
          <t>scDeplete</t>
        </is>
      </c>
      <c r="F35" t="inlineStr">
        <is>
          <t>WILL_IT_LAST_RESULT</t>
        </is>
      </c>
      <c r="G35" t="inlineStr">
        <is>
          <t>MK-XS-E-007</t>
        </is>
      </c>
      <c r="H35" t="inlineStr">
        <is>
          <t>run 1,000 futures; in each year: balance ← balance × (1 + random return) − (spending − guaranteed income);  odds = futures that never run out ÷ 1,000</t>
        </is>
      </c>
      <c r="I35"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t="inlineStr">
        <is>
          <t>everything → WILL_IT_LAST_INPUTS  [NOT AN INPUT — another engine’s answer; see the dependency column] · is a range wanted → withBand  [NOT AN INPUT — a setting or a filter, not data anyone supplies]</t>
        </is>
      </c>
      <c r="K35" t="inlineStr">
        <is>
          <t>Percent · rounded to the nearest 5 · a real 100 or 0 shown literally  [derived by rule — confirm]</t>
        </is>
      </c>
      <c r="L35" t="inlineStr">
        <is>
          <t>No odds at all until the three facts are answered. A sample is shown in their place, labelled as a sample, never as the person's own number.</t>
        </is>
      </c>
      <c r="M35" t="inlineStr">
        <is>
          <t>One figure per person — or per household when two people share one record  [derived by rule — confirm]</t>
        </is>
      </c>
      <c r="N35" t="inlineStr">
        <is>
          <t>The window the person chose on screen  [derived by rule — confirm]</t>
        </is>
      </c>
      <c r="O35" t="inlineStr">
        <is>
          <t>MK-XS-E-002 (NEST_EGG) → What is my retirement pot worth?
MK-XS-E-003 (ODDS_DISPLAY) → The retirement odds a person actually sees. Answers: 0, 5, 10 … 100 — the exact simulation
MK-XS-E-004 (RETIREMENT_SPENDING) → What will be spent each month in retirement?
MK-XS-E-005 (WILL_IT_LAST) → Will my money last?
MK-XS-E-006 (WILL_IT_LAST_INPUTS) → What goes into working out the odds?</t>
        </is>
      </c>
      <c r="P35" t="inlineStr"/>
      <c r="Q35" t="inlineStr">
        <is>
          <t>The odds shown on Home, Plan and Cash flow are rounded to the nearest 5, while the compare tables still show them exact. One figure, two precisions — founder's open question.</t>
        </is>
      </c>
      <c r="R35"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S35" t="inlineStr"/>
      <c r="T35" t="inlineStr"/>
      <c r="U35" t="inlineStr"/>
      <c r="V35" t="inlineStr"/>
      <c r="W35" t="inlineStr">
        <is>
          <t>NOT DETERMINED</t>
        </is>
      </c>
      <c r="X35" t="inlineStr">
        <is>
          <t>VERIFIED 2026-08-22</t>
        </is>
      </c>
    </row>
    <row r="36">
      <c r="A36" t="inlineStr">
        <is>
          <t>MK-PL-M-035</t>
        </is>
      </c>
      <c r="B36" t="inlineStr">
        <is>
          <t>Plan</t>
        </is>
      </c>
      <c r="C36" t="inlineStr">
        <is>
          <t>/retirement</t>
        </is>
      </c>
      <c r="D36" t="inlineStr">
        <is>
          <t>Retire at age (the dial)</t>
        </is>
      </c>
      <c r="E36" t="inlineStr">
        <is>
          <t>rAge</t>
        </is>
      </c>
      <c r="F36" t="inlineStr">
        <is>
          <t>the age the person chose</t>
        </is>
      </c>
      <c r="G36" t="inlineStr">
        <is>
          <t>MK-PL-E-016</t>
        </is>
      </c>
      <c r="H36" t="inlineStr">
        <is>
          <t>the age set by the person</t>
        </is>
      </c>
      <c r="I36" t="inlineStr">
        <is>
          <t>An age the person set on a dial; no calculation.</t>
        </is>
      </c>
      <c r="J36" t="inlineStr">
        <is>
          <t>NOT DETERMINED — no input list on record for this engine</t>
        </is>
      </c>
      <c r="K36" t="inlineStr">
        <is>
          <t>Age in whole years  [derived by rule — confirm]</t>
        </is>
      </c>
      <c r="L36" t="inlineStr">
        <is>
          <t>Nothing to compute — the person either entered it or has not, and the screen shows it only when they have.</t>
        </is>
      </c>
      <c r="M36" t="inlineStr">
        <is>
          <t>One figure per person — or per household when two people share one record  [derived by rule — confirm]</t>
        </is>
      </c>
      <c r="N36" t="inlineStr">
        <is>
          <t>From today to the retirement age in the plan  [derived by rule — confirm]</t>
        </is>
      </c>
      <c r="O36" t="inlineStr">
        <is>
          <t>NOT DETERMINED</t>
        </is>
      </c>
      <c r="P36" t="inlineStr"/>
      <c r="Q36" t="inlineStr"/>
      <c r="R36" t="inlineStr">
        <is>
          <t>NOT DETERMINED — no assumption recorded for this figure yet.</t>
        </is>
      </c>
      <c r="S36" t="inlineStr"/>
      <c r="T36" t="inlineStr"/>
      <c r="U36" t="inlineStr"/>
      <c r="V36" t="inlineStr"/>
      <c r="W36" t="inlineStr">
        <is>
          <t>NOT DETERMINED</t>
        </is>
      </c>
      <c r="X36" t="inlineStr">
        <is>
          <t>VERIFIED 2026-08-22</t>
        </is>
      </c>
    </row>
    <row r="37">
      <c r="A37" t="inlineStr">
        <is>
          <t>MK-PL-M-036</t>
        </is>
      </c>
      <c r="B37" t="inlineStr">
        <is>
          <t>Plan</t>
        </is>
      </c>
      <c r="C37" t="inlineStr">
        <is>
          <t>/education</t>
        </is>
      </c>
      <c r="D37" t="inlineStr">
        <is>
          <t>the future total cost of school</t>
        </is>
      </c>
      <c r="E37" t="inlineStr">
        <is>
          <t>plan.futureTotalCost</t>
        </is>
      </c>
      <c r="F37" t="inlineStr">
        <is>
          <t>EDUCATION_COST  [NAME ASSIGNED HERE — no engine row exists for it yet]</t>
        </is>
      </c>
      <c r="G37" t="inlineStr">
        <is>
          <t>MK-PL-E-017</t>
        </is>
      </c>
      <c r="H37" t="inlineStr">
        <is>
          <t>future cost = today’s cost × (1 + education inflation)^years;  monthly needed = gap ÷ months until school starts</t>
        </is>
      </c>
      <c r="I37" t="inlineStr">
        <is>
          <t>Grows today's cost of school by education inflation to the year it starts, then divides what is still missing by the months until then.</t>
        </is>
      </c>
      <c r="J37" t="inlineStr">
        <is>
          <t>NOT DETERMINED — no input list on record for this engine</t>
        </is>
      </c>
      <c r="K37" t="inlineStr">
        <is>
          <t>US dollars · held to the cent · shown as whole dollars  [derived by rule — confirm]</t>
        </is>
      </c>
      <c r="L37" t="inlineStr">
        <is>
          <t>A division: with nothing on the bottom there is no answer, and the line must not appear as zero. NOT YET CONFIRMED against the engine.</t>
        </is>
      </c>
      <c r="M37" t="inlineStr">
        <is>
          <t>One figure per person — or per household when two people share one record  [derived by rule — confirm]</t>
        </is>
      </c>
      <c r="N37" t="inlineStr">
        <is>
          <t>As of today, from the latest figures held  [derived by rule — confirm]</t>
        </is>
      </c>
      <c r="O37" t="inlineStr">
        <is>
          <t>NOT DETERMINED</t>
        </is>
      </c>
      <c r="P37" t="inlineStr"/>
      <c r="Q37" t="inlineStr"/>
      <c r="R37" t="inlineStr">
        <is>
          <t>[Built in] Inflation comes from a published feed, with a fallback figure when the feed is silent.</t>
        </is>
      </c>
      <c r="S37" t="inlineStr"/>
      <c r="T37" t="inlineStr">
        <is>
          <t>Q26 — What education inflation rate should the college projection use, and should it be visible and editable on the screen?</t>
        </is>
      </c>
      <c r="U37" t="inlineStr"/>
      <c r="V37" t="inlineStr"/>
      <c r="W37" t="inlineStr">
        <is>
          <t>NOT DETERMINED</t>
        </is>
      </c>
      <c r="X37" t="inlineStr">
        <is>
          <t>VERIFIED 2026-08-22</t>
        </is>
      </c>
    </row>
    <row r="38">
      <c r="A38" t="inlineStr">
        <is>
          <t>MK-PL-M-037</t>
        </is>
      </c>
      <c r="B38" t="inlineStr">
        <is>
          <t>Plan</t>
        </is>
      </c>
      <c r="C38" t="inlineStr">
        <is>
          <t>/education</t>
        </is>
      </c>
      <c r="D38" t="inlineStr">
        <is>
          <t>$X/mo set aside closes the $Y gap</t>
        </is>
      </c>
      <c r="E38" t="inlineStr">
        <is>
          <t>plan.monthlyNeeded / plan.gap</t>
        </is>
      </c>
      <c r="F38" t="inlineStr">
        <is>
          <t>EDUCATION_COST  [NAME ASSIGNED HERE — no engine row exists for it yet]</t>
        </is>
      </c>
      <c r="G38" t="inlineStr">
        <is>
          <t>MK-PL-E-017</t>
        </is>
      </c>
      <c r="H38" t="inlineStr">
        <is>
          <t>future cost = today’s cost × (1 + education inflation)^years;  monthly needed = gap ÷ months until school starts</t>
        </is>
      </c>
      <c r="I38" t="inlineStr">
        <is>
          <t>Grows today's cost of school by education inflation to the year it starts, then divides what is still missing by the months until then.</t>
        </is>
      </c>
      <c r="J38" t="inlineStr">
        <is>
          <t>NOT DETERMINED — no input list on record for this engine</t>
        </is>
      </c>
      <c r="K38" t="inlineStr">
        <is>
          <t>US dollars · held to the cent · shown as whole dollars  [derived by rule — confirm]</t>
        </is>
      </c>
      <c r="L38" t="inlineStr">
        <is>
          <t>A division: with nothing on the bottom there is no answer, and the line must not appear as zero. NOT YET CONFIRMED against the engine.</t>
        </is>
      </c>
      <c r="M38" t="inlineStr">
        <is>
          <t>One figure per person — or per household when two people share one record  [derived by rule — confirm]</t>
        </is>
      </c>
      <c r="N38" t="inlineStr">
        <is>
          <t>As of today, from the latest figures held  [derived by rule — confirm]</t>
        </is>
      </c>
      <c r="O38" t="inlineStr">
        <is>
          <t>NOT DETERMINED</t>
        </is>
      </c>
      <c r="P38" t="inlineStr"/>
      <c r="Q38" t="inlineStr"/>
      <c r="R38" t="inlineStr">
        <is>
          <t>[Built in] Inflation comes from a published feed, with a fallback figure when the feed is silent.</t>
        </is>
      </c>
      <c r="S38" t="inlineStr"/>
      <c r="T38" t="inlineStr"/>
      <c r="U38" t="inlineStr"/>
      <c r="V38" t="inlineStr"/>
      <c r="W38" t="inlineStr">
        <is>
          <t>NOT DETERMINED</t>
        </is>
      </c>
      <c r="X38" t="inlineStr">
        <is>
          <t>VERIFIED 2026-08-22</t>
        </is>
      </c>
    </row>
    <row r="39">
      <c r="A39" t="inlineStr"/>
      <c r="B39" t="inlineStr">
        <is>
          <t>Plan</t>
        </is>
      </c>
      <c r="C39" t="inlineStr">
        <is>
          <t>/add-account</t>
        </is>
      </c>
      <c r="D39" t="inlineStr">
        <is>
          <t>—</t>
        </is>
      </c>
      <c r="E39" t="inlineStr">
        <is>
          <t>—</t>
        </is>
      </c>
      <c r="F39" t="inlineStr">
        <is>
          <t>—</t>
        </is>
      </c>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is>
          <t>NOT DETERMINED</t>
        </is>
      </c>
      <c r="W39" t="inlineStr">
        <is>
          <t>READ 2026-08-22 — no calculated figure on this screen</t>
        </is>
      </c>
    </row>
    <row r="40">
      <c r="A40" t="inlineStr"/>
      <c r="B40" t="inlineStr">
        <is>
          <t>Plan</t>
        </is>
      </c>
      <c r="C40" t="inlineStr">
        <is>
          <t>/connect</t>
        </is>
      </c>
      <c r="D40" t="inlineStr">
        <is>
          <t>—</t>
        </is>
      </c>
      <c r="E40" t="inlineStr">
        <is>
          <t>—</t>
        </is>
      </c>
      <c r="F40" t="inlineStr">
        <is>
          <t>—</t>
        </is>
      </c>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is>
          <t>NOT DETERMINED</t>
        </is>
      </c>
      <c r="W40" t="inlineStr">
        <is>
          <t>READ 2026-08-22 — no calculated figure on this screen</t>
        </is>
      </c>
    </row>
    <row r="41">
      <c r="A41" t="inlineStr"/>
      <c r="B41" t="inlineStr">
        <is>
          <t>Plan</t>
        </is>
      </c>
      <c r="C41" t="inlineStr">
        <is>
          <t>/import-holdings</t>
        </is>
      </c>
      <c r="D41" t="inlineStr">
        <is>
          <t>—</t>
        </is>
      </c>
      <c r="E41" t="inlineStr">
        <is>
          <t>—</t>
        </is>
      </c>
      <c r="F41" t="inlineStr">
        <is>
          <t>—</t>
        </is>
      </c>
      <c r="G41" t="inlineStr"/>
      <c r="H41" t="inlineStr"/>
      <c r="I41" t="inlineStr"/>
      <c r="J41" t="inlineStr"/>
      <c r="K41" t="inlineStr"/>
      <c r="L41" t="inlineStr"/>
      <c r="M41" t="inlineStr"/>
      <c r="N41" t="inlineStr"/>
      <c r="O41" t="inlineStr"/>
      <c r="P41" t="inlineStr"/>
      <c r="Q41" t="inlineStr"/>
      <c r="R41" t="inlineStr"/>
      <c r="S41" t="inlineStr"/>
      <c r="T41" t="inlineStr"/>
      <c r="U41" t="inlineStr"/>
      <c r="V41" t="inlineStr">
        <is>
          <t>NOT DETERMINED</t>
        </is>
      </c>
      <c r="W41" t="inlineStr">
        <is>
          <t>READ 2026-08-22 — no calculated figure on this screen</t>
        </is>
      </c>
    </row>
    <row r="42">
      <c r="A42" t="inlineStr"/>
      <c r="B42" t="inlineStr">
        <is>
          <t>Plan</t>
        </is>
      </c>
      <c r="C42" t="inlineStr">
        <is>
          <t>/performance</t>
        </is>
      </c>
      <c r="D42" t="inlineStr">
        <is>
          <t>—</t>
        </is>
      </c>
      <c r="E42" t="inlineStr">
        <is>
          <t>—</t>
        </is>
      </c>
      <c r="F42" t="inlineStr">
        <is>
          <t>—</t>
        </is>
      </c>
      <c r="G42" t="inlineStr"/>
      <c r="H42" t="inlineStr"/>
      <c r="I42" t="inlineStr"/>
      <c r="J42" t="inlineStr"/>
      <c r="K42" t="inlineStr"/>
      <c r="L42" t="inlineStr"/>
      <c r="M42" t="inlineStr"/>
      <c r="N42" t="inlineStr"/>
      <c r="O42" t="inlineStr"/>
      <c r="P42" t="inlineStr"/>
      <c r="Q42" t="inlineStr"/>
      <c r="R42" t="inlineStr"/>
      <c r="S42" t="inlineStr"/>
      <c r="T42" t="inlineStr"/>
      <c r="U42" t="inlineStr"/>
      <c r="V42" t="inlineStr">
        <is>
          <t>NOT DETERMINED</t>
        </is>
      </c>
      <c r="W42" t="inlineStr">
        <is>
          <t>READ 2026-08-22 — the same screen as /invest, reached by a second route</t>
        </is>
      </c>
    </row>
    <row r="43">
      <c r="A43" t="inlineStr"/>
      <c r="B43" t="inlineStr">
        <is>
          <t>Plan</t>
        </is>
      </c>
      <c r="C43" t="inlineStr">
        <is>
          <t>/sharpen</t>
        </is>
      </c>
      <c r="D43" t="inlineStr">
        <is>
          <t>—</t>
        </is>
      </c>
      <c r="E43" t="inlineStr">
        <is>
          <t>—</t>
        </is>
      </c>
      <c r="F43" t="inlineStr">
        <is>
          <t>—</t>
        </is>
      </c>
      <c r="G43" t="inlineStr"/>
      <c r="H43" t="inlineStr"/>
      <c r="I43" t="inlineStr"/>
      <c r="J43" t="inlineStr"/>
      <c r="K43" t="inlineStr"/>
      <c r="L43" t="inlineStr"/>
      <c r="M43" t="inlineStr"/>
      <c r="N43" t="inlineStr"/>
      <c r="O43" t="inlineStr"/>
      <c r="P43" t="inlineStr"/>
      <c r="Q43" t="inlineStr"/>
      <c r="R43" t="inlineStr"/>
      <c r="S43" t="inlineStr"/>
      <c r="T43" t="inlineStr"/>
      <c r="U43" t="inlineStr"/>
      <c r="V43" t="inlineStr">
        <is>
          <t>NOT DETERMINED</t>
        </is>
      </c>
      <c r="W43" t="inlineStr">
        <is>
          <t>READ 2026-08-22 — no calculated figure on this screen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34"/>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MK-CF-M-001</t>
        </is>
      </c>
      <c r="B2" t="inlineStr">
        <is>
          <t>Cashflow</t>
        </is>
      </c>
      <c r="C2" t="inlineStr">
        <is>
          <t>NA</t>
        </is>
      </c>
      <c r="D2" t="inlineStr">
        <is>
          <t>Expected in</t>
        </is>
      </c>
      <c r="E2" t="inlineStr">
        <is>
          <t>cell.inflow</t>
        </is>
      </c>
      <c r="F2" t="inlineStr">
        <is>
          <t>NOT IN OLD MASTER — the by-month grid, src/domain/cashflow</t>
        </is>
      </c>
      <c r="G2" t="inlineStr">
        <is>
          <t>MK-CF-E-001</t>
        </is>
      </c>
      <c r="H2" t="inlineStr">
        <is>
          <t>for month m: expected in = Σ(income landing in m);  planned out = Σ(bills and planned spending dated in m);  planned surplus = expected in − planned out</t>
        </is>
      </c>
      <c r="I2" t="inlineStr">
        <is>
          <t>Lays the year out month by month so a month with a big bill in it can be seen before it arrives.</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NOT DETERMINED</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MK-CF-M-002</t>
        </is>
      </c>
      <c r="B3" t="inlineStr">
        <is>
          <t>Cashflow</t>
        </is>
      </c>
      <c r="C3" t="inlineStr">
        <is>
          <t>NA</t>
        </is>
      </c>
      <c r="D3" t="inlineStr">
        <is>
          <t>Planned out · incl. &lt;big bill&gt;</t>
        </is>
      </c>
      <c r="E3" t="inlineStr">
        <is>
          <t>cell.outflow</t>
        </is>
      </c>
      <c r="F3" t="inlineStr">
        <is>
          <t>NOT IN OLD MASTER — the by-month grid, src/domain/cashflow</t>
        </is>
      </c>
      <c r="G3" t="inlineStr">
        <is>
          <t>MK-CF-E-001</t>
        </is>
      </c>
      <c r="H3" t="inlineStr">
        <is>
          <t>for month m: expected in = Σ(income landing in m);  planned out = Σ(bills and planned spending dated in m);  planned surplus = expected in − planned out</t>
        </is>
      </c>
      <c r="I3" t="inlineStr">
        <is>
          <t>Lays the year out month by month so a month with a big bill in it can be seen before it arrives.</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MK-CF-M-003</t>
        </is>
      </c>
      <c r="B4" t="inlineStr">
        <is>
          <t>Cashflow</t>
        </is>
      </c>
      <c r="C4" t="inlineStr">
        <is>
          <t>NA</t>
        </is>
      </c>
      <c r="D4">
        <f> Planned surplus</f>
        <v/>
      </c>
      <c r="E4" t="inlineStr">
        <is>
          <t>cell.net</t>
        </is>
      </c>
      <c r="F4" t="inlineStr">
        <is>
          <t>worked out on the screen: expected in − planned out</t>
        </is>
      </c>
      <c r="G4" t="inlineStr"/>
      <c r="H4" t="inlineStr">
        <is>
          <t>planned surplus = expected in − planned out</t>
        </is>
      </c>
      <c r="I4" t="inlineStr">
        <is>
          <t>Worked out on the screen itself, with no engine behind it — a place a second definition can appear.</t>
        </is>
      </c>
      <c r="J4" t="inlineStr">
        <is>
          <t>NOT DETERMINED — no input list on record for this engine</t>
        </is>
      </c>
      <c r="K4" t="inlineStr">
        <is>
          <t>US dollars · held to the cent · shown as whole dollars  [derived by rule — confirm]</t>
        </is>
      </c>
      <c r="L4" t="inlineStr">
        <is>
          <t>Inherits the refusal of the figures it is built from: if either side is missing, this line is not shown.</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MK-CF-M-004</t>
        </is>
      </c>
      <c r="B5" t="inlineStr">
        <is>
          <t>Cashflow</t>
        </is>
      </c>
      <c r="C5" t="inlineStr">
        <is>
          <t>NA</t>
        </is>
      </c>
      <c r="D5" t="inlineStr">
        <is>
          <t>Out (spent + debt)</t>
        </is>
      </c>
      <c r="E5" t="inlineStr">
        <is>
          <t>out</t>
        </is>
      </c>
      <c r="F5" t="inlineStr">
        <is>
          <t>NOT IN OLD MASTER — budgetVsActual, src/domain/budget</t>
        </is>
      </c>
      <c r="G5" t="inlineStr">
        <is>
          <t>MK-XS-E-011</t>
        </is>
      </c>
      <c r="H5" t="inlineStr">
        <is>
          <t>spent(bucket) = Σ(expenses dated in this month in that bucket, debt payments excluded);  remaining = planned − spent</t>
        </is>
      </c>
      <c r="I5" t="inlineStr">
        <is>
          <t>Adds up this month’s logged expenses by bucket and sets each against what was planned. Debt payments are deliberately left out, because debt is tracked on its own.</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debt, and one total per person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MK-CF-M-005</t>
        </is>
      </c>
      <c r="B6" t="inlineStr">
        <is>
          <t>Cashflow</t>
        </is>
      </c>
      <c r="C6" t="inlineStr">
        <is>
          <t>NA</t>
        </is>
      </c>
      <c r="D6">
        <f> Surplus</f>
        <v/>
      </c>
      <c r="E6" t="inlineStr">
        <is>
          <t>inn - out</t>
        </is>
      </c>
      <c r="F6" t="inlineStr">
        <is>
          <t>worked out on the screen: in − out</t>
        </is>
      </c>
      <c r="G6" t="inlineStr"/>
      <c r="H6" t="inlineStr">
        <is>
          <t>surplus = money in − money out</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MK-CF-M-006</t>
        </is>
      </c>
      <c r="B7" t="inlineStr">
        <is>
          <t>Cashflow</t>
        </is>
      </c>
      <c r="C7" t="inlineStr">
        <is>
          <t>NA</t>
        </is>
      </c>
      <c r="D7" t="inlineStr">
        <is>
          <t>YOUR SOURCES — Base salary</t>
        </is>
      </c>
      <c r="E7" t="inlineStr">
        <is>
          <t>op.baseSalary</t>
        </is>
      </c>
      <c r="F7" t="inlineStr">
        <is>
          <t>TOTAL_INCOME</t>
        </is>
      </c>
      <c r="G7" t="inlineStr">
        <is>
          <t>MK-XS-E-044</t>
        </is>
      </c>
      <c r="H7" t="inlineStr">
        <is>
          <t>gross a year = salary + self-employment + bonus + equity vesting + rental + other;  net a month = (gross − tax withheld − pre-tax contributions) ÷ 12</t>
        </is>
      </c>
      <c r="I7"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7" t="inlineStr">
        <is>
          <t>each part → its own engine above  [NOT AN INPUT — another engine’s answer; see the dependency column]</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MK-CF-M-007</t>
        </is>
      </c>
      <c r="B8" t="inlineStr">
        <is>
          <t>Cashflow</t>
        </is>
      </c>
      <c r="C8" t="inlineStr">
        <is>
          <t>NA</t>
        </is>
      </c>
      <c r="D8" t="inlineStr">
        <is>
          <t>YOUR SOURCES — Self-employment</t>
        </is>
      </c>
      <c r="E8" t="inlineStr">
        <is>
          <t>op.seAmount</t>
        </is>
      </c>
      <c r="F8" t="inlineStr">
        <is>
          <t>TOTAL_INCOME</t>
        </is>
      </c>
      <c r="G8" t="inlineStr">
        <is>
          <t>MK-XS-E-044</t>
        </is>
      </c>
      <c r="H8" t="inlineStr">
        <is>
          <t>gross a year = salary + self-employment + bonus + equity vesting + rental + other;  net a month = (gross − tax withheld − pre-tax contributions) ÷ 12</t>
        </is>
      </c>
      <c r="I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t="inlineStr">
        <is>
          <t>each part → its own engine above  [NOT AN INPUT — another engine’s answer; see the dependency column]</t>
        </is>
      </c>
      <c r="K8" t="inlineStr">
        <is>
          <t>US dollars · held to the cent · shown as whole dollars  [derived by rule — confirm]</t>
        </is>
      </c>
      <c r="L8" t="inlineStr">
        <is>
          <t>A division: with nothing on the bottom there is no answer, and the line must not appear as zero. NOT YET CONFIRMED against the engine.</t>
        </is>
      </c>
      <c r="M8" t="inlineStr">
        <is>
          <t>One figure per person — or per household when two people share one record  [derived by rule — confirm]</t>
        </is>
      </c>
      <c r="N8" t="inlineStr">
        <is>
          <t>As of today, from the latest figures held  [derived by rule — confirm]</t>
        </is>
      </c>
      <c r="O8"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MK-CF-M-008</t>
        </is>
      </c>
      <c r="B9" t="inlineStr">
        <is>
          <t>Cashflow</t>
        </is>
      </c>
      <c r="C9" t="inlineStr">
        <is>
          <t>NA</t>
        </is>
      </c>
      <c r="D9" t="inlineStr">
        <is>
          <t>YOUR SOURCES — Bonus</t>
        </is>
      </c>
      <c r="E9" t="inlineStr">
        <is>
          <t>op.bonusAnnual</t>
        </is>
      </c>
      <c r="F9" t="inlineStr">
        <is>
          <t>TOTAL_INCOME</t>
        </is>
      </c>
      <c r="G9" t="inlineStr">
        <is>
          <t>MK-XS-E-044</t>
        </is>
      </c>
      <c r="H9" t="inlineStr">
        <is>
          <t>gross a year = salary + self-employment + bonus + equity vesting + rental + other;  net a month = (gross − tax withheld − pre-tax contributions) ÷ 12</t>
        </is>
      </c>
      <c r="I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t="inlineStr">
        <is>
          <t>each part → its own engine above  [NOT AN INPUT — another engine’s answer; see the dependency column]</t>
        </is>
      </c>
      <c r="K9" t="inlineStr">
        <is>
          <t>US dollars · held to the cent · shown as whole dollars  [derived by rule — confirm]</t>
        </is>
      </c>
      <c r="L9" t="inlineStr">
        <is>
          <t>A division: with nothing on the bottom there is no answer, and the line must not appear as zero. NOT YET CONFIRMED against the engine.</t>
        </is>
      </c>
      <c r="M9" t="inlineStr">
        <is>
          <t>One figure per person — or per household when two people share one record  [derived by rule — confirm]</t>
        </is>
      </c>
      <c r="N9" t="inlineStr">
        <is>
          <t>As of today, from the latest figures held  [derived by rule — confirm]</t>
        </is>
      </c>
      <c r="O9"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9" t="inlineStr"/>
      <c r="Q9" t="inlineStr"/>
      <c r="R9" t="inlineStr">
        <is>
          <t>NOT DETERMINED — no assumption recorded for this figure yet.</t>
        </is>
      </c>
      <c r="S9" t="inlineStr"/>
      <c r="T9" t="inlineStr"/>
      <c r="U9" t="inlineStr"/>
      <c r="V9" t="inlineStr"/>
      <c r="W9" t="inlineStr">
        <is>
          <t>NOT DETERMINED</t>
        </is>
      </c>
      <c r="X9" t="inlineStr">
        <is>
          <t>VERIFIED 2026-08-22</t>
        </is>
      </c>
    </row>
    <row r="10">
      <c r="A10" t="inlineStr">
        <is>
          <t>MK-CF-M-009</t>
        </is>
      </c>
      <c r="B10" t="inlineStr">
        <is>
          <t>Cashflow</t>
        </is>
      </c>
      <c r="C10" t="inlineStr">
        <is>
          <t>NA</t>
        </is>
      </c>
      <c r="D10" t="inlineStr">
        <is>
          <t>YOUR SOURCES — Stock vesting (equity)</t>
        </is>
      </c>
      <c r="E10" t="inlineStr">
        <is>
          <t>rsuTotal</t>
        </is>
      </c>
      <c r="F10" t="inlineStr">
        <is>
          <t>NOT IN OLD MASTER — the equity schedule, src/domain/income</t>
        </is>
      </c>
      <c r="G10" t="inlineStr">
        <is>
          <t>MK-CF-E-002</t>
        </is>
      </c>
      <c r="H10" t="inlineStr">
        <is>
          <t>equity a year ÷ the vest months it lands in, by the stated weights</t>
        </is>
      </c>
      <c r="I10" t="inlineStr">
        <is>
          <t>Spreads stock that vests across the months it actually vests in, rather than smoothing it over the year.</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person — or per household when two people share one record  [derived by rule — confirm]</t>
        </is>
      </c>
      <c r="N10" t="inlineStr">
        <is>
          <t>As of today, from the latest figures held  [derived by rule — confirm]</t>
        </is>
      </c>
      <c r="O10" t="inlineStr">
        <is>
          <t>NOT DETERMINED</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MK-CF-M-010</t>
        </is>
      </c>
      <c r="B11" t="inlineStr">
        <is>
          <t>Cashflow</t>
        </is>
      </c>
      <c r="C11" t="inlineStr">
        <is>
          <t>NA</t>
        </is>
      </c>
      <c r="D11" t="inlineStr">
        <is>
          <t>YOUR SOURCES — Rental property</t>
        </is>
      </c>
      <c r="E11" t="inlineStr">
        <is>
          <t>rentalTotal</t>
        </is>
      </c>
      <c r="F11" t="inlineStr">
        <is>
          <t>RENTAL_INCOME_A_YEAR</t>
        </is>
      </c>
      <c r="G11" t="inlineStr">
        <is>
          <t>MK-XS-E-051</t>
        </is>
      </c>
      <c r="H11" t="inlineStr">
        <is>
          <t>rental net a year = rent received − running costs</t>
        </is>
      </c>
      <c r="I11" t="inlineStr">
        <is>
          <t>(income − costs) each month, added across properties, × 12.
A property that costs more than it earns REDUCES income rather than being floored at zero — a loss-making rental is a real fact about a plan.</t>
        </is>
      </c>
      <c r="J11" t="inlineStr">
        <is>
          <t>each rental → rentalList  [MK-XS-I-023]</t>
        </is>
      </c>
      <c r="K11" t="inlineStr">
        <is>
          <t>US dollars · held to the cent · shown as whole dollars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MK-XS-E-054 (RENTALS) → What rental properties are there, and what does each bring in?</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MK-CF-M-011</t>
        </is>
      </c>
      <c r="B12" t="inlineStr">
        <is>
          <t>Cashflow</t>
        </is>
      </c>
      <c r="C12" t="inlineStr">
        <is>
          <t>NA</t>
        </is>
      </c>
      <c r="D12" t="inlineStr">
        <is>
          <t>YOUR SOURCES — Social Security · pension</t>
        </is>
      </c>
      <c r="E12" t="inlineStr">
        <is>
          <t>guaranteed</t>
        </is>
      </c>
      <c r="F12" t="inlineStr">
        <is>
          <t>RETIREMENT_INCOME_NOW</t>
        </is>
      </c>
      <c r="G12" t="inlineStr">
        <is>
          <t>MK-PL-E-007</t>
        </is>
      </c>
      <c r="H12" t="inlineStr">
        <is>
          <t>guaranteed income now = Σ(streams already being received)</t>
        </is>
      </c>
      <c r="I12"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2" t="inlineStr">
        <is>
          <t>do they receive it now → incomeSources  [MK-XS-I-040] · the amounts → retirementIncomeMonthly  [MK-XS-I-008]</t>
        </is>
      </c>
      <c r="K12" t="inlineStr">
        <is>
          <t>US dollars · held to the cent · shown as whole dollars  [derived by rule — confirm]</t>
        </is>
      </c>
      <c r="L12" t="inlineStr">
        <is>
          <t>Adds up to $0 when there is nothing to add. Zero and "nothing recorded yet" look identical on screen — worth a decision.</t>
        </is>
      </c>
      <c r="M12" t="inlineStr">
        <is>
          <t>One figure per person — or per household when two people share one record  [derived by rule — confirm]</t>
        </is>
      </c>
      <c r="N12" t="inlineStr">
        <is>
          <t>As of today, from the latest figures held  [derived by rule — confirm]</t>
        </is>
      </c>
      <c r="O12" t="inlineStr">
        <is>
          <t>MK-XS-E-047 (RETIREMENT_INCOME) → How much retirement income arrives monthly?</t>
        </is>
      </c>
      <c r="P12" t="inlineStr"/>
      <c r="Q12" t="inlineStr"/>
      <c r="R12" t="inlineStr">
        <is>
          <t>NOT DETERMINED — no assumption recorded for this figure yet.</t>
        </is>
      </c>
      <c r="S12"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T12" t="inlineStr"/>
      <c r="U12" t="inlineStr"/>
      <c r="V12" t="inlineStr"/>
      <c r="W12" t="inlineStr">
        <is>
          <t>NOT DETERMINED</t>
        </is>
      </c>
      <c r="X12" t="inlineStr">
        <is>
          <t>VERIFIED 2026-08-22</t>
        </is>
      </c>
    </row>
    <row r="13">
      <c r="A13" t="inlineStr">
        <is>
          <t>MK-CF-M-012</t>
        </is>
      </c>
      <c r="B13" t="inlineStr">
        <is>
          <t>Cashflow</t>
        </is>
      </c>
      <c r="C13" t="inlineStr">
        <is>
          <t>NA</t>
        </is>
      </c>
      <c r="D13" t="inlineStr">
        <is>
          <t>RECEIVED · &lt;month&gt; — each payment</t>
        </is>
      </c>
      <c r="E13" t="inlineStr">
        <is>
          <t>i.amount</t>
        </is>
      </c>
      <c r="F13" t="inlineStr">
        <is>
          <t>NOT IN OLD MASTER — the received list, src/domain/income</t>
        </is>
      </c>
      <c r="G13" t="inlineStr">
        <is>
          <t>MK-CF-E-003</t>
        </is>
      </c>
      <c r="H13" t="inlineStr">
        <is>
          <t>each payment recorded this month, with its date and source</t>
        </is>
      </c>
      <c r="I13" t="inlineStr">
        <is>
          <t>Lists what has actually been received this month, rather than what was expected.</t>
        </is>
      </c>
      <c r="J13" t="inlineStr">
        <is>
          <t>NOT DETERMINED — no input list on record for this engine</t>
        </is>
      </c>
      <c r="K13" t="inlineStr">
        <is>
          <t>US dollars · held to the cent · shown as whole dollars  [derived by rule — confirm]</t>
        </is>
      </c>
      <c r="L13" t="inlineStr">
        <is>
          <t>NOT DETERMINED — this engine has not been read for its refusal yet.</t>
        </is>
      </c>
      <c r="M13" t="inlineStr">
        <is>
          <t>One figure per month  [derived by rule — confirm]</t>
        </is>
      </c>
      <c r="N13" t="inlineStr">
        <is>
          <t>This calendar month, to today  [derived by rule — confirm]</t>
        </is>
      </c>
      <c r="O13" t="inlineStr">
        <is>
          <t>NOT DETERMINED</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MK-CF-M-013</t>
        </is>
      </c>
      <c r="B14" t="inlineStr">
        <is>
          <t>Cashflow</t>
        </is>
      </c>
      <c r="C14" t="inlineStr">
        <is>
          <t>NA</t>
        </is>
      </c>
      <c r="D14" t="inlineStr">
        <is>
          <t>&lt;MONTH&gt; · $X SPENT</t>
        </is>
      </c>
      <c r="E14" t="inlineStr">
        <is>
          <t>spent</t>
        </is>
      </c>
      <c r="F14" t="inlineStr">
        <is>
          <t>SPENDING_BY_KIND</t>
        </is>
      </c>
      <c r="G14" t="inlineStr">
        <is>
          <t>MK-XS-E-021</t>
        </is>
      </c>
      <c r="H14" t="inlineStr">
        <is>
          <t>spent in a bucket = Σ(expenses this month in that bucket);  debt payments are excluded</t>
        </is>
      </c>
      <c r="I14" t="inlineStr">
        <is>
          <t>If the person answered category by category, total each category into its bucket. If they gave three summary figures instead, use those. Nothing answered is zero — never a guessed household average, which would put a number in their plan that nobody chose.</t>
        </is>
      </c>
      <c r="J14" t="inlineStr">
        <is>
          <t>the categories → spendCats  [MK-XS-I-032] · or the three summary figures → b_fixed, b_nonmonthly, b_flexible  [NOT AN INPUT — another engine’s answer; see the dependency column]</t>
        </is>
      </c>
      <c r="K14" t="inlineStr">
        <is>
          <t>US dollars · held to the cent · shown as whole dollars  [derived by rule — confirm]</t>
        </is>
      </c>
      <c r="L14" t="inlineStr">
        <is>
          <t>Adds up to $0 when there is nothing to add. Zero and "nothing recorded yet" look identical on screen — worth a decision.</t>
        </is>
      </c>
      <c r="M14" t="inlineStr">
        <is>
          <t>One figure per month  [derived by rule — confirm]</t>
        </is>
      </c>
      <c r="N14" t="inlineStr">
        <is>
          <t>As of today, from the latest figures held  [derived by rule — confirm]</t>
        </is>
      </c>
      <c r="O14" t="inlineStr">
        <is>
          <t>MK-XS-E-020 (READ_A_NUMBER) → What number did the person actually type?</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MK-CF-M-014</t>
        </is>
      </c>
      <c r="B15" t="inlineStr">
        <is>
          <t>Cashflow</t>
        </is>
      </c>
      <c r="C15" t="inlineStr">
        <is>
          <t>NA</t>
        </is>
      </c>
      <c r="D15" t="inlineStr">
        <is>
          <t>each expense and its amount</t>
        </is>
      </c>
      <c r="E15" t="inlineStr">
        <is>
          <t>e.amount</t>
        </is>
      </c>
      <c r="F15" t="inlineStr">
        <is>
          <t>SPENDING_BY_KIND</t>
        </is>
      </c>
      <c r="G15" t="inlineStr">
        <is>
          <t>MK-XS-E-021</t>
        </is>
      </c>
      <c r="H15" t="inlineStr">
        <is>
          <t>spent in a bucket = Σ(expenses this month in that bucket);  debt payments are excluded</t>
        </is>
      </c>
      <c r="I15" t="inlineStr">
        <is>
          <t>If the person answered category by category, total each category into its bucket. If they gave three summary figures instead, use those. Nothing answered is zero — never a guessed household average, which would put a number in their plan that nobody chose.</t>
        </is>
      </c>
      <c r="J15" t="inlineStr">
        <is>
          <t>the categories → spendCats  [MK-XS-I-032] · or the three summary figures → b_fixed, b_nonmonthly, b_flexible  [NOT AN INPUT — another engine’s answer; see the dependency column]</t>
        </is>
      </c>
      <c r="K15" t="inlineStr">
        <is>
          <t>US dollars · held to the cent · shown as whole dollars  [derived by rule — confirm]</t>
        </is>
      </c>
      <c r="L15" t="inlineStr">
        <is>
          <t>Adds up to $0 when there is nothing to add. Zero and "nothing recorded yet" look identical on screen — worth a decision.</t>
        </is>
      </c>
      <c r="M15" t="inlineStr">
        <is>
          <t>One figure per person — or per household when two people share one record  [derived by rule — confirm]</t>
        </is>
      </c>
      <c r="N15" t="inlineStr">
        <is>
          <t>As of today, from the latest figures held  [derived by rule — confirm]</t>
        </is>
      </c>
      <c r="O15" t="inlineStr">
        <is>
          <t>MK-XS-E-020 (READ_A_NUMBER) → What number did the person actually type?</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MK-CF-M-015</t>
        </is>
      </c>
      <c r="B16" t="inlineStr">
        <is>
          <t>Cashflow</t>
        </is>
      </c>
      <c r="C16" t="inlineStr">
        <is>
          <t>NA</t>
        </is>
      </c>
      <c r="D16" t="inlineStr">
        <is>
          <t>BY CATEGORY VS PLAN — $X of $Y</t>
        </is>
      </c>
      <c r="E16" t="inlineStr">
        <is>
          <t>b.spent / b.planned</t>
        </is>
      </c>
      <c r="F16" t="inlineStr">
        <is>
          <t>PLANNED_SPENDING</t>
        </is>
      </c>
      <c r="G16" t="inlineStr">
        <is>
          <t>MK-CF-E-004</t>
        </is>
      </c>
      <c r="H16" t="inlineStr">
        <is>
          <t>planned a month = Σ(each category’s planned amount);  remaining = planned − spent</t>
        </is>
      </c>
      <c r="I16"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6" t="inlineStr">
        <is>
          <t>the categories → SPENDING_BY_KIND  [MK-XS-I-032] · the single figure → monthlySpending  [MK-XS-I-024, MK-XS-I-030]</t>
        </is>
      </c>
      <c r="K16" t="inlineStr">
        <is>
          <t>US dollars · held to the cent · shown as whole dollars  [derived by rule — confirm]</t>
        </is>
      </c>
      <c r="L16" t="inlineStr">
        <is>
          <t>Adds up to $0 when there is nothing to add. Zero and "nothing recorded yet" look identical on screen — worth a decision.</t>
        </is>
      </c>
      <c r="M16" t="inlineStr">
        <is>
          <t>One figure per category  [derived by rule — confirm]</t>
        </is>
      </c>
      <c r="N16" t="inlineStr">
        <is>
          <t>As of today, from the latest figures held  [derived by rule — confirm]</t>
        </is>
      </c>
      <c r="O16" t="inlineStr">
        <is>
          <t>MK-XS-E-020 (READ_A_NUMBER) → What number did the person actually type?
MK-XS-E-021 (SPENDING_BY_KIND) → What is spent each month, split by kind?</t>
        </is>
      </c>
      <c r="P16" t="inlineStr"/>
      <c r="Q16" t="inlineStr"/>
      <c r="R16" t="inlineStr">
        <is>
          <t>NOT DETERMINED — no assumption recorded for this figure yet.</t>
        </is>
      </c>
      <c r="S16" t="inlineStr">
        <is>
          <t>THE SURVIVING IDENTIFIER for this figure. Folded in: MK-MN-M-007. Spending against plan for a category — the same comparison on Cash flow and on the expense screen. CONFIRM: the expense screen adds the amount being typed, which may make it a different figure.</t>
        </is>
      </c>
      <c r="T16" t="inlineStr"/>
      <c r="U16" t="inlineStr"/>
      <c r="V16" t="inlineStr"/>
      <c r="W16" t="inlineStr">
        <is>
          <t>NOT DETERMINED</t>
        </is>
      </c>
      <c r="X16" t="inlineStr">
        <is>
          <t>VERIFIED 2026-08-22</t>
        </is>
      </c>
    </row>
    <row r="17">
      <c r="A17" t="inlineStr">
        <is>
          <t>MK-CF-M-016</t>
        </is>
      </c>
      <c r="B17" t="inlineStr">
        <is>
          <t>Cashflow</t>
        </is>
      </c>
      <c r="C17" t="inlineStr">
        <is>
          <t>NA</t>
        </is>
      </c>
      <c r="D17" t="inlineStr">
        <is>
          <t>BIG-TICKET RADAR — &lt;bill&gt; · due &lt;month&gt;</t>
        </is>
      </c>
      <c r="E17" t="inlineStr">
        <is>
          <t>b.amount</t>
        </is>
      </c>
      <c r="F17" t="inlineStr">
        <is>
          <t>NOT IN OLD MASTER — the big-bill radar, src/domain/cashflow</t>
        </is>
      </c>
      <c r="G17" t="inlineStr">
        <is>
          <t>MK-CF-E-005</t>
        </is>
      </c>
      <c r="H17" t="inlineStr">
        <is>
          <t>a bill is flagged when its amount is large relative to a typical month and it falls within the horizon shown</t>
        </is>
      </c>
      <c r="I17" t="inlineStr">
        <is>
          <t>Points out the big one-off bills coming up, so they are not a surprise.</t>
        </is>
      </c>
      <c r="J17" t="inlineStr">
        <is>
          <t>NOT DETERMINED — no input list on record for this engine</t>
        </is>
      </c>
      <c r="K17" t="inlineStr">
        <is>
          <t>US dollars · held to the cent · shown as whole dollars  [derived by rule — confirm]</t>
        </is>
      </c>
      <c r="L17" t="inlineStr">
        <is>
          <t>NOT DETERMINED — this engine has not been read for its refusal yet.</t>
        </is>
      </c>
      <c r="M17" t="inlineStr">
        <is>
          <t>One figure per month  [derived by rule — confirm]</t>
        </is>
      </c>
      <c r="N17" t="inlineStr">
        <is>
          <t>As of today, from the latest figures held  [derived by rule — confirm]</t>
        </is>
      </c>
      <c r="O17" t="inlineStr">
        <is>
          <t>NOT DETERMINED</t>
        </is>
      </c>
      <c r="P17" t="inlineStr"/>
      <c r="Q17" t="inlineStr"/>
      <c r="R17" t="inlineStr">
        <is>
          <t>NOT DETERMINED — no assumption recorded for this figure yet.</t>
        </is>
      </c>
      <c r="S17" t="inlineStr"/>
      <c r="T17" t="inlineStr"/>
      <c r="U17" t="inlineStr"/>
      <c r="V17" t="inlineStr"/>
      <c r="W17" t="inlineStr">
        <is>
          <t>NOT DETERMINED</t>
        </is>
      </c>
      <c r="X17" t="inlineStr">
        <is>
          <t>VERIFIED 2026-08-22</t>
        </is>
      </c>
    </row>
    <row r="18">
      <c r="A18" t="inlineStr">
        <is>
          <t>MK-CF-M-017</t>
        </is>
      </c>
      <c r="B18" t="inlineStr">
        <is>
          <t>Cashflow</t>
        </is>
      </c>
      <c r="C18" t="inlineStr">
        <is>
          <t>NA</t>
        </is>
      </c>
      <c r="D18" t="inlineStr">
        <is>
          <t>well above your usual &lt;category&gt;</t>
        </is>
      </c>
      <c r="E18" t="inlineStr">
        <is>
          <t>e.amount</t>
        </is>
      </c>
      <c r="F18" t="inlineStr">
        <is>
          <t>NOT IN OLD MASTER — the unusual-spend check, src/domain/budget</t>
        </is>
      </c>
      <c r="G18" t="inlineStr">
        <is>
          <t>MK-CF-E-006</t>
        </is>
      </c>
      <c r="H18" t="inlineStr">
        <is>
          <t>flagged when an expense is well above the usual amount for its category</t>
        </is>
      </c>
      <c r="I18" t="inlineStr">
        <is>
          <t>Marks a single expense that sits well above what that category normally costs.</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category  [derived by rule — confirm]</t>
        </is>
      </c>
      <c r="N18" t="inlineStr">
        <is>
          <t>As of today, from the latest figures held  [derived by rule — confirm]</t>
        </is>
      </c>
      <c r="O18" t="inlineStr">
        <is>
          <t>NOT DETERMINED</t>
        </is>
      </c>
      <c r="P18" t="inlineStr"/>
      <c r="Q18" t="inlineStr"/>
      <c r="R18" t="inlineStr">
        <is>
          <t>NOT DETERMINED — no assumption recorded for this figure yet.</t>
        </is>
      </c>
      <c r="S18" t="inlineStr"/>
      <c r="T18" t="inlineStr"/>
      <c r="U18" t="inlineStr"/>
      <c r="V18" t="inlineStr"/>
      <c r="W18" t="inlineStr">
        <is>
          <t>NOT DETERMINED</t>
        </is>
      </c>
      <c r="X18" t="inlineStr">
        <is>
          <t>VERIFIED 2026-08-22</t>
        </is>
      </c>
    </row>
    <row r="19">
      <c r="A19" t="inlineStr">
        <is>
          <t>MK-CF-M-018</t>
        </is>
      </c>
      <c r="B19" t="inlineStr">
        <is>
          <t>Cashflow</t>
        </is>
      </c>
      <c r="C19" t="inlineStr">
        <is>
          <t>NA</t>
        </is>
      </c>
      <c r="D19" t="inlineStr">
        <is>
          <t>THIS MONTH — In (take-home)</t>
        </is>
      </c>
      <c r="E19" t="inlineStr">
        <is>
          <t>inflow</t>
        </is>
      </c>
      <c r="F19" t="inlineStr">
        <is>
          <t>NOT IN OLD MASTER — incomeMonthlyGrid, src/domain/income</t>
        </is>
      </c>
      <c r="G19" t="inlineStr">
        <is>
          <t>MK-XS-E-012</t>
        </is>
      </c>
      <c r="H19" t="inlineStr">
        <is>
          <t>money in month m = salary(m) + tips(m) + rental ÷ 12 + bonus(m) + equity vesting(m) − withholding(m) − pre-tax contributions(m)</t>
        </is>
      </c>
      <c r="I19" t="inlineStr">
        <is>
          <t>Builds twelve months of money in, one month at a time. Salary comes from the per-month table, equity lands in the months it vests, the bonus lands in its own month, and each month has its own withholding rate.</t>
        </is>
      </c>
      <c r="J19" t="inlineStr">
        <is>
          <t>NOT DETERMINED — no input list on record for this engine</t>
        </is>
      </c>
      <c r="K19" t="inlineStr">
        <is>
          <t>US dollars · held to the cent · shown as whole dollars  [derived by rule — confirm]</t>
        </is>
      </c>
      <c r="L19" t="inlineStr">
        <is>
          <t>A division: with nothing on the bottom there is no answer, and the line must not appear as zero. NOT YET CONFIRMED against the engine.</t>
        </is>
      </c>
      <c r="M19" t="inlineStr">
        <is>
          <t>One figure per month  [derived by rule — confirm]</t>
        </is>
      </c>
      <c r="N19" t="inlineStr">
        <is>
          <t>This calendar month, to today  [derived by rule — confirm]</t>
        </is>
      </c>
      <c r="O19" t="inlineStr">
        <is>
          <t>NOT DETERMINED</t>
        </is>
      </c>
      <c r="P19" t="inlineStr"/>
      <c r="Q19" t="inlineStr"/>
      <c r="R19" t="inlineStr">
        <is>
          <t>NOT DETERMINED — no assumption recorded for this figure yet.</t>
        </is>
      </c>
      <c r="S19" t="inlineStr">
        <is>
          <t>THE SAME FIGURE AS MK-XS-M-006 — Money in this month. "In (take-home)" on Cash flow is the same figure as "Income" on Home.</t>
        </is>
      </c>
      <c r="T19" t="inlineStr"/>
      <c r="U19" t="inlineStr"/>
      <c r="V19" t="inlineStr"/>
      <c r="W19" t="inlineStr">
        <is>
          <t>NOT DETERMINED</t>
        </is>
      </c>
      <c r="X19" t="inlineStr">
        <is>
          <t>VERIFIED 2026-08-22</t>
        </is>
      </c>
    </row>
    <row r="20">
      <c r="A20" t="inlineStr">
        <is>
          <t>MK-CF-M-019</t>
        </is>
      </c>
      <c r="B20" t="inlineStr">
        <is>
          <t>Cashflow</t>
        </is>
      </c>
      <c r="C20" t="inlineStr">
        <is>
          <t>NA</t>
        </is>
      </c>
      <c r="D20" t="inlineStr">
        <is>
          <t>THIS MONTH — Out (bills + debt)</t>
        </is>
      </c>
      <c r="E20" t="inlineStr">
        <is>
          <t>outflow</t>
        </is>
      </c>
      <c r="F20" t="inlineStr">
        <is>
          <t>SPENDING_BY_KIND · DEBT_REQUIRED_PAYMENT</t>
        </is>
      </c>
      <c r="G20" t="inlineStr">
        <is>
          <t>MK-CF-E-007</t>
        </is>
      </c>
      <c r="H20" t="inlineStr">
        <is>
          <t>money out = Σ(expenses this month) + Σ(required debt payments)</t>
        </is>
      </c>
      <c r="I20"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20" t="inlineStr">
        <is>
          <t>the categories → spendCats  [MK-XS-I-032] · or the three summary figures → b_fixed, b_nonmonthly, b_flexible  [NOT AN INPUT — another engine’s answer; see the dependency column] · shape → paymentShape  [MK-XS-I-042] · minimum → minimum_monthly_payment  [MK-XS-I-016] · chosen → monthly_payment  [MK-XS-I-041]</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debt, and one total per person  [derived by rule — confirm]</t>
        </is>
      </c>
      <c r="N20" t="inlineStr">
        <is>
          <t>This calendar month, to today  [derived by rule — confirm]</t>
        </is>
      </c>
      <c r="O20" t="inlineStr">
        <is>
          <t>MK-XS-E-020 (READ_A_NUMBER) → What number did the person actually type?
MK-XS-E-019 (DEBT_SHAPE) → How is THIS debt repaid?</t>
        </is>
      </c>
      <c r="P20" t="inlineStr"/>
      <c r="Q20" t="inlineStr"/>
      <c r="R20" t="inlineStr">
        <is>
          <t>NOT DETERMINED — no assumption recorded for this figure yet.</t>
        </is>
      </c>
      <c r="S20" t="inlineStr"/>
      <c r="T20" t="inlineStr"/>
      <c r="U20" t="inlineStr"/>
      <c r="V20" t="inlineStr"/>
      <c r="W20" t="inlineStr">
        <is>
          <t>NOT DETERMINED</t>
        </is>
      </c>
      <c r="X20" t="inlineStr">
        <is>
          <t>VERIFIED 2026-08-22</t>
        </is>
      </c>
    </row>
    <row r="21">
      <c r="A21" t="inlineStr">
        <is>
          <t>MK-CF-M-020</t>
        </is>
      </c>
      <c r="B21" t="inlineStr">
        <is>
          <t>Cashflow</t>
        </is>
      </c>
      <c r="C21" t="inlineStr">
        <is>
          <t>NA</t>
        </is>
      </c>
      <c r="D21" t="inlineStr">
        <is>
          <t>THIS MONTH — free to use</t>
        </is>
      </c>
      <c r="E21" t="inlineStr">
        <is>
          <t>free</t>
        </is>
      </c>
      <c r="F21" t="inlineStr">
        <is>
          <t>worked out on the screen: in − out − what the Plan committed</t>
        </is>
      </c>
      <c r="G21" t="inlineStr"/>
      <c r="H21" t="inlineStr">
        <is>
          <t>free to use = money in − money out − Σ(monthly amounts the Plan committed)</t>
        </is>
      </c>
      <c r="I21" t="inlineStr">
        <is>
          <t>Worked out on the screen itself, with no engine behind it — a place a second definition can appear.</t>
        </is>
      </c>
      <c r="J21" t="inlineStr">
        <is>
          <t>NOT DETERMINED — no input list on record for this engine</t>
        </is>
      </c>
      <c r="K21" t="inlineStr">
        <is>
          <t>US dollars · held to the cent · shown as whole dollars  [derived by rule — confirm]</t>
        </is>
      </c>
      <c r="L21" t="inlineStr">
        <is>
          <t>Inherits the refusal of the figures it is built from: if either side is missing, this line is not shown.</t>
        </is>
      </c>
      <c r="M21" t="inlineStr">
        <is>
          <t>One figure per month  [derived by rule — confirm]</t>
        </is>
      </c>
      <c r="N21" t="inlineStr">
        <is>
          <t>This calendar month, to today  [derived by rule — confirm]</t>
        </is>
      </c>
      <c r="O21" t="inlineStr">
        <is>
          <t>NOT DETERMINED</t>
        </is>
      </c>
      <c r="P21" t="inlineStr"/>
      <c r="Q21" t="inlineStr"/>
      <c r="R21" t="inlineStr">
        <is>
          <t>NOT DETERMINED — no assumption recorded for this figure yet.</t>
        </is>
      </c>
      <c r="S21" t="inlineStr"/>
      <c r="T21" t="inlineStr"/>
      <c r="U21" t="inlineStr"/>
      <c r="V21" t="inlineStr"/>
      <c r="W21" t="inlineStr">
        <is>
          <t>NOT DETERMINED</t>
        </is>
      </c>
      <c r="X21" t="inlineStr">
        <is>
          <t>VERIFIED 2026-08-22</t>
        </is>
      </c>
    </row>
    <row r="22">
      <c r="A22" t="inlineStr">
        <is>
          <t>MK-CF-M-021</t>
        </is>
      </c>
      <c r="B22" t="inlineStr">
        <is>
          <t>Cashflow</t>
        </is>
      </c>
      <c r="C22" t="inlineStr">
        <is>
          <t>NA</t>
        </is>
      </c>
      <c r="D22" t="inlineStr">
        <is>
          <t>&lt;goal&gt; · from your Plan</t>
        </is>
      </c>
      <c r="E22" t="inlineStr">
        <is>
          <t>c.monthlyAmount</t>
        </is>
      </c>
      <c r="F22" t="inlineStr">
        <is>
          <t>NOT IN OLD MASTER — plan commitments, src/domain/planning</t>
        </is>
      </c>
      <c r="G22" t="inlineStr">
        <is>
          <t>MK-CF-E-008</t>
        </is>
      </c>
      <c r="H22" t="inlineStr">
        <is>
          <t>Σ(monthly amount of each goal the Plan has committed to)</t>
        </is>
      </c>
      <c r="I22" t="inlineStr">
        <is>
          <t>The monthly amounts the Plan has already promised to goals, so cash flow can show what is genuinely free.</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goal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MK-CF-M-022</t>
        </is>
      </c>
      <c r="B23" t="inlineStr">
        <is>
          <t>Cashflow</t>
        </is>
      </c>
      <c r="C23" t="inlineStr">
        <is>
          <t>NA</t>
        </is>
      </c>
      <c r="D23" t="inlineStr">
        <is>
          <t>YOUR FUTURE PAYCHECK — At &lt;age&gt;: ~$X / mo</t>
        </is>
      </c>
      <c r="E23" t="inlineStr">
        <is>
          <t>projection.monthly</t>
        </is>
      </c>
      <c r="F23" t="inlineStr">
        <is>
          <t>POT_AT_RETIREMENT</t>
        </is>
      </c>
      <c r="G23" t="inlineStr">
        <is>
          <t>MK-NW-E-009</t>
        </is>
      </c>
      <c r="H23" t="inlineStr">
        <is>
          <t>pot = balance × (1 + r)^n + Σ(contribution × (1 + r)^(n − year)),  n = years to retirement</t>
        </is>
      </c>
      <c r="I2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3" t="inlineStr">
        <is>
          <t>the same inputs → inp  [MK-XS-I-001]</t>
        </is>
      </c>
      <c r="K23" t="inlineStr">
        <is>
          <t>Age in whole years  [derived by rule — confirm]</t>
        </is>
      </c>
      <c r="L23" t="inlineStr">
        <is>
          <t>No figure when there is nothing to grow, or when retirement is not ahead of the person.</t>
        </is>
      </c>
      <c r="M23" t="inlineStr">
        <is>
          <t>One figure per person — or per household when two people share one record  [derived by rule — confirm]</t>
        </is>
      </c>
      <c r="N23" t="inlineStr">
        <is>
          <t>As of today, from the latest figures held  [derived by rule — confirm]</t>
        </is>
      </c>
      <c r="O23" t="inlineStr">
        <is>
          <t>MK-XS-E-005 (WILL_IT_LAST) → Will my money last?</t>
        </is>
      </c>
      <c r="P23" t="inlineStr"/>
      <c r="Q23" t="inlineStr">
        <is>
          <t>The Net worth screen builds this projection WITHOUT the person's big costs, while Cash flow, Budget, Goals and Social Security timing all include them. Same person, same day, two different nest eggs. Seen in the code; not yet confirmed on screen.</t>
        </is>
      </c>
      <c r="R23"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23" t="inlineStr"/>
      <c r="T23" t="inlineStr"/>
      <c r="U23" t="inlineStr"/>
      <c r="V23" t="inlineStr"/>
      <c r="W23" t="inlineStr">
        <is>
          <t>NOT DETERMINED</t>
        </is>
      </c>
      <c r="X23" t="inlineStr">
        <is>
          <t>VERIFIED 2026-08-22</t>
        </is>
      </c>
    </row>
    <row r="24">
      <c r="A24" t="inlineStr">
        <is>
          <t>MK-CF-M-023</t>
        </is>
      </c>
      <c r="B24" t="inlineStr">
        <is>
          <t>Cashflow</t>
        </is>
      </c>
      <c r="C24" t="inlineStr">
        <is>
          <t>NA</t>
        </is>
      </c>
      <c r="D24" t="inlineStr">
        <is>
          <t>YOUR FUTURE PAYCHECK — Social Security · pension</t>
        </is>
      </c>
      <c r="E24" t="inlineStr">
        <is>
          <t>projection.guaranteed</t>
        </is>
      </c>
      <c r="F24" t="inlineStr">
        <is>
          <t>RETIREMENT_INCOME</t>
        </is>
      </c>
      <c r="G24" t="inlineStr">
        <is>
          <t>MK-XS-E-047</t>
        </is>
      </c>
      <c r="H24" t="inlineStr">
        <is>
          <t>guaranteed income a month = Social Security + pension + annuity + any other stated stream</t>
        </is>
      </c>
      <c r="I24" t="inlineStr">
        <is>
          <t>Add Social Security, pension, withdrawals, required minimum distributions, annuities and other — each converted to a monthly figure from however it was entered (yearly, quarterly, monthly).</t>
        </is>
      </c>
      <c r="J24" t="inlineStr">
        <is>
          <t>each source → ri_ss  [MK-XS-I-020] · ri_pension  [MK-XS-I-022] · ri_withdrawals  [MK-XS-I-038] · ri_rmd  [MK-XS-I-037] · ri_annuities  [MK-XS-I-035] · ri_other  [MK-XS-I-036] · and how often each arrives → the matching frequency  [MK-XS-I-039]</t>
        </is>
      </c>
      <c r="K24" t="inlineStr">
        <is>
          <t>US dollars · held to the cent · shown as whole dollars  [derived by rule — confirm]</t>
        </is>
      </c>
      <c r="L24" t="inlineStr">
        <is>
          <t>NOT DETERMINED — this engine has not been read for its refusal yet.</t>
        </is>
      </c>
      <c r="M24" t="inlineStr">
        <is>
          <t>One figure per person — or per household when two people share one record  [derived by rule — confirm]</t>
        </is>
      </c>
      <c r="N24" t="inlineStr">
        <is>
          <t>As of today, from the latest figures held  [derived by rule — confirm]</t>
        </is>
      </c>
      <c r="O24" t="inlineStr">
        <is>
          <t>MK-XS-E-020 (READ_A_NUMBER) → What number did the person actually type?</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MK-CF-M-024</t>
        </is>
      </c>
      <c r="B25" t="inlineStr">
        <is>
          <t>Cashflow</t>
        </is>
      </c>
      <c r="C25" t="inlineStr">
        <is>
          <t>/monthly-income</t>
        </is>
      </c>
      <c r="D25" t="inlineStr">
        <is>
          <t>each source of guaranteed income</t>
        </is>
      </c>
      <c r="E25" t="inlineStr">
        <is>
          <t>g.amount</t>
        </is>
      </c>
      <c r="F25" t="inlineStr">
        <is>
          <t>RETIREMENT_INCOME_NOW</t>
        </is>
      </c>
      <c r="G25" t="inlineStr">
        <is>
          <t>MK-PL-E-007</t>
        </is>
      </c>
      <c r="H25" t="inlineStr">
        <is>
          <t>guaranteed income now = Σ(streams already being received)</t>
        </is>
      </c>
      <c r="I25"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25" t="inlineStr">
        <is>
          <t>do they receive it now → incomeSources  [MK-XS-I-040] · the amounts → retirementIncomeMonthly  [MK-XS-I-008]</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MK-XS-E-047 (RETIREMENT_INCOME) → How much retirement income arrives monthly?</t>
        </is>
      </c>
      <c r="P25" t="inlineStr"/>
      <c r="Q25" t="inlineStr"/>
      <c r="R25" t="inlineStr">
        <is>
          <t>NOT DETERMINED — no assumption recorded for this figure yet.</t>
        </is>
      </c>
      <c r="S25" t="inlineStr">
        <is>
          <t>THE SAME FIGURE AS MK-CF-M-011 — Guaranteed income being received now. Shown four ways: "You receive $X/mo" on Social Security timing, "incl. Social Security $X/mo" on the cockpit, as a source on Cash flow, and as a list on Monthly income. One figure, four identifiers.</t>
        </is>
      </c>
      <c r="T25" t="inlineStr"/>
      <c r="U25" t="inlineStr"/>
      <c r="V25" t="inlineStr"/>
      <c r="W25" t="inlineStr">
        <is>
          <t>NOT DETERMINED</t>
        </is>
      </c>
      <c r="X25" t="inlineStr">
        <is>
          <t>VERIFIED 2026-08-22</t>
        </is>
      </c>
    </row>
    <row r="26">
      <c r="A26" t="inlineStr">
        <is>
          <t>MK-CF-M-025</t>
        </is>
      </c>
      <c r="B26" t="inlineStr">
        <is>
          <t>Cashflow</t>
        </is>
      </c>
      <c r="C26" t="inlineStr">
        <is>
          <t>/month-detail</t>
        </is>
      </c>
      <c r="D26" t="inlineStr">
        <is>
          <t>what came in and went out that month</t>
        </is>
      </c>
      <c r="E26" t="inlineStr">
        <is>
          <t>cell</t>
        </is>
      </c>
      <c r="F26" t="inlineStr">
        <is>
          <t>the by-month grid</t>
        </is>
      </c>
      <c r="G26" t="inlineStr">
        <is>
          <t>MK-CF-E-009</t>
        </is>
      </c>
      <c r="H26" t="inlineStr">
        <is>
          <t>see the by-month grid</t>
        </is>
      </c>
      <c r="I26" t="inlineStr">
        <is>
          <t>The month-by-month view of money in and money out.</t>
        </is>
      </c>
      <c r="J26" t="inlineStr">
        <is>
          <t>NOT DETERMINED — no input list on record for this engine</t>
        </is>
      </c>
      <c r="K26" t="inlineStr">
        <is>
          <t>US dollars · held to the cent · shown as whole dollars  [derived by rule — confirm]</t>
        </is>
      </c>
      <c r="L26" t="inlineStr">
        <is>
          <t>NOT DETERMINED — this engine has not been read for its refusal yet.</t>
        </is>
      </c>
      <c r="M26" t="inlineStr">
        <is>
          <t>One figure per month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MK-CF-M-026</t>
        </is>
      </c>
      <c r="B27" t="inlineStr">
        <is>
          <t>Cashflow</t>
        </is>
      </c>
      <c r="C27" t="inlineStr">
        <is>
          <t>/paycheck-months</t>
        </is>
      </c>
      <c r="D27" t="inlineStr">
        <is>
          <t>the months a paycheck lands</t>
        </is>
      </c>
      <c r="E27" t="inlineStr">
        <is>
          <t>payYear</t>
        </is>
      </c>
      <c r="F27" t="inlineStr">
        <is>
          <t>RETIREMENT_PAYCHECK  [NAME ASSIGNED HERE — no engine row exists for it yet]</t>
        </is>
      </c>
      <c r="G27" t="inlineStr">
        <is>
          <t>MK-CF-E-010</t>
        </is>
      </c>
      <c r="H27" t="inlineStr">
        <is>
          <t>paycheck a month = guaranteed income + the draw from savings</t>
        </is>
      </c>
      <c r="I27" t="inlineStr">
        <is>
          <t>Builds the monthly paycheck in retirement: what is guaranteed that month, plus what can be drawn from savings without breaking the plan.</t>
        </is>
      </c>
      <c r="J27" t="inlineStr">
        <is>
          <t>NOT DETERMINED — no input list on record for this engine</t>
        </is>
      </c>
      <c r="K27" t="inlineStr">
        <is>
          <t>Months · one decimal  [derived by rule — confirm]</t>
        </is>
      </c>
      <c r="L27" t="inlineStr">
        <is>
          <t>NOT DETERMINED — this engine has not been read for its refusal yet.</t>
        </is>
      </c>
      <c r="M27" t="inlineStr">
        <is>
          <t>One figure per month  [derived by rule — confirm]</t>
        </is>
      </c>
      <c r="N27" t="inlineStr">
        <is>
          <t>As of today, from the latest figures held  [derived by rule — confirm]</t>
        </is>
      </c>
      <c r="O27" t="inlineStr">
        <is>
          <t>NOT DETERMINED</t>
        </is>
      </c>
      <c r="P27" t="inlineStr"/>
      <c r="Q27" t="inlineStr"/>
      <c r="R27" t="inlineStr">
        <is>
          <t>[Founder] Withdrawals, including required ones, are NOT counted as guaranteed income — counting money coming out of the pot as income would count the same dollars twice (fix B5).</t>
        </is>
      </c>
      <c r="S27" t="inlineStr"/>
      <c r="T27" t="inlineStr">
        <is>
          <t>Q30 — The draw from savings is shown as one figure a month. Should it hold steady in today's dollars, or rise with inflation each year?</t>
        </is>
      </c>
      <c r="U27" t="inlineStr"/>
      <c r="V27" t="inlineStr"/>
      <c r="W27" t="inlineStr">
        <is>
          <t>NOT DETERMINED</t>
        </is>
      </c>
      <c r="X27" t="inlineStr">
        <is>
          <t>VERIFIED 2026-08-22</t>
        </is>
      </c>
    </row>
    <row r="28">
      <c r="A28" t="inlineStr">
        <is>
          <t>MK-CF-M-027</t>
        </is>
      </c>
      <c r="B28" t="inlineStr">
        <is>
          <t>Cashflow</t>
        </is>
      </c>
      <c r="C28" t="inlineStr">
        <is>
          <t>/income-manager</t>
        </is>
      </c>
      <c r="D28" t="inlineStr">
        <is>
          <t>each income source and its amount</t>
        </is>
      </c>
      <c r="E28" t="inlineStr">
        <is>
          <t>sources</t>
        </is>
      </c>
      <c r="F28" t="inlineStr">
        <is>
          <t>TOTAL_INCOME</t>
        </is>
      </c>
      <c r="G28" t="inlineStr">
        <is>
          <t>MK-XS-E-044</t>
        </is>
      </c>
      <c r="H28" t="inlineStr">
        <is>
          <t>gross a year = salary + self-employment + bonus + equity vesting + rental + other;  net a month = (gross − tax withheld − pre-tax contributions) ÷ 12</t>
        </is>
      </c>
      <c r="I2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8" t="inlineStr">
        <is>
          <t>each part → its own engine above  [NOT AN INPUT — another engine’s answer; see the dependency column]</t>
        </is>
      </c>
      <c r="K28" t="inlineStr">
        <is>
          <t>US dollars · held to the cent · shown as whole dollars  [derived by rule — confirm]</t>
        </is>
      </c>
      <c r="L28" t="inlineStr">
        <is>
          <t>A division: with nothing on the bottom there is no answer, and the line must not appear as zero. NOT YET CONFIRMED against the engine.</t>
        </is>
      </c>
      <c r="M28" t="inlineStr">
        <is>
          <t>One figure per person — or per household when two people share one record  [derived by rule — confirm]</t>
        </is>
      </c>
      <c r="N28" t="inlineStr">
        <is>
          <t>As of today, from the latest figures held  [derived by rule — confirm]</t>
        </is>
      </c>
      <c r="O28"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MK-CF-M-028</t>
        </is>
      </c>
      <c r="B29" t="inlineStr">
        <is>
          <t>Cashflow</t>
        </is>
      </c>
      <c r="C29" t="inlineStr">
        <is>
          <t>/bill-calendar</t>
        </is>
      </c>
      <c r="D29" t="inlineStr">
        <is>
          <t>each bill and the day it falls</t>
        </is>
      </c>
      <c r="E29" t="inlineStr">
        <is>
          <t>bills</t>
        </is>
      </c>
      <c r="F29" t="inlineStr">
        <is>
          <t>THE_BILL_CALENDAR  [NAME ASSIGNED HERE — no engine row exists for it yet]</t>
        </is>
      </c>
      <c r="G29" t="inlineStr">
        <is>
          <t>MK-CF-E-011</t>
        </is>
      </c>
      <c r="H29" t="inlineStr">
        <is>
          <t>each bill falls on its stated day;  the month’s bills = Σ(amounts due in that month)</t>
        </is>
      </c>
      <c r="I29" t="inlineStr">
        <is>
          <t>Places each recurring bill on the day of the month it falls, so the shape of the month can be seen.</t>
        </is>
      </c>
      <c r="J29" t="inlineStr">
        <is>
          <t>NOT DETERMINED — no input list on record for this engine</t>
        </is>
      </c>
      <c r="K29" t="inlineStr">
        <is>
          <t>US dollars · held to the cent · shown as whole dollars  [derived by rule — confirm]</t>
        </is>
      </c>
      <c r="L29" t="inlineStr">
        <is>
          <t>Adds up to $0 when there is nothing to add. Zero and "nothing recorded yet" look identical on screen — worth a decision.</t>
        </is>
      </c>
      <c r="M29" t="inlineStr">
        <is>
          <t>One figure per person — or per household when two people share one record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c r="B30" t="inlineStr">
        <is>
          <t>Cashflow</t>
        </is>
      </c>
      <c r="C30" t="inlineStr">
        <is>
          <t>/add-account</t>
        </is>
      </c>
      <c r="D30" t="inlineStr">
        <is>
          <t>—</t>
        </is>
      </c>
      <c r="E30" t="inlineStr">
        <is>
          <t>—</t>
        </is>
      </c>
      <c r="F30" t="inlineStr">
        <is>
          <t>—</t>
        </is>
      </c>
      <c r="G30" t="inlineStr"/>
      <c r="H30" t="inlineStr"/>
      <c r="I30" t="inlineStr"/>
      <c r="J30" t="inlineStr"/>
      <c r="K30" t="inlineStr"/>
      <c r="L30" t="inlineStr"/>
      <c r="M30" t="inlineStr"/>
      <c r="N30" t="inlineStr"/>
      <c r="O30" t="inlineStr"/>
      <c r="P30" t="inlineStr"/>
      <c r="Q30" t="inlineStr"/>
      <c r="R30" t="inlineStr"/>
      <c r="S30" t="inlineStr"/>
      <c r="T30" t="inlineStr"/>
      <c r="U30" t="inlineStr"/>
      <c r="V30" t="inlineStr">
        <is>
          <t>NOT DETERMINED</t>
        </is>
      </c>
      <c r="W30" t="inlineStr">
        <is>
          <t>READ 2026-08-22 — no calculated figure on this screen</t>
        </is>
      </c>
    </row>
    <row r="31">
      <c r="A31" t="inlineStr"/>
      <c r="B31" t="inlineStr">
        <is>
          <t>Cashflow</t>
        </is>
      </c>
      <c r="C31" t="inlineStr">
        <is>
          <t>/connect</t>
        </is>
      </c>
      <c r="D31" t="inlineStr">
        <is>
          <t>—</t>
        </is>
      </c>
      <c r="E31" t="inlineStr">
        <is>
          <t>—</t>
        </is>
      </c>
      <c r="F31" t="inlineStr">
        <is>
          <t>—</t>
        </is>
      </c>
      <c r="G31" t="inlineStr"/>
      <c r="H31" t="inlineStr"/>
      <c r="I31" t="inlineStr"/>
      <c r="J31" t="inlineStr"/>
      <c r="K31" t="inlineStr"/>
      <c r="L31" t="inlineStr"/>
      <c r="M31" t="inlineStr"/>
      <c r="N31" t="inlineStr"/>
      <c r="O31" t="inlineStr"/>
      <c r="P31" t="inlineStr"/>
      <c r="Q31" t="inlineStr"/>
      <c r="R31" t="inlineStr"/>
      <c r="S31" t="inlineStr"/>
      <c r="T31" t="inlineStr"/>
      <c r="U31" t="inlineStr"/>
      <c r="V31" t="inlineStr">
        <is>
          <t>NOT DETERMINED</t>
        </is>
      </c>
      <c r="W31" t="inlineStr">
        <is>
          <t>READ 2026-08-22 — no calculated figure on this screen</t>
        </is>
      </c>
    </row>
    <row r="32">
      <c r="A32" t="inlineStr"/>
      <c r="B32" t="inlineStr">
        <is>
          <t>Cashflow</t>
        </is>
      </c>
      <c r="C32" t="inlineStr">
        <is>
          <t>/import-holdings</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NOT DETERMINED</t>
        </is>
      </c>
      <c r="W32" t="inlineStr">
        <is>
          <t>READ 2026-08-22 — no calculated figure on this screen</t>
        </is>
      </c>
    </row>
    <row r="33">
      <c r="A33" t="inlineStr"/>
      <c r="B33" t="inlineStr">
        <is>
          <t>Cashflow</t>
        </is>
      </c>
      <c r="C33" t="inlineStr">
        <is>
          <t>/onboarding</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NOT DETERMINED</t>
        </is>
      </c>
      <c r="W33" t="inlineStr">
        <is>
          <t>READ 2026-08-22 — no calculated figure on this screen</t>
        </is>
      </c>
    </row>
    <row r="34">
      <c r="A34" t="inlineStr"/>
      <c r="B34" t="inlineStr">
        <is>
          <t>Cashflow</t>
        </is>
      </c>
      <c r="C34" t="inlineStr">
        <is>
          <t>/performance</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NOT DETERMINED</t>
        </is>
      </c>
      <c r="W34" t="inlineStr">
        <is>
          <t>READ 2026-08-22 — the same screen as /invest, reached by a second route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3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MK-MN-M-001</t>
        </is>
      </c>
      <c r="B2" t="inlineStr">
        <is>
          <t>Menu</t>
        </is>
      </c>
      <c r="C2" t="inlineStr">
        <is>
          <t>/big-costs</t>
        </is>
      </c>
      <c r="D2" t="inlineStr">
        <is>
          <t>each big cost and its year</t>
        </is>
      </c>
      <c r="E2" t="inlineStr">
        <is>
          <t>c.amount</t>
        </is>
      </c>
      <c r="F2" t="inlineStr">
        <is>
          <t>BIG_COSTS  [NAME ASSIGNED HERE — no engine row exists for it yet]</t>
        </is>
      </c>
      <c r="G2" t="inlineStr">
        <is>
          <t>MK-MN-E-001</t>
        </is>
      </c>
      <c r="H2" t="inlineStr">
        <is>
          <t>total = Σ(each big cost);  each one lands in the year it is dated</t>
        </is>
      </c>
      <c r="I2" t="inlineStr">
        <is>
          <t>Adds up the one-off costs the person has told us about, each sitting in the year it is expected.</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This calendar year, to today  [derived by rule — confirm]</t>
        </is>
      </c>
      <c r="O2" t="inlineStr">
        <is>
          <t>NOT DETERMINED</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MK-MN-M-002</t>
        </is>
      </c>
      <c r="B3" t="inlineStr">
        <is>
          <t>Menu</t>
        </is>
      </c>
      <c r="C3" t="inlineStr">
        <is>
          <t>/big-costs</t>
        </is>
      </c>
      <c r="D3" t="inlineStr">
        <is>
          <t>the total of your big costs</t>
        </is>
      </c>
      <c r="E3" t="inlineStr">
        <is>
          <t>total</t>
        </is>
      </c>
      <c r="F3" t="inlineStr">
        <is>
          <t>BIG_COSTS  [NAME ASSIGNED HERE — no engine row exists for it yet]</t>
        </is>
      </c>
      <c r="G3" t="inlineStr">
        <is>
          <t>MK-MN-E-001</t>
        </is>
      </c>
      <c r="H3" t="inlineStr">
        <is>
          <t>total = Σ(each big cost);  each one lands in the year it is dated</t>
        </is>
      </c>
      <c r="I3" t="inlineStr">
        <is>
          <t>Adds up the one-off costs the person has told us about, each sitting in the year it is expected.</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MK-MN-M-003</t>
        </is>
      </c>
      <c r="B4" t="inlineStr">
        <is>
          <t>Menu</t>
        </is>
      </c>
      <c r="C4" t="inlineStr">
        <is>
          <t>/contribution-room</t>
        </is>
      </c>
      <c r="D4" t="inlineStr">
        <is>
          <t>$X left / up to $Y</t>
        </is>
      </c>
      <c r="E4" t="inlineStr">
        <is>
          <t>room / limit</t>
        </is>
      </c>
      <c r="F4" t="inlineStr">
        <is>
          <t>CONTRIBUTION_ROOM  [NAME ASSIGNED HERE — no engine row exists for it yet]</t>
        </is>
      </c>
      <c r="G4" t="inlineStr">
        <is>
          <t>MK-MN-E-002</t>
        </is>
      </c>
      <c r="H4" t="inlineStr">
        <is>
          <t>room left = the year’s limit − what has already gone in;  per month = room left ÷ months left in the year</t>
        </is>
      </c>
      <c r="I4" t="inlineStr">
        <is>
          <t>Takes the year's legal limit for the account, subtracts what has already gone in, and divides what is left by the months remaining.</t>
        </is>
      </c>
      <c r="J4" t="inlineStr">
        <is>
          <t>NOT DETERMINED — no input list on record for this engine</t>
        </is>
      </c>
      <c r="K4" t="inlineStr">
        <is>
          <t>US dollars · held to the cent · shown as whole dollars  [derived by rule — confirm]</t>
        </is>
      </c>
      <c r="L4" t="inlineStr">
        <is>
          <t>A division: with nothing on the bottom there is no answer, and the line must not appear as zero. NOT YET CONFIRMED against the engine.</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MK-MN-M-004</t>
        </is>
      </c>
      <c r="B5" t="inlineStr">
        <is>
          <t>Menu</t>
        </is>
      </c>
      <c r="C5" t="inlineStr">
        <is>
          <t>/contribution-room</t>
        </is>
      </c>
      <c r="D5" t="inlineStr">
        <is>
          <t>about $X of the $Y limit</t>
        </is>
      </c>
      <c r="E5" t="inlineStr">
        <is>
          <t>used / limit</t>
        </is>
      </c>
      <c r="F5" t="inlineStr">
        <is>
          <t>CONTRIBUTION_ROOM  [NAME ASSIGNED HERE — no engine row exists for it yet]</t>
        </is>
      </c>
      <c r="G5" t="inlineStr">
        <is>
          <t>MK-MN-E-002</t>
        </is>
      </c>
      <c r="H5" t="inlineStr">
        <is>
          <t>room left = the year’s limit − what has already gone in;  per month = room left ÷ months left in the year</t>
        </is>
      </c>
      <c r="I5" t="inlineStr">
        <is>
          <t>Takes the year's legal limit for the account, subtracts what has already gone in, and divides what is left by the months remaining.</t>
        </is>
      </c>
      <c r="J5" t="inlineStr">
        <is>
          <t>NOT DETERMINED — no input list on record for this engine</t>
        </is>
      </c>
      <c r="K5" t="inlineStr">
        <is>
          <t>US dollars · held to the cent · shown as whole dollars  [derived by rule — confirm]</t>
        </is>
      </c>
      <c r="L5" t="inlineStr">
        <is>
          <t>A division: with nothing on the bottom there is no answer, and the line must not appear as zero. NOT YET CONFIRMED against the engine.</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MK-MN-M-005</t>
        </is>
      </c>
      <c r="B6" t="inlineStr">
        <is>
          <t>Menu</t>
        </is>
      </c>
      <c r="C6" t="inlineStr">
        <is>
          <t>/contribution-room</t>
        </is>
      </c>
      <c r="D6" t="inlineStr">
        <is>
          <t>about $X/mo for the rest of the year</t>
        </is>
      </c>
      <c r="E6" t="inlineStr">
        <is>
          <t>perMonth</t>
        </is>
      </c>
      <c r="F6" t="inlineStr">
        <is>
          <t>worked out on the screen: room left ÷ months left</t>
        </is>
      </c>
      <c r="G6" t="inlineStr"/>
      <c r="H6" t="inlineStr">
        <is>
          <t>per month = room left ÷ months left in the year</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This calendar year, to today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MK-MN-M-006</t>
        </is>
      </c>
      <c r="B7" t="inlineStr">
        <is>
          <t>Menu</t>
        </is>
      </c>
      <c r="C7" t="inlineStr">
        <is>
          <t>/credit</t>
        </is>
      </c>
      <c r="D7" t="inlineStr">
        <is>
          <t>$X of $Y used — the line marks 30%</t>
        </is>
      </c>
      <c r="E7" t="inlineStr">
        <is>
          <t>bal / lim</t>
        </is>
      </c>
      <c r="F7" t="inlineStr">
        <is>
          <t>CREDIT_USE  [NAME ASSIGNED HERE — no engine row exists for it yet]</t>
        </is>
      </c>
      <c r="G7" t="inlineStr">
        <is>
          <t>MK-MN-E-003</t>
        </is>
      </c>
      <c r="H7" t="inlineStr">
        <is>
          <t>use = balance ÷ credit limit</t>
        </is>
      </c>
      <c r="I7" t="inlineStr">
        <is>
          <t>The balance on the card against its limit — the share of the line being used.</t>
        </is>
      </c>
      <c r="J7" t="inlineStr">
        <is>
          <t>NOT DETERMINED — no input list on record for this engine</t>
        </is>
      </c>
      <c r="K7" t="inlineStr">
        <is>
          <t>Percent · one decimal shown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MK-MN-M-007</t>
        </is>
      </c>
      <c r="B8" t="inlineStr">
        <is>
          <t>Menu</t>
        </is>
      </c>
      <c r="C8" t="inlineStr">
        <is>
          <t>/expense</t>
        </is>
      </c>
      <c r="D8" t="inlineStr">
        <is>
          <t>$X of $Y this month · over by $Z</t>
        </is>
      </c>
      <c r="E8" t="inlineStr">
        <is>
          <t>catSpend / catBudget</t>
        </is>
      </c>
      <c r="F8" t="inlineStr">
        <is>
          <t>PLANNED_SPENDING</t>
        </is>
      </c>
      <c r="G8" t="inlineStr">
        <is>
          <t>MK-CF-E-004</t>
        </is>
      </c>
      <c r="H8" t="inlineStr">
        <is>
          <t>planned a month = Σ(each category’s planned amount);  remaining = planned − spent</t>
        </is>
      </c>
      <c r="I8"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8" t="inlineStr">
        <is>
          <t>the categories → SPENDING_BY_KIND  [MK-XS-I-032] · the single figure → monthlySpending  [MK-XS-I-024, MK-XS-I-030]</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month  [derived by rule — confirm]</t>
        </is>
      </c>
      <c r="N8" t="inlineStr">
        <is>
          <t>This calendar month, to today  [derived by rule — confirm]</t>
        </is>
      </c>
      <c r="O8" t="inlineStr">
        <is>
          <t>MK-XS-E-020 (READ_A_NUMBER) → What number did the person actually type?
MK-XS-E-021 (SPENDING_BY_KIND) → What is spent each month, split by kind?</t>
        </is>
      </c>
      <c r="P8" t="inlineStr"/>
      <c r="Q8" t="inlineStr"/>
      <c r="R8" t="inlineStr">
        <is>
          <t>NOT DETERMINED — no assumption recorded for this figure yet.</t>
        </is>
      </c>
      <c r="S8" t="inlineStr">
        <is>
          <t>THE SAME FIGURE AS MK-CF-M-015 — Spending against plan for a category — the same comparison on Cash flow and on the expense screen. CONFIRM: the expense screen adds the amount being typed, which may make it a different figure.</t>
        </is>
      </c>
      <c r="T8" t="inlineStr"/>
      <c r="U8" t="inlineStr"/>
      <c r="V8" t="inlineStr"/>
      <c r="W8" t="inlineStr">
        <is>
          <t>NOT DETERMINED</t>
        </is>
      </c>
      <c r="X8" t="inlineStr">
        <is>
          <t>VERIFIED 2026-08-22</t>
        </is>
      </c>
    </row>
    <row r="9">
      <c r="A9" t="inlineStr">
        <is>
          <t>MK-MN-M-008</t>
        </is>
      </c>
      <c r="B9" t="inlineStr">
        <is>
          <t>Menu</t>
        </is>
      </c>
      <c r="C9" t="inlineStr">
        <is>
          <t>/goals</t>
        </is>
      </c>
      <c r="D9" t="inlineStr">
        <is>
          <t>typical free cash to save $X/mo</t>
        </is>
      </c>
      <c r="E9" t="inlineStr">
        <is>
          <t>capacity.avg</t>
        </is>
      </c>
      <c r="F9" t="inlineStr">
        <is>
          <t>GOAL_CAPACITY  [NAME ASSIGNED HERE — no engine row exists for it yet]</t>
        </is>
      </c>
      <c r="G9" t="inlineStr">
        <is>
          <t>MK-MN-E-004</t>
        </is>
      </c>
      <c r="H9" t="inlineStr">
        <is>
          <t>typical free cash a month = median over recent months of (money in − money out)</t>
        </is>
      </c>
      <c r="I9" t="inlineStr">
        <is>
          <t>Looks at recent months and takes the typical amount left after money in and money out — what could realistically be saved, not the best month.</t>
        </is>
      </c>
      <c r="J9" t="inlineStr">
        <is>
          <t>NOT DETERMINED — no input list on record for this engine</t>
        </is>
      </c>
      <c r="K9" t="inlineStr">
        <is>
          <t>US dollars · held to the cent · shown as whole dollars  [derived by rule — confirm]</t>
        </is>
      </c>
      <c r="L9" t="inlineStr">
        <is>
          <t>Needs recent months to speak. With too few it says so rather than offering a figure from one month.</t>
        </is>
      </c>
      <c r="M9" t="inlineStr">
        <is>
          <t>One figure per person — or per household when two people share one record  [derived by rule — confirm]</t>
        </is>
      </c>
      <c r="N9" t="inlineStr">
        <is>
          <t>As of today, from the latest figures held  [derived by rule — confirm]</t>
        </is>
      </c>
      <c r="O9" t="inlineStr">
        <is>
          <t>NOT DETERMINED</t>
        </is>
      </c>
      <c r="P9" t="inlineStr"/>
      <c r="Q9" t="inlineStr"/>
      <c r="R9" t="inlineStr">
        <is>
          <t>NOT DETERMINED — no assumption recorded for this figure yet.</t>
        </is>
      </c>
      <c r="S9" t="inlineStr"/>
      <c r="T9" t="inlineStr">
        <is>
          <t>Q27 — "Typical free cash to save" uses the middle of recent months. How many months should it look back, and should a one-off windfall be excluded?</t>
        </is>
      </c>
      <c r="U9" t="inlineStr"/>
      <c r="V9" t="inlineStr"/>
      <c r="W9" t="inlineStr">
        <is>
          <t>NOT DETERMINED</t>
        </is>
      </c>
      <c r="X9" t="inlineStr">
        <is>
          <t>VERIFIED 2026-08-22</t>
        </is>
      </c>
    </row>
    <row r="10">
      <c r="A10" t="inlineStr">
        <is>
          <t>MK-MN-M-009</t>
        </is>
      </c>
      <c r="B10" t="inlineStr">
        <is>
          <t>Menu</t>
        </is>
      </c>
      <c r="C10" t="inlineStr">
        <is>
          <t>/goals</t>
        </is>
      </c>
      <c r="D10" t="inlineStr">
        <is>
          <t>each goal — $X of $Y · $Z to go</t>
        </is>
      </c>
      <c r="E10" t="inlineStr">
        <is>
          <t>g.saved / g.target</t>
        </is>
      </c>
      <c r="F10" t="inlineStr">
        <is>
          <t>GOAL_PROGRESS  [NAME ASSIGNED HERE — no engine row exists for it yet]</t>
        </is>
      </c>
      <c r="G10" t="inlineStr">
        <is>
          <t>MK-MN-E-005</t>
        </is>
      </c>
      <c r="H10" t="inlineStr">
        <is>
          <t>to go = target − saved;  progress = saved ÷ target</t>
        </is>
      </c>
      <c r="I10" t="inlineStr">
        <is>
          <t>What has been put aside against the target, and what is still to go.</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goal  [derived by rule — confirm]</t>
        </is>
      </c>
      <c r="N10" t="inlineStr">
        <is>
          <t>As of today, from the latest figures held  [derived by rule — confirm]</t>
        </is>
      </c>
      <c r="O10" t="inlineStr">
        <is>
          <t>NOT DETERMINED</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MK-MN-M-010</t>
        </is>
      </c>
      <c r="B11" t="inlineStr">
        <is>
          <t>Menu</t>
        </is>
      </c>
      <c r="C11" t="inlineStr">
        <is>
          <t>/goals</t>
        </is>
      </c>
      <c r="D11" t="inlineStr">
        <is>
          <t>your non-monthly budget</t>
        </is>
      </c>
      <c r="E11" t="inlineStr">
        <is>
          <t>sinkBasis</t>
        </is>
      </c>
      <c r="F11" t="inlineStr">
        <is>
          <t>SINKING_FUNDS  [NAME ASSIGNED HERE — no engine row exists for it yet]</t>
        </is>
      </c>
      <c r="G11" t="inlineStr">
        <is>
          <t>MK-MN-E-006</t>
        </is>
      </c>
      <c r="H11" t="inlineStr">
        <is>
          <t>set aside a month = Σ(each non-monthly cost ÷ months until it falls due)</t>
        </is>
      </c>
      <c r="I11" t="inlineStr">
        <is>
          <t>Takes the costs that do not arrive monthly and spreads each one across the months until it falls due.</t>
        </is>
      </c>
      <c r="J11" t="inlineStr">
        <is>
          <t>NOT DETERMINED — no input list on record for this engine</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month  [derived by rule — confirm]</t>
        </is>
      </c>
      <c r="N11" t="inlineStr">
        <is>
          <t>As of today, from the latest figures held  [derived by rule — confirm]</t>
        </is>
      </c>
      <c r="O11" t="inlineStr">
        <is>
          <t>NOT DETERMINED</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MK-MN-M-011</t>
        </is>
      </c>
      <c r="B12" t="inlineStr">
        <is>
          <t>Menu</t>
        </is>
      </c>
      <c r="C12" t="inlineStr">
        <is>
          <t>/income-detail</t>
        </is>
      </c>
      <c r="D12" t="inlineStr">
        <is>
          <t>net a year</t>
        </is>
      </c>
      <c r="E12" t="inlineStr">
        <is>
          <t>state.total_net_annual</t>
        </is>
      </c>
      <c r="F12" t="inlineStr">
        <is>
          <t>TOTAL_INCOME</t>
        </is>
      </c>
      <c r="G12" t="inlineStr">
        <is>
          <t>MK-XS-E-044</t>
        </is>
      </c>
      <c r="H12" t="inlineStr">
        <is>
          <t>gross a year = salary + self-employment + bonus + equity vesting + rental + other;  net a month = (gross − tax withheld − pre-tax contributions) ÷ 12</t>
        </is>
      </c>
      <c r="I12"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2" t="inlineStr">
        <is>
          <t>each part → its own engine above  [NOT AN INPUT — another engine’s answer; see the dependency column]</t>
        </is>
      </c>
      <c r="K12" t="inlineStr">
        <is>
          <t>US dollars · held to the cent · shown as whole dollars  [derived by rule — confirm]</t>
        </is>
      </c>
      <c r="L12" t="inlineStr">
        <is>
          <t>A division: with nothing on the bottom there is no answer, and the line must not appear as zero. NOT YET CONFIRMED against the engine.</t>
        </is>
      </c>
      <c r="M12" t="inlineStr">
        <is>
          <t>One figure per person — or per household when two people share one record  [derived by rule — confirm]</t>
        </is>
      </c>
      <c r="N12" t="inlineStr">
        <is>
          <t>The last twelve months  [derived by rule — confirm]</t>
        </is>
      </c>
      <c r="O12"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MK-MN-M-012</t>
        </is>
      </c>
      <c r="B13" t="inlineStr">
        <is>
          <t>Menu</t>
        </is>
      </c>
      <c r="C13" t="inlineStr">
        <is>
          <t>/income-detail</t>
        </is>
      </c>
      <c r="D13" t="inlineStr">
        <is>
          <t>Gross / year</t>
        </is>
      </c>
      <c r="E13" t="inlineStr">
        <is>
          <t>state.total_gross_annual</t>
        </is>
      </c>
      <c r="F13" t="inlineStr">
        <is>
          <t>TOTAL_INCOME</t>
        </is>
      </c>
      <c r="G13" t="inlineStr">
        <is>
          <t>MK-XS-E-044</t>
        </is>
      </c>
      <c r="H13" t="inlineStr">
        <is>
          <t>gross a year = salary + self-employment + bonus + equity vesting + rental + other;  net a month = (gross − tax withheld − pre-tax contributions) ÷ 12</t>
        </is>
      </c>
      <c r="I1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3" t="inlineStr">
        <is>
          <t>each part → its own engine above  [NOT AN INPUT — another engine’s answer; see the dependency column]</t>
        </is>
      </c>
      <c r="K13" t="inlineStr">
        <is>
          <t>US dollars · held to the cent · shown as whole dollars  [derived by rule — confirm]</t>
        </is>
      </c>
      <c r="L13" t="inlineStr">
        <is>
          <t>A division: with nothing on the bottom there is no answer, and the line must not appear as zero. NOT YET CONFIRMED against the engine.</t>
        </is>
      </c>
      <c r="M13" t="inlineStr">
        <is>
          <t>One figure per person — or per household when two people share one record  [derived by rule — confirm]</t>
        </is>
      </c>
      <c r="N13" t="inlineStr">
        <is>
          <t>This calendar year, to today  [derived by rule — confirm]</t>
        </is>
      </c>
      <c r="O13"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MK-MN-M-013</t>
        </is>
      </c>
      <c r="B14" t="inlineStr">
        <is>
          <t>Menu</t>
        </is>
      </c>
      <c r="C14" t="inlineStr">
        <is>
          <t>/income-detail</t>
        </is>
      </c>
      <c r="D14" t="inlineStr">
        <is>
          <t>Net / month</t>
        </is>
      </c>
      <c r="E14" t="inlineStr">
        <is>
          <t>state.net_monthly_income</t>
        </is>
      </c>
      <c r="F14" t="inlineStr">
        <is>
          <t>TOTAL_INCOME</t>
        </is>
      </c>
      <c r="G14" t="inlineStr">
        <is>
          <t>MK-XS-E-044</t>
        </is>
      </c>
      <c r="H14" t="inlineStr">
        <is>
          <t>gross a year = salary + self-employment + bonus + equity vesting + rental + other;  net a month = (gross − tax withheld − pre-tax contributions) ÷ 12</t>
        </is>
      </c>
      <c r="I14"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4" t="inlineStr">
        <is>
          <t>each part → its own engine above  [NOT AN INPUT — another engine’s answer; see the dependency column]</t>
        </is>
      </c>
      <c r="K14" t="inlineStr">
        <is>
          <t>US dollars · held to the cent · shown as whole dollars  [derived by rule — confirm]</t>
        </is>
      </c>
      <c r="L14" t="inlineStr">
        <is>
          <t>A division: with nothing on the bottom there is no answer, and the line must not appear as zero. NOT YET CONFIRMED against the engine.</t>
        </is>
      </c>
      <c r="M14" t="inlineStr">
        <is>
          <t>One figure per month  [derived by rule — confirm]</t>
        </is>
      </c>
      <c r="N14" t="inlineStr">
        <is>
          <t>As of today, from the latest figures held  [derived by rule — confirm]</t>
        </is>
      </c>
      <c r="O14"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MK-MN-M-014</t>
        </is>
      </c>
      <c r="B15" t="inlineStr">
        <is>
          <t>Menu</t>
        </is>
      </c>
      <c r="C15" t="inlineStr">
        <is>
          <t>/income-detail</t>
        </is>
      </c>
      <c r="D15" t="inlineStr">
        <is>
          <t>Employer 401(k) match</t>
        </is>
      </c>
      <c r="E15" t="inlineStr">
        <is>
          <t>state.employer_match_annual</t>
        </is>
      </c>
      <c r="F15" t="inlineStr">
        <is>
          <t>EMPLOYER_MATCH</t>
        </is>
      </c>
      <c r="G15" t="inlineStr">
        <is>
          <t>MK-MN-E-007</t>
        </is>
      </c>
      <c r="H15" t="inlineStr">
        <is>
          <t>match a year = the employer’s stated rate × pay, capped at the stated limit</t>
        </is>
      </c>
      <c r="I15" t="inlineStr">
        <is>
          <t>Either a percentage of what the person contributes to their 401(k), or a flat monthly amount — whichever way they described it.</t>
        </is>
      </c>
      <c r="J15" t="inlineStr">
        <is>
          <t>the match → employerMatchValue  [NOT AN INPUT — another engine’s answer; see the dependency column] · percent or dollars → employerMatchMode  [MK-XS-I-046] · their own contribution → c_401k  [MK-XS-I-043]</t>
        </is>
      </c>
      <c r="K15" t="inlineStr">
        <is>
          <t>US dollars · held to the cent · shown as whole dollars  [derived by rule — confirm]</t>
        </is>
      </c>
      <c r="L15" t="inlineStr">
        <is>
          <t>NOT DETERMINED — this engine has not been read for its refusal yet.</t>
        </is>
      </c>
      <c r="M15" t="inlineStr">
        <is>
          <t>One figure per person — or per household when two people share one record  [derived by rule — confirm]</t>
        </is>
      </c>
      <c r="N15" t="inlineStr">
        <is>
          <t>As of today, from the latest figures held  [derived by rule — confirm]</t>
        </is>
      </c>
      <c r="O15" t="inlineStr">
        <is>
          <t>MK-XS-E-020 (READ_A_NUMBER) → What number did the person actually type?</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MK-MN-M-015</t>
        </is>
      </c>
      <c r="B16" t="inlineStr">
        <is>
          <t>Menu</t>
        </is>
      </c>
      <c r="C16" t="inlineStr">
        <is>
          <t>/insights</t>
        </is>
      </c>
      <c r="D16" t="inlineStr">
        <is>
          <t>each insight and the dollars behind it</t>
        </is>
      </c>
      <c r="E16" t="inlineStr">
        <is>
          <t>shareOf(v)</t>
        </is>
      </c>
      <c r="F16" t="inlineStr">
        <is>
          <t>NOT IN OLD MASTER — useInsights, src/domain/insights</t>
        </is>
      </c>
      <c r="G16" t="inlineStr">
        <is>
          <t>MK-HM-E-003</t>
        </is>
      </c>
      <c r="H16" t="inlineStr">
        <is>
          <t>each insight scores its own dollars at stake; the list = the highest few, ranked</t>
        </is>
      </c>
      <c r="I16" t="inlineStr">
        <is>
          <t>Works out what is worth saying today, puts a dollar amount against each, and shows the few that matter most.</t>
        </is>
      </c>
      <c r="J16" t="inlineStr">
        <is>
          <t>NOT DETERMINED — no input list on record for this engine</t>
        </is>
      </c>
      <c r="K16" t="inlineStr">
        <is>
          <t>US dollars · held to the cent · shown as whole dollars  [derived by rule — confirm]</t>
        </is>
      </c>
      <c r="L16" t="inlineStr">
        <is>
          <t>NOT DETERMINED — this engine has not been read for its refusal yet.</t>
        </is>
      </c>
      <c r="M16" t="inlineStr">
        <is>
          <t>One figure per person — or per household when two people share one record  [derived by rule — confirm]</t>
        </is>
      </c>
      <c r="N16" t="inlineStr">
        <is>
          <t>As of today, from the latest figures held  [derived by rule — confirm]</t>
        </is>
      </c>
      <c r="O16" t="inlineStr">
        <is>
          <t>NOT DETERMINED</t>
        </is>
      </c>
      <c r="P16" t="inlineStr"/>
      <c r="Q16" t="inlineStr"/>
      <c r="R16" t="inlineStr">
        <is>
          <t>NOT DETERMINED — no assumption recorded for this figure yet.</t>
        </is>
      </c>
      <c r="S16" t="inlineStr">
        <is>
          <t>THE SURVIVING IDENTIFIER for this figure. Folded in: MK-HM-M-003. The insights list. Home shows the top three of the same list the Insights screen shows in full.</t>
        </is>
      </c>
      <c r="T16" t="inlineStr"/>
      <c r="U16" t="inlineStr"/>
      <c r="V16" t="inlineStr"/>
      <c r="W16" t="inlineStr">
        <is>
          <t>NOT DETERMINED</t>
        </is>
      </c>
      <c r="X16" t="inlineStr">
        <is>
          <t>VERIFIED 2026-08-22</t>
        </is>
      </c>
    </row>
    <row r="17">
      <c r="A17" t="inlineStr">
        <is>
          <t>MK-MN-M-016</t>
        </is>
      </c>
      <c r="B17" t="inlineStr">
        <is>
          <t>Menu</t>
        </is>
      </c>
      <c r="C17" t="inlineStr">
        <is>
          <t>/insights</t>
        </is>
      </c>
      <c r="D17" t="inlineStr">
        <is>
          <t>Total invested · Cash total · Investable total</t>
        </is>
      </c>
      <c r="E17" t="inlineStr">
        <is>
          <t>investable / cash</t>
        </is>
      </c>
      <c r="F17" t="inlineStr">
        <is>
          <t>TOTAL_INVESTABLE · TOTAL_CASH</t>
        </is>
      </c>
      <c r="G17" t="inlineStr">
        <is>
          <t>MK-MN-E-008</t>
        </is>
      </c>
      <c r="H17" t="inlineStr">
        <is>
          <t>investable = cash + investments  (excludes home and belongings)</t>
        </is>
      </c>
      <c r="I17" t="inlineStr">
        <is>
          <t>Cash + investments — everything except the house and the car. Selling the roof you live under is not a plan, so physical assets are excluded by CLASS, not by tax type. · Add up the balances of every account whose class is Cash. Under the founder's 2026-08-04 rule that means checking, savings, high-yield savings and the uninvested sweep at a broker — and NOT money-market funds, which pay dividends and are measured with the investments.</t>
        </is>
      </c>
      <c r="J17" t="inlineStr">
        <is>
          <t>each account's class → assetClassOf  [MK-XS-I-048] · each account's money → balance  [MK-XS-I-001] · each account's class → assetClassOf  [MK-XS-I-048] · each account's money → balance  [MK-XS-I-001]</t>
        </is>
      </c>
      <c r="K17" t="inlineStr">
        <is>
          <t>US dollars · held to the cent · shown as whole dollars  [derived by rule — confirm]</t>
        </is>
      </c>
      <c r="L17" t="inlineStr">
        <is>
          <t>NOT DETERMINED — this engine has not been read for its refusal yet.</t>
        </is>
      </c>
      <c r="M17" t="inlineStr">
        <is>
          <t>One figure per person — or per household when two people share one record  [derived by rule — confirm]</t>
        </is>
      </c>
      <c r="N17" t="inlineStr">
        <is>
          <t>As of today, from the latest figures held  [derived by rule — confirm]</t>
        </is>
      </c>
      <c r="O17" t="inlineStr">
        <is>
          <t>MK-XS-E-055 (IS_PHYSICAL_ASSET) → Is this something physical you own rather than money you could spend?
MK-XS-E-015 (ACCOUNT_SPLIT) → This one brokerage account holds several different things — how much of it is each?
MK-XS-E-008 (ASSET_CLASS_OF_ACCOUNT) → What kind of thing is this account — cash, a bond, shares, or something else?</t>
        </is>
      </c>
      <c r="P17" t="inlineStr">
        <is>
          <t>DECIDES what counts as cash — and deliberately excludes money-market funds.</t>
        </is>
      </c>
      <c r="Q17" t="inlineStr">
        <is>
          <t>Money-market funds are deliberately NOT counted as cash. Any institution that reports a sweep as a fund will therefore land in investments — worth watching per provider.</t>
        </is>
      </c>
      <c r="R17" t="inlineStr">
        <is>
          <t>[Founder] Cash means checking, savings, high-yield savings and the uninvested sweep at a broker. Money-market funds are investments, because they pay dividends and are measured with the investments (founder, 2026-08-04).</t>
        </is>
      </c>
      <c r="S17" t="inlineStr"/>
      <c r="T17" t="inlineStr"/>
      <c r="U17" t="inlineStr"/>
      <c r="V17" t="inlineStr"/>
      <c r="W17" t="inlineStr">
        <is>
          <t>NOT DETERMINED</t>
        </is>
      </c>
      <c r="X17" t="inlineStr">
        <is>
          <t>VERIFIED 2026-08-22</t>
        </is>
      </c>
    </row>
    <row r="18">
      <c r="A18" t="inlineStr">
        <is>
          <t>MK-MN-M-017</t>
        </is>
      </c>
      <c r="B18" t="inlineStr">
        <is>
          <t>Menu</t>
        </is>
      </c>
      <c r="C18" t="inlineStr">
        <is>
          <t>/insurance</t>
        </is>
      </c>
      <c r="D18" t="inlineStr">
        <is>
          <t>the life-cover gap</t>
        </is>
      </c>
      <c r="E18" t="inlineStr">
        <is>
          <t>need.gap</t>
        </is>
      </c>
      <c r="F18" t="inlineStr">
        <is>
          <t>INSURANCE_NEED  [NAME ASSIGNED HERE — no engine row exists for it yet]</t>
        </is>
      </c>
      <c r="G18" t="inlineStr">
        <is>
          <t>MK-MN-E-009</t>
        </is>
      </c>
      <c r="H18" t="inlineStr">
        <is>
          <t>need = income to replace × years + debts + goals + final expenses;  gap = need − cover already held</t>
        </is>
      </c>
      <c r="I18" t="inlineStr">
        <is>
          <t>Adds the income that would need replacing for the chosen number of years to debts, goals and final expenses, then subtracts cover already held.</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person — or per household when two people share one record  [derived by rule — confirm]</t>
        </is>
      </c>
      <c r="N18" t="inlineStr">
        <is>
          <t>As of today, from the latest figures held  [derived by rule — confirm]</t>
        </is>
      </c>
      <c r="O18" t="inlineStr">
        <is>
          <t>NOT DETERMINED</t>
        </is>
      </c>
      <c r="P18" t="inlineStr"/>
      <c r="Q18" t="inlineStr"/>
      <c r="R18" t="inlineStr">
        <is>
          <t>NOT DETERMINED — no assumption recorded for this figure yet.</t>
        </is>
      </c>
      <c r="S18" t="inlineStr"/>
      <c r="T18" t="inlineStr">
        <is>
          <t>Q25 — How many years of income should the default life-cover estimate replace, and does it assume the mortgage is cleared?</t>
        </is>
      </c>
      <c r="U18" t="inlineStr"/>
      <c r="V18" t="inlineStr"/>
      <c r="W18" t="inlineStr">
        <is>
          <t>NOT DETERMINED</t>
        </is>
      </c>
      <c r="X18" t="inlineStr">
        <is>
          <t>VERIFIED 2026-08-22</t>
        </is>
      </c>
    </row>
    <row r="19">
      <c r="A19" t="inlineStr">
        <is>
          <t>MK-MN-M-018</t>
        </is>
      </c>
      <c r="B19" t="inlineStr">
        <is>
          <t>Menu</t>
        </is>
      </c>
      <c r="C19" t="inlineStr">
        <is>
          <t>/insurance</t>
        </is>
      </c>
      <c r="D19" t="inlineStr">
        <is>
          <t>Income replacement (N yrs)</t>
        </is>
      </c>
      <c r="E19" t="inlineStr">
        <is>
          <t>need.incomeReplacement</t>
        </is>
      </c>
      <c r="F19" t="inlineStr">
        <is>
          <t>INSURANCE_NEED  [NAME ASSIGNED HERE — no engine row exists for it yet]</t>
        </is>
      </c>
      <c r="G19" t="inlineStr">
        <is>
          <t>MK-MN-E-009</t>
        </is>
      </c>
      <c r="H19" t="inlineStr">
        <is>
          <t>need = income to replace × years + debts + goals + final expenses;  gap = need − cover already held</t>
        </is>
      </c>
      <c r="I19" t="inlineStr">
        <is>
          <t>Adds the income that would need replacing for the chosen number of years to debts, goals and final expenses, then subtracts cover already held.</t>
        </is>
      </c>
      <c r="J19" t="inlineStr">
        <is>
          <t>NOT DETERMINED — no input list on record for this engine</t>
        </is>
      </c>
      <c r="K19" t="inlineStr">
        <is>
          <t>US dollars · held to the cent · shown as whole dollars  [derived by rule — confirm]</t>
        </is>
      </c>
      <c r="L19" t="inlineStr">
        <is>
          <t>NOT DETERMINED — this engine has not been read for its refusal yet.</t>
        </is>
      </c>
      <c r="M19" t="inlineStr">
        <is>
          <t>One figure per person — or per household when two people share one record  [derived by rule — confirm]</t>
        </is>
      </c>
      <c r="N19" t="inlineStr">
        <is>
          <t>As of today, from the latest figures held  [derived by rule — confirm]</t>
        </is>
      </c>
      <c r="O19" t="inlineStr">
        <is>
          <t>NOT DETERMINED</t>
        </is>
      </c>
      <c r="P19" t="inlineStr"/>
      <c r="Q19" t="inlineStr"/>
      <c r="R19" t="inlineStr">
        <is>
          <t>NOT DETERMINED — no assumption recorded for this figure yet.</t>
        </is>
      </c>
      <c r="S19" t="inlineStr"/>
      <c r="T19" t="inlineStr"/>
      <c r="U19" t="inlineStr"/>
      <c r="V19" t="inlineStr"/>
      <c r="W19" t="inlineStr">
        <is>
          <t>NOT DETERMINED</t>
        </is>
      </c>
      <c r="X19" t="inlineStr">
        <is>
          <t>VERIFIED 2026-08-22</t>
        </is>
      </c>
    </row>
    <row r="20">
      <c r="A20" t="inlineStr">
        <is>
          <t>MK-MN-M-019</t>
        </is>
      </c>
      <c r="B20" t="inlineStr">
        <is>
          <t>Menu</t>
        </is>
      </c>
      <c r="C20" t="inlineStr">
        <is>
          <t>/insurance</t>
        </is>
      </c>
      <c r="D20" t="inlineStr">
        <is>
          <t>+ Debts, goals &amp; final expenses · Total need</t>
        </is>
      </c>
      <c r="E20" t="inlineStr">
        <is>
          <t>need.total</t>
        </is>
      </c>
      <c r="F20" t="inlineStr">
        <is>
          <t>INSURANCE_NEED  [NAME ASSIGNED HERE — no engine row exists for it yet]</t>
        </is>
      </c>
      <c r="G20" t="inlineStr">
        <is>
          <t>MK-MN-E-009</t>
        </is>
      </c>
      <c r="H20" t="inlineStr">
        <is>
          <t>need = income to replace × years + debts + goals + final expenses;  gap = need − cover already held</t>
        </is>
      </c>
      <c r="I20" t="inlineStr">
        <is>
          <t>Adds the income that would need replacing for the chosen number of years to debts, goals and final expenses, then subtracts cover already held.</t>
        </is>
      </c>
      <c r="J20" t="inlineStr">
        <is>
          <t>NOT DETERMINED — no input list on record for this engine</t>
        </is>
      </c>
      <c r="K20" t="inlineStr">
        <is>
          <t>US dollars · held to the cent · shown as whole dollars  [derived by rule — confirm]</t>
        </is>
      </c>
      <c r="L20" t="inlineStr">
        <is>
          <t>NOT DETERMINED — this engine has not been read for its refusal yet.</t>
        </is>
      </c>
      <c r="M20" t="inlineStr">
        <is>
          <t>One figure per debt, and one total per person  [derived by rule — confirm]</t>
        </is>
      </c>
      <c r="N20" t="inlineStr">
        <is>
          <t>As of today, from the latest figures held  [derived by rule — confirm]</t>
        </is>
      </c>
      <c r="O20" t="inlineStr">
        <is>
          <t>NOT DETERMINED</t>
        </is>
      </c>
      <c r="P20" t="inlineStr"/>
      <c r="Q20" t="inlineStr"/>
      <c r="R20" t="inlineStr">
        <is>
          <t>NOT DETERMINED — no assumption recorded for this figure yet.</t>
        </is>
      </c>
      <c r="S20" t="inlineStr"/>
      <c r="T20" t="inlineStr"/>
      <c r="U20" t="inlineStr"/>
      <c r="V20" t="inlineStr"/>
      <c r="W20" t="inlineStr">
        <is>
          <t>NOT DETERMINED</t>
        </is>
      </c>
      <c r="X20" t="inlineStr">
        <is>
          <t>VERIFIED 2026-08-22</t>
        </is>
      </c>
    </row>
    <row r="21">
      <c r="A21" t="inlineStr">
        <is>
          <t>MK-MN-M-020</t>
        </is>
      </c>
      <c r="B21" t="inlineStr">
        <is>
          <t>Menu</t>
        </is>
      </c>
      <c r="C21" t="inlineStr">
        <is>
          <t>/jobsafety</t>
        </is>
      </c>
      <c r="D21" t="inlineStr">
        <is>
          <t>N months of essentials is $X ($Y/mo)</t>
        </is>
      </c>
      <c r="E21" t="inlineStr">
        <is>
          <t>target / ess</t>
        </is>
      </c>
      <c r="F21" t="inlineStr">
        <is>
          <t>JOB_SAFETY_RUNWAY  [NAME ASSIGNED HERE — no engine row exists for it yet]</t>
        </is>
      </c>
      <c r="G21" t="inlineStr">
        <is>
          <t>MK-MN-E-010</t>
        </is>
      </c>
      <c r="H21" t="inlineStr">
        <is>
          <t>runway in months = cash ÷ essentials a month;  target = months wanted × essentials a month</t>
        </is>
      </c>
      <c r="I21" t="inlineStr">
        <is>
          <t>How many months of essential bills the cash on hand would cover with no pay coming in.</t>
        </is>
      </c>
      <c r="J21" t="inlineStr">
        <is>
          <t>NOT DETERMINED — no input list on record for this engine</t>
        </is>
      </c>
      <c r="K21" t="inlineStr">
        <is>
          <t>Months · one decimal  [derived by rule — confirm]</t>
        </is>
      </c>
      <c r="L21" t="inlineStr">
        <is>
          <t>A division: with nothing on the bottom there is no answer, and the line must not appear as zero. NOT YET CONFIRMED against the engine.</t>
        </is>
      </c>
      <c r="M21" t="inlineStr">
        <is>
          <t>One figure per month  [derived by rule — confirm]</t>
        </is>
      </c>
      <c r="N21" t="inlineStr">
        <is>
          <t>As of today, from the latest figures held  [derived by rule — confirm]</t>
        </is>
      </c>
      <c r="O21" t="inlineStr">
        <is>
          <t>NOT DETERMINED</t>
        </is>
      </c>
      <c r="P21" t="inlineStr"/>
      <c r="Q21" t="inlineStr"/>
      <c r="R21" t="inlineStr">
        <is>
          <t>NOT DETERMINED — no assumption recorded for this figure yet.</t>
        </is>
      </c>
      <c r="S21" t="inlineStr"/>
      <c r="T21" t="inlineStr">
        <is>
          <t>Q28 — How many months of essentials should the app treat as safe by default — and is that number yours to set per person, or one figure for everyone?</t>
        </is>
      </c>
      <c r="U21" t="inlineStr"/>
      <c r="V21" t="inlineStr"/>
      <c r="W21" t="inlineStr">
        <is>
          <t>NOT DETERMINED</t>
        </is>
      </c>
      <c r="X21" t="inlineStr">
        <is>
          <t>VERIFIED 2026-08-22</t>
        </is>
      </c>
    </row>
    <row r="22">
      <c r="A22" t="inlineStr">
        <is>
          <t>MK-MN-M-021</t>
        </is>
      </c>
      <c r="B22" t="inlineStr">
        <is>
          <t>Menu</t>
        </is>
      </c>
      <c r="C22" t="inlineStr">
        <is>
          <t>/jobsafety</t>
        </is>
      </c>
      <c r="D22" t="inlineStr">
        <is>
          <t>Using $X/mo from your logged spending</t>
        </is>
      </c>
      <c r="E22" t="inlineStr">
        <is>
          <t>monthSpend</t>
        </is>
      </c>
      <c r="F22" t="inlineStr">
        <is>
          <t>SPENDING_BY_KIND</t>
        </is>
      </c>
      <c r="G22" t="inlineStr">
        <is>
          <t>MK-XS-E-021</t>
        </is>
      </c>
      <c r="H22" t="inlineStr">
        <is>
          <t>spent in a bucket = Σ(expenses this month in that bucket);  debt payments are excluded</t>
        </is>
      </c>
      <c r="I22" t="inlineStr">
        <is>
          <t>If the person answered category by category, total each category into its bucket. If they gave three summary figures instead, use those. Nothing answered is zero — never a guessed household average, which would put a number in their plan that nobody chose.</t>
        </is>
      </c>
      <c r="J22" t="inlineStr">
        <is>
          <t>the categories → spendCats  [MK-XS-I-032] · or the three summary figures → b_fixed, b_nonmonthly, b_flexible  [NOT AN INPUT — another engine’s answer; see the dependency column]</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person — or per household when two people share one record  [derived by rule — confirm]</t>
        </is>
      </c>
      <c r="N22" t="inlineStr">
        <is>
          <t>As of today, from the latest figures held  [derived by rule — confirm]</t>
        </is>
      </c>
      <c r="O22" t="inlineStr">
        <is>
          <t>MK-XS-E-020 (READ_A_NUMBER) → What number did the person actually type?</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MK-MN-M-022</t>
        </is>
      </c>
      <c r="B23" t="inlineStr">
        <is>
          <t>Menu</t>
        </is>
      </c>
      <c r="C23" t="inlineStr">
        <is>
          <t>/other-investments</t>
        </is>
      </c>
      <c r="D23" t="inlineStr">
        <is>
          <t>the total value of these investments</t>
        </is>
      </c>
      <c r="E23" t="inlineStr">
        <is>
          <t>summary.totalValue</t>
        </is>
      </c>
      <c r="F23" t="inlineStr">
        <is>
          <t>ALTERNATIVES_TOTAL  [NAME ASSIGNED HERE — no engine row exists for it yet]</t>
        </is>
      </c>
      <c r="G23" t="inlineStr">
        <is>
          <t>MK-MN-E-011</t>
        </is>
      </c>
      <c r="H23" t="inlineStr">
        <is>
          <t>total = Σ(recorded value of each alternative holding)</t>
        </is>
      </c>
      <c r="I23" t="inlineStr">
        <is>
          <t>Adds up the recorded value of every alternative holding — the things with no market price of their own.</t>
        </is>
      </c>
      <c r="J23" t="inlineStr">
        <is>
          <t>NOT DETERMINED — no input list on record for this engine</t>
        </is>
      </c>
      <c r="K23" t="inlineStr">
        <is>
          <t>US dollars · held to the cent · shown as whole dollars  [derived by rule — confirm]</t>
        </is>
      </c>
      <c r="L23" t="inlineStr">
        <is>
          <t>Adds up to $0 when there is nothing to add. Zero and "nothing recorded yet" look identical on screen — worth a decision.</t>
        </is>
      </c>
      <c r="M23" t="inlineStr">
        <is>
          <t>One figure per person — or per household when two people share one record  [derived by rule — confirm]</t>
        </is>
      </c>
      <c r="N23" t="inlineStr">
        <is>
          <t>As of today, from the latest figures held  [derived by rule — confirm]</t>
        </is>
      </c>
      <c r="O23" t="inlineStr">
        <is>
          <t>NOT DETERMINED</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MK-MN-M-023</t>
        </is>
      </c>
      <c r="B24" t="inlineStr">
        <is>
          <t>Menu</t>
        </is>
      </c>
      <c r="C24" t="inlineStr">
        <is>
          <t>/other-investments</t>
        </is>
      </c>
      <c r="D24" t="inlineStr">
        <is>
          <t>EST. GROWTH / YR</t>
        </is>
      </c>
      <c r="E24" t="inlineStr">
        <is>
          <t>summary.growth</t>
        </is>
      </c>
      <c r="F24" t="inlineStr">
        <is>
          <t>ALTERNATIVES_GROWTH  [NAME ASSIGNED HERE — no engine row exists for it yet]</t>
        </is>
      </c>
      <c r="G24" t="inlineStr">
        <is>
          <t>MK-MN-E-012</t>
        </is>
      </c>
      <c r="H24" t="inlineStr">
        <is>
          <t>estimated growth a year = Σ(value × its stated growth rate)</t>
        </is>
      </c>
      <c r="I24" t="inlineStr">
        <is>
          <t>Applies each alternative holding's own stated growth rate to its value and adds the results. An estimate, and labelled as one.</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MK-MN-M-024</t>
        </is>
      </c>
      <c r="B25" t="inlineStr">
        <is>
          <t>Menu</t>
        </is>
      </c>
      <c r="C25" t="inlineStr">
        <is>
          <t>/stress-test</t>
        </is>
      </c>
      <c r="D25" t="inlineStr">
        <is>
          <t>You could cover a $X hit</t>
        </is>
      </c>
      <c r="E25" t="inlineStr">
        <is>
          <t>shock</t>
        </is>
      </c>
      <c r="F25" t="inlineStr">
        <is>
          <t>STRESS_TEST  [NAME ASSIGNED HERE — no engine row exists for it yet]</t>
        </is>
      </c>
      <c r="G25" t="inlineStr">
        <is>
          <t>MK-MN-E-013</t>
        </is>
      </c>
      <c r="H25" t="inlineStr">
        <is>
          <t>cash after = cash − the shock;  runway after = cash after ÷ essentials a month</t>
        </is>
      </c>
      <c r="I25" t="inlineStr">
        <is>
          <t>Takes a one-off hit out of the cash on hand and shows what would be left and how many months of essentials it would cover.</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c r="Q25" t="inlineStr"/>
      <c r="R25" t="inlineStr">
        <is>
          <t>NOT DETERMINED — no assumption recorded for this figure yet.</t>
        </is>
      </c>
      <c r="S25" t="inlineStr"/>
      <c r="T25" t="inlineStr">
        <is>
          <t>Q29 — What size of shock should the test use by default, and should it be a fixed dollar figure or a share of the person's spending?</t>
        </is>
      </c>
      <c r="U25" t="inlineStr"/>
      <c r="V25" t="inlineStr"/>
      <c r="W25" t="inlineStr">
        <is>
          <t>NOT DETERMINED</t>
        </is>
      </c>
      <c r="X25" t="inlineStr">
        <is>
          <t>VERIFIED 2026-08-22</t>
        </is>
      </c>
    </row>
    <row r="26">
      <c r="A26" t="inlineStr">
        <is>
          <t>MK-MN-M-025</t>
        </is>
      </c>
      <c r="B26" t="inlineStr">
        <is>
          <t>Menu</t>
        </is>
      </c>
      <c r="C26" t="inlineStr">
        <is>
          <t>/stress-test</t>
        </is>
      </c>
      <c r="D26" t="inlineStr">
        <is>
          <t>You'd have $X left — about N months of essentials</t>
        </is>
      </c>
      <c r="E26" t="inlineStr">
        <is>
          <t>r.cashAfter / r.runwayAfter</t>
        </is>
      </c>
      <c r="F26" t="inlineStr">
        <is>
          <t>STRESS_TEST  [NAME ASSIGNED HERE — no engine row exists for it yet]</t>
        </is>
      </c>
      <c r="G26" t="inlineStr">
        <is>
          <t>MK-MN-E-013</t>
        </is>
      </c>
      <c r="H26" t="inlineStr">
        <is>
          <t>cash after = cash − the shock;  runway after = cash after ÷ essentials a month</t>
        </is>
      </c>
      <c r="I26" t="inlineStr">
        <is>
          <t>Takes a one-off hit out of the cash on hand and shows what would be left and how many months of essentials it would cover.</t>
        </is>
      </c>
      <c r="J26" t="inlineStr">
        <is>
          <t>NOT DETERMINED — no input list on record for this engine</t>
        </is>
      </c>
      <c r="K26" t="inlineStr">
        <is>
          <t>Months · one decimal  [derived by rule — confirm]</t>
        </is>
      </c>
      <c r="L26" t="inlineStr">
        <is>
          <t>Adds up to $0 when there is nothing to add. Zero and "nothing recorded yet" look identical on screen — worth a decision.</t>
        </is>
      </c>
      <c r="M26" t="inlineStr">
        <is>
          <t>One figure per month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MK-MN-M-026</t>
        </is>
      </c>
      <c r="B27" t="inlineStr">
        <is>
          <t>Menu</t>
        </is>
      </c>
      <c r="C27" t="inlineStr">
        <is>
          <t>/stress-test</t>
        </is>
      </c>
      <c r="D27" t="inlineStr">
        <is>
          <t>your $X/mo of must-pay bills</t>
        </is>
      </c>
      <c r="E27" t="inlineStr">
        <is>
          <t>ess</t>
        </is>
      </c>
      <c r="F27" t="inlineStr">
        <is>
          <t>PLANNED_SPENDING</t>
        </is>
      </c>
      <c r="G27" t="inlineStr">
        <is>
          <t>MK-CF-E-004</t>
        </is>
      </c>
      <c r="H27" t="inlineStr">
        <is>
          <t>planned a month = Σ(each category’s planned amount);  remaining = planned − spent</t>
        </is>
      </c>
      <c r="I27"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27" t="inlineStr">
        <is>
          <t>the categories → SPENDING_BY_KIND  [MK-XS-I-032] · the single figure → monthlySpending  [MK-XS-I-024, MK-XS-I-030]</t>
        </is>
      </c>
      <c r="K27" t="inlineStr">
        <is>
          <t>US dollars · held to the cent · shown as whole dollars  [derived by rule — confirm]</t>
        </is>
      </c>
      <c r="L27" t="inlineStr">
        <is>
          <t>Adds up to $0 when there is nothing to add. Zero and "nothing recorded yet" look identical on screen — worth a decision.</t>
        </is>
      </c>
      <c r="M27" t="inlineStr">
        <is>
          <t>One figure per person — or per household when two people share one record  [derived by rule — confirm]</t>
        </is>
      </c>
      <c r="N27" t="inlineStr">
        <is>
          <t>As of today, from the latest figures held  [derived by rule — confirm]</t>
        </is>
      </c>
      <c r="O27" t="inlineStr">
        <is>
          <t>MK-XS-E-020 (READ_A_NUMBER) → What number did the person actually type?
MK-XS-E-021 (SPENDING_BY_KIND) → What is spent each month, split by kind?</t>
        </is>
      </c>
      <c r="P27" t="inlineStr"/>
      <c r="Q27" t="inlineStr"/>
      <c r="R27" t="inlineStr">
        <is>
          <t>NOT DETERMINED — no assumption recorded for this figure yet.</t>
        </is>
      </c>
      <c r="S27" t="inlineStr"/>
      <c r="T27" t="inlineStr"/>
      <c r="U27" t="inlineStr"/>
      <c r="V27" t="inlineStr"/>
      <c r="W27" t="inlineStr">
        <is>
          <t>NOT DETERMINED</t>
        </is>
      </c>
      <c r="X27" t="inlineStr">
        <is>
          <t>VERIFIED 2026-08-22</t>
        </is>
      </c>
    </row>
    <row r="28">
      <c r="A28" t="inlineStr">
        <is>
          <t>MK-MN-M-027</t>
        </is>
      </c>
      <c r="B28" t="inlineStr">
        <is>
          <t>Menu</t>
        </is>
      </c>
      <c r="C28" t="inlineStr">
        <is>
          <t>/tax-organizer</t>
        </is>
      </c>
      <c r="D28" t="inlineStr">
        <is>
          <t>each taxable line and its amount</t>
        </is>
      </c>
      <c r="E28" t="inlineStr">
        <is>
          <t>l.amount</t>
        </is>
      </c>
      <c r="F28" t="inlineStr">
        <is>
          <t>TAXABLE_INCOME</t>
        </is>
      </c>
      <c r="G28" t="inlineStr">
        <is>
          <t>MK-MN-E-014</t>
        </is>
      </c>
      <c r="H28" t="inlineStr">
        <is>
          <t>taxable income = gross income − pre-tax contributions − the deduction for the filing status and age</t>
        </is>
      </c>
      <c r="I28" t="inlineStr">
        <is>
          <t>gross − the deduction for that filing status: $16,100 single · $32,200 married · $24,150 head of household.</t>
        </is>
      </c>
      <c r="J28" t="inlineStr">
        <is>
          <t>gross → gross  [MK-XS-I-023] · how they file → status  [MK-XS-I-030]</t>
        </is>
      </c>
      <c r="K28" t="inlineStr">
        <is>
          <t>US dollars · held to the cent · shown as whole dollars  [derived by rule — confirm]</t>
        </is>
      </c>
      <c r="L28" t="inlineStr">
        <is>
          <t>NOT DETERMINED — this engine has not been read for its refusal yet.</t>
        </is>
      </c>
      <c r="M28" t="inlineStr">
        <is>
          <t>One figure per person — or per household when two people share one record  [derived by rule — confirm]</t>
        </is>
      </c>
      <c r="N28" t="inlineStr">
        <is>
          <t>As of today, from the latest figures held  [derived by rule — confirm]</t>
        </is>
      </c>
      <c r="O28" t="inlineStr">
        <is>
          <t>MK-XS-E-056 (TAX_DEDUCTION) → What amount of income is tax-free before the brackets start. Answers: $16,100 single · $32</t>
        </is>
      </c>
      <c r="P28" t="inlineStr"/>
      <c r="Q28" t="inlineStr"/>
      <c r="R28" t="inlineStr">
        <is>
          <t>[Founder] Explicit tables per filing status. A married band is not twice the single band — the 37% band starts at $768,700, not at double the single figure.</t>
        </is>
      </c>
      <c r="S28" t="inlineStr"/>
      <c r="T28" t="inlineStr">
        <is>
          <t>Q24 — State tax is applied to taxable accounts only. Do you want a state rate captured per person, or to keep the single blended figure we use now?</t>
        </is>
      </c>
      <c r="U28" t="inlineStr"/>
      <c r="V28" t="inlineStr"/>
      <c r="W28" t="inlineStr">
        <is>
          <t>NOT DETERMINED</t>
        </is>
      </c>
      <c r="X28" t="inlineStr">
        <is>
          <t>VERIFIED 2026-08-22</t>
        </is>
      </c>
    </row>
    <row r="29">
      <c r="A29" t="inlineStr">
        <is>
          <t>MK-MN-M-028</t>
        </is>
      </c>
      <c r="B29" t="inlineStr">
        <is>
          <t>Menu</t>
        </is>
      </c>
      <c r="C29" t="inlineStr">
        <is>
          <t>/tax-organizer</t>
        </is>
      </c>
      <c r="D29" t="inlineStr">
        <is>
          <t>Taxable income · Non-taxable</t>
        </is>
      </c>
      <c r="E29" t="inlineStr">
        <is>
          <t>org.taxableTotal</t>
        </is>
      </c>
      <c r="F29" t="inlineStr">
        <is>
          <t>TAXABLE_INCOME</t>
        </is>
      </c>
      <c r="G29" t="inlineStr">
        <is>
          <t>MK-MN-E-014</t>
        </is>
      </c>
      <c r="H29" t="inlineStr">
        <is>
          <t>taxable income = gross income − pre-tax contributions − the deduction for the filing status and age</t>
        </is>
      </c>
      <c r="I29" t="inlineStr">
        <is>
          <t>gross − the deduction for that filing status: $16,100 single · $32,200 married · $24,150 head of household.</t>
        </is>
      </c>
      <c r="J29" t="inlineStr">
        <is>
          <t>gross → gross  [MK-XS-I-023] · how they file → status  [MK-XS-I-030]</t>
        </is>
      </c>
      <c r="K29" t="inlineStr">
        <is>
          <t>US dollars · held to the cent · shown as whole dollars  [derived by rule — confirm]</t>
        </is>
      </c>
      <c r="L29" t="inlineStr">
        <is>
          <t>NOT DETERMINED — this engine has not been read for its refusal yet.</t>
        </is>
      </c>
      <c r="M29" t="inlineStr">
        <is>
          <t>One figure per person — or per household when two people share one record  [derived by rule — confirm]</t>
        </is>
      </c>
      <c r="N29" t="inlineStr">
        <is>
          <t>As of today, from the latest figures held  [derived by rule — confirm]</t>
        </is>
      </c>
      <c r="O29" t="inlineStr">
        <is>
          <t>MK-XS-E-056 (TAX_DEDUCTION) → What amount of income is tax-free before the brackets start. Answers: $16,100 single · $32</t>
        </is>
      </c>
      <c r="P29" t="inlineStr"/>
      <c r="Q29" t="inlineStr"/>
      <c r="R29" t="inlineStr">
        <is>
          <t>[Founder] Explicit tables per filing status. A married band is not twice the single band — the 37% band starts at $768,700, not at double the single figure.</t>
        </is>
      </c>
      <c r="S29" t="inlineStr"/>
      <c r="T29" t="inlineStr"/>
      <c r="U29" t="inlineStr"/>
      <c r="V29" t="inlineStr"/>
      <c r="W29" t="inlineStr">
        <is>
          <t>NOT DETERMINED</t>
        </is>
      </c>
      <c r="X29" t="inlineStr">
        <is>
          <t>VERIFIED 2026-08-22</t>
        </is>
      </c>
    </row>
    <row r="30">
      <c r="A30" t="inlineStr">
        <is>
          <t>MK-MN-M-029</t>
        </is>
      </c>
      <c r="B30" t="inlineStr">
        <is>
          <t>Menu</t>
        </is>
      </c>
      <c r="C30" t="inlineStr">
        <is>
          <t>/tax-organizer</t>
        </is>
      </c>
      <c r="D30" t="inlineStr">
        <is>
          <t>each contribution and its amount</t>
        </is>
      </c>
      <c r="E30" t="inlineStr">
        <is>
          <t>c.amount</t>
        </is>
      </c>
      <c r="F30" t="inlineStr">
        <is>
          <t>CONTRIBUTION_ROOM  [NAME ASSIGNED HERE — no engine row exists for it yet]</t>
        </is>
      </c>
      <c r="G30" t="inlineStr">
        <is>
          <t>MK-MN-E-002</t>
        </is>
      </c>
      <c r="H30" t="inlineStr">
        <is>
          <t>room left = the year’s limit − what has already gone in;  per month = room left ÷ months left in the year</t>
        </is>
      </c>
      <c r="I30" t="inlineStr">
        <is>
          <t>Takes the year's legal limit for the account, subtracts what has already gone in, and divides what is left by the months remaining.</t>
        </is>
      </c>
      <c r="J30" t="inlineStr">
        <is>
          <t>NOT DETERMINED — no input list on record for this engine</t>
        </is>
      </c>
      <c r="K30" t="inlineStr">
        <is>
          <t>US dollars · held to the cent · shown as whole dollars  [derived by rule — confirm]</t>
        </is>
      </c>
      <c r="L30" t="inlineStr">
        <is>
          <t>A division: with nothing on the bottom there is no answer, and the line must not appear as zero. NOT YET CONFIRMED against the engine.</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c r="Q30" t="inlineStr"/>
      <c r="R30" t="inlineStr">
        <is>
          <t>NOT DETERMINED — no assumption recorded for this figure yet.</t>
        </is>
      </c>
      <c r="S30" t="inlineStr"/>
      <c r="T30" t="inlineStr"/>
      <c r="U30" t="inlineStr"/>
      <c r="V30" t="inlineStr"/>
      <c r="W30" t="inlineStr">
        <is>
          <t>NOT DETERMINED</t>
        </is>
      </c>
      <c r="X30" t="inlineStr">
        <is>
          <t>VERIFIED 2026-08-22</t>
        </is>
      </c>
    </row>
    <row r="31">
      <c r="A31" t="inlineStr">
        <is>
          <t>MK-MN-M-030</t>
        </is>
      </c>
      <c r="B31" t="inlineStr">
        <is>
          <t>Menu</t>
        </is>
      </c>
      <c r="C31" t="inlineStr">
        <is>
          <t>/worth-a-look</t>
        </is>
      </c>
      <c r="D31" t="inlineStr">
        <is>
          <t>$X left &lt;account&gt; on &lt;date&gt;</t>
        </is>
      </c>
      <c r="E31" t="inlineStr">
        <is>
          <t>f.amount</t>
        </is>
      </c>
      <c r="F31" t="inlineStr">
        <is>
          <t>NOT IN OLD MASTER — the outflow watch, src/domain/insights</t>
        </is>
      </c>
      <c r="G31" t="inlineStr">
        <is>
          <t>MK-MN-E-015</t>
        </is>
      </c>
      <c r="H31" t="inlineStr">
        <is>
          <t>flagged when money left an account and has not arrived anywhere else</t>
        </is>
      </c>
      <c r="I31" t="inlineStr">
        <is>
          <t>Notices money leaving an account so it can be asked about rather than quietly lost.</t>
        </is>
      </c>
      <c r="J31" t="inlineStr">
        <is>
          <t>NOT DETERMINED — no input list on record for this engine</t>
        </is>
      </c>
      <c r="K31" t="inlineStr">
        <is>
          <t>A count · whole units, except crypto which keeps its fractions  [derived by rule — confirm]</t>
        </is>
      </c>
      <c r="L31" t="inlineStr">
        <is>
          <t>NOT DETERMINED — this engine has not been read for its refusal yet.</t>
        </is>
      </c>
      <c r="M31" t="inlineStr">
        <is>
          <t>One figure per account  [derived by rule — confirm]</t>
        </is>
      </c>
      <c r="N31" t="inlineStr">
        <is>
          <t>As of today, from the latest figures held  [derived by rule — confirm]</t>
        </is>
      </c>
      <c r="O31" t="inlineStr">
        <is>
          <t>NOT DETERMINED</t>
        </is>
      </c>
      <c r="P31" t="inlineStr"/>
      <c r="Q31" t="inlineStr"/>
      <c r="R31" t="inlineStr">
        <is>
          <t>NOT DETERMINED — no assumption recorded for this figure yet.</t>
        </is>
      </c>
      <c r="S31" t="inlineStr"/>
      <c r="T31" t="inlineStr"/>
      <c r="U31" t="inlineStr"/>
      <c r="V31" t="inlineStr"/>
      <c r="W31" t="inlineStr">
        <is>
          <t>NOT DETERMINED</t>
        </is>
      </c>
      <c r="X31" t="inlineStr">
        <is>
          <t>VERIFIED 2026-08-22</t>
        </is>
      </c>
    </row>
    <row r="32">
      <c r="A32" t="inlineStr"/>
      <c r="B32" t="inlineStr">
        <is>
          <t>Menu</t>
        </is>
      </c>
      <c r="C32" t="inlineStr">
        <is>
          <t>/auth</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NOT DETERMINED</t>
        </is>
      </c>
      <c r="W32" t="inlineStr">
        <is>
          <t>READ 2026-08-22 — no calculated figure on this screen</t>
        </is>
      </c>
    </row>
    <row r="33">
      <c r="A33" t="inlineStr"/>
      <c r="B33" t="inlineStr">
        <is>
          <t>Menu</t>
        </is>
      </c>
      <c r="C33" t="inlineStr">
        <is>
          <t>/estate</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NOT DETERMINED</t>
        </is>
      </c>
      <c r="W33" t="inlineStr">
        <is>
          <t>READ 2026-08-22 — no calculated figure on this screen</t>
        </is>
      </c>
    </row>
    <row r="34">
      <c r="A34" t="inlineStr"/>
      <c r="B34" t="inlineStr">
        <is>
          <t>Menu</t>
        </is>
      </c>
      <c r="C34" t="inlineStr">
        <is>
          <t>/first-run</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NOT DETERMINED</t>
        </is>
      </c>
      <c r="W34" t="inlineStr">
        <is>
          <t>READ 2026-08-22 — no calculated figure on this screen</t>
        </is>
      </c>
    </row>
    <row r="35">
      <c r="A35" t="inlineStr"/>
      <c r="B35" t="inlineStr">
        <is>
          <t>Menu</t>
        </is>
      </c>
      <c r="C35" t="inlineStr">
        <is>
          <t>/income</t>
        </is>
      </c>
      <c r="D35" t="inlineStr">
        <is>
          <t>—</t>
        </is>
      </c>
      <c r="E35" t="inlineStr">
        <is>
          <t>—</t>
        </is>
      </c>
      <c r="F35" t="inlineStr">
        <is>
          <t>—</t>
        </is>
      </c>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is>
          <t>NOT DETERMINED</t>
        </is>
      </c>
      <c r="W35" t="inlineStr">
        <is>
          <t>READ 2026-08-22 — no calculated figure on this screen</t>
        </is>
      </c>
    </row>
    <row r="36">
      <c r="A36" t="inlineStr"/>
      <c r="B36" t="inlineStr">
        <is>
          <t>Menu</t>
        </is>
      </c>
      <c r="C36" t="inlineStr">
        <is>
          <t>/rewards</t>
        </is>
      </c>
      <c r="D36" t="inlineStr">
        <is>
          <t>—</t>
        </is>
      </c>
      <c r="E36" t="inlineStr">
        <is>
          <t>—</t>
        </is>
      </c>
      <c r="F36" t="inlineStr">
        <is>
          <t>—</t>
        </is>
      </c>
      <c r="G36" t="inlineStr"/>
      <c r="H36" t="inlineStr"/>
      <c r="I36" t="inlineStr"/>
      <c r="J36" t="inlineStr"/>
      <c r="K36" t="inlineStr"/>
      <c r="L36" t="inlineStr"/>
      <c r="M36" t="inlineStr"/>
      <c r="N36" t="inlineStr"/>
      <c r="O36" t="inlineStr"/>
      <c r="P36" t="inlineStr"/>
      <c r="Q36" t="inlineStr"/>
      <c r="R36" t="inlineStr"/>
      <c r="S36" t="inlineStr"/>
      <c r="T36" t="inlineStr"/>
      <c r="U36" t="inlineStr"/>
      <c r="V36" t="inlineStr">
        <is>
          <t>NOT DETERMINED</t>
        </is>
      </c>
      <c r="W36" t="inlineStr">
        <is>
          <t>READ 2026-08-22 — no calculated figure on this screen</t>
        </is>
      </c>
    </row>
    <row r="37">
      <c r="A37" t="inlineStr"/>
      <c r="B37" t="inlineStr">
        <is>
          <t>Menu</t>
        </is>
      </c>
      <c r="C37" t="inlineStr">
        <is>
          <t>/settings</t>
        </is>
      </c>
      <c r="D37" t="inlineStr">
        <is>
          <t>—</t>
        </is>
      </c>
      <c r="E37" t="inlineStr">
        <is>
          <t>—</t>
        </is>
      </c>
      <c r="F37" t="inlineStr">
        <is>
          <t>—</t>
        </is>
      </c>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is>
          <t>NOT DETERMINED</t>
        </is>
      </c>
      <c r="W37" t="inlineStr">
        <is>
          <t>READ 2026-08-22 — no calculated figure on this screen</t>
        </is>
      </c>
    </row>
    <row r="38">
      <c r="A38" t="inlineStr"/>
      <c r="B38" t="inlineStr">
        <is>
          <t>Menu</t>
        </is>
      </c>
      <c r="C38" t="inlineStr">
        <is>
          <t>/tips</t>
        </is>
      </c>
      <c r="D38" t="inlineStr">
        <is>
          <t>—</t>
        </is>
      </c>
      <c r="E38" t="inlineStr">
        <is>
          <t>—</t>
        </is>
      </c>
      <c r="F38" t="inlineStr">
        <is>
          <t>—</t>
        </is>
      </c>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is>
          <t>NOT DETERMINED</t>
        </is>
      </c>
      <c r="W38" t="inlineStr">
        <is>
          <t>READ 2026-08-22 — no calculated figure on this screen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49"/>
  <sheetViews>
    <sheetView workbookViewId="0">
      <pane ySplit="1" topLeftCell="A2" activePane="bottomLeft" state="frozen"/>
      <selection pane="bottomLeft" activeCell="A1" sqref="A1"/>
    </sheetView>
  </sheetViews>
  <sheetFormatPr baseColWidth="8" defaultRowHeight="15"/>
  <cols>
    <col width="16" customWidth="1" min="1" max="1"/>
    <col width="21" customWidth="1" min="2" max="2"/>
    <col width="14" customWidth="1" min="3" max="3"/>
    <col width="28" customWidth="1" min="4" max="4"/>
    <col width="28" customWidth="1" min="5" max="5"/>
    <col width="17" customWidth="1" min="6" max="6"/>
    <col width="18" customWidth="1" min="7" max="7"/>
  </cols>
  <sheetData>
    <row r="1">
      <c r="A1" s="1" t="inlineStr">
        <is>
          <t>Input ID</t>
        </is>
      </c>
      <c r="B1" s="1" t="inlineStr">
        <is>
          <t>Variable name</t>
        </is>
      </c>
      <c r="C1" s="1" t="inlineStr">
        <is>
          <t>Source</t>
        </is>
      </c>
      <c r="D1" s="1" t="inlineStr">
        <is>
          <t>Which metric uses it</t>
        </is>
      </c>
      <c r="E1" s="1" t="inlineStr">
        <is>
          <t>Which engine uses it</t>
        </is>
      </c>
      <c r="F1" s="1" t="inlineStr">
        <is>
          <t>Engine ID</t>
        </is>
      </c>
      <c r="G1" s="1" t="inlineStr">
        <is>
          <t>Row status</t>
        </is>
      </c>
    </row>
    <row r="2">
      <c r="A2" t="inlineStr">
        <is>
          <t>MK-XS-I-001</t>
        </is>
      </c>
      <c r="B2" t="inlineStr">
        <is>
          <t>account balance</t>
        </is>
      </c>
      <c r="C2" t="inlineStr">
        <is>
          <t>the institution download, a connection, or typed by hand</t>
        </is>
      </c>
      <c r="D2" t="inlineStr">
        <is>
          <t>net worth · what you own · cushion · required withdrawal</t>
        </is>
      </c>
      <c r="E2" t="inlineStr">
        <is>
          <t>NET_WORTH · TOTAL_CASH · TOTAL_INVESTMENTS · REQUIRED_WITHDRAWAL</t>
        </is>
      </c>
      <c r="F2" t="inlineStr">
        <is>
          <t>MK-XS-E-001 · MK-XS-E-009 · MK-NW-E-004 · MK-PL-E-006</t>
        </is>
      </c>
      <c r="G2" t="inlineStr">
        <is>
          <t>VERIFIED 2026-08-22</t>
        </is>
      </c>
    </row>
    <row r="3">
      <c r="A3" t="inlineStr">
        <is>
          <t>MK-XS-I-002</t>
        </is>
      </c>
      <c r="B3" t="inlineStr">
        <is>
          <t>account type (taxable, pre-tax, Roth)</t>
        </is>
      </c>
      <c r="C3" t="inlineStr">
        <is>
          <t>typed at setup, or guessed from the account name</t>
        </is>
      </c>
      <c r="D3" t="inlineStr">
        <is>
          <t>how this account is taxed · required withdrawal · Roth move</t>
        </is>
      </c>
      <c r="E3" t="inlineStr">
        <is>
          <t>TAX_TREATMENT · REQUIRED_WITHDRAWAL</t>
        </is>
      </c>
      <c r="F3" t="inlineStr">
        <is>
          <t>MK-PL-E-006</t>
        </is>
      </c>
      <c r="G3" t="inlineStr">
        <is>
          <t>VERIFIED 2026-08-22</t>
        </is>
      </c>
    </row>
    <row r="4">
      <c r="A4" t="inlineStr">
        <is>
          <t>MK-XS-I-003</t>
        </is>
      </c>
      <c r="B4" t="inlineStr">
        <is>
          <t>institution name</t>
        </is>
      </c>
      <c r="C4" t="inlineStr">
        <is>
          <t>the download or the connection</t>
        </is>
      </c>
      <c r="D4" t="inlineStr">
        <is>
          <t>net worth by institution · account rows</t>
        </is>
      </c>
      <c r="E4" t="inlineStr">
        <is>
          <t>ACCOUNT_SPLIT</t>
        </is>
      </c>
      <c r="F4" t="inlineStr">
        <is>
          <t>MK-XS-E-015</t>
        </is>
      </c>
      <c r="G4" t="inlineStr">
        <is>
          <t>VERIFIED 2026-08-22</t>
        </is>
      </c>
    </row>
    <row r="5">
      <c r="A5" t="inlineStr">
        <is>
          <t>MK-XS-I-004</t>
        </is>
      </c>
      <c r="B5" t="inlineStr">
        <is>
          <t>holding quantity (shares)</t>
        </is>
      </c>
      <c r="C5" t="inlineStr">
        <is>
          <t>the download, a connection, or typed</t>
        </is>
      </c>
      <c r="D5" t="inlineStr">
        <is>
          <t>current value · cost basis · gains</t>
        </is>
      </c>
      <c r="E5" t="inlineStr">
        <is>
          <t>HOLDING_SHARES · HOLDING_MARKET_VALUE</t>
        </is>
      </c>
      <c r="F5" t="inlineStr">
        <is>
          <t>MK-XS-E-022 · MK-NW-E-022</t>
        </is>
      </c>
      <c r="G5" t="inlineStr">
        <is>
          <t>VERIFIED 2026-08-22</t>
        </is>
      </c>
    </row>
    <row r="6">
      <c r="A6" t="inlineStr">
        <is>
          <t>MK-XS-I-005</t>
        </is>
      </c>
      <c r="B6" t="inlineStr">
        <is>
          <t>holding price</t>
        </is>
      </c>
      <c r="C6" t="inlineStr">
        <is>
          <t>the price feed</t>
        </is>
      </c>
      <c r="D6" t="inlineStr">
        <is>
          <t>current value · today's market value · freshness</t>
        </is>
      </c>
      <c r="E6" t="inlineStr">
        <is>
          <t>HOLDING_MARKET_VALUE · PRICE_FRESHNESS</t>
        </is>
      </c>
      <c r="F6" t="inlineStr">
        <is>
          <t>MK-HM-E-001 · MK-NW-E-022</t>
        </is>
      </c>
      <c r="G6" t="inlineStr">
        <is>
          <t>VERIFIED 2026-08-22</t>
        </is>
      </c>
    </row>
    <row r="7">
      <c r="A7" t="inlineStr">
        <is>
          <t>MK-XS-I-006</t>
        </is>
      </c>
      <c r="B7" t="inlineStr">
        <is>
          <t>price fetched at</t>
        </is>
      </c>
      <c r="C7" t="inlineStr">
        <is>
          <t>the app, when it last asked for prices</t>
        </is>
      </c>
      <c r="D7" t="inlineStr">
        <is>
          <t>prices updated &lt;when&gt;</t>
        </is>
      </c>
      <c r="E7" t="inlineStr">
        <is>
          <t>PRICE_FRESHNESS</t>
        </is>
      </c>
      <c r="F7" t="inlineStr">
        <is>
          <t>MK-HM-E-001</t>
        </is>
      </c>
      <c r="G7" t="inlineStr">
        <is>
          <t>VERIFIED 2026-08-22</t>
        </is>
      </c>
    </row>
    <row r="8">
      <c r="A8" t="inlineStr">
        <is>
          <t>MK-XS-I-007</t>
        </is>
      </c>
      <c r="B8" t="inlineStr">
        <is>
          <t>purchase price and date (per lot)</t>
        </is>
      </c>
      <c r="C8" t="inlineStr">
        <is>
          <t>the download or typed</t>
        </is>
      </c>
      <c r="D8" t="inlineStr">
        <is>
          <t>price paid · total paid · long or short-term gain</t>
        </is>
      </c>
      <c r="E8" t="inlineStr">
        <is>
          <t>HOLDING_COST_BASIS · HOLDING_CAP_GAINS</t>
        </is>
      </c>
      <c r="F8" t="inlineStr">
        <is>
          <t>MK-NW-E-023 · MK-NW-E-026</t>
        </is>
      </c>
      <c r="G8" t="inlineStr">
        <is>
          <t>VERIFIED 2026-08-22</t>
        </is>
      </c>
    </row>
    <row r="9">
      <c r="A9" t="inlineStr">
        <is>
          <t>MK-XS-I-008</t>
        </is>
      </c>
      <c r="B9" t="inlineStr">
        <is>
          <t>transaction amount</t>
        </is>
      </c>
      <c r="C9" t="inlineStr">
        <is>
          <t>the institution download</t>
        </is>
      </c>
      <c r="D9" t="inlineStr">
        <is>
          <t>contributions · withdrawals · income · the change walk</t>
        </is>
      </c>
      <c r="E9" t="inlineStr">
        <is>
          <t>LEDGER · NW_CHANGE_WALK</t>
        </is>
      </c>
      <c r="F9" t="inlineStr">
        <is>
          <t>MK-PF-E-001</t>
        </is>
      </c>
      <c r="G9" t="inlineStr">
        <is>
          <t>VERIFIED 2026-08-22</t>
        </is>
      </c>
    </row>
    <row r="10">
      <c r="A10" t="inlineStr">
        <is>
          <t>MK-XS-I-009</t>
        </is>
      </c>
      <c r="B10" t="inlineStr">
        <is>
          <t>transaction date</t>
        </is>
      </c>
      <c r="C10" t="inlineStr">
        <is>
          <t>the institution download</t>
        </is>
      </c>
      <c r="D10" t="inlineStr">
        <is>
          <t>the period a figure covers · the change walk</t>
        </is>
      </c>
      <c r="E10" t="inlineStr">
        <is>
          <t>LEDGER · NW_CHANGE_WALK</t>
        </is>
      </c>
      <c r="F10" t="inlineStr">
        <is>
          <t>MK-PF-E-001</t>
        </is>
      </c>
      <c r="G10" t="inlineStr">
        <is>
          <t>VERIFIED 2026-08-22</t>
        </is>
      </c>
    </row>
    <row r="11">
      <c r="A11" t="inlineStr">
        <is>
          <t>MK-XS-I-010</t>
        </is>
      </c>
      <c r="B11" t="inlineStr">
        <is>
          <t>transaction words (the institution's own wording)</t>
        </is>
      </c>
      <c r="C11" t="inlineStr">
        <is>
          <t>the institution download</t>
        </is>
      </c>
      <c r="D11" t="inlineStr">
        <is>
          <t>what each line means: money in, money out, income, cost</t>
        </is>
      </c>
      <c r="E11" t="inlineStr">
        <is>
          <t>LEDGER · the institution-words table</t>
        </is>
      </c>
      <c r="F11" t="inlineStr"/>
      <c r="G11" t="inlineStr">
        <is>
          <t>VERIFIED 2026-08-22</t>
        </is>
      </c>
    </row>
    <row r="12">
      <c r="A12" t="inlineStr">
        <is>
          <t>MK-XS-I-011</t>
        </is>
      </c>
      <c r="B12" t="inlineStr">
        <is>
          <t>bond face value</t>
        </is>
      </c>
      <c r="C12" t="inlineStr">
        <is>
          <t>typed, or the download</t>
        </is>
      </c>
      <c r="D12" t="inlineStr">
        <is>
          <t>face value · what comes back at maturity</t>
        </is>
      </c>
      <c r="E12" t="inlineStr">
        <is>
          <t>BOND_FACTS</t>
        </is>
      </c>
      <c r="F12" t="inlineStr">
        <is>
          <t>MK-NW-E-015</t>
        </is>
      </c>
      <c r="G12" t="inlineStr">
        <is>
          <t>VERIFIED 2026-08-22</t>
        </is>
      </c>
    </row>
    <row r="13">
      <c r="A13" t="inlineStr">
        <is>
          <t>MK-XS-I-012</t>
        </is>
      </c>
      <c r="B13" t="inlineStr">
        <is>
          <t>bond coupon rate</t>
        </is>
      </c>
      <c r="C13" t="inlineStr">
        <is>
          <t>typed, or the download</t>
        </is>
      </c>
      <c r="D13" t="inlineStr">
        <is>
          <t>interest payments a year · yield</t>
        </is>
      </c>
      <c r="E13" t="inlineStr">
        <is>
          <t>BOND_COUPON · BOND_CURRENT_YIELD</t>
        </is>
      </c>
      <c r="F13" t="inlineStr">
        <is>
          <t>MK-NW-E-016 · MK-NW-E-019</t>
        </is>
      </c>
      <c r="G13" t="inlineStr">
        <is>
          <t>VERIFIED 2026-08-22</t>
        </is>
      </c>
    </row>
    <row r="14">
      <c r="A14" t="inlineStr">
        <is>
          <t>MK-XS-I-013</t>
        </is>
      </c>
      <c r="B14" t="inlineStr">
        <is>
          <t>bond maturity date</t>
        </is>
      </c>
      <c r="C14" t="inlineStr">
        <is>
          <t>typed, or the download</t>
        </is>
      </c>
      <c r="D14" t="inlineStr">
        <is>
          <t>years away · yield if held to maturity</t>
        </is>
      </c>
      <c r="E14" t="inlineStr">
        <is>
          <t>BOND_YEARS_LEFT · BOND_YIELD_TO_MATURITY</t>
        </is>
      </c>
      <c r="F14" t="inlineStr">
        <is>
          <t>MK-NW-E-017 · MK-NW-E-018</t>
        </is>
      </c>
      <c r="G14" t="inlineStr">
        <is>
          <t>VERIFIED 2026-08-22</t>
        </is>
      </c>
    </row>
    <row r="15">
      <c r="A15" t="inlineStr">
        <is>
          <t>MK-XS-I-014</t>
        </is>
      </c>
      <c r="B15" t="inlineStr">
        <is>
          <t>debt balance</t>
        </is>
      </c>
      <c r="C15" t="inlineStr">
        <is>
          <t>typed, or a connection</t>
        </is>
      </c>
      <c r="D15" t="inlineStr">
        <is>
          <t>what you owe · net worth · payoff</t>
        </is>
      </c>
      <c r="E15" t="inlineStr">
        <is>
          <t>DEBT_PICTURE</t>
        </is>
      </c>
      <c r="F15" t="inlineStr">
        <is>
          <t>MK-NW-E-006</t>
        </is>
      </c>
      <c r="G15" t="inlineStr">
        <is>
          <t>VERIFIED 2026-08-22</t>
        </is>
      </c>
    </row>
    <row r="16">
      <c r="A16" t="inlineStr">
        <is>
          <t>MK-XS-I-015</t>
        </is>
      </c>
      <c r="B16" t="inlineStr">
        <is>
          <t>debt interest rate</t>
        </is>
      </c>
      <c r="C16" t="inlineStr">
        <is>
          <t>typed</t>
        </is>
      </c>
      <c r="D16" t="inlineStr">
        <is>
          <t>payoff date · what extra payments save</t>
        </is>
      </c>
      <c r="E16" t="inlineStr">
        <is>
          <t>DEBT_PAYOFF</t>
        </is>
      </c>
      <c r="F16" t="inlineStr">
        <is>
          <t>MK-PL-E-015</t>
        </is>
      </c>
      <c r="G16" t="inlineStr">
        <is>
          <t>VERIFIED 2026-08-22</t>
        </is>
      </c>
    </row>
    <row r="17">
      <c r="A17" t="inlineStr">
        <is>
          <t>MK-XS-I-016</t>
        </is>
      </c>
      <c r="B17" t="inlineStr">
        <is>
          <t>debt minimum payment</t>
        </is>
      </c>
      <c r="C17" t="inlineStr">
        <is>
          <t>typed</t>
        </is>
      </c>
      <c r="D17" t="inlineStr">
        <is>
          <t>monthly debt payments · money out</t>
        </is>
      </c>
      <c r="E17" t="inlineStr">
        <is>
          <t>DEBT_REQUIRED_PAYMENT</t>
        </is>
      </c>
      <c r="F17" t="inlineStr">
        <is>
          <t>MK-NW-E-007</t>
        </is>
      </c>
      <c r="G17" t="inlineStr">
        <is>
          <t>VERIFIED 2026-08-22</t>
        </is>
      </c>
    </row>
    <row r="18">
      <c r="A18" t="inlineStr">
        <is>
          <t>MK-XS-I-017</t>
        </is>
      </c>
      <c r="B18" t="inlineStr">
        <is>
          <t>birth year</t>
        </is>
      </c>
      <c r="C18" t="inlineStr">
        <is>
          <t>typed at setup</t>
        </is>
      </c>
      <c r="D18" t="inlineStr">
        <is>
          <t>current age · retirement age · Social Security · required withdrawal</t>
        </is>
      </c>
      <c r="E18" t="inlineStr">
        <is>
          <t>SS_BENEFIT_AT_AGE · RMD_START_AGE</t>
        </is>
      </c>
      <c r="F18" t="inlineStr">
        <is>
          <t>MK-XS-E-040</t>
        </is>
      </c>
      <c r="G18" t="inlineStr">
        <is>
          <t>VERIFIED 2026-08-22</t>
        </is>
      </c>
    </row>
    <row r="19">
      <c r="A19" t="inlineStr">
        <is>
          <t>MK-XS-I-018</t>
        </is>
      </c>
      <c r="B19" t="inlineStr">
        <is>
          <t>retirement age</t>
        </is>
      </c>
      <c r="C19" t="inlineStr">
        <is>
          <t>typed, or the dial on Plan</t>
        </is>
      </c>
      <c r="D19" t="inlineStr">
        <is>
          <t>the odds · projected pot · the paycheck</t>
        </is>
      </c>
      <c r="E19" t="inlineStr">
        <is>
          <t>WILL_IT_LAST_RESULT · POT_AT_RETIREMENT</t>
        </is>
      </c>
      <c r="F19" t="inlineStr">
        <is>
          <t>MK-XS-E-007 · MK-NW-E-009</t>
        </is>
      </c>
      <c r="G19" t="inlineStr">
        <is>
          <t>VERIFIED 2026-08-22</t>
        </is>
      </c>
    </row>
    <row r="20">
      <c r="A20" t="inlineStr">
        <is>
          <t>MK-XS-I-019</t>
        </is>
      </c>
      <c r="B20" t="inlineStr">
        <is>
          <t>monthly spending in retirement</t>
        </is>
      </c>
      <c r="C20" t="inlineStr">
        <is>
          <t>typed</t>
        </is>
      </c>
      <c r="D20" t="inlineStr">
        <is>
          <t>the odds · the draw from savings</t>
        </is>
      </c>
      <c r="E20" t="inlineStr">
        <is>
          <t>WILL_IT_LAST_INPUTS</t>
        </is>
      </c>
      <c r="F20" t="inlineStr">
        <is>
          <t>MK-XS-E-006</t>
        </is>
      </c>
      <c r="G20" t="inlineStr">
        <is>
          <t>VERIFIED 2026-08-22</t>
        </is>
      </c>
    </row>
    <row r="21">
      <c r="A21" t="inlineStr">
        <is>
          <t>MK-XS-I-020</t>
        </is>
      </c>
      <c r="B21" t="inlineStr">
        <is>
          <t>Social Security monthly amount</t>
        </is>
      </c>
      <c r="C21" t="inlineStr">
        <is>
          <t>typed from the statement, or a worked example</t>
        </is>
      </c>
      <c r="D21" t="inlineStr">
        <is>
          <t>guaranteed income · the paycheck · claim timing</t>
        </is>
      </c>
      <c r="E21" t="inlineStr">
        <is>
          <t>SS_BENEFIT_AT_AGE · RETIREMENT_INCOME_NOW</t>
        </is>
      </c>
      <c r="F21" t="inlineStr">
        <is>
          <t>MK-XS-E-040 · MK-PL-E-007</t>
        </is>
      </c>
      <c r="G21" t="inlineStr">
        <is>
          <t>VERIFIED 2026-08-22</t>
        </is>
      </c>
    </row>
    <row r="22">
      <c r="A22" t="inlineStr">
        <is>
          <t>MK-XS-I-021</t>
        </is>
      </c>
      <c r="B22" t="inlineStr">
        <is>
          <t>Social Security claim age</t>
        </is>
      </c>
      <c r="C22" t="inlineStr">
        <is>
          <t>typed</t>
        </is>
      </c>
      <c r="D22" t="inlineStr">
        <is>
          <t>how much the check is · lifetime total</t>
        </is>
      </c>
      <c r="E22" t="inlineStr">
        <is>
          <t>SS_CLAIM_FACTOR</t>
        </is>
      </c>
      <c r="F22" t="inlineStr">
        <is>
          <t>MK-XS-E-046</t>
        </is>
      </c>
      <c r="G22" t="inlineStr">
        <is>
          <t>VERIFIED 2026-08-22</t>
        </is>
      </c>
    </row>
    <row r="23">
      <c r="A23" t="inlineStr">
        <is>
          <t>MK-XS-I-022</t>
        </is>
      </c>
      <c r="B23" t="inlineStr">
        <is>
          <t>pension monthly amount</t>
        </is>
      </c>
      <c r="C23" t="inlineStr">
        <is>
          <t>typed</t>
        </is>
      </c>
      <c r="D23" t="inlineStr">
        <is>
          <t>guaranteed income · the paycheck</t>
        </is>
      </c>
      <c r="E23" t="inlineStr">
        <is>
          <t>RETIREMENT_INCOME_NOW</t>
        </is>
      </c>
      <c r="F23" t="inlineStr">
        <is>
          <t>MK-PL-E-007</t>
        </is>
      </c>
      <c r="G23" t="inlineStr">
        <is>
          <t>VERIFIED 2026-08-22</t>
        </is>
      </c>
    </row>
    <row r="24">
      <c r="A24" t="inlineStr">
        <is>
          <t>MK-XS-I-023</t>
        </is>
      </c>
      <c r="B24" t="inlineStr">
        <is>
          <t>salary and other income</t>
        </is>
      </c>
      <c r="C24" t="inlineStr">
        <is>
          <t>typed at setup</t>
        </is>
      </c>
      <c r="D24" t="inlineStr">
        <is>
          <t>money in · take-home · savings capacity</t>
        </is>
      </c>
      <c r="E24" t="inlineStr">
        <is>
          <t>TOTAL_INCOME</t>
        </is>
      </c>
      <c r="F24" t="inlineStr">
        <is>
          <t>MK-XS-E-044</t>
        </is>
      </c>
      <c r="G24" t="inlineStr">
        <is>
          <t>VERIFIED 2026-08-22</t>
        </is>
      </c>
    </row>
    <row r="25">
      <c r="A25" t="inlineStr">
        <is>
          <t>MK-XS-I-024</t>
        </is>
      </c>
      <c r="B25" t="inlineStr">
        <is>
          <t>logged spending</t>
        </is>
      </c>
      <c r="C25" t="inlineStr">
        <is>
          <t>typed, or read from a download</t>
        </is>
      </c>
      <c r="D25" t="inlineStr">
        <is>
          <t>spent so far · by category · essentials</t>
        </is>
      </c>
      <c r="E25" t="inlineStr">
        <is>
          <t>SPENDING_BY_KIND · PLANNED_SPENDING</t>
        </is>
      </c>
      <c r="F25" t="inlineStr">
        <is>
          <t>MK-XS-E-021 · MK-CF-E-004</t>
        </is>
      </c>
      <c r="G25" t="inlineStr">
        <is>
          <t>VERIFIED 2026-08-22</t>
        </is>
      </c>
    </row>
    <row r="26">
      <c r="A26" t="inlineStr">
        <is>
          <t>MK-XS-I-025</t>
        </is>
      </c>
      <c r="B26" t="inlineStr">
        <is>
          <t>typical monthly essentials</t>
        </is>
      </c>
      <c r="C26" t="inlineStr">
        <is>
          <t>typed</t>
        </is>
      </c>
      <c r="D26" t="inlineStr">
        <is>
          <t>the cushion · job-safety runway · stress test</t>
        </is>
      </c>
      <c r="E26" t="inlineStr">
        <is>
          <t>PLANNED_SPENDING · JOB_SAFETY_RUNWAY</t>
        </is>
      </c>
      <c r="F26" t="inlineStr">
        <is>
          <t>MK-CF-E-004 · MK-MN-E-010</t>
        </is>
      </c>
      <c r="G26" t="inlineStr">
        <is>
          <t>VERIFIED 2026-08-22</t>
        </is>
      </c>
    </row>
    <row r="27">
      <c r="A27" t="inlineStr">
        <is>
          <t>MK-XS-I-026</t>
        </is>
      </c>
      <c r="B27" t="inlineStr">
        <is>
          <t>big costs (amount and year)</t>
        </is>
      </c>
      <c r="C27" t="inlineStr">
        <is>
          <t>typed</t>
        </is>
      </c>
      <c r="D27" t="inlineStr">
        <is>
          <t>the odds · the plan · the radar</t>
        </is>
      </c>
      <c r="E27" t="inlineStr">
        <is>
          <t>BIG_COSTS</t>
        </is>
      </c>
      <c r="F27" t="inlineStr">
        <is>
          <t>MK-MN-E-001</t>
        </is>
      </c>
      <c r="G27" t="inlineStr">
        <is>
          <t>VERIFIED 2026-08-22</t>
        </is>
      </c>
    </row>
    <row r="28">
      <c r="A28" t="inlineStr">
        <is>
          <t>MK-XS-I-027</t>
        </is>
      </c>
      <c r="B28" t="inlineStr">
        <is>
          <t>goals (target, saved, date)</t>
        </is>
      </c>
      <c r="C28" t="inlineStr">
        <is>
          <t>typed</t>
        </is>
      </c>
      <c r="D28" t="inlineStr">
        <is>
          <t>goal progress · what you can afford together</t>
        </is>
      </c>
      <c r="E28" t="inlineStr">
        <is>
          <t>GOAL_PROGRESS</t>
        </is>
      </c>
      <c r="F28" t="inlineStr">
        <is>
          <t>MK-MN-E-005</t>
        </is>
      </c>
      <c r="G28" t="inlineStr">
        <is>
          <t>VERIFIED 2026-08-22</t>
        </is>
      </c>
    </row>
    <row r="29">
      <c r="A29" t="inlineStr">
        <is>
          <t>MK-XS-I-028</t>
        </is>
      </c>
      <c r="B29" t="inlineStr">
        <is>
          <t>assumed return</t>
        </is>
      </c>
      <c r="C29" t="inlineStr">
        <is>
          <t>built in, and adjustable on the cockpit</t>
        </is>
      </c>
      <c r="D29" t="inlineStr">
        <is>
          <t>projected pot · the odds</t>
        </is>
      </c>
      <c r="E29" t="inlineStr">
        <is>
          <t>POT_AT_RETIREMENT · WILL_IT_LAST_RESULT</t>
        </is>
      </c>
      <c r="F29" t="inlineStr">
        <is>
          <t>MK-XS-E-007 · MK-NW-E-009</t>
        </is>
      </c>
      <c r="G29" t="inlineStr">
        <is>
          <t>VERIFIED 2026-08-22</t>
        </is>
      </c>
    </row>
    <row r="30">
      <c r="A30" t="inlineStr">
        <is>
          <t>MK-XS-I-029</t>
        </is>
      </c>
      <c r="B30" t="inlineStr">
        <is>
          <t>inflation rate</t>
        </is>
      </c>
      <c r="C30" t="inlineStr">
        <is>
          <t>a published feed, with a built-in fallback</t>
        </is>
      </c>
      <c r="D30" t="inlineStr">
        <is>
          <t>tomorrow's dollars · the odds</t>
        </is>
      </c>
      <c r="E30" t="inlineStr">
        <is>
          <t>WILL_IT_LAST_INPUTS</t>
        </is>
      </c>
      <c r="F30" t="inlineStr">
        <is>
          <t>MK-XS-E-006</t>
        </is>
      </c>
      <c r="G30" t="inlineStr">
        <is>
          <t>VERIFIED 2026-08-22</t>
        </is>
      </c>
    </row>
    <row r="31">
      <c r="A31" t="inlineStr">
        <is>
          <t>MK-XS-I-030</t>
        </is>
      </c>
      <c r="B31" t="inlineStr">
        <is>
          <t>tax filing status and age</t>
        </is>
      </c>
      <c r="C31" t="inlineStr">
        <is>
          <t>typed at setup</t>
        </is>
      </c>
      <c r="D31" t="inlineStr">
        <is>
          <t>tax bands · the deduction · tax on a Roth move</t>
        </is>
      </c>
      <c r="E31" t="inlineStr">
        <is>
          <t>TAXABLE_INCOME · TAX_ON_CONVERSION</t>
        </is>
      </c>
      <c r="F31" t="inlineStr">
        <is>
          <t>MK-PL-E-012 · MK-MN-E-014</t>
        </is>
      </c>
      <c r="G31" t="inlineStr">
        <is>
          <t>VERIFIED 2026-08-22</t>
        </is>
      </c>
    </row>
    <row r="32">
      <c r="A32" t="inlineStr">
        <is>
          <t>MK-XS-I-031</t>
        </is>
      </c>
      <c r="B32" t="inlineStr">
        <is>
          <t>daily and monthly snapshots</t>
        </is>
      </c>
      <c r="C32" t="inlineStr">
        <is>
          <t>the app itself, once a day</t>
        </is>
      </c>
      <c r="D32" t="inlineStr">
        <is>
          <t>the trend line · change in net worth · beginning values</t>
        </is>
      </c>
      <c r="E32" t="inlineStr">
        <is>
          <t>TREND_SERIES · NW_CHANGE_WALK</t>
        </is>
      </c>
      <c r="F32" t="inlineStr">
        <is>
          <t>MK-NW-E-001 · MK-PF-E-001</t>
        </is>
      </c>
      <c r="G32" t="inlineStr">
        <is>
          <t>VERIFIED 2026-08-22</t>
        </is>
      </c>
    </row>
    <row r="33">
      <c r="A33" t="inlineStr">
        <is>
          <t>MK-XS-I-032</t>
        </is>
      </c>
      <c r="B33" t="inlineStr">
        <is>
          <t>spending categories the person set up</t>
        </is>
      </c>
      <c r="C33" t="inlineStr">
        <is>
          <t>Typed by the person when they set up their budget</t>
        </is>
      </c>
      <c r="D33" t="inlineStr">
        <is>
          <t>planned spending · spending by kind</t>
        </is>
      </c>
      <c r="E33" t="inlineStr">
        <is>
          <t>PLANNED_SPENDING · SPENDING_BY_KIND</t>
        </is>
      </c>
      <c r="F33" t="inlineStr">
        <is>
          <t>MK-XS-E-021 · MK-CF-E-004</t>
        </is>
      </c>
      <c r="G33" t="inlineStr">
        <is>
          <t>VERIFIED 2026-08-22</t>
        </is>
      </c>
    </row>
    <row r="34">
      <c r="A34" t="inlineStr">
        <is>
          <t>MK-XS-I-033</t>
        </is>
      </c>
      <c r="B34" t="inlineStr">
        <is>
          <t>the date a hand-typed value was set</t>
        </is>
      </c>
      <c r="C34" t="inlineStr">
        <is>
          <t>Typed by the person, stamped when they save it</t>
        </is>
      </c>
      <c r="D34" t="inlineStr">
        <is>
          <t>account value and its freshness</t>
        </is>
      </c>
      <c r="E34" t="inlineStr">
        <is>
          <t>HAND_VALUE_AGE</t>
        </is>
      </c>
      <c r="F34" t="inlineStr">
        <is>
          <t>MK-NW-E-011</t>
        </is>
      </c>
      <c r="G34" t="inlineStr">
        <is>
          <t>VERIFIED 2026-08-22</t>
        </is>
      </c>
    </row>
    <row r="35">
      <c r="A35" t="inlineStr">
        <is>
          <t>MK-XS-I-034</t>
        </is>
      </c>
      <c r="B35" t="inlineStr">
        <is>
          <t>option positions — contracts, strike, expiry, put or call</t>
        </is>
      </c>
      <c r="C35" t="inlineStr">
        <is>
          <t>An institution download, a connection, or typed</t>
        </is>
      </c>
      <c r="D35" t="inlineStr">
        <is>
          <t>a holding’s value and gain when it is an option</t>
        </is>
      </c>
      <c r="E35" t="inlineStr">
        <is>
          <t>HOLDING_MARKET_VALUE · HOLDING_CAP_GAINS</t>
        </is>
      </c>
      <c r="F35" t="inlineStr">
        <is>
          <t>MK-NW-E-022 · MK-NW-E-026</t>
        </is>
      </c>
      <c r="G35" t="inlineStr">
        <is>
          <t>VERIFIED 2026-08-22</t>
        </is>
      </c>
    </row>
    <row r="36">
      <c r="A36" t="inlineStr">
        <is>
          <t>MK-XS-I-035</t>
        </is>
      </c>
      <c r="B36" t="inlineStr">
        <is>
          <t>annuity income</t>
        </is>
      </c>
      <c r="C36" t="inlineStr">
        <is>
          <t>Typed by the person</t>
        </is>
      </c>
      <c r="D36" t="inlineStr">
        <is>
          <t>guaranteed income · the retirement paycheck</t>
        </is>
      </c>
      <c r="E36" t="inlineStr">
        <is>
          <t>RETIREMENT_INCOME · RETIREMENT_INCOME_NOW</t>
        </is>
      </c>
      <c r="F36" t="inlineStr">
        <is>
          <t>MK-XS-E-047 · MK-PL-E-007</t>
        </is>
      </c>
      <c r="G36" t="inlineStr">
        <is>
          <t>VERIFIED 2026-08-22</t>
        </is>
      </c>
    </row>
    <row r="37">
      <c r="A37" t="inlineStr">
        <is>
          <t>MK-XS-I-036</t>
        </is>
      </c>
      <c r="B37" t="inlineStr">
        <is>
          <t>other guaranteed income</t>
        </is>
      </c>
      <c r="C37" t="inlineStr">
        <is>
          <t>Typed by the person</t>
        </is>
      </c>
      <c r="D37" t="inlineStr">
        <is>
          <t>guaranteed income · the retirement paycheck</t>
        </is>
      </c>
      <c r="E37" t="inlineStr">
        <is>
          <t>RETIREMENT_INCOME</t>
        </is>
      </c>
      <c r="F37" t="inlineStr">
        <is>
          <t>MK-XS-E-047</t>
        </is>
      </c>
      <c r="G37" t="inlineStr">
        <is>
          <t>VERIFIED 2026-08-22</t>
        </is>
      </c>
    </row>
    <row r="38">
      <c r="A38" t="inlineStr">
        <is>
          <t>MK-XS-I-037</t>
        </is>
      </c>
      <c r="B38" t="inlineStr">
        <is>
          <t>required-withdrawal income stream (ri_rmd)</t>
        </is>
      </c>
      <c r="C38" t="inlineStr">
        <is>
          <t>Worked out from balances, not typed</t>
        </is>
      </c>
      <c r="D38" t="inlineStr">
        <is>
          <t>the retirement paycheck. RULE B5: it must NOT count as guaranteed income — money coming OUT of the pot cannot fund the pot</t>
        </is>
      </c>
      <c r="E38" t="inlineStr">
        <is>
          <t>RETIREMENT_INCOME</t>
        </is>
      </c>
      <c r="F38" t="inlineStr">
        <is>
          <t>MK-XS-E-047</t>
        </is>
      </c>
      <c r="G38" t="inlineStr">
        <is>
          <t>VERIFIED 2026-08-22</t>
        </is>
      </c>
    </row>
    <row r="39">
      <c r="A39" t="inlineStr">
        <is>
          <t>MK-XS-I-038</t>
        </is>
      </c>
      <c r="B39" t="inlineStr">
        <is>
          <t>withdrawal income stream (ri_withdrawals)</t>
        </is>
      </c>
      <c r="C39" t="inlineStr">
        <is>
          <t>Worked out from the plan, not typed</t>
        </is>
      </c>
      <c r="D39" t="inlineStr">
        <is>
          <t>the retirement paycheck. RULE B5: excluded from guaranteed income for the same reason</t>
        </is>
      </c>
      <c r="E39" t="inlineStr">
        <is>
          <t>RETIREMENT_INCOME</t>
        </is>
      </c>
      <c r="F39" t="inlineStr">
        <is>
          <t>MK-XS-E-047</t>
        </is>
      </c>
      <c r="G39" t="inlineStr">
        <is>
          <t>VERIFIED 2026-08-22</t>
        </is>
      </c>
    </row>
    <row r="40">
      <c r="A40" t="inlineStr">
        <is>
          <t>MK-XS-I-039</t>
        </is>
      </c>
      <c r="B40" t="inlineStr">
        <is>
          <t>how often each income arrives</t>
        </is>
      </c>
      <c r="C40" t="inlineStr">
        <is>
          <t>Typed by the person</t>
        </is>
      </c>
      <c r="D40" t="inlineStr">
        <is>
          <t>which months an income lands in</t>
        </is>
      </c>
      <c r="E40" t="inlineStr">
        <is>
          <t>RETIREMENT_INCOME · TOTAL_INCOME</t>
        </is>
      </c>
      <c r="F40" t="inlineStr">
        <is>
          <t>MK-XS-E-044 · MK-XS-E-047</t>
        </is>
      </c>
      <c r="G40" t="inlineStr">
        <is>
          <t>VERIFIED 2026-08-22</t>
        </is>
      </c>
    </row>
    <row r="41">
      <c r="A41" t="inlineStr">
        <is>
          <t>MK-XS-I-040</t>
        </is>
      </c>
      <c r="B41" t="inlineStr">
        <is>
          <t>whether a stream is already being received</t>
        </is>
      </c>
      <c r="C41" t="inlineStr">
        <is>
          <t>Typed by the person</t>
        </is>
      </c>
      <c r="D41" t="inlineStr">
        <is>
          <t>guaranteed income now, as against guaranteed income later</t>
        </is>
      </c>
      <c r="E41" t="inlineStr">
        <is>
          <t>RETIREMENT_INCOME_NOW</t>
        </is>
      </c>
      <c r="F41" t="inlineStr">
        <is>
          <t>MK-PL-E-007</t>
        </is>
      </c>
      <c r="G41" t="inlineStr">
        <is>
          <t>VERIFIED 2026-08-22</t>
        </is>
      </c>
    </row>
    <row r="42">
      <c r="A42" t="inlineStr">
        <is>
          <t>MK-XS-I-041</t>
        </is>
      </c>
      <c r="B42" t="inlineStr">
        <is>
          <t>the payment the person chose to make on a debt</t>
        </is>
      </c>
      <c r="C42" t="inlineStr">
        <is>
          <t>Typed by the person, and it can exceed the minimum</t>
        </is>
      </c>
      <c r="D42" t="inlineStr">
        <is>
          <t>payoff date · money out</t>
        </is>
      </c>
      <c r="E42" t="inlineStr">
        <is>
          <t>DEBT_PAYOFF · DEBT_REQUIRED_PAYMENT</t>
        </is>
      </c>
      <c r="F42" t="inlineStr">
        <is>
          <t>MK-NW-E-007 · MK-PL-E-015</t>
        </is>
      </c>
      <c r="G42" t="inlineStr">
        <is>
          <t>VERIFIED 2026-08-22</t>
        </is>
      </c>
    </row>
    <row r="43">
      <c r="A43" t="inlineStr">
        <is>
          <t>MK-XS-I-042</t>
        </is>
      </c>
      <c r="B43" t="inlineStr">
        <is>
          <t>how a stream is paid — monthly, yearly or one lump</t>
        </is>
      </c>
      <c r="C43" t="inlineStr">
        <is>
          <t>Typed by the person</t>
        </is>
      </c>
      <c r="D43" t="inlineStr">
        <is>
          <t>how an income is spread across the year</t>
        </is>
      </c>
      <c r="E43" t="inlineStr">
        <is>
          <t>RETIREMENT_INCOME</t>
        </is>
      </c>
      <c r="F43" t="inlineStr">
        <is>
          <t>MK-XS-E-047</t>
        </is>
      </c>
      <c r="G43" t="inlineStr">
        <is>
          <t>VERIFIED 2026-08-22</t>
        </is>
      </c>
    </row>
    <row r="44">
      <c r="A44" t="inlineStr">
        <is>
          <t>MK-XS-I-043</t>
        </is>
      </c>
      <c r="B44" t="inlineStr">
        <is>
          <t>their own retirement contribution</t>
        </is>
      </c>
      <c r="C44" t="inlineStr">
        <is>
          <t>Typed by the person</t>
        </is>
      </c>
      <c r="D44" t="inlineStr">
        <is>
          <t>take-home pay · the pot at retirement</t>
        </is>
      </c>
      <c r="E44" t="inlineStr">
        <is>
          <t>TOTAL_INCOME · POT_AT_RETIREMENT</t>
        </is>
      </c>
      <c r="F44" t="inlineStr">
        <is>
          <t>MK-NW-E-009 · MK-XS-E-044</t>
        </is>
      </c>
      <c r="G44" t="inlineStr">
        <is>
          <t>VERIFIED 2026-08-22</t>
        </is>
      </c>
    </row>
    <row r="45">
      <c r="A45" t="inlineStr">
        <is>
          <t>MK-XS-I-044</t>
        </is>
      </c>
      <c r="B45" t="inlineStr">
        <is>
          <t>the person’s own plan overrides</t>
        </is>
      </c>
      <c r="C45" t="inlineStr">
        <is>
          <t>Set by the person on the Plan screen</t>
        </is>
      </c>
      <c r="D45" t="inlineStr">
        <is>
          <t>every plan figure they have overridden</t>
        </is>
      </c>
      <c r="E45" t="inlineStr">
        <is>
          <t>WILL_IT_LAST_INPUTS</t>
        </is>
      </c>
      <c r="F45" t="inlineStr">
        <is>
          <t>MK-XS-E-006</t>
        </is>
      </c>
      <c r="G45" t="inlineStr">
        <is>
          <t>VERIFIED 2026-08-22</t>
        </is>
      </c>
    </row>
    <row r="46">
      <c r="A46" t="inlineStr">
        <is>
          <t>MK-XS-I-045</t>
        </is>
      </c>
      <c r="B46" t="inlineStr">
        <is>
          <t>where they will live in retirement</t>
        </is>
      </c>
      <c r="C46" t="inlineStr">
        <is>
          <t>Typed by the person</t>
        </is>
      </c>
      <c r="D46" t="inlineStr">
        <is>
          <t>cost of living where they retire</t>
        </is>
      </c>
      <c r="E46" t="inlineStr">
        <is>
          <t>RETIREMENT_SPENDING</t>
        </is>
      </c>
      <c r="F46" t="inlineStr">
        <is>
          <t>MK-XS-E-004</t>
        </is>
      </c>
      <c r="G46" t="inlineStr">
        <is>
          <t>VERIFIED 2026-08-22</t>
        </is>
      </c>
    </row>
    <row r="47">
      <c r="A47" t="inlineStr">
        <is>
          <t>MK-XS-I-046</t>
        </is>
      </c>
      <c r="B47" t="inlineStr">
        <is>
          <t>how the employer match is expressed — percent or dollars</t>
        </is>
      </c>
      <c r="C47" t="inlineStr">
        <is>
          <t>Typed by the person</t>
        </is>
      </c>
      <c r="D47" t="inlineStr">
        <is>
          <t>the employer match</t>
        </is>
      </c>
      <c r="E47" t="inlineStr">
        <is>
          <t>EMPLOYER_MATCH</t>
        </is>
      </c>
      <c r="F47" t="inlineStr">
        <is>
          <t>MK-MN-E-007</t>
        </is>
      </c>
      <c r="G47" t="inlineStr">
        <is>
          <t>VERIFIED 2026-08-22</t>
        </is>
      </c>
    </row>
    <row r="48">
      <c r="A48" t="inlineStr">
        <is>
          <t>MK-XS-I-047</t>
        </is>
      </c>
      <c r="B48" t="inlineStr">
        <is>
          <t>money to leave behind</t>
        </is>
      </c>
      <c r="C48" t="inlineStr">
        <is>
          <t>Typed by the person</t>
        </is>
      </c>
      <c r="D48" t="inlineStr">
        <is>
          <t>the odds — the pot may not be run to zero</t>
        </is>
      </c>
      <c r="E48" t="inlineStr">
        <is>
          <t>WILL_IT_LAST_INPUTS · WILL_IT_LAST_RESULT</t>
        </is>
      </c>
      <c r="F48" t="inlineStr">
        <is>
          <t>MK-XS-E-006 · MK-XS-E-007</t>
        </is>
      </c>
      <c r="G48" t="inlineStr">
        <is>
          <t>VERIFIED 2026-08-22</t>
        </is>
      </c>
    </row>
    <row r="49">
      <c r="A49" t="inlineStr">
        <is>
          <t>MK-XS-I-048</t>
        </is>
      </c>
      <c r="B49" t="inlineStr">
        <is>
          <t>the person’s own asset-class answer</t>
        </is>
      </c>
      <c r="C49" t="inlineStr">
        <is>
          <t>Typed by the person, and it outranks the institution</t>
        </is>
      </c>
      <c r="D49" t="inlineStr">
        <is>
          <t>what class a holding is counted as</t>
        </is>
      </c>
      <c r="E49" t="inlineStr">
        <is>
          <t>ALLOCATION_BY_CLASS · ASSET_CLASS_OF_ACCOUNT</t>
        </is>
      </c>
      <c r="F49" t="inlineStr">
        <is>
          <t>MK-XS-E-008 · MK-NW-E-005</t>
        </is>
      </c>
      <c r="G49" t="inlineStr">
        <is>
          <t>VERIFIED 2026-08-22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60" customWidth="1" min="3" max="3"/>
    <col width="44" customWidth="1" min="4" max="4"/>
    <col width="44" customWidth="1" min="5" max="5"/>
    <col width="44" customWidth="1" min="6" max="6"/>
    <col width="26" customWidth="1" min="7" max="7"/>
  </cols>
  <sheetData>
    <row r="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c r="A5" s="3" t="inlineStr">
        <is>
          <t>users/{uid}</t>
        </is>
      </c>
      <c r="B5" s="3" t="inlineStr">
        <is>
          <t>householdId</t>
        </is>
      </c>
      <c r="C5" s="3" t="inlineStr">
        <is>
          <t>Whose document this person reads and writes — their own, or the partner who invited them.</t>
        </is>
      </c>
      <c r="D5" s="3" t="inlineStr">
        <is>
          <t>—</t>
        </is>
      </c>
      <c r="E5" s="3" t="inlineStr">
        <is>
          <t>when an invite is redeemed</t>
        </is>
      </c>
      <c r="F5" s="3" t="inlineStr">
        <is>
          <t>one per person</t>
        </is>
      </c>
      <c r="G5" s="3" t="inlineStr">
        <is>
          <t>No</t>
        </is>
      </c>
    </row>
    <row r="6">
      <c r="A6" s="3" t="inlineStr">
        <is>
          <t>households/{owner}/members/{member}</t>
        </is>
      </c>
      <c r="B6" s="3" t="inlineStr">
        <is>
          <t>code, householdId</t>
        </is>
      </c>
      <c r="C6" s="3" t="inlineStr">
        <is>
          <t>The record that a partner joined a household, bound to a real invite.</t>
        </is>
      </c>
      <c r="D6" s="3" t="inlineStr">
        <is>
          <t>—</t>
        </is>
      </c>
      <c r="E6" s="3" t="inlineStr">
        <is>
          <t>once, when the invite is redeemed</t>
        </is>
      </c>
      <c r="F6" s="3" t="inlineStr">
        <is>
          <t>one per member</t>
        </is>
      </c>
      <c r="G6" s="3" t="inlineStr">
        <is>
          <t>No</t>
        </is>
      </c>
    </row>
    <row r="7">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c r="A13" s="3" t="inlineStr">
        <is>
          <t>inside appStateEnc</t>
        </is>
      </c>
      <c r="B13" s="3" t="inlineStr">
        <is>
          <t>expenses</t>
        </is>
      </c>
      <c r="C13" s="3" t="inlineStr">
        <is>
          <t>Logged spending: date, amount, category, store.</t>
        </is>
      </c>
      <c r="D13" s="3" t="inlineStr">
        <is>
          <t>logged spending</t>
        </is>
      </c>
      <c r="E13" s="3" t="inlineStr">
        <is>
          <t>with every save</t>
        </is>
      </c>
      <c r="F13" s="3" t="inlineStr">
        <is>
          <t>one entry per expense</t>
        </is>
      </c>
      <c r="G13" s="3" t="inlineStr">
        <is>
          <t>inside the encrypted blob</t>
        </is>
      </c>
    </row>
    <row r="14">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c r="A15" s="3" t="inlineStr">
        <is>
          <t>inside appStateEnc</t>
        </is>
      </c>
      <c r="B15" s="3" t="inlineStr">
        <is>
          <t>recurringExpenses</t>
        </is>
      </c>
      <c r="C15" s="3" t="inlineStr">
        <is>
          <t>Bills that repeat, and the day they fall.</t>
        </is>
      </c>
      <c r="D15" s="3" t="inlineStr">
        <is>
          <t>logged spending · the bill calendar</t>
        </is>
      </c>
      <c r="E15" s="3" t="inlineStr">
        <is>
          <t>with every save</t>
        </is>
      </c>
      <c r="F15" s="3" t="inlineStr">
        <is>
          <t>one entry per bill</t>
        </is>
      </c>
      <c r="G15" s="3" t="inlineStr">
        <is>
          <t>inside the encrypted blob</t>
        </is>
      </c>
    </row>
    <row r="16">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c r="A18" s="3" t="inlineStr">
        <is>
          <t>inside appStateEnc</t>
        </is>
      </c>
      <c r="B18" s="3" t="inlineStr">
        <is>
          <t>onboardingProfile</t>
        </is>
      </c>
      <c r="C18" s="3" t="inlineStr">
        <is>
          <t>What the person told us at setup: birth year, retirement age, spending, Social Security, pension, filing status.</t>
        </is>
      </c>
      <c r="D18" s="3" t="inlineStr">
        <is>
          <t>birth year · retirement age · monthly spending · Social Security · pension · filing status</t>
        </is>
      </c>
      <c r="E18" s="3" t="inlineStr">
        <is>
          <t>with every save</t>
        </is>
      </c>
      <c r="F18" s="3" t="inlineStr">
        <is>
          <t>one per person</t>
        </is>
      </c>
      <c r="G18" s="3" t="inlineStr">
        <is>
          <t>inside the encrypted blob</t>
        </is>
      </c>
    </row>
    <row r="19">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c r="A23" s="3" t="inlineStr">
        <is>
          <t>inside appStateEnc</t>
        </is>
      </c>
      <c r="B23" s="3" t="inlineStr">
        <is>
          <t>budgetCategories · monthlyBudgetTarget · allocatedByMonth</t>
        </is>
      </c>
      <c r="C23" s="3" t="inlineStr">
        <is>
          <t>The plan for spending, by category and by month.</t>
        </is>
      </c>
      <c r="D23" s="3" t="inlineStr">
        <is>
          <t>typical monthly essentials · planned spending</t>
        </is>
      </c>
      <c r="E23" s="3" t="inlineStr">
        <is>
          <t>with every save</t>
        </is>
      </c>
      <c r="F23" s="3" t="inlineStr">
        <is>
          <t>one entry per category or month</t>
        </is>
      </c>
      <c r="G23" s="3" t="inlineStr">
        <is>
          <t>inside the encrypted blob</t>
        </is>
      </c>
    </row>
    <row r="24">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c r="A31" s="3" t="inlineStr">
        <is>
          <t>NOT SAVED</t>
        </is>
      </c>
      <c r="B31" s="3" t="inlineStr">
        <is>
          <t>economic figures (inflation, the 10-year yield)</t>
        </is>
      </c>
      <c r="C31" s="3" t="inlineStr">
        <is>
          <t>Fetched from a feed each time; deliberately left out of the sync.</t>
        </is>
      </c>
      <c r="D31" s="3" t="inlineStr">
        <is>
          <t>inflation rate</t>
        </is>
      </c>
      <c r="E31" s="3" t="inlineStr">
        <is>
          <t>never written to the cloud</t>
        </is>
      </c>
      <c r="F31" s="3" t="inlineStr">
        <is>
          <t>—</t>
        </is>
      </c>
      <c r="G31" s="3" t="inlineStr">
        <is>
          <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c r="A1" s="1" t="inlineStr">
        <is>
          <t>Screen name</t>
        </is>
      </c>
      <c r="B1" s="1" t="inlineStr">
        <is>
          <t>Parent screen</t>
        </is>
      </c>
      <c r="C1" s="1" t="inlineStr">
        <is>
          <t>Core or not — my recommendation</t>
        </is>
      </c>
      <c r="D1" s="1" t="inlineStr">
        <is>
          <t>JJ — Decision (Y/N)</t>
        </is>
      </c>
    </row>
    <row r="2">
      <c r="A2" s="3" t="inlineStr">
        <is>
          <t>/account-detail</t>
        </is>
      </c>
      <c r="B2" s="3" t="inlineStr">
        <is>
          <t>Cashflow · Home · Networth · Performance · Plan</t>
        </is>
      </c>
      <c r="C2" s="3" t="inlineStr">
        <is>
          <t>Yes — where a wrong balance is chased</t>
        </is>
      </c>
      <c r="D2" s="3" t="inlineStr"/>
    </row>
    <row r="3">
      <c r="A3" s="3" t="inlineStr">
        <is>
          <t>/add-account</t>
        </is>
      </c>
      <c r="B3" s="3" t="inlineStr">
        <is>
          <t>Cashflow · Home · Networth · Performance · Plan</t>
        </is>
      </c>
      <c r="C3" s="3" t="inlineStr">
        <is>
          <t>Yes</t>
        </is>
      </c>
      <c r="D3" s="3" t="inlineStr"/>
    </row>
    <row r="4">
      <c r="A4" s="3" t="inlineStr">
        <is>
          <t>/analytics</t>
        </is>
      </c>
      <c r="B4" s="3" t="inlineStr">
        <is>
          <t>Networth</t>
        </is>
      </c>
      <c r="C4" s="3" t="inlineStr">
        <is>
          <t>Yes — Net worth</t>
        </is>
      </c>
      <c r="D4" s="3" t="inlineStr"/>
    </row>
    <row r="5">
      <c r="A5" s="3" t="inlineStr">
        <is>
          <t>/auth</t>
        </is>
      </c>
      <c r="B5" s="3" t="inlineStr">
        <is>
          <t>Menu</t>
        </is>
      </c>
      <c r="C5" s="3" t="inlineStr">
        <is>
          <t>Yes — the way in</t>
        </is>
      </c>
      <c r="D5" s="3" t="inlineStr"/>
    </row>
    <row r="6">
      <c r="A6" s="3" t="inlineStr">
        <is>
          <t>/big-costs</t>
        </is>
      </c>
      <c r="B6" s="3" t="inlineStr">
        <is>
          <t>Menu</t>
        </is>
      </c>
      <c r="C6" s="3" t="inlineStr">
        <is>
          <t>Yes — the costs that break a plan</t>
        </is>
      </c>
      <c r="D6" s="3" t="inlineStr"/>
    </row>
    <row r="7">
      <c r="A7" s="3" t="inlineStr">
        <is>
          <t>/bill-calendar</t>
        </is>
      </c>
      <c r="B7" s="3" t="inlineStr">
        <is>
          <t>Cashflow · Home</t>
        </is>
      </c>
      <c r="C7" s="3" t="inlineStr">
        <is>
          <t>Yes</t>
        </is>
      </c>
      <c r="D7" s="3" t="inlineStr"/>
    </row>
    <row r="8">
      <c r="A8" s="3" t="inlineStr">
        <is>
          <t>/bonds</t>
        </is>
      </c>
      <c r="B8" s="3" t="inlineStr">
        <is>
          <t>Cashflow · Home · Networth · Performance · Plan</t>
        </is>
      </c>
      <c r="C8" s="3" t="inlineStr">
        <is>
          <t>Yes — this age group holds them</t>
        </is>
      </c>
      <c r="D8" s="3" t="inlineStr"/>
    </row>
    <row r="9">
      <c r="A9" s="3" t="inlineStr">
        <is>
          <t>/cashflow</t>
        </is>
      </c>
      <c r="B9" s="3" t="inlineStr">
        <is>
          <t>Cashflow</t>
        </is>
      </c>
      <c r="C9" s="3" t="inlineStr">
        <is>
          <t>Yes — Cash flow</t>
        </is>
      </c>
      <c r="D9" s="3" t="inlineStr"/>
    </row>
    <row r="10">
      <c r="A10" s="3" t="inlineStr">
        <is>
          <t>/connect</t>
        </is>
      </c>
      <c r="B10" s="3" t="inlineStr">
        <is>
          <t>Cashflow · Home · Networth · Performance · Plan</t>
        </is>
      </c>
      <c r="C10" s="3" t="inlineStr">
        <is>
          <t>Yes</t>
        </is>
      </c>
      <c r="D10" s="3" t="inlineStr"/>
    </row>
    <row r="11">
      <c r="A11" s="3" t="inlineStr">
        <is>
          <t>/contribution-room</t>
        </is>
      </c>
      <c r="B11" s="3" t="inlineStr">
        <is>
          <t>Menu</t>
        </is>
      </c>
      <c r="C11" s="3" t="inlineStr">
        <is>
          <t>Yes — still relevant while working</t>
        </is>
      </c>
      <c r="D11" s="3" t="inlineStr"/>
    </row>
    <row r="12">
      <c r="A12" s="3" t="inlineStr">
        <is>
          <t>/credit</t>
        </is>
      </c>
      <c r="B12" s="3" t="inlineStr">
        <is>
          <t>Menu</t>
        </is>
      </c>
      <c r="C12" s="3" t="inlineStr">
        <is>
          <t>No — a working-age worry</t>
        </is>
      </c>
      <c r="D12" s="3" t="inlineStr"/>
    </row>
    <row r="13">
      <c r="A13" s="3" t="inlineStr">
        <is>
          <t>/education</t>
        </is>
      </c>
      <c r="B13" s="3" t="inlineStr">
        <is>
          <t>Plan</t>
        </is>
      </c>
      <c r="C13" s="3" t="inlineStr">
        <is>
          <t>No — college costs belong to the younger group</t>
        </is>
      </c>
      <c r="D13" s="3" t="inlineStr"/>
    </row>
    <row r="14">
      <c r="A14" s="3" t="inlineStr">
        <is>
          <t>/estate</t>
        </is>
      </c>
      <c r="B14" s="3" t="inlineStr">
        <is>
          <t>Menu</t>
        </is>
      </c>
      <c r="C14" s="3" t="inlineStr">
        <is>
          <t>Yes — squarely a 55-70 concern</t>
        </is>
      </c>
      <c r="D14" s="3" t="inlineStr"/>
    </row>
    <row r="15">
      <c r="A15" s="3" t="inlineStr">
        <is>
          <t>/expense</t>
        </is>
      </c>
      <c r="B15" s="3" t="inlineStr">
        <is>
          <t>Menu</t>
        </is>
      </c>
      <c r="C15" s="3" t="inlineStr">
        <is>
          <t>Yes</t>
        </is>
      </c>
      <c r="D15" s="3" t="inlineStr"/>
    </row>
    <row r="16">
      <c r="A16" s="3" t="inlineStr">
        <is>
          <t>/first-run</t>
        </is>
      </c>
      <c r="B16" s="3" t="inlineStr">
        <is>
          <t>Menu</t>
        </is>
      </c>
      <c r="C16" s="3" t="inlineStr">
        <is>
          <t>Yes</t>
        </is>
      </c>
      <c r="D16" s="3" t="inlineStr"/>
    </row>
    <row r="17">
      <c r="A17" s="3" t="inlineStr">
        <is>
          <t>/goals</t>
        </is>
      </c>
      <c r="B17" s="3" t="inlineStr">
        <is>
          <t>Menu</t>
        </is>
      </c>
      <c r="C17" s="3" t="inlineStr">
        <is>
          <t>Yes</t>
        </is>
      </c>
      <c r="D17" s="3" t="inlineStr"/>
    </row>
    <row r="18">
      <c r="A18" s="3" t="inlineStr">
        <is>
          <t>/holding-detail</t>
        </is>
      </c>
      <c r="B18" s="3" t="inlineStr">
        <is>
          <t>Cashflow · Home · Networth · Performance · Plan</t>
        </is>
      </c>
      <c r="C18" s="3" t="inlineStr">
        <is>
          <t>Yes — where a wrong gain is chased</t>
        </is>
      </c>
      <c r="D18" s="3" t="inlineStr"/>
    </row>
    <row r="19">
      <c r="A19" s="3" t="inlineStr">
        <is>
          <t>/home</t>
        </is>
      </c>
      <c r="B19" s="3" t="inlineStr">
        <is>
          <t>Home</t>
        </is>
      </c>
      <c r="C19" s="3" t="inlineStr">
        <is>
          <t>Yes — the first screen</t>
        </is>
      </c>
      <c r="D19" s="3" t="inlineStr"/>
    </row>
    <row r="20">
      <c r="A20" s="3" t="inlineStr">
        <is>
          <t>/import-holdings</t>
        </is>
      </c>
      <c r="B20" s="3" t="inlineStr">
        <is>
          <t>Cashflow · Home · Networth · Performance · Plan</t>
        </is>
      </c>
      <c r="C20" s="3" t="inlineStr">
        <is>
          <t>Yes — the way real data gets in</t>
        </is>
      </c>
      <c r="D20" s="3" t="inlineStr"/>
    </row>
    <row r="21">
      <c r="A21" s="3" t="inlineStr">
        <is>
          <t>/income</t>
        </is>
      </c>
      <c r="B21" s="3" t="inlineStr">
        <is>
          <t>Menu</t>
        </is>
      </c>
      <c r="C21" s="3" t="inlineStr">
        <is>
          <t>Yes</t>
        </is>
      </c>
      <c r="D21" s="3" t="inlineStr"/>
    </row>
    <row r="22">
      <c r="A22" s="3" t="inlineStr">
        <is>
          <t>/income-detail</t>
        </is>
      </c>
      <c r="B22" s="3" t="inlineStr">
        <is>
          <t>Menu</t>
        </is>
      </c>
      <c r="C22" s="3" t="inlineStr">
        <is>
          <t>Yes</t>
        </is>
      </c>
      <c r="D22" s="3" t="inlineStr"/>
    </row>
    <row r="23">
      <c r="A23" s="3" t="inlineStr">
        <is>
          <t>/income-manager</t>
        </is>
      </c>
      <c r="B23" s="3" t="inlineStr">
        <is>
          <t>Cashflow · Home</t>
        </is>
      </c>
      <c r="C23" s="3" t="inlineStr">
        <is>
          <t>Yes</t>
        </is>
      </c>
      <c r="D23" s="3" t="inlineStr"/>
    </row>
    <row r="24">
      <c r="A24" s="3" t="inlineStr">
        <is>
          <t>/insights</t>
        </is>
      </c>
      <c r="B24" s="3" t="inlineStr">
        <is>
          <t>Menu</t>
        </is>
      </c>
      <c r="C24" s="3" t="inlineStr">
        <is>
          <t>Yes — what needs you today</t>
        </is>
      </c>
      <c r="D24" s="3" t="inlineStr"/>
    </row>
    <row r="25">
      <c r="A25" s="3" t="inlineStr">
        <is>
          <t>/insurance</t>
        </is>
      </c>
      <c r="B25" s="3" t="inlineStr">
        <is>
          <t>Menu</t>
        </is>
      </c>
      <c r="C25" s="3" t="inlineStr">
        <is>
          <t>Borderline — matters at 55, less at 70</t>
        </is>
      </c>
      <c r="D25" s="3" t="inlineStr"/>
    </row>
    <row r="26">
      <c r="A26" s="3" t="inlineStr">
        <is>
          <t>/invest</t>
        </is>
      </c>
      <c r="B26" s="3" t="inlineStr">
        <is>
          <t>Performance</t>
        </is>
      </c>
      <c r="C26" s="3" t="inlineStr">
        <is>
          <t>Yes — Performance</t>
        </is>
      </c>
      <c r="D26" s="3" t="inlineStr"/>
    </row>
    <row r="27">
      <c r="A27" s="3" t="inlineStr">
        <is>
          <t>/itemize</t>
        </is>
      </c>
      <c r="B27" s="3" t="inlineStr">
        <is>
          <t>Networth</t>
        </is>
      </c>
      <c r="C27" s="3" t="inlineStr">
        <is>
          <t>Yes — splitting one lump into holdings</t>
        </is>
      </c>
      <c r="D27" s="3" t="inlineStr"/>
    </row>
    <row r="28">
      <c r="A28" s="3" t="inlineStr">
        <is>
          <t>/jobsafety</t>
        </is>
      </c>
      <c r="B28" s="3" t="inlineStr">
        <is>
          <t>Menu</t>
        </is>
      </c>
      <c r="C28" s="3" t="inlineStr">
        <is>
          <t>No — a working-age worry</t>
        </is>
      </c>
      <c r="D28" s="3" t="inlineStr"/>
    </row>
    <row r="29">
      <c r="A29" s="3" t="inlineStr">
        <is>
          <t>/look-back</t>
        </is>
      </c>
      <c r="B29" s="3" t="inlineStr">
        <is>
          <t>Cashflow · Home · Networth · Performance · Plan</t>
        </is>
      </c>
      <c r="C29" s="3" t="inlineStr">
        <is>
          <t>Borderline — interesting, not needed to trust a number</t>
        </is>
      </c>
      <c r="D29" s="3" t="inlineStr"/>
    </row>
    <row r="30">
      <c r="A30" s="3" t="inlineStr">
        <is>
          <t>/month-detail</t>
        </is>
      </c>
      <c r="B30" s="3" t="inlineStr">
        <is>
          <t>Cashflow · Home</t>
        </is>
      </c>
      <c r="C30" s="3" t="inlineStr">
        <is>
          <t>Yes</t>
        </is>
      </c>
      <c r="D30" s="3" t="inlineStr"/>
    </row>
    <row r="31">
      <c r="A31" s="3" t="inlineStr">
        <is>
          <t>/monthly-income</t>
        </is>
      </c>
      <c r="B31" s="3" t="inlineStr">
        <is>
          <t>Cashflow · Home · Plan</t>
        </is>
      </c>
      <c r="C31" s="3" t="inlineStr">
        <is>
          <t>Yes</t>
        </is>
      </c>
      <c r="D31" s="3" t="inlineStr"/>
    </row>
    <row r="32">
      <c r="A32" s="3" t="inlineStr">
        <is>
          <t>/multi-goal</t>
        </is>
      </c>
      <c r="B32" s="3" t="inlineStr">
        <is>
          <t>Plan</t>
        </is>
      </c>
      <c r="C32" s="3" t="inlineStr">
        <is>
          <t>Yes</t>
        </is>
      </c>
      <c r="D32" s="3" t="inlineStr"/>
    </row>
    <row r="33">
      <c r="A33" s="3" t="inlineStr">
        <is>
          <t>/onboarding</t>
        </is>
      </c>
      <c r="B33" s="3" t="inlineStr">
        <is>
          <t>Cashflow · Home</t>
        </is>
      </c>
      <c r="C33" s="3" t="inlineStr">
        <is>
          <t>Yes</t>
        </is>
      </c>
      <c r="D33" s="3" t="inlineStr"/>
    </row>
    <row r="34">
      <c r="A34" s="3" t="inlineStr">
        <is>
          <t>/other-investments</t>
        </is>
      </c>
      <c r="B34" s="3" t="inlineStr">
        <is>
          <t>Menu</t>
        </is>
      </c>
      <c r="C34" s="3" t="inlineStr">
        <is>
          <t>Yes — the things with no market price</t>
        </is>
      </c>
      <c r="D34" s="3" t="inlineStr"/>
    </row>
    <row r="35">
      <c r="A35" s="3" t="inlineStr">
        <is>
          <t>/paycheck-months</t>
        </is>
      </c>
      <c r="B35" s="3" t="inlineStr">
        <is>
          <t>Cashflow · Home · Plan</t>
        </is>
      </c>
      <c r="C35" s="3" t="inlineStr">
        <is>
          <t>Yes</t>
        </is>
      </c>
      <c r="D35" s="3" t="inlineStr"/>
    </row>
    <row r="36">
      <c r="A36" s="3" t="inlineStr">
        <is>
          <t>/performance</t>
        </is>
      </c>
      <c r="B36" s="3" t="inlineStr">
        <is>
          <t>Cashflow · Home · Plan</t>
        </is>
      </c>
      <c r="C36" s="3" t="inlineStr">
        <is>
          <t>Yes — a second route to Performance</t>
        </is>
      </c>
      <c r="D36" s="3" t="inlineStr"/>
    </row>
    <row r="37">
      <c r="A37" s="3" t="inlineStr">
        <is>
          <t>/plan</t>
        </is>
      </c>
      <c r="B37" s="3" t="inlineStr">
        <is>
          <t>Plan</t>
        </is>
      </c>
      <c r="C37" s="3" t="inlineStr">
        <is>
          <t>Yes — Plan</t>
        </is>
      </c>
      <c r="D37" s="3" t="inlineStr"/>
    </row>
    <row r="38">
      <c r="A38" s="3" t="inlineStr">
        <is>
          <t>/required-withdrawals</t>
        </is>
      </c>
      <c r="B38" s="3" t="inlineStr">
        <is>
          <t>Plan</t>
        </is>
      </c>
      <c r="C38" s="3" t="inlineStr">
        <is>
          <t>Yes — a 73+ obligation</t>
        </is>
      </c>
      <c r="D38" s="3" t="inlineStr"/>
    </row>
    <row r="39">
      <c r="A39" s="3" t="inlineStr">
        <is>
          <t>/retirement</t>
        </is>
      </c>
      <c r="B39" s="3" t="inlineStr">
        <is>
          <t>Cashflow · Home · Plan</t>
        </is>
      </c>
      <c r="C39" s="3" t="inlineStr">
        <is>
          <t>Yes — the cockpit</t>
        </is>
      </c>
      <c r="D39" s="3" t="inlineStr"/>
    </row>
    <row r="40">
      <c r="A40" s="3" t="inlineStr">
        <is>
          <t>/rewards</t>
        </is>
      </c>
      <c r="B40" s="3" t="inlineStr">
        <is>
          <t>Menu</t>
        </is>
      </c>
      <c r="C40" s="3" t="inlineStr">
        <is>
          <t>No — encouragement, not a number</t>
        </is>
      </c>
      <c r="D40" s="3" t="inlineStr"/>
    </row>
    <row r="41">
      <c r="A41" s="3" t="inlineStr">
        <is>
          <t>/roth</t>
        </is>
      </c>
      <c r="B41" s="3" t="inlineStr">
        <is>
          <t>Plan</t>
        </is>
      </c>
      <c r="C41" s="3" t="inlineStr">
        <is>
          <t>Yes — a 55-70 decision</t>
        </is>
      </c>
      <c r="D41" s="3" t="inlineStr"/>
    </row>
    <row r="42">
      <c r="A42" s="3" t="inlineStr">
        <is>
          <t>/settings</t>
        </is>
      </c>
      <c r="B42" s="3" t="inlineStr">
        <is>
          <t>Menu</t>
        </is>
      </c>
      <c r="C42" s="3" t="inlineStr">
        <is>
          <t>Yes — carries hide-balances and the lock</t>
        </is>
      </c>
      <c r="D42" s="3" t="inlineStr"/>
    </row>
    <row r="43">
      <c r="A43" s="3" t="inlineStr">
        <is>
          <t>/sharpen</t>
        </is>
      </c>
      <c r="B43" s="3" t="inlineStr">
        <is>
          <t>Plan</t>
        </is>
      </c>
      <c r="C43" s="3" t="inlineStr">
        <is>
          <t>Borderline — a way in, not a figure</t>
        </is>
      </c>
      <c r="D43" s="3" t="inlineStr"/>
    </row>
    <row r="44">
      <c r="A44" s="3" t="inlineStr">
        <is>
          <t>/ss-timing</t>
        </is>
      </c>
      <c r="B44" s="3" t="inlineStr">
        <is>
          <t>Plan</t>
        </is>
      </c>
      <c r="C44" s="3" t="inlineStr">
        <is>
          <t>Yes — a 55-70 decision</t>
        </is>
      </c>
      <c r="D44" s="3" t="inlineStr"/>
    </row>
    <row r="45">
      <c r="A45" s="3" t="inlineStr">
        <is>
          <t>/stress-test</t>
        </is>
      </c>
      <c r="B45" s="3" t="inlineStr">
        <is>
          <t>Menu</t>
        </is>
      </c>
      <c r="C45" s="3" t="inlineStr">
        <is>
          <t>Borderline</t>
        </is>
      </c>
      <c r="D45" s="3" t="inlineStr"/>
    </row>
    <row r="46">
      <c r="A46" s="3" t="inlineStr">
        <is>
          <t>/tax-organizer</t>
        </is>
      </c>
      <c r="B46" s="3" t="inlineStr">
        <is>
          <t>Menu</t>
        </is>
      </c>
      <c r="C46" s="3" t="inlineStr">
        <is>
          <t>Yes</t>
        </is>
      </c>
      <c r="D46" s="3" t="inlineStr"/>
    </row>
    <row r="47">
      <c r="A47" s="3" t="inlineStr">
        <is>
          <t>/tips</t>
        </is>
      </c>
      <c r="B47" s="3" t="inlineStr">
        <is>
          <t>Menu</t>
        </is>
      </c>
      <c r="C47" s="3" t="inlineStr">
        <is>
          <t>No — encouragement, not a number</t>
        </is>
      </c>
      <c r="D47" s="3" t="inlineStr"/>
    </row>
    <row r="48">
      <c r="A48" s="3" t="inlineStr">
        <is>
          <t>/what-if</t>
        </is>
      </c>
      <c r="B48" s="3" t="inlineStr">
        <is>
          <t>Cashflow · Home · Performance · Plan</t>
        </is>
      </c>
      <c r="C48" s="3" t="inlineStr">
        <is>
          <t>Yes</t>
        </is>
      </c>
      <c r="D48" s="3" t="inlineStr"/>
    </row>
    <row r="49">
      <c r="A49" s="3" t="inlineStr">
        <is>
          <t>/will-it-last</t>
        </is>
      </c>
      <c r="B49" s="3" t="inlineStr">
        <is>
          <t>Plan</t>
        </is>
      </c>
      <c r="C49" s="3" t="inlineStr">
        <is>
          <t>Yes — the question the whole plan answers</t>
        </is>
      </c>
      <c r="D49" s="3" t="inlineStr"/>
    </row>
    <row r="50">
      <c r="A50" s="3" t="inlineStr">
        <is>
          <t>/worth-a-look</t>
        </is>
      </c>
      <c r="B50" s="3" t="inlineStr">
        <is>
          <t>Menu</t>
        </is>
      </c>
      <c r="C50" s="3" t="inlineStr">
        <is>
          <t>Borderline</t>
        </is>
      </c>
      <c r="D50" s="3"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51"/>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70" customWidth="1" min="5" max="5"/>
  </cols>
  <sheetData>
    <row r="1">
      <c r="A1" s="1" t="inlineStr">
        <is>
          <t>Input ID</t>
        </is>
      </c>
      <c r="B1" s="1" t="inlineStr">
        <is>
          <t>Input</t>
        </is>
      </c>
      <c r="C1" s="1" t="inlineStr">
        <is>
          <t>Engines the inputs tab says use it</t>
        </is>
      </c>
      <c r="D1" s="1" t="inlineStr">
        <is>
          <t>Engines that actually name it in their own input list</t>
        </is>
      </c>
      <c r="E1" s="1" t="inlineStr">
        <is>
          <t>Verdict</t>
        </is>
      </c>
    </row>
    <row r="2">
      <c r="A2" s="3" t="inlineStr">
        <is>
          <t>MK-XS-I-001</t>
        </is>
      </c>
      <c r="B2" s="3" t="inlineStr">
        <is>
          <t>account balance</t>
        </is>
      </c>
      <c r="C2" s="3" t="inlineStr">
        <is>
          <t>NET_WORTH · REQUIRED_WITHDRAWAL · TOTAL_CASH · TOTAL_INVESTMENTS</t>
        </is>
      </c>
      <c r="D2" s="3" t="inlineStr">
        <is>
          <t>ACCOUNT_SHARE_OF_TOTAL · ACCOUNT_SPLIT · ALLOCATION_BY_CLASS · BOND_CURRENT_YIELD · BOND_YIELD_TO_MATURITY · DEBT_PICTURE · HAND_VALUE_AGE · NET_WORTH · PLANNED_SPENDING · POT_AT_RETIREMENT · TOTAL_CASH · TOTAL_INVESTABLE · TOTAL_INVESTMENTS</t>
        </is>
      </c>
      <c r="E2" s="3" t="inlineStr">
        <is>
          <t>PARTLY AGREES — declared but not naming it: REQUIRED_WITHDRAWAL  |  naming it but not declared: ACCOUNT_SHARE_OF_TOTAL, ACCOUNT_SPLIT, ALLOCATION_BY_CLASS, BOND_CURRENT_YIELD, BOND_YIELD_TO_MATURITY, DEBT_PICTURE, HAND_VALUE_AGE, PLANNED_SPENDING, POT_AT_RETIREMENT, TOTAL_INVESTABLE</t>
        </is>
      </c>
    </row>
    <row r="3">
      <c r="A3" s="3" t="inlineStr">
        <is>
          <t>MK-XS-I-002</t>
        </is>
      </c>
      <c r="B3" s="3" t="inlineStr">
        <is>
          <t>account type (taxable, pre-tax, Roth)</t>
        </is>
      </c>
      <c r="C3" s="3" t="inlineStr">
        <is>
          <t>REQUIRED_WITHDRAWAL · TAX_TREATMENT</t>
        </is>
      </c>
      <c r="D3" s="3" t="inlineStr">
        <is>
          <t>—</t>
        </is>
      </c>
      <c r="E3" s="3" t="inlineStr">
        <is>
          <t>DECLARED BUT NEVER NAMED — the inputs tab says these engines use it, but no engine names it in its own input list. Unproved in one direction.</t>
        </is>
      </c>
    </row>
    <row r="4">
      <c r="A4" s="3" t="inlineStr">
        <is>
          <t>MK-XS-I-003</t>
        </is>
      </c>
      <c r="B4" s="3" t="inlineStr">
        <is>
          <t>institution name</t>
        </is>
      </c>
      <c r="C4" s="3" t="inlineStr">
        <is>
          <t>ACCOUNT_SPLIT</t>
        </is>
      </c>
      <c r="D4" s="3" t="inlineStr">
        <is>
          <t>—</t>
        </is>
      </c>
      <c r="E4" s="3" t="inlineStr">
        <is>
          <t>DECLARED BUT NEVER NAMED — the inputs tab says these engines use it, but no engine names it in its own input list. Unproved in one direction.</t>
        </is>
      </c>
    </row>
    <row r="5">
      <c r="A5" s="3" t="inlineStr">
        <is>
          <t>MK-XS-I-004</t>
        </is>
      </c>
      <c r="B5" s="3" t="inlineStr">
        <is>
          <t>holding quantity (shares)</t>
        </is>
      </c>
      <c r="C5" s="3" t="inlineStr">
        <is>
          <t>HOLDING_MARKET_VALUE · HOLDING_SHARES</t>
        </is>
      </c>
      <c r="D5" s="3" t="inlineStr">
        <is>
          <t>ACCOUNT_SPLIT · BOND_COUPON · BOND_FACTS · HOLDING_COST_BASIS · HOLDING_MARKET_VALUE · HOLDING_SHARES · PERFORMANCE_TABLE</t>
        </is>
      </c>
      <c r="E5" s="3" t="inlineStr">
        <is>
          <t>PARTLY AGREES — naming it but not declared: ACCOUNT_SPLIT, BOND_COUPON, BOND_FACTS, HOLDING_COST_BASIS, PERFORMANCE_TABLE</t>
        </is>
      </c>
    </row>
    <row r="6">
      <c r="A6" s="3" t="inlineStr">
        <is>
          <t>MK-XS-I-005</t>
        </is>
      </c>
      <c r="B6" s="3" t="inlineStr">
        <is>
          <t>holding price</t>
        </is>
      </c>
      <c r="C6" s="3" t="inlineStr">
        <is>
          <t>HOLDING_MARKET_VALUE · PRICE_FRESHNESS</t>
        </is>
      </c>
      <c r="D6" s="3" t="inlineStr">
        <is>
          <t>HOLDING_CAP_GAINS · HOLDING_MARKET_VALUE · PERFORMANCE_TABLE</t>
        </is>
      </c>
      <c r="E6" s="3" t="inlineStr">
        <is>
          <t>PARTLY AGREES — declared but not naming it: PRICE_FRESHNESS  |  naming it but not declared: HOLDING_CAP_GAINS, PERFORMANCE_TABLE</t>
        </is>
      </c>
    </row>
    <row r="7">
      <c r="A7" s="3" t="inlineStr">
        <is>
          <t>MK-XS-I-006</t>
        </is>
      </c>
      <c r="B7" s="3" t="inlineStr">
        <is>
          <t>price fetched at</t>
        </is>
      </c>
      <c r="C7" s="3" t="inlineStr">
        <is>
          <t>PRICE_FRESHNESS</t>
        </is>
      </c>
      <c r="D7" s="3" t="inlineStr">
        <is>
          <t>PRICE_FRESHNESS</t>
        </is>
      </c>
      <c r="E7" s="3" t="inlineStr">
        <is>
          <t>AGREES — both directions name the same engines.</t>
        </is>
      </c>
    </row>
    <row r="8">
      <c r="A8" s="3" t="inlineStr">
        <is>
          <t>MK-XS-I-007</t>
        </is>
      </c>
      <c r="B8" s="3" t="inlineStr">
        <is>
          <t>purchase price and date (per lot)</t>
        </is>
      </c>
      <c r="C8" s="3" t="inlineStr">
        <is>
          <t>HOLDING_CAP_GAINS · HOLDING_COST_BASIS</t>
        </is>
      </c>
      <c r="D8" s="3" t="inlineStr">
        <is>
          <t>HOLDING_CAP_GAINS · HOLDING_COST_BASIS · HOLDING_SHARES</t>
        </is>
      </c>
      <c r="E8" s="3" t="inlineStr">
        <is>
          <t>PARTLY AGREES — naming it but not declared: HOLDING_SHARES</t>
        </is>
      </c>
    </row>
    <row r="9">
      <c r="A9" s="3" t="inlineStr">
        <is>
          <t>MK-XS-I-008</t>
        </is>
      </c>
      <c r="B9" s="3" t="inlineStr">
        <is>
          <t>transaction amount</t>
        </is>
      </c>
      <c r="C9" s="3" t="inlineStr">
        <is>
          <t>LEDGER · NW_CHANGE_WALK</t>
        </is>
      </c>
      <c r="D9" s="3" t="inlineStr">
        <is>
          <t>LOOK_BACK · REALISED_GAIN · RETIREMENT_INCOME_NOW · SS_BENEFIT_AT_AGE · SS_CLAIM_FACTOR</t>
        </is>
      </c>
      <c r="E9" s="3" t="inlineStr">
        <is>
          <t>PARTLY AGREES — declared but not naming it: LEDGER, NW_CHANGE_WALK  |  naming it but not declared: LOOK_BACK, REALISED_GAIN, RETIREMENT_INCOME_NOW, SS_BENEFIT_AT_AGE, SS_CLAIM_FACTOR</t>
        </is>
      </c>
    </row>
    <row r="10">
      <c r="A10" s="3" t="inlineStr">
        <is>
          <t>MK-XS-I-009</t>
        </is>
      </c>
      <c r="B10" s="3" t="inlineStr">
        <is>
          <t>transaction date</t>
        </is>
      </c>
      <c r="C10" s="3" t="inlineStr">
        <is>
          <t>LEDGER · NW_CHANGE_WALK</t>
        </is>
      </c>
      <c r="D10" s="3" t="inlineStr">
        <is>
          <t>—</t>
        </is>
      </c>
      <c r="E10" s="3" t="inlineStr">
        <is>
          <t>DECLARED BUT NEVER NAMED — the inputs tab says these engines use it, but no engine names it in its own input list. Unproved in one direction.</t>
        </is>
      </c>
    </row>
    <row r="11">
      <c r="A11" s="3" t="inlineStr">
        <is>
          <t>MK-XS-I-010</t>
        </is>
      </c>
      <c r="B11" s="3" t="inlineStr">
        <is>
          <t>transaction words (the institution's own wording)</t>
        </is>
      </c>
      <c r="C11" s="3" t="inlineStr">
        <is>
          <t>LEDGER · the institution-words table</t>
        </is>
      </c>
      <c r="D11" s="3" t="inlineStr">
        <is>
          <t>—</t>
        </is>
      </c>
      <c r="E11" s="3" t="inlineStr">
        <is>
          <t>DECLARED BUT NEVER NAMED — the inputs tab says these engines use it, but no engine names it in its own input list. Unproved in one direction.</t>
        </is>
      </c>
    </row>
    <row r="12">
      <c r="A12" s="3" t="inlineStr">
        <is>
          <t>MK-XS-I-011</t>
        </is>
      </c>
      <c r="B12" s="3" t="inlineStr">
        <is>
          <t>bond face value</t>
        </is>
      </c>
      <c r="C12" s="3" t="inlineStr">
        <is>
          <t>BOND_FACTS</t>
        </is>
      </c>
      <c r="D12" s="3" t="inlineStr">
        <is>
          <t>BOND_COUPON · BOND_FACTS · BOND_YIELD_TO_MATURITY</t>
        </is>
      </c>
      <c r="E12" s="3" t="inlineStr">
        <is>
          <t>PARTLY AGREES — naming it but not declared: BOND_COUPON, BOND_YIELD_TO_MATURITY</t>
        </is>
      </c>
    </row>
    <row r="13">
      <c r="A13" s="3" t="inlineStr">
        <is>
          <t>MK-XS-I-012</t>
        </is>
      </c>
      <c r="B13" s="3" t="inlineStr">
        <is>
          <t>bond coupon rate</t>
        </is>
      </c>
      <c r="C13" s="3" t="inlineStr">
        <is>
          <t>BOND_COUPON · BOND_CURRENT_YIELD</t>
        </is>
      </c>
      <c r="D13" s="3" t="inlineStr">
        <is>
          <t>BOND_COUPON · BOND_CURRENT_YIELD · BOND_FACTS · BOND_YIELD_TO_MATURITY</t>
        </is>
      </c>
      <c r="E13" s="3" t="inlineStr">
        <is>
          <t>PARTLY AGREES — naming it but not declared: BOND_FACTS, BOND_YIELD_TO_MATURITY</t>
        </is>
      </c>
    </row>
    <row r="14">
      <c r="A14" s="3" t="inlineStr">
        <is>
          <t>MK-XS-I-013</t>
        </is>
      </c>
      <c r="B14" s="3" t="inlineStr">
        <is>
          <t>bond maturity date</t>
        </is>
      </c>
      <c r="C14" s="3" t="inlineStr">
        <is>
          <t>BOND_YEARS_LEFT · BOND_YIELD_TO_MATURITY</t>
        </is>
      </c>
      <c r="D14" s="3" t="inlineStr">
        <is>
          <t>BOND_YEARS_LEFT · BOND_YIELD_TO_MATURITY</t>
        </is>
      </c>
      <c r="E14" s="3" t="inlineStr">
        <is>
          <t>AGREES — both directions name the same engines.</t>
        </is>
      </c>
    </row>
    <row r="15">
      <c r="A15" s="3" t="inlineStr">
        <is>
          <t>MK-XS-I-014</t>
        </is>
      </c>
      <c r="B15" s="3" t="inlineStr">
        <is>
          <t>debt balance</t>
        </is>
      </c>
      <c r="C15" s="3" t="inlineStr">
        <is>
          <t>DEBT_PICTURE</t>
        </is>
      </c>
      <c r="D15" s="3" t="inlineStr">
        <is>
          <t>DEBT_PICTURE · NET_WORTH</t>
        </is>
      </c>
      <c r="E15" s="3" t="inlineStr">
        <is>
          <t>PARTLY AGREES — naming it but not declared: NET_WORTH</t>
        </is>
      </c>
    </row>
    <row r="16">
      <c r="A16" s="3" t="inlineStr">
        <is>
          <t>MK-XS-I-015</t>
        </is>
      </c>
      <c r="B16" s="3" t="inlineStr">
        <is>
          <t>debt interest rate</t>
        </is>
      </c>
      <c r="C16" s="3" t="inlineStr">
        <is>
          <t>DEBT_PAYOFF</t>
        </is>
      </c>
      <c r="D16" s="3" t="inlineStr">
        <is>
          <t>DEBT_PICTURE · NET_WORTH</t>
        </is>
      </c>
      <c r="E16" s="3" t="inlineStr">
        <is>
          <t>PARTLY AGREES — declared but not naming it: DEBT_PAYOFF  |  naming it but not declared: DEBT_PICTURE, NET_WORTH</t>
        </is>
      </c>
    </row>
    <row r="17">
      <c r="A17" s="3" t="inlineStr">
        <is>
          <t>MK-XS-I-016</t>
        </is>
      </c>
      <c r="B17" s="3" t="inlineStr">
        <is>
          <t>debt minimum payment</t>
        </is>
      </c>
      <c r="C17" s="3" t="inlineStr">
        <is>
          <t>DEBT_REQUIRED_PAYMENT</t>
        </is>
      </c>
      <c r="D17" s="3" t="inlineStr">
        <is>
          <t>DEBT_PICTURE · DEBT_REQUIRED_PAYMENT · NET_WORTH · SPENDING_BY_KIND</t>
        </is>
      </c>
      <c r="E17" s="3" t="inlineStr">
        <is>
          <t>PARTLY AGREES — naming it but not declared: DEBT_PICTURE, NET_WORTH, SPENDING_BY_KIND</t>
        </is>
      </c>
    </row>
    <row r="18">
      <c r="A18" s="3" t="inlineStr">
        <is>
          <t>MK-XS-I-017</t>
        </is>
      </c>
      <c r="B18" s="3" t="inlineStr">
        <is>
          <t>birth year</t>
        </is>
      </c>
      <c r="C18" s="3" t="inlineStr">
        <is>
          <t>RMD_START_AGE · SS_BENEFIT_AT_AGE</t>
        </is>
      </c>
      <c r="D18" s="3" t="inlineStr">
        <is>
          <t>SS_BENEFIT_AT_AGE · SS_CLAIM_FACTOR · WHAT_THE_PLAN_STILL_NEEDS · WILL_IT_LAST_INPUTS</t>
        </is>
      </c>
      <c r="E18" s="3" t="inlineStr">
        <is>
          <t>PARTLY AGREES — declared but not naming it: RMD_START_AGE  |  naming it but not declared: SS_CLAIM_FACTOR, WHAT_THE_PLAN_STILL_NEEDS, WILL_IT_LAST_INPUTS</t>
        </is>
      </c>
    </row>
    <row r="19">
      <c r="A19" s="3" t="inlineStr">
        <is>
          <t>MK-XS-I-018</t>
        </is>
      </c>
      <c r="B19" s="3" t="inlineStr">
        <is>
          <t>retirement age</t>
        </is>
      </c>
      <c r="C19" s="3" t="inlineStr">
        <is>
          <t>POT_AT_RETIREMENT · WILL_IT_LAST_RESULT</t>
        </is>
      </c>
      <c r="D19" s="3" t="inlineStr">
        <is>
          <t>SS_BENEFIT_AT_AGE · SS_CLAIM_FACTOR</t>
        </is>
      </c>
      <c r="E19" s="3" t="inlineStr">
        <is>
          <t>PARTLY AGREES — declared but not naming it: POT_AT_RETIREMENT, WILL_IT_LAST_RESULT  |  naming it but not declared: SS_BENEFIT_AT_AGE, SS_CLAIM_FACTOR</t>
        </is>
      </c>
    </row>
    <row r="20">
      <c r="A20" s="3" t="inlineStr">
        <is>
          <t>MK-XS-I-019</t>
        </is>
      </c>
      <c r="B20" s="3" t="inlineStr">
        <is>
          <t>monthly spending in retirement</t>
        </is>
      </c>
      <c r="C20" s="3" t="inlineStr">
        <is>
          <t>WILL_IT_LAST_INPUTS</t>
        </is>
      </c>
      <c r="D20" s="3" t="inlineStr">
        <is>
          <t>—</t>
        </is>
      </c>
      <c r="E20" s="3" t="inlineStr">
        <is>
          <t>DECLARED BUT NEVER NAMED — the inputs tab says these engines use it, but no engine names it in its own input list. Unproved in one direction.</t>
        </is>
      </c>
    </row>
    <row r="21">
      <c r="A21" s="3" t="inlineStr">
        <is>
          <t>MK-XS-I-020</t>
        </is>
      </c>
      <c r="B21" s="3" t="inlineStr">
        <is>
          <t>Social Security monthly amount</t>
        </is>
      </c>
      <c r="C21" s="3" t="inlineStr">
        <is>
          <t>RETIREMENT_INCOME_NOW · SS_BENEFIT_AT_AGE</t>
        </is>
      </c>
      <c r="D21" s="3" t="inlineStr">
        <is>
          <t>RETIREMENT_INCOME · SS_BENEFIT_AT_AGE · SS_CLAIM_FACTOR</t>
        </is>
      </c>
      <c r="E21" s="3" t="inlineStr">
        <is>
          <t>PARTLY AGREES — declared but not naming it: RETIREMENT_INCOME_NOW  |  naming it but not declared: RETIREMENT_INCOME, SS_CLAIM_FACTOR</t>
        </is>
      </c>
    </row>
    <row r="22">
      <c r="A22" s="3" t="inlineStr">
        <is>
          <t>MK-XS-I-021</t>
        </is>
      </c>
      <c r="B22" s="3" t="inlineStr">
        <is>
          <t>Social Security claim age</t>
        </is>
      </c>
      <c r="C22" s="3" t="inlineStr">
        <is>
          <t>SS_CLAIM_FACTOR</t>
        </is>
      </c>
      <c r="D22" s="3" t="inlineStr">
        <is>
          <t>SS_BENEFIT_AT_AGE · SS_CLAIM_FACTOR</t>
        </is>
      </c>
      <c r="E22" s="3" t="inlineStr">
        <is>
          <t>PARTLY AGREES — naming it but not declared: SS_BENEFIT_AT_AGE</t>
        </is>
      </c>
    </row>
    <row r="23">
      <c r="A23" s="3" t="inlineStr">
        <is>
          <t>MK-XS-I-022</t>
        </is>
      </c>
      <c r="B23" s="3" t="inlineStr">
        <is>
          <t>pension monthly amount</t>
        </is>
      </c>
      <c r="C23" s="3" t="inlineStr">
        <is>
          <t>RETIREMENT_INCOME_NOW</t>
        </is>
      </c>
      <c r="D23" s="3" t="inlineStr">
        <is>
          <t>RETIREMENT_INCOME</t>
        </is>
      </c>
      <c r="E23" s="3" t="inlineStr">
        <is>
          <t>PARTLY AGREES — declared but not naming it: RETIREMENT_INCOME_NOW  |  naming it but not declared: RETIREMENT_INCOME</t>
        </is>
      </c>
    </row>
    <row r="24">
      <c r="A24" s="3" t="inlineStr">
        <is>
          <t>MK-XS-I-023</t>
        </is>
      </c>
      <c r="B24" s="3" t="inlineStr">
        <is>
          <t>salary and other income</t>
        </is>
      </c>
      <c r="C24" s="3" t="inlineStr">
        <is>
          <t>TOTAL_INCOME</t>
        </is>
      </c>
      <c r="D24" s="3" t="inlineStr">
        <is>
          <t>RENTAL_INCOME_A_YEAR · TAXABLE_INCOME</t>
        </is>
      </c>
      <c r="E24" s="3" t="inlineStr">
        <is>
          <t>PARTLY AGREES — declared but not naming it: TOTAL_INCOME  |  naming it but not declared: RENTAL_INCOME_A_YEAR, TAXABLE_INCOME</t>
        </is>
      </c>
    </row>
    <row r="25">
      <c r="A25" s="3" t="inlineStr">
        <is>
          <t>MK-XS-I-024</t>
        </is>
      </c>
      <c r="B25" s="3" t="inlineStr">
        <is>
          <t>logged spending</t>
        </is>
      </c>
      <c r="C25" s="3" t="inlineStr">
        <is>
          <t>PLANNED_SPENDING · SPENDING_BY_KIND</t>
        </is>
      </c>
      <c r="D25" s="3" t="inlineStr">
        <is>
          <t>PLANNED_SPENDING · RETIREMENT_SPENDING · TOTAL_CASH · WHAT_THE_PLAN_STILL_NEEDS · WILL_IT_LAST_INPUTS</t>
        </is>
      </c>
      <c r="E25" s="3" t="inlineStr">
        <is>
          <t>PARTLY AGREES — declared but not naming it: SPENDING_BY_KIND  |  naming it but not declared: RETIREMENT_SPENDING, TOTAL_CASH, WHAT_THE_PLAN_STILL_NEEDS, WILL_IT_LAST_INPUTS</t>
        </is>
      </c>
    </row>
    <row r="26">
      <c r="A26" s="3" t="inlineStr">
        <is>
          <t>MK-XS-I-025</t>
        </is>
      </c>
      <c r="B26" s="3" t="inlineStr">
        <is>
          <t>typical monthly essentials</t>
        </is>
      </c>
      <c r="C26" s="3" t="inlineStr">
        <is>
          <t>JOB_SAFETY_RUNWAY · PLANNED_SPENDING</t>
        </is>
      </c>
      <c r="D26" s="3" t="inlineStr">
        <is>
          <t>—</t>
        </is>
      </c>
      <c r="E26" s="3" t="inlineStr">
        <is>
          <t>DECLARED BUT NEVER NAMED — the inputs tab says these engines use it, but no engine names it in its own input list. Unproved in one direction.</t>
        </is>
      </c>
    </row>
    <row r="27">
      <c r="A27" s="3" t="inlineStr">
        <is>
          <t>MK-XS-I-026</t>
        </is>
      </c>
      <c r="B27" s="3" t="inlineStr">
        <is>
          <t>big costs (amount and year)</t>
        </is>
      </c>
      <c r="C27" s="3" t="inlineStr">
        <is>
          <t>BIG_COSTS</t>
        </is>
      </c>
      <c r="D27" s="3" t="inlineStr">
        <is>
          <t>—</t>
        </is>
      </c>
      <c r="E27" s="3" t="inlineStr">
        <is>
          <t>DECLARED BUT NEVER NAMED — the inputs tab says these engines use it, but no engine names it in its own input list. Unproved in one direction.</t>
        </is>
      </c>
    </row>
    <row r="28">
      <c r="A28" s="3" t="inlineStr">
        <is>
          <t>MK-XS-I-027</t>
        </is>
      </c>
      <c r="B28" s="3" t="inlineStr">
        <is>
          <t>goals (target, saved, date)</t>
        </is>
      </c>
      <c r="C28" s="3" t="inlineStr">
        <is>
          <t>GOAL_PROGRESS</t>
        </is>
      </c>
      <c r="D28" s="3" t="inlineStr">
        <is>
          <t>—</t>
        </is>
      </c>
      <c r="E28" s="3" t="inlineStr">
        <is>
          <t>DECLARED BUT NEVER NAMED — the inputs tab says these engines use it, but no engine names it in its own input list. Unproved in one direction.</t>
        </is>
      </c>
    </row>
    <row r="29">
      <c r="A29" s="3" t="inlineStr">
        <is>
          <t>MK-XS-I-028</t>
        </is>
      </c>
      <c r="B29" s="3" t="inlineStr">
        <is>
          <t>assumed return</t>
        </is>
      </c>
      <c r="C29" s="3" t="inlineStr">
        <is>
          <t>POT_AT_RETIREMENT · WILL_IT_LAST_RESULT</t>
        </is>
      </c>
      <c r="D29" s="3" t="inlineStr">
        <is>
          <t>ACCOUNT_SHARE_OF_TOTAL</t>
        </is>
      </c>
      <c r="E29" s="3" t="inlineStr">
        <is>
          <t>PARTLY AGREES — declared but not naming it: POT_AT_RETIREMENT, WILL_IT_LAST_RESULT  |  naming it but not declared: ACCOUNT_SHARE_OF_TOTAL</t>
        </is>
      </c>
    </row>
    <row r="30">
      <c r="A30" s="3" t="inlineStr">
        <is>
          <t>MK-XS-I-029</t>
        </is>
      </c>
      <c r="B30" s="3" t="inlineStr">
        <is>
          <t>inflation rate</t>
        </is>
      </c>
      <c r="C30" s="3" t="inlineStr">
        <is>
          <t>WILL_IT_LAST_INPUTS</t>
        </is>
      </c>
      <c r="D30" s="3" t="inlineStr">
        <is>
          <t>—</t>
        </is>
      </c>
      <c r="E30" s="3" t="inlineStr">
        <is>
          <t>DECLARED BUT NEVER NAMED — the inputs tab says these engines use it, but no engine names it in its own input list. Unproved in one direction.</t>
        </is>
      </c>
    </row>
    <row r="31">
      <c r="A31" s="3" t="inlineStr">
        <is>
          <t>MK-XS-I-030</t>
        </is>
      </c>
      <c r="B31" s="3" t="inlineStr">
        <is>
          <t>tax filing status and age</t>
        </is>
      </c>
      <c r="C31" s="3" t="inlineStr">
        <is>
          <t>TAXABLE_INCOME · TAX_ON_CONVERSION</t>
        </is>
      </c>
      <c r="D31" s="3" t="inlineStr">
        <is>
          <t>PLANNED_SPENDING · TAXABLE_INCOME · TOTAL_CASH</t>
        </is>
      </c>
      <c r="E31" s="3" t="inlineStr">
        <is>
          <t>PARTLY AGREES — declared but not naming it: TAX_ON_CONVERSION  |  naming it but not declared: PLANNED_SPENDING, TOTAL_CASH</t>
        </is>
      </c>
    </row>
    <row r="32">
      <c r="A32" s="3" t="inlineStr">
        <is>
          <t>MK-XS-I-031</t>
        </is>
      </c>
      <c r="B32" s="3" t="inlineStr">
        <is>
          <t>daily and monthly snapshots</t>
        </is>
      </c>
      <c r="C32" s="3" t="inlineStr">
        <is>
          <t>NW_CHANGE_WALK · TREND_SERIES</t>
        </is>
      </c>
      <c r="D32" s="3" t="inlineStr">
        <is>
          <t>NW_CHANGE_PCT · NW_CHANGE_WALK · TREND_SERIES</t>
        </is>
      </c>
      <c r="E32" s="3" t="inlineStr">
        <is>
          <t>PARTLY AGREES — naming it but not declared: NW_CHANGE_PCT</t>
        </is>
      </c>
    </row>
    <row r="33">
      <c r="A33" s="3" t="inlineStr">
        <is>
          <t>MK-XS-I-032</t>
        </is>
      </c>
      <c r="B33" s="3" t="inlineStr">
        <is>
          <t>spending categories the person set up</t>
        </is>
      </c>
      <c r="C33" s="3" t="inlineStr">
        <is>
          <t>PLANNED_SPENDING · SPENDING_BY_KIND</t>
        </is>
      </c>
      <c r="D33" s="3" t="inlineStr">
        <is>
          <t>DEBT_REQUIRED_PAYMENT · PLANNED_SPENDING · SPENDING_BY_KIND · TOTAL_CASH</t>
        </is>
      </c>
      <c r="E33" s="3" t="inlineStr">
        <is>
          <t>PARTLY AGREES — naming it but not declared: DEBT_REQUIRED_PAYMENT, TOTAL_CASH</t>
        </is>
      </c>
    </row>
    <row r="34">
      <c r="A34" s="3" t="inlineStr">
        <is>
          <t>MK-XS-I-033</t>
        </is>
      </c>
      <c r="B34" s="3" t="inlineStr">
        <is>
          <t>the date a hand-typed value was set</t>
        </is>
      </c>
      <c r="C34" s="3" t="inlineStr">
        <is>
          <t>HAND_VALUE_AGE</t>
        </is>
      </c>
      <c r="D34" s="3" t="inlineStr">
        <is>
          <t>HAND_VALUE_AGE</t>
        </is>
      </c>
      <c r="E34" s="3" t="inlineStr">
        <is>
          <t>AGREES — both directions name the same engines.</t>
        </is>
      </c>
    </row>
    <row r="35">
      <c r="A35" s="3" t="inlineStr">
        <is>
          <t>MK-XS-I-034</t>
        </is>
      </c>
      <c r="B35" s="3" t="inlineStr">
        <is>
          <t>option positions — contracts, strike, expiry, put or call</t>
        </is>
      </c>
      <c r="C35" s="3" t="inlineStr">
        <is>
          <t>HOLDING_CAP_GAINS · HOLDING_MARKET_VALUE</t>
        </is>
      </c>
      <c r="D35" s="3" t="inlineStr">
        <is>
          <t>ACCOUNT_SPLIT</t>
        </is>
      </c>
      <c r="E35" s="3" t="inlineStr">
        <is>
          <t>PARTLY AGREES — declared but not naming it: HOLDING_CAP_GAINS, HOLDING_MARKET_VALUE  |  naming it but not declared: ACCOUNT_SPLIT</t>
        </is>
      </c>
    </row>
    <row r="36">
      <c r="A36" s="3" t="inlineStr">
        <is>
          <t>MK-XS-I-035</t>
        </is>
      </c>
      <c r="B36" s="3" t="inlineStr">
        <is>
          <t>annuity income</t>
        </is>
      </c>
      <c r="C36" s="3" t="inlineStr">
        <is>
          <t>RETIREMENT_INCOME · RETIREMENT_INCOME_NOW</t>
        </is>
      </c>
      <c r="D36" s="3" t="inlineStr">
        <is>
          <t>RETIREMENT_INCOME</t>
        </is>
      </c>
      <c r="E36" s="3" t="inlineStr">
        <is>
          <t>PARTLY AGREES — declared but not naming it: RETIREMENT_INCOME_NOW</t>
        </is>
      </c>
    </row>
    <row r="37">
      <c r="A37" s="3" t="inlineStr">
        <is>
          <t>MK-XS-I-036</t>
        </is>
      </c>
      <c r="B37" s="3" t="inlineStr">
        <is>
          <t>other guaranteed income</t>
        </is>
      </c>
      <c r="C37" s="3" t="inlineStr">
        <is>
          <t>RETIREMENT_INCOME</t>
        </is>
      </c>
      <c r="D37" s="3" t="inlineStr">
        <is>
          <t>RETIREMENT_INCOME</t>
        </is>
      </c>
      <c r="E37" s="3" t="inlineStr">
        <is>
          <t>AGREES — both directions name the same engines.</t>
        </is>
      </c>
    </row>
    <row r="38">
      <c r="A38" s="3" t="inlineStr">
        <is>
          <t>MK-XS-I-037</t>
        </is>
      </c>
      <c r="B38" s="3" t="inlineStr">
        <is>
          <t>required-withdrawal income stream (ri_rmd)</t>
        </is>
      </c>
      <c r="C38" s="3" t="inlineStr">
        <is>
          <t>RETIREMENT_INCOME</t>
        </is>
      </c>
      <c r="D38" s="3" t="inlineStr">
        <is>
          <t>RETIREMENT_INCOME</t>
        </is>
      </c>
      <c r="E38" s="3" t="inlineStr">
        <is>
          <t>AGREES — both directions name the same engines.</t>
        </is>
      </c>
    </row>
    <row r="39">
      <c r="A39" s="3" t="inlineStr">
        <is>
          <t>MK-XS-I-038</t>
        </is>
      </c>
      <c r="B39" s="3" t="inlineStr">
        <is>
          <t>withdrawal income stream (ri_withdrawals)</t>
        </is>
      </c>
      <c r="C39" s="3" t="inlineStr">
        <is>
          <t>RETIREMENT_INCOME</t>
        </is>
      </c>
      <c r="D39" s="3" t="inlineStr">
        <is>
          <t>RETIREMENT_INCOME</t>
        </is>
      </c>
      <c r="E39" s="3" t="inlineStr">
        <is>
          <t>AGREES — both directions name the same engines.</t>
        </is>
      </c>
    </row>
    <row r="40">
      <c r="A40" s="3" t="inlineStr">
        <is>
          <t>MK-XS-I-039</t>
        </is>
      </c>
      <c r="B40" s="3" t="inlineStr">
        <is>
          <t>how often each income arrives</t>
        </is>
      </c>
      <c r="C40" s="3" t="inlineStr">
        <is>
          <t>RETIREMENT_INCOME · TOTAL_INCOME</t>
        </is>
      </c>
      <c r="D40" s="3" t="inlineStr">
        <is>
          <t>RETIREMENT_INCOME</t>
        </is>
      </c>
      <c r="E40" s="3" t="inlineStr">
        <is>
          <t>PARTLY AGREES — declared but not naming it: TOTAL_INCOME</t>
        </is>
      </c>
    </row>
    <row r="41">
      <c r="A41" s="3" t="inlineStr">
        <is>
          <t>MK-XS-I-040</t>
        </is>
      </c>
      <c r="B41" s="3" t="inlineStr">
        <is>
          <t>whether a stream is already being received</t>
        </is>
      </c>
      <c r="C41" s="3" t="inlineStr">
        <is>
          <t>RETIREMENT_INCOME_NOW</t>
        </is>
      </c>
      <c r="D41" s="3" t="inlineStr">
        <is>
          <t>RETIREMENT_INCOME_NOW</t>
        </is>
      </c>
      <c r="E41" s="3" t="inlineStr">
        <is>
          <t>AGREES — both directions name the same engines.</t>
        </is>
      </c>
    </row>
    <row r="42">
      <c r="A42" s="3" t="inlineStr">
        <is>
          <t>MK-XS-I-041</t>
        </is>
      </c>
      <c r="B42" s="3" t="inlineStr">
        <is>
          <t>the payment the person chose to make on a debt</t>
        </is>
      </c>
      <c r="C42" s="3" t="inlineStr">
        <is>
          <t>DEBT_PAYOFF · DEBT_REQUIRED_PAYMENT</t>
        </is>
      </c>
      <c r="D42" s="3" t="inlineStr">
        <is>
          <t>DEBT_REQUIRED_PAYMENT · SPENDING_BY_KIND</t>
        </is>
      </c>
      <c r="E42" s="3" t="inlineStr">
        <is>
          <t>PARTLY AGREES — declared but not naming it: DEBT_PAYOFF  |  naming it but not declared: SPENDING_BY_KIND</t>
        </is>
      </c>
    </row>
    <row r="43">
      <c r="A43" s="3" t="inlineStr">
        <is>
          <t>MK-XS-I-042</t>
        </is>
      </c>
      <c r="B43" s="3" t="inlineStr">
        <is>
          <t>how a stream is paid — monthly, yearly or one lump</t>
        </is>
      </c>
      <c r="C43" s="3" t="inlineStr">
        <is>
          <t>RETIREMENT_INCOME</t>
        </is>
      </c>
      <c r="D43" s="3" t="inlineStr">
        <is>
          <t>DEBT_REQUIRED_PAYMENT · SPENDING_BY_KIND</t>
        </is>
      </c>
      <c r="E43" s="3" t="inlineStr">
        <is>
          <t>PARTLY AGREES — declared but not naming it: RETIREMENT_INCOME  |  naming it but not declared: DEBT_REQUIRED_PAYMENT, SPENDING_BY_KIND</t>
        </is>
      </c>
    </row>
    <row r="44">
      <c r="A44" s="3" t="inlineStr">
        <is>
          <t>MK-XS-I-043</t>
        </is>
      </c>
      <c r="B44" s="3" t="inlineStr">
        <is>
          <t>their own retirement contribution</t>
        </is>
      </c>
      <c r="C44" s="3" t="inlineStr">
        <is>
          <t>POT_AT_RETIREMENT · TOTAL_INCOME</t>
        </is>
      </c>
      <c r="D44" s="3" t="inlineStr">
        <is>
          <t>EMPLOYER_MATCH</t>
        </is>
      </c>
      <c r="E44" s="3" t="inlineStr">
        <is>
          <t>PARTLY AGREES — declared but not naming it: POT_AT_RETIREMENT, TOTAL_INCOME  |  naming it but not declared: EMPLOYER_MATCH</t>
        </is>
      </c>
    </row>
    <row r="45">
      <c r="A45" s="3" t="inlineStr">
        <is>
          <t>MK-XS-I-044</t>
        </is>
      </c>
      <c r="B45" s="3" t="inlineStr">
        <is>
          <t>the person’s own plan overrides</t>
        </is>
      </c>
      <c r="C45" s="3" t="inlineStr">
        <is>
          <t>WILL_IT_LAST_INPUTS</t>
        </is>
      </c>
      <c r="D45" s="3" t="inlineStr">
        <is>
          <t>WILL_IT_LAST_INPUTS</t>
        </is>
      </c>
      <c r="E45" s="3" t="inlineStr">
        <is>
          <t>AGREES — both directions name the same engines.</t>
        </is>
      </c>
    </row>
    <row r="46">
      <c r="A46" s="3" t="inlineStr">
        <is>
          <t>MK-XS-I-045</t>
        </is>
      </c>
      <c r="B46" s="3" t="inlineStr">
        <is>
          <t>where they will live in retirement</t>
        </is>
      </c>
      <c r="C46" s="3" t="inlineStr">
        <is>
          <t>RETIREMENT_SPENDING</t>
        </is>
      </c>
      <c r="D46" s="3" t="inlineStr">
        <is>
          <t>RETIREMENT_SPENDING</t>
        </is>
      </c>
      <c r="E46" s="3" t="inlineStr">
        <is>
          <t>AGREES — both directions name the same engines.</t>
        </is>
      </c>
    </row>
    <row r="47">
      <c r="A47" s="3" t="inlineStr">
        <is>
          <t>MK-XS-I-046</t>
        </is>
      </c>
      <c r="B47" s="3" t="inlineStr">
        <is>
          <t>how the employer match is expressed — percent or dollars</t>
        </is>
      </c>
      <c r="C47" s="3" t="inlineStr">
        <is>
          <t>EMPLOYER_MATCH</t>
        </is>
      </c>
      <c r="D47" s="3" t="inlineStr">
        <is>
          <t>EMPLOYER_MATCH</t>
        </is>
      </c>
      <c r="E47" s="3" t="inlineStr">
        <is>
          <t>AGREES — both directions name the same engines.</t>
        </is>
      </c>
    </row>
    <row r="48">
      <c r="A48" s="3" t="inlineStr">
        <is>
          <t>MK-XS-I-047</t>
        </is>
      </c>
      <c r="B48" s="3" t="inlineStr">
        <is>
          <t>money to leave behind</t>
        </is>
      </c>
      <c r="C48" s="3" t="inlineStr">
        <is>
          <t>WILL_IT_LAST_INPUTS · WILL_IT_LAST_RESULT</t>
        </is>
      </c>
      <c r="D48" s="3" t="inlineStr">
        <is>
          <t>WILL_IT_LAST_INPUTS</t>
        </is>
      </c>
      <c r="E48" s="3" t="inlineStr">
        <is>
          <t>PARTLY AGREES — declared but not naming it: WILL_IT_LAST_RESULT</t>
        </is>
      </c>
    </row>
    <row r="49">
      <c r="A49" s="3" t="inlineStr">
        <is>
          <t>MK-XS-I-048</t>
        </is>
      </c>
      <c r="B49" s="3" t="inlineStr">
        <is>
          <t>the person’s own asset-class answer</t>
        </is>
      </c>
      <c r="C49" s="3" t="inlineStr">
        <is>
          <t>ALLOCATION_BY_CLASS · ASSET_CLASS_OF_ACCOUNT</t>
        </is>
      </c>
      <c r="D49" s="3" t="inlineStr">
        <is>
          <t>ALLOCATION_BY_CLASS · PLANNED_SPENDING · TOTAL_CASH · TOTAL_INVESTABLE · TOTAL_INVESTMENTS</t>
        </is>
      </c>
      <c r="E49" s="3" t="inlineStr">
        <is>
          <t>PARTLY AGREES — declared but not naming it: ASSET_CLASS_OF_ACCOUNT  |  naming it but not declared: PLANNED_SPENDING, TOTAL_CASH, TOTAL_INVESTABLE, TOTAL_INVESTMENTS</t>
        </is>
      </c>
    </row>
    <row r="50">
      <c r="A50" s="3" t="n"/>
      <c r="B50" s="3" t="n"/>
      <c r="C50" s="3" t="n"/>
      <c r="D50" s="3" t="n"/>
      <c r="E50" s="3" t="n"/>
    </row>
    <row r="51">
      <c r="A51" s="5" t="inlineStr">
        <is>
          <t>GAPS — inputs an engine names that are on NO row of the inputs tab.</t>
        </is>
      </c>
      <c r="B51" s="3" t="inlineStr">
        <is>
          <t>Each one is either a missing input, or the same input under another name.</t>
        </is>
      </c>
      <c r="C51" s="3" t="inlineStr"/>
      <c r="D51" s="3" t="inlineStr"/>
      <c r="E51" s="3"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6"/>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8" customWidth="1" min="4" max="4"/>
    <col width="40" customWidth="1" min="5" max="5"/>
    <col width="44" customWidth="1" min="6" max="6"/>
  </cols>
  <sheetData>
    <row r="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c r="A2" s="3" t="inlineStr">
        <is>
          <t>MK-CF-E-001</t>
        </is>
      </c>
      <c r="B2" s="3" t="inlineStr">
        <is>
          <t>NOT IN OLD MASTER — the by-month grid, src/domain/cashflow</t>
        </is>
      </c>
      <c r="C2" s="3" t="inlineStr">
        <is>
          <t>NOT DETERMINED — no source line on record</t>
        </is>
      </c>
      <c r="D2" s="3" t="inlineStr">
        <is>
          <t>—</t>
        </is>
      </c>
      <c r="E2" s="3" t="inlineStr">
        <is>
          <t>MK-CF-M-001 · MK-CF-M-002</t>
        </is>
      </c>
      <c r="F2" s="3" t="inlineStr">
        <is>
          <t>Named by 2 figure(s)</t>
        </is>
      </c>
    </row>
    <row r="3">
      <c r="A3" s="3" t="inlineStr">
        <is>
          <t>MK-CF-E-002</t>
        </is>
      </c>
      <c r="B3" s="3" t="inlineStr">
        <is>
          <t>NOT IN OLD MASTER — the equity schedule, src/domain/income</t>
        </is>
      </c>
      <c r="C3" s="3" t="inlineStr">
        <is>
          <t>NOT DETERMINED — no source line on record</t>
        </is>
      </c>
      <c r="D3" s="3" t="inlineStr">
        <is>
          <t>—</t>
        </is>
      </c>
      <c r="E3" s="3" t="inlineStr">
        <is>
          <t>MK-CF-M-009</t>
        </is>
      </c>
      <c r="F3" s="3" t="inlineStr">
        <is>
          <t>Named by 1 figure(s)</t>
        </is>
      </c>
    </row>
    <row r="4">
      <c r="A4" s="3" t="inlineStr">
        <is>
          <t>MK-CF-E-003</t>
        </is>
      </c>
      <c r="B4" s="3" t="inlineStr">
        <is>
          <t>NOT IN OLD MASTER — the received list, src/domain/income</t>
        </is>
      </c>
      <c r="C4" s="3" t="inlineStr">
        <is>
          <t>NOT DETERMINED — no source line on record</t>
        </is>
      </c>
      <c r="D4" s="3" t="inlineStr">
        <is>
          <t>—</t>
        </is>
      </c>
      <c r="E4" s="3" t="inlineStr">
        <is>
          <t>MK-CF-M-012</t>
        </is>
      </c>
      <c r="F4" s="3" t="inlineStr">
        <is>
          <t>Named by 1 figure(s)</t>
        </is>
      </c>
    </row>
    <row r="5">
      <c r="A5" s="3" t="inlineStr">
        <is>
          <t>MK-CF-E-004</t>
        </is>
      </c>
      <c r="B5" s="3" t="inlineStr">
        <is>
          <t>PLANNED_SPENDING</t>
        </is>
      </c>
      <c r="C5" s="3" t="inlineStr">
        <is>
          <t>src/domain/budget/index.ts:45</t>
        </is>
      </c>
      <c r="D5" s="3" t="inlineStr">
        <is>
          <t>What does this person plan to spend each month?</t>
        </is>
      </c>
      <c r="E5" s="3" t="inlineStr">
        <is>
          <t>MK-CF-M-015 · MK-MN-M-007 · MK-MN-M-026</t>
        </is>
      </c>
      <c r="F5" s="3" t="inlineStr">
        <is>
          <t>Named by 3 figure(s)</t>
        </is>
      </c>
    </row>
    <row r="6">
      <c r="A6" s="3" t="inlineStr">
        <is>
          <t>MK-CF-E-005</t>
        </is>
      </c>
      <c r="B6" s="3" t="inlineStr">
        <is>
          <t>NOT IN OLD MASTER — the big-bill radar, src/domain/cashflow</t>
        </is>
      </c>
      <c r="C6" s="3" t="inlineStr">
        <is>
          <t>NOT DETERMINED — no source line on record</t>
        </is>
      </c>
      <c r="D6" s="3" t="inlineStr">
        <is>
          <t>—</t>
        </is>
      </c>
      <c r="E6" s="3" t="inlineStr">
        <is>
          <t>MK-CF-M-016</t>
        </is>
      </c>
      <c r="F6" s="3" t="inlineStr">
        <is>
          <t>Named by 1 figure(s)</t>
        </is>
      </c>
    </row>
    <row r="7">
      <c r="A7" s="3" t="inlineStr">
        <is>
          <t>MK-CF-E-006</t>
        </is>
      </c>
      <c r="B7" s="3" t="inlineStr">
        <is>
          <t>NOT IN OLD MASTER — the unusual-spend check, src/domain/budget</t>
        </is>
      </c>
      <c r="C7" s="3" t="inlineStr">
        <is>
          <t>NOT DETERMINED — no source line on record</t>
        </is>
      </c>
      <c r="D7" s="3" t="inlineStr">
        <is>
          <t>—</t>
        </is>
      </c>
      <c r="E7" s="3" t="inlineStr">
        <is>
          <t>MK-CF-M-017</t>
        </is>
      </c>
      <c r="F7" s="3" t="inlineStr">
        <is>
          <t>Named by 1 figure(s)</t>
        </is>
      </c>
    </row>
    <row r="8">
      <c r="A8" s="3" t="inlineStr">
        <is>
          <t>MK-CF-E-007</t>
        </is>
      </c>
      <c r="B8" s="3" t="inlineStr">
        <is>
          <t>SPENDING_BY_KIND · DEBT_REQUIRED_PAYMENT</t>
        </is>
      </c>
      <c r="C8" s="3" t="inlineStr">
        <is>
          <t>NOT DETERMINED — no source line on record</t>
        </is>
      </c>
      <c r="D8" s="3" t="inlineStr">
        <is>
          <t>—</t>
        </is>
      </c>
      <c r="E8" s="3" t="inlineStr">
        <is>
          <t>MK-CF-M-019</t>
        </is>
      </c>
      <c r="F8" s="3" t="inlineStr">
        <is>
          <t>Named by 1 figure(s)</t>
        </is>
      </c>
    </row>
    <row r="9">
      <c r="A9" s="3" t="inlineStr">
        <is>
          <t>MK-CF-E-008</t>
        </is>
      </c>
      <c r="B9" s="3" t="inlineStr">
        <is>
          <t>NOT IN OLD MASTER — plan commitments, src/domain/planning</t>
        </is>
      </c>
      <c r="C9" s="3" t="inlineStr">
        <is>
          <t>NOT DETERMINED — no source line on record</t>
        </is>
      </c>
      <c r="D9" s="3" t="inlineStr">
        <is>
          <t>—</t>
        </is>
      </c>
      <c r="E9" s="3" t="inlineStr">
        <is>
          <t>MK-CF-M-021</t>
        </is>
      </c>
      <c r="F9" s="3" t="inlineStr">
        <is>
          <t>Named by 1 figure(s)</t>
        </is>
      </c>
    </row>
    <row r="10">
      <c r="A10" s="3" t="inlineStr">
        <is>
          <t>MK-CF-E-009</t>
        </is>
      </c>
      <c r="B10" s="3" t="inlineStr">
        <is>
          <t>the by-month grid</t>
        </is>
      </c>
      <c r="C10" s="3" t="inlineStr">
        <is>
          <t>NOT DETERMINED — no source line on record</t>
        </is>
      </c>
      <c r="D10" s="3" t="inlineStr">
        <is>
          <t>—</t>
        </is>
      </c>
      <c r="E10" s="3" t="inlineStr">
        <is>
          <t>MK-CF-M-025</t>
        </is>
      </c>
      <c r="F10" s="3" t="inlineStr">
        <is>
          <t>Named by 1 figure(s)</t>
        </is>
      </c>
    </row>
    <row r="11">
      <c r="A11" s="3" t="inlineStr">
        <is>
          <t>MK-CF-E-010</t>
        </is>
      </c>
      <c r="B11" s="3" t="inlineStr">
        <is>
          <t>RETIREMENT_PAYCHECK</t>
        </is>
      </c>
      <c r="C11" s="3" t="inlineStr">
        <is>
          <t>NOT DETERMINED — no source line on record</t>
        </is>
      </c>
      <c r="D11" s="3" t="inlineStr">
        <is>
          <t>—</t>
        </is>
      </c>
      <c r="E11" s="3" t="inlineStr">
        <is>
          <t>MK-CF-M-026</t>
        </is>
      </c>
      <c r="F11" s="3" t="inlineStr">
        <is>
          <t>Named by 1 figure(s)</t>
        </is>
      </c>
    </row>
    <row r="12">
      <c r="A12" s="3" t="inlineStr">
        <is>
          <t>MK-CF-E-011</t>
        </is>
      </c>
      <c r="B12" s="3" t="inlineStr">
        <is>
          <t>THE_BILL_CALENDAR</t>
        </is>
      </c>
      <c r="C12" s="3" t="inlineStr">
        <is>
          <t>NOT DETERMINED — no source line on record</t>
        </is>
      </c>
      <c r="D12" s="3" t="inlineStr">
        <is>
          <t>—</t>
        </is>
      </c>
      <c r="E12" s="3" t="inlineStr">
        <is>
          <t>MK-CF-M-028</t>
        </is>
      </c>
      <c r="F12" s="3" t="inlineStr">
        <is>
          <t>Named by 1 figure(s)</t>
        </is>
      </c>
    </row>
    <row r="13">
      <c r="A13" s="3" t="inlineStr">
        <is>
          <t>MK-HM-E-001</t>
        </is>
      </c>
      <c r="B13" s="3" t="inlineStr">
        <is>
          <t>PRICE_FRESHNESS</t>
        </is>
      </c>
      <c r="C13" s="3" t="inlineStr">
        <is>
          <t>src/services/marketData.ts:60</t>
        </is>
      </c>
      <c r="D13" s="3" t="inlineStr">
        <is>
          <t>How old is the price we are showing?</t>
        </is>
      </c>
      <c r="E13" s="3" t="inlineStr">
        <is>
          <t>MK-HM-M-001</t>
        </is>
      </c>
      <c r="F13" s="3" t="inlineStr">
        <is>
          <t>Named by 1 figure(s)</t>
        </is>
      </c>
    </row>
    <row r="14">
      <c r="A14" s="3" t="inlineStr">
        <is>
          <t>MK-HM-E-002</t>
        </is>
      </c>
      <c r="B14" s="3" t="inlineStr">
        <is>
          <t>NOT IN OLD MASTER — milestoneCrossed, src/domain/milestones.ts</t>
        </is>
      </c>
      <c r="C14" s="3" t="inlineStr">
        <is>
          <t>NOT DETERMINED — no source line on record</t>
        </is>
      </c>
      <c r="D14" s="3" t="inlineStr">
        <is>
          <t>—</t>
        </is>
      </c>
      <c r="E14" s="3" t="inlineStr">
        <is>
          <t>MK-HM-M-002</t>
        </is>
      </c>
      <c r="F14" s="3" t="inlineStr">
        <is>
          <t>Named by 1 figure(s)</t>
        </is>
      </c>
    </row>
    <row r="15">
      <c r="A15" s="3" t="inlineStr">
        <is>
          <t>MK-HM-E-003</t>
        </is>
      </c>
      <c r="B15" s="3" t="inlineStr">
        <is>
          <t>NOT IN OLD MASTER — useInsights, src/domain/insights</t>
        </is>
      </c>
      <c r="C15" s="3" t="inlineStr">
        <is>
          <t>NOT DETERMINED — no source line on record</t>
        </is>
      </c>
      <c r="D15" s="3" t="inlineStr">
        <is>
          <t>—</t>
        </is>
      </c>
      <c r="E15" s="3" t="inlineStr">
        <is>
          <t>MK-HM-M-003 · MK-MN-M-015</t>
        </is>
      </c>
      <c r="F15" s="3" t="inlineStr">
        <is>
          <t>Named by 2 figure(s)</t>
        </is>
      </c>
    </row>
    <row r="16">
      <c r="A16" s="3" t="inlineStr">
        <is>
          <t>MK-MN-E-001</t>
        </is>
      </c>
      <c r="B16" s="3" t="inlineStr">
        <is>
          <t>BIG_COSTS</t>
        </is>
      </c>
      <c r="C16" s="3" t="inlineStr">
        <is>
          <t>NOT DETERMINED — no source line on record</t>
        </is>
      </c>
      <c r="D16" s="3" t="inlineStr">
        <is>
          <t>—</t>
        </is>
      </c>
      <c r="E16" s="3" t="inlineStr">
        <is>
          <t>MK-MN-M-001 · MK-MN-M-002</t>
        </is>
      </c>
      <c r="F16" s="3" t="inlineStr">
        <is>
          <t>Named by 2 figure(s)</t>
        </is>
      </c>
    </row>
    <row r="17">
      <c r="A17" s="3" t="inlineStr">
        <is>
          <t>MK-MN-E-002</t>
        </is>
      </c>
      <c r="B17" s="3" t="inlineStr">
        <is>
          <t>CONTRIBUTION_ROOM</t>
        </is>
      </c>
      <c r="C17" s="3" t="inlineStr">
        <is>
          <t>NOT DETERMINED — no source line on record</t>
        </is>
      </c>
      <c r="D17" s="3" t="inlineStr">
        <is>
          <t>—</t>
        </is>
      </c>
      <c r="E17" s="3" t="inlineStr">
        <is>
          <t>MK-MN-M-003 · MK-MN-M-004 · MK-MN-M-029</t>
        </is>
      </c>
      <c r="F17" s="3" t="inlineStr">
        <is>
          <t>Named by 3 figure(s)</t>
        </is>
      </c>
    </row>
    <row r="18">
      <c r="A18" s="3" t="inlineStr">
        <is>
          <t>MK-MN-E-003</t>
        </is>
      </c>
      <c r="B18" s="3" t="inlineStr">
        <is>
          <t>CREDIT_USE</t>
        </is>
      </c>
      <c r="C18" s="3" t="inlineStr">
        <is>
          <t>NOT DETERMINED — no source line on record</t>
        </is>
      </c>
      <c r="D18" s="3" t="inlineStr">
        <is>
          <t>—</t>
        </is>
      </c>
      <c r="E18" s="3" t="inlineStr">
        <is>
          <t>MK-MN-M-006</t>
        </is>
      </c>
      <c r="F18" s="3" t="inlineStr">
        <is>
          <t>Named by 1 figure(s)</t>
        </is>
      </c>
    </row>
    <row r="19">
      <c r="A19" s="3" t="inlineStr">
        <is>
          <t>MK-MN-E-004</t>
        </is>
      </c>
      <c r="B19" s="3" t="inlineStr">
        <is>
          <t>GOAL_CAPACITY</t>
        </is>
      </c>
      <c r="C19" s="3" t="inlineStr">
        <is>
          <t>NOT DETERMINED — no source line on record</t>
        </is>
      </c>
      <c r="D19" s="3" t="inlineStr">
        <is>
          <t>—</t>
        </is>
      </c>
      <c r="E19" s="3" t="inlineStr">
        <is>
          <t>MK-MN-M-008</t>
        </is>
      </c>
      <c r="F19" s="3" t="inlineStr">
        <is>
          <t>Named by 1 figure(s)</t>
        </is>
      </c>
    </row>
    <row r="20">
      <c r="A20" s="3" t="inlineStr">
        <is>
          <t>MK-MN-E-005</t>
        </is>
      </c>
      <c r="B20" s="3" t="inlineStr">
        <is>
          <t>GOAL_PROGRESS</t>
        </is>
      </c>
      <c r="C20" s="3" t="inlineStr">
        <is>
          <t>NOT DETERMINED — no source line on record</t>
        </is>
      </c>
      <c r="D20" s="3" t="inlineStr">
        <is>
          <t>—</t>
        </is>
      </c>
      <c r="E20" s="3" t="inlineStr">
        <is>
          <t>MK-MN-M-009</t>
        </is>
      </c>
      <c r="F20" s="3" t="inlineStr">
        <is>
          <t>Named by 1 figure(s)</t>
        </is>
      </c>
    </row>
    <row r="21">
      <c r="A21" s="3" t="inlineStr">
        <is>
          <t>MK-MN-E-006</t>
        </is>
      </c>
      <c r="B21" s="3" t="inlineStr">
        <is>
          <t>SINKING_FUNDS</t>
        </is>
      </c>
      <c r="C21" s="3" t="inlineStr">
        <is>
          <t>NOT DETERMINED — no source line on record</t>
        </is>
      </c>
      <c r="D21" s="3" t="inlineStr">
        <is>
          <t>—</t>
        </is>
      </c>
      <c r="E21" s="3" t="inlineStr">
        <is>
          <t>MK-MN-M-010</t>
        </is>
      </c>
      <c r="F21" s="3" t="inlineStr">
        <is>
          <t>Named by 1 figure(s)</t>
        </is>
      </c>
    </row>
    <row r="22">
      <c r="A22" s="3" t="inlineStr">
        <is>
          <t>MK-MN-E-007</t>
        </is>
      </c>
      <c r="B22" s="3" t="inlineStr">
        <is>
          <t>EMPLOYER_MATCH</t>
        </is>
      </c>
      <c r="C22" s="3" t="inlineStr">
        <is>
          <t>src/domain/income/onboarding.ts:263</t>
        </is>
      </c>
      <c r="D22" s="3" t="inlineStr">
        <is>
          <t>How much does the employer add each month?</t>
        </is>
      </c>
      <c r="E22" s="3" t="inlineStr">
        <is>
          <t>MK-MN-M-014</t>
        </is>
      </c>
      <c r="F22" s="3" t="inlineStr">
        <is>
          <t>Named by 1 figure(s)</t>
        </is>
      </c>
    </row>
    <row r="23">
      <c r="A23" s="3" t="inlineStr">
        <is>
          <t>MK-MN-E-008</t>
        </is>
      </c>
      <c r="B23" s="3" t="inlineStr">
        <is>
          <t>TOTAL_INVESTABLE · TOTAL_CASH</t>
        </is>
      </c>
      <c r="C23" s="3" t="inlineStr">
        <is>
          <t>NOT DETERMINED — no source line on record</t>
        </is>
      </c>
      <c r="D23" s="3" t="inlineStr">
        <is>
          <t>—</t>
        </is>
      </c>
      <c r="E23" s="3" t="inlineStr">
        <is>
          <t>MK-MN-M-016</t>
        </is>
      </c>
      <c r="F23" s="3" t="inlineStr">
        <is>
          <t>Named by 1 figure(s)</t>
        </is>
      </c>
    </row>
    <row r="24">
      <c r="A24" s="3" t="inlineStr">
        <is>
          <t>MK-MN-E-009</t>
        </is>
      </c>
      <c r="B24" s="3" t="inlineStr">
        <is>
          <t>INSURANCE_NEED</t>
        </is>
      </c>
      <c r="C24" s="3" t="inlineStr">
        <is>
          <t>NOT DETERMINED — no source line on record</t>
        </is>
      </c>
      <c r="D24" s="3" t="inlineStr">
        <is>
          <t>—</t>
        </is>
      </c>
      <c r="E24" s="3" t="inlineStr">
        <is>
          <t>MK-MN-M-017 · MK-MN-M-018 · MK-MN-M-019</t>
        </is>
      </c>
      <c r="F24" s="3" t="inlineStr">
        <is>
          <t>Named by 3 figure(s)</t>
        </is>
      </c>
    </row>
    <row r="25">
      <c r="A25" s="3" t="inlineStr">
        <is>
          <t>MK-MN-E-010</t>
        </is>
      </c>
      <c r="B25" s="3" t="inlineStr">
        <is>
          <t>JOB_SAFETY_RUNWAY</t>
        </is>
      </c>
      <c r="C25" s="3" t="inlineStr">
        <is>
          <t>NOT DETERMINED — no source line on record</t>
        </is>
      </c>
      <c r="D25" s="3" t="inlineStr">
        <is>
          <t>—</t>
        </is>
      </c>
      <c r="E25" s="3" t="inlineStr">
        <is>
          <t>MK-MN-M-020</t>
        </is>
      </c>
      <c r="F25" s="3" t="inlineStr">
        <is>
          <t>Named by 1 figure(s)</t>
        </is>
      </c>
    </row>
    <row r="26">
      <c r="A26" s="3" t="inlineStr">
        <is>
          <t>MK-MN-E-011</t>
        </is>
      </c>
      <c r="B26" s="3" t="inlineStr">
        <is>
          <t>ALTERNATIVES_TOTAL</t>
        </is>
      </c>
      <c r="C26" s="3" t="inlineStr">
        <is>
          <t>NOT DETERMINED — no source line on record</t>
        </is>
      </c>
      <c r="D26" s="3" t="inlineStr">
        <is>
          <t>—</t>
        </is>
      </c>
      <c r="E26" s="3" t="inlineStr">
        <is>
          <t>MK-MN-M-022</t>
        </is>
      </c>
      <c r="F26" s="3" t="inlineStr">
        <is>
          <t>Named by 1 figure(s)</t>
        </is>
      </c>
    </row>
    <row r="27">
      <c r="A27" s="3" t="inlineStr">
        <is>
          <t>MK-MN-E-012</t>
        </is>
      </c>
      <c r="B27" s="3" t="inlineStr">
        <is>
          <t>ALTERNATIVES_GROWTH</t>
        </is>
      </c>
      <c r="C27" s="3" t="inlineStr">
        <is>
          <t>NOT DETERMINED — no source line on record</t>
        </is>
      </c>
      <c r="D27" s="3" t="inlineStr">
        <is>
          <t>—</t>
        </is>
      </c>
      <c r="E27" s="3" t="inlineStr">
        <is>
          <t>MK-MN-M-023</t>
        </is>
      </c>
      <c r="F27" s="3" t="inlineStr">
        <is>
          <t>Named by 1 figure(s)</t>
        </is>
      </c>
    </row>
    <row r="28">
      <c r="A28" s="3" t="inlineStr">
        <is>
          <t>MK-MN-E-013</t>
        </is>
      </c>
      <c r="B28" s="3" t="inlineStr">
        <is>
          <t>STRESS_TEST</t>
        </is>
      </c>
      <c r="C28" s="3" t="inlineStr">
        <is>
          <t>NOT DETERMINED — no source line on record</t>
        </is>
      </c>
      <c r="D28" s="3" t="inlineStr">
        <is>
          <t>—</t>
        </is>
      </c>
      <c r="E28" s="3" t="inlineStr">
        <is>
          <t>MK-MN-M-024 · MK-MN-M-025</t>
        </is>
      </c>
      <c r="F28" s="3" t="inlineStr">
        <is>
          <t>Named by 2 figure(s)</t>
        </is>
      </c>
    </row>
    <row r="29">
      <c r="A29" s="3" t="inlineStr">
        <is>
          <t>MK-MN-E-014</t>
        </is>
      </c>
      <c r="B29" s="3" t="inlineStr">
        <is>
          <t>TAXABLE_INCOME</t>
        </is>
      </c>
      <c r="C29" s="3" t="inlineStr">
        <is>
          <t>src/domain/income/tax.ts:110</t>
        </is>
      </c>
      <c r="D29" s="3" t="inlineStr">
        <is>
          <t>What income is taxed, given how this person files?</t>
        </is>
      </c>
      <c r="E29" s="3" t="inlineStr">
        <is>
          <t>MK-MN-M-027 · MK-MN-M-028</t>
        </is>
      </c>
      <c r="F29" s="3" t="inlineStr">
        <is>
          <t>Named by 2 figure(s)</t>
        </is>
      </c>
    </row>
    <row r="30">
      <c r="A30" s="3" t="inlineStr">
        <is>
          <t>MK-MN-E-015</t>
        </is>
      </c>
      <c r="B30" s="3" t="inlineStr">
        <is>
          <t>NOT IN OLD MASTER — the outflow watch, src/domain/insights</t>
        </is>
      </c>
      <c r="C30" s="3" t="inlineStr">
        <is>
          <t>NOT DETERMINED — no source line on record</t>
        </is>
      </c>
      <c r="D30" s="3" t="inlineStr">
        <is>
          <t>—</t>
        </is>
      </c>
      <c r="E30" s="3" t="inlineStr">
        <is>
          <t>MK-MN-M-030</t>
        </is>
      </c>
      <c r="F30" s="3" t="inlineStr">
        <is>
          <t>Named by 1 figure(s)</t>
        </is>
      </c>
    </row>
    <row r="31">
      <c r="A31" s="3" t="inlineStr">
        <is>
          <t>MK-NW-E-001</t>
        </is>
      </c>
      <c r="B31" s="3" t="inlineStr">
        <is>
          <t>TREND_SERIES</t>
        </is>
      </c>
      <c r="C31" s="3" t="inlineStr">
        <is>
          <t>src/domain/history.ts:43</t>
        </is>
      </c>
      <c r="D31" s="3" t="inlineStr">
        <is>
          <t>What points does the net-worth graph draw?</t>
        </is>
      </c>
      <c r="E31" s="3" t="inlineStr">
        <is>
          <t>MK-NW-M-001 · MK-NW-M-003</t>
        </is>
      </c>
      <c r="F31" s="3" t="inlineStr">
        <is>
          <t>Named by 2 figure(s)</t>
        </is>
      </c>
    </row>
    <row r="32">
      <c r="A32" s="3" t="inlineStr">
        <is>
          <t>MK-NW-E-002</t>
        </is>
      </c>
      <c r="B32" s="3" t="inlineStr">
        <is>
          <t>NW_CHANGE_PCT</t>
        </is>
      </c>
      <c r="C32" s="3" t="inlineStr">
        <is>
          <t>src/domain/history.ts:118</t>
        </is>
      </c>
      <c r="D32" s="3" t="inlineStr">
        <is>
          <t>What is my return on cash and investments since the baseline?</t>
        </is>
      </c>
      <c r="E32" s="3" t="inlineStr">
        <is>
          <t>MK-NW-M-002</t>
        </is>
      </c>
      <c r="F32" s="3" t="inlineStr">
        <is>
          <t>Named by 1 figure(s)</t>
        </is>
      </c>
    </row>
    <row r="33">
      <c r="A33" s="3" t="inlineStr">
        <is>
          <t>MK-NW-E-003</t>
        </is>
      </c>
      <c r="B33" s="3" t="inlineStr">
        <is>
          <t>ACCOUNT_SHARE_OF_TOTAL</t>
        </is>
      </c>
      <c r="C33" s="3" t="inlineStr">
        <is>
          <t>src/domain/assets/index.ts:663</t>
        </is>
      </c>
      <c r="D33" s="3" t="inlineStr">
        <is>
          <t>How much of everything sits in each account, and what return do they blend to?</t>
        </is>
      </c>
      <c r="E33" s="3" t="inlineStr">
        <is>
          <t>MK-NW-M-004</t>
        </is>
      </c>
      <c r="F33" s="3" t="inlineStr">
        <is>
          <t>Named by 1 figure(s)</t>
        </is>
      </c>
    </row>
    <row r="34">
      <c r="A34" s="3" t="inlineStr">
        <is>
          <t>MK-NW-E-004</t>
        </is>
      </c>
      <c r="B34" s="3" t="inlineStr">
        <is>
          <t>TOTAL_CASH</t>
        </is>
      </c>
      <c r="C34" s="3" t="inlineStr">
        <is>
          <t>src/domain/assets/index.ts:271</t>
        </is>
      </c>
      <c r="D34" s="3" t="inlineStr">
        <is>
          <t>How much actual cash do I have?</t>
        </is>
      </c>
      <c r="E34" s="3" t="inlineStr">
        <is>
          <t>MK-NW-M-005</t>
        </is>
      </c>
      <c r="F34" s="3" t="inlineStr">
        <is>
          <t>Named by 1 figure(s)</t>
        </is>
      </c>
    </row>
    <row r="35">
      <c r="A35" s="3" t="inlineStr">
        <is>
          <t>MK-NW-E-005</t>
        </is>
      </c>
      <c r="B35" s="3" t="inlineStr">
        <is>
          <t>ALLOCATION_BY_CLASS</t>
        </is>
      </c>
      <c r="C35" s="3" t="inlineStr">
        <is>
          <t>src/domain/assets/index.ts:502</t>
        </is>
      </c>
      <c r="D35" s="3" t="inlineStr">
        <is>
          <t>How much money sits in each of the seven classes?</t>
        </is>
      </c>
      <c r="E35" s="3" t="inlineStr">
        <is>
          <t>MK-NW-M-007</t>
        </is>
      </c>
      <c r="F35" s="3" t="inlineStr">
        <is>
          <t>Named by 1 figure(s)</t>
        </is>
      </c>
    </row>
    <row r="36">
      <c r="A36" s="3" t="inlineStr">
        <is>
          <t>MK-NW-E-006</t>
        </is>
      </c>
      <c r="B36" s="3" t="inlineStr">
        <is>
          <t>DEBT_PICTURE</t>
        </is>
      </c>
      <c r="C36" s="3" t="inlineStr">
        <is>
          <t>src/domain/debt/index.ts:214</t>
        </is>
      </c>
      <c r="D36" s="3" t="inlineStr">
        <is>
          <t>What is the whole debt picture?</t>
        </is>
      </c>
      <c r="E36" s="3" t="inlineStr">
        <is>
          <t>MK-NW-M-009 · MK-NW-M-010 · MK-NW-M-012</t>
        </is>
      </c>
      <c r="F36" s="3" t="inlineStr">
        <is>
          <t>Named by 3 figure(s)</t>
        </is>
      </c>
    </row>
    <row r="37">
      <c r="A37" s="3" t="inlineStr">
        <is>
          <t>MK-NW-E-007</t>
        </is>
      </c>
      <c r="B37" s="3" t="inlineStr">
        <is>
          <t>DEBT_REQUIRED_PAYMENT</t>
        </is>
      </c>
      <c r="C37" s="3" t="inlineStr">
        <is>
          <t>src/domain/debt/index.ts:44</t>
        </is>
      </c>
      <c r="D37" s="3" t="inlineStr">
        <is>
          <t>What must I pay on this each month?</t>
        </is>
      </c>
      <c r="E37" s="3" t="inlineStr">
        <is>
          <t>MK-NW-M-011</t>
        </is>
      </c>
      <c r="F37" s="3" t="inlineStr">
        <is>
          <t>Named by 1 figure(s)</t>
        </is>
      </c>
    </row>
    <row r="38">
      <c r="A38" s="3" t="inlineStr">
        <is>
          <t>MK-NW-E-008</t>
        </is>
      </c>
      <c r="B38" s="3" t="inlineStr">
        <is>
          <t>TOTAL_CASH · PLANNED_SPENDING</t>
        </is>
      </c>
      <c r="C38" s="3" t="inlineStr">
        <is>
          <t>NOT DETERMINED — no source line on record</t>
        </is>
      </c>
      <c r="D38" s="3" t="inlineStr">
        <is>
          <t>—</t>
        </is>
      </c>
      <c r="E38" s="3" t="inlineStr">
        <is>
          <t>MK-NW-M-014</t>
        </is>
      </c>
      <c r="F38" s="3" t="inlineStr">
        <is>
          <t>Named by 1 figure(s)</t>
        </is>
      </c>
    </row>
    <row r="39">
      <c r="A39" s="3" t="inlineStr">
        <is>
          <t>MK-NW-E-009</t>
        </is>
      </c>
      <c r="B39" s="3" t="inlineStr">
        <is>
          <t>POT_AT_RETIREMENT</t>
        </is>
      </c>
      <c r="C39" s="3" t="inlineStr">
        <is>
          <t>src/domain/retirement/index.ts:324</t>
        </is>
      </c>
      <c r="D39" s="3" t="inlineStr">
        <is>
          <t>What will the pot be worth at retirement, and how big does it need to be?</t>
        </is>
      </c>
      <c r="E39" s="3" t="inlineStr">
        <is>
          <t>MK-CF-M-022 · MK-NW-M-015 · MK-PL-M-026 · MK-PL-M-033</t>
        </is>
      </c>
      <c r="F39" s="3" t="inlineStr">
        <is>
          <t>Named by 4 figure(s)</t>
        </is>
      </c>
    </row>
    <row r="40">
      <c r="A40" s="3" t="inlineStr">
        <is>
          <t>MK-NW-E-010</t>
        </is>
      </c>
      <c r="B40" s="3" t="inlineStr">
        <is>
          <t>NET_WORTH · DEBT_PICTURE</t>
        </is>
      </c>
      <c r="C40" s="3" t="inlineStr">
        <is>
          <t>NOT DETERMINED — no source line on record</t>
        </is>
      </c>
      <c r="D40" s="3" t="inlineStr">
        <is>
          <t>—</t>
        </is>
      </c>
      <c r="E40" s="3" t="inlineStr">
        <is>
          <t>MK-NW-M-017</t>
        </is>
      </c>
      <c r="F40" s="3" t="inlineStr">
        <is>
          <t>Named by 1 figure(s)</t>
        </is>
      </c>
    </row>
    <row r="41">
      <c r="A41" s="3" t="inlineStr">
        <is>
          <t>MK-NW-E-011</t>
        </is>
      </c>
      <c r="B41" s="3" t="inlineStr">
        <is>
          <t>HAND_VALUE_AGE</t>
        </is>
      </c>
      <c r="C41" s="3" t="inlineStr">
        <is>
          <t>src/domain/assets/index.ts:97</t>
        </is>
      </c>
      <c r="D41" s="3" t="inlineStr">
        <is>
          <t>How old is this hand-entered value?</t>
        </is>
      </c>
      <c r="E41" s="3" t="inlineStr">
        <is>
          <t>MK-NW-M-018 · MK-PL-M-016</t>
        </is>
      </c>
      <c r="F41" s="3" t="inlineStr">
        <is>
          <t>Named by 2 figure(s)</t>
        </is>
      </c>
    </row>
    <row r="42">
      <c r="A42" s="3" t="inlineStr">
        <is>
          <t>MK-NW-E-012</t>
        </is>
      </c>
      <c r="B42" s="3" t="inlineStr">
        <is>
          <t>the ledger sum of interest and dividends for the account</t>
        </is>
      </c>
      <c r="C42" s="3" t="inlineStr">
        <is>
          <t>NOT DETERMINED — no source line on record</t>
        </is>
      </c>
      <c r="D42" s="3" t="inlineStr">
        <is>
          <t>—</t>
        </is>
      </c>
      <c r="E42" s="3" t="inlineStr">
        <is>
          <t>MK-NW-M-019</t>
        </is>
      </c>
      <c r="F42" s="3" t="inlineStr">
        <is>
          <t>Named by 1 figure(s)</t>
        </is>
      </c>
    </row>
    <row r="43">
      <c r="A43" s="3" t="inlineStr">
        <is>
          <t>MK-NW-E-013</t>
        </is>
      </c>
      <c r="B43" s="3" t="inlineStr">
        <is>
          <t>the ledger sum for that holding</t>
        </is>
      </c>
      <c r="C43" s="3" t="inlineStr">
        <is>
          <t>NOT DETERMINED — no source line on record</t>
        </is>
      </c>
      <c r="D43" s="3" t="inlineStr">
        <is>
          <t>—</t>
        </is>
      </c>
      <c r="E43" s="3" t="inlineStr">
        <is>
          <t>MK-NW-M-021</t>
        </is>
      </c>
      <c r="F43" s="3" t="inlineStr">
        <is>
          <t>Named by 1 figure(s)</t>
        </is>
      </c>
    </row>
    <row r="44">
      <c r="A44" s="3" t="inlineStr">
        <is>
          <t>MK-NW-E-014</t>
        </is>
      </c>
      <c r="B44" s="3" t="inlineStr">
        <is>
          <t>HISTORY_DEPTH</t>
        </is>
      </c>
      <c r="C44" s="3" t="inlineStr">
        <is>
          <t>src/services/sync/snaptrade.ts:284</t>
        </is>
      </c>
      <c r="D44" s="3" t="inlineStr">
        <is>
          <t>How far back does this source's activity history go?</t>
        </is>
      </c>
      <c r="E44" s="3" t="inlineStr">
        <is>
          <t>MK-NW-M-022</t>
        </is>
      </c>
      <c r="F44" s="3" t="inlineStr">
        <is>
          <t>Named by 1 figure(s)</t>
        </is>
      </c>
    </row>
    <row r="45">
      <c r="A45" s="3" t="inlineStr">
        <is>
          <t>MK-NW-E-015</t>
        </is>
      </c>
      <c r="B45" s="3" t="inlineStr">
        <is>
          <t>BOND_FACTS</t>
        </is>
      </c>
      <c r="C45" s="3" t="inlineStr">
        <is>
          <t>src/domain/bonds/index.ts:16</t>
        </is>
      </c>
      <c r="D45" s="3" t="inlineStr">
        <is>
          <t>What are this holding's bond facts?</t>
        </is>
      </c>
      <c r="E45" s="3" t="inlineStr">
        <is>
          <t>MK-NW-M-023 · MK-NW-M-041 · MK-NW-M-042</t>
        </is>
      </c>
      <c r="F45" s="3" t="inlineStr">
        <is>
          <t>Named by 3 figure(s)</t>
        </is>
      </c>
    </row>
    <row r="46">
      <c r="A46" s="3" t="inlineStr">
        <is>
          <t>MK-NW-E-016</t>
        </is>
      </c>
      <c r="B46" s="3" t="inlineStr">
        <is>
          <t>BOND_COUPON</t>
        </is>
      </c>
      <c r="C46" s="3" t="inlineStr">
        <is>
          <t>src/domain/bonds/index.ts:21</t>
        </is>
      </c>
      <c r="D46" s="3" t="inlineStr">
        <is>
          <t>How much income does this bond pay in a year?</t>
        </is>
      </c>
      <c r="E46" s="3" t="inlineStr">
        <is>
          <t>MK-NW-M-024 · MK-NW-M-043</t>
        </is>
      </c>
      <c r="F46" s="3" t="inlineStr">
        <is>
          <t>Named by 2 figure(s)</t>
        </is>
      </c>
    </row>
    <row r="47">
      <c r="A47" s="3" t="inlineStr">
        <is>
          <t>MK-NW-E-017</t>
        </is>
      </c>
      <c r="B47" s="3" t="inlineStr">
        <is>
          <t>BOND_YEARS_LEFT</t>
        </is>
      </c>
      <c r="C47" s="3" t="inlineStr">
        <is>
          <t>src/domain/bonds/index.ts:24</t>
        </is>
      </c>
      <c r="D47" s="3" t="inlineStr">
        <is>
          <t>How long until this bond pays back?</t>
        </is>
      </c>
      <c r="E47" s="3" t="inlineStr">
        <is>
          <t>MK-NW-M-025</t>
        </is>
      </c>
      <c r="F47" s="3" t="inlineStr">
        <is>
          <t>Named by 1 figure(s)</t>
        </is>
      </c>
    </row>
    <row r="48">
      <c r="A48" s="3" t="inlineStr">
        <is>
          <t>MK-NW-E-018</t>
        </is>
      </c>
      <c r="B48" s="3" t="inlineStr">
        <is>
          <t>BOND_YIELD_TO_MATURITY</t>
        </is>
      </c>
      <c r="C48" s="3" t="inlineStr">
        <is>
          <t>src/domain/bonds/index.ts:33</t>
        </is>
      </c>
      <c r="D48" s="3" t="inlineStr">
        <is>
          <t>What will this bond earn me a year if I hold it to the end?</t>
        </is>
      </c>
      <c r="E48" s="3" t="inlineStr">
        <is>
          <t>MK-NW-M-026</t>
        </is>
      </c>
      <c r="F48" s="3" t="inlineStr">
        <is>
          <t>Named by 1 figure(s)</t>
        </is>
      </c>
    </row>
    <row r="49">
      <c r="A49" s="3" t="inlineStr">
        <is>
          <t>MK-NW-E-019</t>
        </is>
      </c>
      <c r="B49" s="3" t="inlineStr">
        <is>
          <t>BOND_CURRENT_YIELD</t>
        </is>
      </c>
      <c r="C49" s="3" t="inlineStr">
        <is>
          <t>src/domain/bonds/index.ts:29</t>
        </is>
      </c>
      <c r="D49" s="3" t="inlineStr">
        <is>
          <t>What is this bond paying me, measured against what it is worth today?</t>
        </is>
      </c>
      <c r="E49" s="3" t="inlineStr">
        <is>
          <t>MK-NW-M-027 · MK-NW-M-044</t>
        </is>
      </c>
      <c r="F49" s="3" t="inlineStr">
        <is>
          <t>Named by 2 figure(s)</t>
        </is>
      </c>
    </row>
    <row r="50">
      <c r="A50" s="3" t="inlineStr">
        <is>
          <t>MK-NW-E-020</t>
        </is>
      </c>
      <c r="B50" s="3" t="inlineStr">
        <is>
          <t>BOND_RATE_SENSITIVITY</t>
        </is>
      </c>
      <c r="C50" s="3" t="inlineStr">
        <is>
          <t>NOT DETERMINED — no source line on record</t>
        </is>
      </c>
      <c r="D50" s="3" t="inlineStr">
        <is>
          <t>—</t>
        </is>
      </c>
      <c r="E50" s="3" t="inlineStr">
        <is>
          <t>MK-NW-M-028</t>
        </is>
      </c>
      <c r="F50" s="3" t="inlineStr">
        <is>
          <t>Named by 1 figure(s)</t>
        </is>
      </c>
    </row>
    <row r="51">
      <c r="A51" s="3" t="inlineStr">
        <is>
          <t>MK-NW-E-021</t>
        </is>
      </c>
      <c r="B51" s="3" t="inlineStr">
        <is>
          <t>the price feed, with its freshness</t>
        </is>
      </c>
      <c r="C51" s="3" t="inlineStr">
        <is>
          <t>NOT DETERMINED — no source line on record</t>
        </is>
      </c>
      <c r="D51" s="3" t="inlineStr">
        <is>
          <t>—</t>
        </is>
      </c>
      <c r="E51" s="3" t="inlineStr">
        <is>
          <t>MK-NW-M-029</t>
        </is>
      </c>
      <c r="F51" s="3" t="inlineStr">
        <is>
          <t>Named by 1 figure(s)</t>
        </is>
      </c>
    </row>
    <row r="52">
      <c r="A52" s="3" t="inlineStr">
        <is>
          <t>MK-NW-E-022</t>
        </is>
      </c>
      <c r="B52" s="3" t="inlineStr">
        <is>
          <t>HOLDING_MARKET_VALUE</t>
        </is>
      </c>
      <c r="C52" s="3" t="inlineStr">
        <is>
          <t>src/domain/performance/index.ts:47</t>
        </is>
      </c>
      <c r="D52" s="3" t="inlineStr">
        <is>
          <t>What is this holding worth right now?</t>
        </is>
      </c>
      <c r="E52" s="3" t="inlineStr">
        <is>
          <t>MK-NW-M-030 · MK-NW-M-040</t>
        </is>
      </c>
      <c r="F52" s="3" t="inlineStr">
        <is>
          <t>Named by 2 figure(s)</t>
        </is>
      </c>
    </row>
    <row r="53">
      <c r="A53" s="3" t="inlineStr">
        <is>
          <t>MK-NW-E-023</t>
        </is>
      </c>
      <c r="B53" s="3" t="inlineStr">
        <is>
          <t>HOLDING_COST_BASIS</t>
        </is>
      </c>
      <c r="C53" s="3" t="inlineStr">
        <is>
          <t>src/domain/performance/index.ts:40</t>
        </is>
      </c>
      <c r="D53" s="3" t="inlineStr">
        <is>
          <t>What did I pay for this in total?</t>
        </is>
      </c>
      <c r="E53" s="3" t="inlineStr">
        <is>
          <t>MK-NW-M-032 · MK-NW-M-033</t>
        </is>
      </c>
      <c r="F53" s="3" t="inlineStr">
        <is>
          <t>Named by 2 figure(s)</t>
        </is>
      </c>
    </row>
    <row r="54">
      <c r="A54" s="3" t="inlineStr">
        <is>
          <t>MK-NW-E-024</t>
        </is>
      </c>
      <c r="B54" s="3" t="inlineStr">
        <is>
          <t>the ledger sum of dividends over twelve months</t>
        </is>
      </c>
      <c r="C54" s="3" t="inlineStr">
        <is>
          <t>NOT DETERMINED — no source line on record</t>
        </is>
      </c>
      <c r="D54" s="3" t="inlineStr">
        <is>
          <t>—</t>
        </is>
      </c>
      <c r="E54" s="3" t="inlineStr">
        <is>
          <t>MK-NW-M-034</t>
        </is>
      </c>
      <c r="F54" s="3" t="inlineStr">
        <is>
          <t>Named by 1 figure(s)</t>
        </is>
      </c>
    </row>
    <row r="55">
      <c r="A55" s="3" t="inlineStr">
        <is>
          <t>MK-NW-E-025</t>
        </is>
      </c>
      <c r="B55" s="3" t="inlineStr">
        <is>
          <t>REALISED_GAIN</t>
        </is>
      </c>
      <c r="C55" s="3" t="inlineStr">
        <is>
          <t>src/domain/performance/realized.ts:14</t>
        </is>
      </c>
      <c r="D55" s="3" t="inlineStr">
        <is>
          <t>How much profit have I actually taken?</t>
        </is>
      </c>
      <c r="E55" s="3" t="inlineStr">
        <is>
          <t>MK-NW-M-035</t>
        </is>
      </c>
      <c r="F55" s="3" t="inlineStr">
        <is>
          <t>Named by 1 figure(s)</t>
        </is>
      </c>
    </row>
    <row r="56">
      <c r="A56" s="3" t="inlineStr">
        <is>
          <t>MK-NW-E-026</t>
        </is>
      </c>
      <c r="B56" s="3" t="inlineStr">
        <is>
          <t>HOLDING_CAP_GAINS</t>
        </is>
      </c>
      <c r="C56" s="3" t="inlineStr">
        <is>
          <t>src/domain/performance/index.ts:63</t>
        </is>
      </c>
      <c r="D56" s="3" t="inlineStr">
        <is>
          <t>If I sold this today, how much of the gain is long-term and how much short-term?</t>
        </is>
      </c>
      <c r="E56" s="3" t="inlineStr">
        <is>
          <t>MK-NW-M-036 · MK-NW-M-037</t>
        </is>
      </c>
      <c r="F56" s="3" t="inlineStr">
        <is>
          <t>Named by 2 figure(s)</t>
        </is>
      </c>
    </row>
    <row r="57">
      <c r="A57" s="3" t="inlineStr">
        <is>
          <t>MK-NW-E-027</t>
        </is>
      </c>
      <c r="B57" s="3" t="inlineStr">
        <is>
          <t>the account balance being itemised</t>
        </is>
      </c>
      <c r="C57" s="3" t="inlineStr">
        <is>
          <t>NOT DETERMINED — no source line on record</t>
        </is>
      </c>
      <c r="D57" s="3" t="inlineStr">
        <is>
          <t>—</t>
        </is>
      </c>
      <c r="E57" s="3" t="inlineStr">
        <is>
          <t>MK-NW-M-038</t>
        </is>
      </c>
      <c r="F57" s="3" t="inlineStr">
        <is>
          <t>Named by 1 figure(s)</t>
        </is>
      </c>
    </row>
    <row r="58">
      <c r="A58" s="3" t="inlineStr">
        <is>
          <t>MK-NW-E-028</t>
        </is>
      </c>
      <c r="B58" s="3" t="inlineStr">
        <is>
          <t>BOND_FACTS · BOND_COUPON</t>
        </is>
      </c>
      <c r="C58" s="3" t="inlineStr">
        <is>
          <t>NOT DETERMINED — no source line on record</t>
        </is>
      </c>
      <c r="D58" s="3" t="inlineStr">
        <is>
          <t>—</t>
        </is>
      </c>
      <c r="E58" s="3" t="inlineStr">
        <is>
          <t>MK-NW-M-045</t>
        </is>
      </c>
      <c r="F58" s="3" t="inlineStr">
        <is>
          <t>Named by 1 figure(s)</t>
        </is>
      </c>
    </row>
    <row r="59">
      <c r="A59" s="3" t="inlineStr">
        <is>
          <t>MK-PF-E-001</t>
        </is>
      </c>
      <c r="B59" s="3" t="inlineStr">
        <is>
          <t>NW_CHANGE_WALK</t>
        </is>
      </c>
      <c r="C59" s="3" t="inlineStr">
        <is>
          <t>src/domain/history.ts:144</t>
        </is>
      </c>
      <c r="D59" s="3" t="inlineStr">
        <is>
          <t>My net worth changed since last time — what actually caused it?</t>
        </is>
      </c>
      <c r="E59" s="3" t="inlineStr">
        <is>
          <t>MK-PF-M-001 · MK-PF-M-002 · MK-PF-M-003 · MK-PF-M-004</t>
        </is>
      </c>
      <c r="F59" s="3" t="inlineStr">
        <is>
          <t>Named by 4 figure(s)</t>
        </is>
      </c>
    </row>
    <row r="60">
      <c r="A60" s="3" t="inlineStr">
        <is>
          <t>MK-PF-E-002</t>
        </is>
      </c>
      <c r="B60" s="3" t="inlineStr">
        <is>
          <t>PERFORMANCE_TABLE</t>
        </is>
      </c>
      <c r="C60" s="3" t="inlineStr">
        <is>
          <t>src/domain/performance/index.ts:191</t>
        </is>
      </c>
      <c r="D60" s="3" t="inlineStr">
        <is>
          <t>What is the full picture for every holding?</t>
        </is>
      </c>
      <c r="E60" s="3" t="inlineStr">
        <is>
          <t>MK-PF-M-005 · MK-PF-M-006 · MK-PF-M-007</t>
        </is>
      </c>
      <c r="F60" s="3" t="inlineStr">
        <is>
          <t>Named by 3 figure(s)</t>
        </is>
      </c>
    </row>
    <row r="61">
      <c r="A61" s="3" t="inlineStr">
        <is>
          <t>MK-PF-E-003</t>
        </is>
      </c>
      <c r="B61" s="3" t="inlineStr">
        <is>
          <t>BENCHMARK_RETURN_BLENDED</t>
        </is>
      </c>
      <c r="C61" s="3" t="inlineStr">
        <is>
          <t>src/domain/performance/index.ts:293</t>
        </is>
      </c>
      <c r="D61" s="3" t="inlineStr">
        <is>
          <t>What would the matching benchmarks have done over the same period?</t>
        </is>
      </c>
      <c r="E61" s="3" t="inlineStr">
        <is>
          <t>MK-PF-M-008</t>
        </is>
      </c>
      <c r="F61" s="3" t="inlineStr">
        <is>
          <t>Named by 1 figure(s)</t>
        </is>
      </c>
    </row>
    <row r="62">
      <c r="A62" s="3" t="inlineStr">
        <is>
          <t>MK-PF-E-004</t>
        </is>
      </c>
      <c r="B62" s="3" t="inlineStr">
        <is>
          <t>MODIFIED_DIETZ (Calculation Module code/engines/window-return.ts)</t>
        </is>
      </c>
      <c r="C62" s="3" t="inlineStr">
        <is>
          <t>NOT DETERMINED — no source line on record</t>
        </is>
      </c>
      <c r="D62" s="3" t="inlineStr">
        <is>
          <t>—</t>
        </is>
      </c>
      <c r="E62" s="3" t="inlineStr">
        <is>
          <t>MK-PF-M-009</t>
        </is>
      </c>
      <c r="F62" s="3" t="inlineStr">
        <is>
          <t>Named by 1 figure(s)</t>
        </is>
      </c>
    </row>
    <row r="63">
      <c r="A63" s="3" t="inlineStr">
        <is>
          <t>MK-PF-E-005</t>
        </is>
      </c>
      <c r="B63" s="3" t="inlineStr">
        <is>
          <t>LOOK_BACK</t>
        </is>
      </c>
      <c r="C63" s="3" t="inlineStr">
        <is>
          <t>src/domain/performance/lookBack.ts:32</t>
        </is>
      </c>
      <c r="D63" s="3" t="inlineStr">
        <is>
          <t>What if I had moved this money?</t>
        </is>
      </c>
      <c r="E63" s="3" t="inlineStr">
        <is>
          <t>MK-PF-M-010 · MK-PF-M-011 · MK-PF-M-012</t>
        </is>
      </c>
      <c r="F63" s="3" t="inlineStr">
        <is>
          <t>Named by 3 figure(s)</t>
        </is>
      </c>
    </row>
    <row r="64">
      <c r="A64" s="3" t="inlineStr">
        <is>
          <t>MK-PL-E-001</t>
        </is>
      </c>
      <c r="B64" s="3" t="inlineStr">
        <is>
          <t>WHAT_THE_PLAN_STILL_NEEDS</t>
        </is>
      </c>
      <c r="C64" s="3" t="inlineStr">
        <is>
          <t>src/domain/planning/hub.ts:44</t>
        </is>
      </c>
      <c r="D64" s="3" t="inlineStr">
        <is>
          <t>Is there enough to show this person their own odds?</t>
        </is>
      </c>
      <c r="E64" s="3" t="inlineStr">
        <is>
          <t>MK-PL-M-001 · MK-PL-M-002</t>
        </is>
      </c>
      <c r="F64" s="3" t="inlineStr">
        <is>
          <t>Named by 2 figure(s)</t>
        </is>
      </c>
    </row>
    <row r="65">
      <c r="A65" s="3" t="inlineStr">
        <is>
          <t>MK-PL-E-002</t>
        </is>
      </c>
      <c r="B65" s="3" t="inlineStr">
        <is>
          <t>NOT IN OLD MASTER — retirementPaycheckYear, src/domain/paycheck</t>
        </is>
      </c>
      <c r="C65" s="3" t="inlineStr">
        <is>
          <t>NOT DETERMINED — no source line on record</t>
        </is>
      </c>
      <c r="D65" s="3" t="inlineStr">
        <is>
          <t>—</t>
        </is>
      </c>
      <c r="E65" s="3" t="inlineStr">
        <is>
          <t>MK-PL-M-003 · MK-PL-M-004 · MK-PL-M-005</t>
        </is>
      </c>
      <c r="F65" s="3" t="inlineStr">
        <is>
          <t>Named by 3 figure(s)</t>
        </is>
      </c>
    </row>
    <row r="66">
      <c r="A66" s="3" t="inlineStr">
        <is>
          <t>MK-PL-E-003</t>
        </is>
      </c>
      <c r="B66" s="3" t="inlineStr">
        <is>
          <t>NOT IN OLD MASTER — saved scenarios, src/domain/scenarios</t>
        </is>
      </c>
      <c r="C66" s="3" t="inlineStr">
        <is>
          <t>NOT DETERMINED — no source line on record</t>
        </is>
      </c>
      <c r="D66" s="3" t="inlineStr">
        <is>
          <t>—</t>
        </is>
      </c>
      <c r="E66" s="3" t="inlineStr">
        <is>
          <t>MK-PL-M-007</t>
        </is>
      </c>
      <c r="F66" s="3" t="inlineStr">
        <is>
          <t>Named by 1 figure(s)</t>
        </is>
      </c>
    </row>
    <row r="67">
      <c r="A67" s="3" t="inlineStr">
        <is>
          <t>MK-PL-E-004</t>
        </is>
      </c>
      <c r="B67" s="3" t="inlineStr">
        <is>
          <t>GUARANTEED_STREAMS (engines: B1 rebuild)</t>
        </is>
      </c>
      <c r="C67" s="3" t="inlineStr">
        <is>
          <t>NOT DETERMINED — no source line on record</t>
        </is>
      </c>
      <c r="D67" s="3" t="inlineStr">
        <is>
          <t>—</t>
        </is>
      </c>
      <c r="E67" s="3" t="inlineStr">
        <is>
          <t>MK-PL-M-010</t>
        </is>
      </c>
      <c r="F67" s="3" t="inlineStr">
        <is>
          <t>Named by 1 figure(s)</t>
        </is>
      </c>
    </row>
    <row r="68">
      <c r="A68" s="3" t="inlineStr">
        <is>
          <t>MK-PL-E-005</t>
        </is>
      </c>
      <c r="B68" s="3" t="inlineStr">
        <is>
          <t>RMD_START_AGE (Calculation Module code/engines/rmd.ts)</t>
        </is>
      </c>
      <c r="C68" s="3" t="inlineStr">
        <is>
          <t>NOT DETERMINED — no source line on record</t>
        </is>
      </c>
      <c r="D68" s="3" t="inlineStr">
        <is>
          <t>—</t>
        </is>
      </c>
      <c r="E68" s="3" t="inlineStr">
        <is>
          <t>MK-PL-M-012</t>
        </is>
      </c>
      <c r="F68" s="3" t="inlineStr">
        <is>
          <t>Named by 1 figure(s)</t>
        </is>
      </c>
    </row>
    <row r="69">
      <c r="A69" s="3" t="inlineStr">
        <is>
          <t>MK-PL-E-006</t>
        </is>
      </c>
      <c r="B69" s="3" t="inlineStr">
        <is>
          <t>REQUIRED_WITHDRAWAL</t>
        </is>
      </c>
      <c r="C69" s="3" t="inlineStr">
        <is>
          <t>NOT DETERMINED — no source line on record</t>
        </is>
      </c>
      <c r="D69" s="3" t="inlineStr">
        <is>
          <t>—</t>
        </is>
      </c>
      <c r="E69" s="3" t="inlineStr">
        <is>
          <t>MK-PL-M-013 · MK-PL-M-015</t>
        </is>
      </c>
      <c r="F69" s="3" t="inlineStr">
        <is>
          <t>Named by 2 figure(s)</t>
        </is>
      </c>
    </row>
    <row r="70">
      <c r="A70" s="3" t="inlineStr">
        <is>
          <t>MK-PL-E-007</t>
        </is>
      </c>
      <c r="B70" s="3" t="inlineStr">
        <is>
          <t>RETIREMENT_INCOME_NOW</t>
        </is>
      </c>
      <c r="C70" s="3" t="inlineStr">
        <is>
          <t>src/domain/income/onboarding.ts:191</t>
        </is>
      </c>
      <c r="D70" s="3" t="inlineStr">
        <is>
          <t>How much retirement income is arriving TODAY?</t>
        </is>
      </c>
      <c r="E70" s="3" t="inlineStr">
        <is>
          <t>MK-CF-M-011 · MK-CF-M-024 · MK-PL-M-018 · MK-PL-M-032</t>
        </is>
      </c>
      <c r="F70" s="3" t="inlineStr">
        <is>
          <t>Named by 4 figure(s)</t>
        </is>
      </c>
    </row>
    <row r="71">
      <c r="A71" s="3" t="inlineStr">
        <is>
          <t>MK-PL-E-008</t>
        </is>
      </c>
      <c r="B71" s="3" t="inlineStr">
        <is>
          <t>SS_CLAIM_FACTOR · SS_BENEFIT_AT_AGE</t>
        </is>
      </c>
      <c r="C71" s="3" t="inlineStr">
        <is>
          <t>NOT DETERMINED — no source line on record</t>
        </is>
      </c>
      <c r="D71" s="3" t="inlineStr">
        <is>
          <t>—</t>
        </is>
      </c>
      <c r="E71" s="3" t="inlineStr">
        <is>
          <t>MK-PL-M-019</t>
        </is>
      </c>
      <c r="F71" s="3" t="inlineStr">
        <is>
          <t>Named by 1 figure(s)</t>
        </is>
      </c>
    </row>
    <row r="72">
      <c r="A72" s="3" t="inlineStr">
        <is>
          <t>MK-PL-E-009</t>
        </is>
      </c>
      <c r="B72" s="3" t="inlineStr">
        <is>
          <t>SS_LIFETIME_TOTAL</t>
        </is>
      </c>
      <c r="C72" s="3" t="inlineStr">
        <is>
          <t>NOT DETERMINED — no source line on record</t>
        </is>
      </c>
      <c r="D72" s="3" t="inlineStr">
        <is>
          <t>—</t>
        </is>
      </c>
      <c r="E72" s="3" t="inlineStr">
        <is>
          <t>MK-PL-M-020</t>
        </is>
      </c>
      <c r="F72" s="3" t="inlineStr">
        <is>
          <t>Named by 1 figure(s)</t>
        </is>
      </c>
    </row>
    <row r="73">
      <c r="A73" s="3" t="inlineStr">
        <is>
          <t>MK-PL-E-010</t>
        </is>
      </c>
      <c r="B73" s="3" t="inlineStr">
        <is>
          <t>the worked example used until a real statement goes in</t>
        </is>
      </c>
      <c r="C73" s="3" t="inlineStr">
        <is>
          <t>NOT DETERMINED — no source line on record</t>
        </is>
      </c>
      <c r="D73" s="3" t="inlineStr">
        <is>
          <t>—</t>
        </is>
      </c>
      <c r="E73" s="3" t="inlineStr">
        <is>
          <t>MK-PL-M-021</t>
        </is>
      </c>
      <c r="F73" s="3" t="inlineStr">
        <is>
          <t>Named by 1 figure(s)</t>
        </is>
      </c>
    </row>
    <row r="74">
      <c r="A74" s="3" t="inlineStr">
        <is>
          <t>MK-PL-E-011</t>
        </is>
      </c>
      <c r="B74" s="3" t="inlineStr">
        <is>
          <t>the amount the person chose</t>
        </is>
      </c>
      <c r="C74" s="3" t="inlineStr">
        <is>
          <t>On the screen itself — no engine file</t>
        </is>
      </c>
      <c r="D74" s="3" t="inlineStr">
        <is>
          <t>—</t>
        </is>
      </c>
      <c r="E74" s="3" t="inlineStr">
        <is>
          <t>MK-PL-M-022 · MK-PL-M-025 · MK-PL-M-030</t>
        </is>
      </c>
      <c r="F74" s="3" t="inlineStr">
        <is>
          <t>Named by 3 figure(s)</t>
        </is>
      </c>
    </row>
    <row r="75">
      <c r="A75" s="3" t="inlineStr">
        <is>
          <t>MK-PL-E-012</t>
        </is>
      </c>
      <c r="B75" s="3" t="inlineStr">
        <is>
          <t>TAX_ON_CONVERSION</t>
        </is>
      </c>
      <c r="C75" s="3" t="inlineStr">
        <is>
          <t>NOT DETERMINED — no source line on record</t>
        </is>
      </c>
      <c r="D75" s="3" t="inlineStr">
        <is>
          <t>—</t>
        </is>
      </c>
      <c r="E75" s="3" t="inlineStr">
        <is>
          <t>MK-PL-M-023</t>
        </is>
      </c>
      <c r="F75" s="3" t="inlineStr">
        <is>
          <t>Named by 1 figure(s)</t>
        </is>
      </c>
    </row>
    <row r="76">
      <c r="A76" s="3" t="inlineStr">
        <is>
          <t>MK-PL-E-013</t>
        </is>
      </c>
      <c r="B76" s="3" t="inlineStr">
        <is>
          <t>PRE_TAX_BALANCE</t>
        </is>
      </c>
      <c r="C76" s="3" t="inlineStr">
        <is>
          <t>NOT DETERMINED — no source line on record</t>
        </is>
      </c>
      <c r="D76" s="3" t="inlineStr">
        <is>
          <t>—</t>
        </is>
      </c>
      <c r="E76" s="3" t="inlineStr">
        <is>
          <t>MK-PL-M-024</t>
        </is>
      </c>
      <c r="F76" s="3" t="inlineStr">
        <is>
          <t>Named by 1 figure(s)</t>
        </is>
      </c>
    </row>
    <row r="77">
      <c r="A77" s="3" t="inlineStr">
        <is>
          <t>MK-PL-E-014</t>
        </is>
      </c>
      <c r="B77" s="3" t="inlineStr">
        <is>
          <t>the amounts the person chose</t>
        </is>
      </c>
      <c r="C77" s="3" t="inlineStr">
        <is>
          <t>On the screen itself — no engine file</t>
        </is>
      </c>
      <c r="D77" s="3" t="inlineStr">
        <is>
          <t>—</t>
        </is>
      </c>
      <c r="E77" s="3" t="inlineStr">
        <is>
          <t>MK-PL-M-028</t>
        </is>
      </c>
      <c r="F77" s="3" t="inlineStr">
        <is>
          <t>Named by 1 figure(s)</t>
        </is>
      </c>
    </row>
    <row r="78">
      <c r="A78" s="3" t="inlineStr">
        <is>
          <t>MK-PL-E-015</t>
        </is>
      </c>
      <c r="B78" s="3" t="inlineStr">
        <is>
          <t>DEBT_PAYOFF</t>
        </is>
      </c>
      <c r="C78" s="3" t="inlineStr">
        <is>
          <t>NOT DETERMINED — no source line on record</t>
        </is>
      </c>
      <c r="D78" s="3" t="inlineStr">
        <is>
          <t>—</t>
        </is>
      </c>
      <c r="E78" s="3" t="inlineStr">
        <is>
          <t>MK-PL-M-031</t>
        </is>
      </c>
      <c r="F78" s="3" t="inlineStr">
        <is>
          <t>Named by 1 figure(s)</t>
        </is>
      </c>
    </row>
    <row r="79">
      <c r="A79" s="3" t="inlineStr">
        <is>
          <t>MK-PL-E-016</t>
        </is>
      </c>
      <c r="B79" s="3" t="inlineStr">
        <is>
          <t>the age the person chose</t>
        </is>
      </c>
      <c r="C79" s="3" t="inlineStr">
        <is>
          <t>On the screen itself — no engine file</t>
        </is>
      </c>
      <c r="D79" s="3" t="inlineStr">
        <is>
          <t>—</t>
        </is>
      </c>
      <c r="E79" s="3" t="inlineStr">
        <is>
          <t>MK-PL-M-035</t>
        </is>
      </c>
      <c r="F79" s="3" t="inlineStr">
        <is>
          <t>Named by 1 figure(s)</t>
        </is>
      </c>
    </row>
    <row r="80">
      <c r="A80" s="3" t="inlineStr">
        <is>
          <t>MK-PL-E-017</t>
        </is>
      </c>
      <c r="B80" s="3" t="inlineStr">
        <is>
          <t>EDUCATION_COST</t>
        </is>
      </c>
      <c r="C80" s="3" t="inlineStr">
        <is>
          <t>NOT DETERMINED — no source line on record</t>
        </is>
      </c>
      <c r="D80" s="3" t="inlineStr">
        <is>
          <t>—</t>
        </is>
      </c>
      <c r="E80" s="3" t="inlineStr">
        <is>
          <t>MK-PL-M-036 · MK-PL-M-037</t>
        </is>
      </c>
      <c r="F80" s="3" t="inlineStr">
        <is>
          <t>Named by 2 figure(s)</t>
        </is>
      </c>
    </row>
    <row r="81">
      <c r="A81" s="3" t="inlineStr">
        <is>
          <t>MK-XS-E-001</t>
        </is>
      </c>
      <c r="B81" s="3" t="inlineStr">
        <is>
          <t>NET_WORTH</t>
        </is>
      </c>
      <c r="C81" s="3" t="inlineStr">
        <is>
          <t>src/domain/networth/index.ts:12</t>
        </is>
      </c>
      <c r="D81" s="3" t="inlineStr">
        <is>
          <t>What is this household worth?</t>
        </is>
      </c>
      <c r="E81" s="3" t="inlineStr">
        <is>
          <t>MK-NW-M-016 · MK-XS-M-001</t>
        </is>
      </c>
      <c r="F81" s="3" t="inlineStr">
        <is>
          <t>Named by 2 figure(s)</t>
        </is>
      </c>
    </row>
    <row r="82">
      <c r="A82" s="3" t="inlineStr">
        <is>
          <t>MK-XS-E-002</t>
        </is>
      </c>
      <c r="B82" s="3" t="inlineStr">
        <is>
          <t>NEST_EGG</t>
        </is>
      </c>
      <c r="C82" s="3" t="inlineStr">
        <is>
          <t>src/domain/assets/index.ts:548</t>
        </is>
      </c>
      <c r="D82" s="3" t="inlineStr">
        <is>
          <t>What is my retirement pot worth?</t>
        </is>
      </c>
      <c r="E82" s="3" t="inlineStr">
        <is>
          <t>—</t>
        </is>
      </c>
      <c r="F82" s="3" t="inlineStr">
        <is>
          <t>Only as another engine’s dependency — no figure names it directly</t>
        </is>
      </c>
    </row>
    <row r="83">
      <c r="A83" s="3" t="inlineStr">
        <is>
          <t>MK-XS-E-003</t>
        </is>
      </c>
      <c r="B83" s="3" t="inlineStr">
        <is>
          <t>ODDS_DISPLAY</t>
        </is>
      </c>
      <c r="C83" s="3" t="inlineStr">
        <is>
          <t>src/domain/retirement/willItLast.ts:55</t>
        </is>
      </c>
      <c r="D83" s="3" t="inlineStr">
        <is>
          <t>The retirement odds a person actually sees. Answers: 0, 5, 10 … 100 — the exact simulation</t>
        </is>
      </c>
      <c r="E83" s="3" t="inlineStr">
        <is>
          <t>—</t>
        </is>
      </c>
      <c r="F83" s="3" t="inlineStr">
        <is>
          <t>Only as another engine’s dependency — no figure names it directly</t>
        </is>
      </c>
    </row>
    <row r="84">
      <c r="A84" s="3" t="inlineStr">
        <is>
          <t>MK-XS-E-004</t>
        </is>
      </c>
      <c r="B84" s="3" t="inlineStr">
        <is>
          <t>RETIREMENT_SPENDING</t>
        </is>
      </c>
      <c r="C84" s="3" t="inlineStr">
        <is>
          <t>src/domain/retirement/index.ts:49</t>
        </is>
      </c>
      <c r="D84" s="3" t="inlineStr">
        <is>
          <t>What will be spent each month in retirement?</t>
        </is>
      </c>
      <c r="E84" s="3" t="inlineStr">
        <is>
          <t>MK-PL-M-009</t>
        </is>
      </c>
      <c r="F84" s="3" t="inlineStr">
        <is>
          <t>Named by 1 figure(s)</t>
        </is>
      </c>
    </row>
    <row r="85">
      <c r="A85" s="3" t="inlineStr">
        <is>
          <t>MK-XS-E-005</t>
        </is>
      </c>
      <c r="B85" s="3" t="inlineStr">
        <is>
          <t>WILL_IT_LAST</t>
        </is>
      </c>
      <c r="C85" s="3" t="inlineStr">
        <is>
          <t>src/domain/retirement/index.ts:156</t>
        </is>
      </c>
      <c r="D85" s="3" t="inlineStr">
        <is>
          <t>Will my money last?</t>
        </is>
      </c>
      <c r="E85" s="3" t="inlineStr">
        <is>
          <t>—</t>
        </is>
      </c>
      <c r="F85" s="3" t="inlineStr">
        <is>
          <t>Only as another engine’s dependency — no figure names it directly</t>
        </is>
      </c>
    </row>
    <row r="86">
      <c r="A86" s="3" t="inlineStr">
        <is>
          <t>MK-XS-E-006</t>
        </is>
      </c>
      <c r="B86" s="3" t="inlineStr">
        <is>
          <t>WILL_IT_LAST_INPUTS</t>
        </is>
      </c>
      <c r="C86" s="3" t="inlineStr">
        <is>
          <t>src/domain/retirement/willItLast.ts:62</t>
        </is>
      </c>
      <c r="D86" s="3" t="inlineStr">
        <is>
          <t>What goes into working out the odds?</t>
        </is>
      </c>
      <c r="E86" s="3" t="inlineStr">
        <is>
          <t>MK-PL-M-008 · MK-PL-M-011 · MK-PL-M-029</t>
        </is>
      </c>
      <c r="F86" s="3" t="inlineStr">
        <is>
          <t>Named by 3 figure(s)</t>
        </is>
      </c>
    </row>
    <row r="87">
      <c r="A87" s="3" t="inlineStr">
        <is>
          <t>MK-XS-E-007</t>
        </is>
      </c>
      <c r="B87" s="3" t="inlineStr">
        <is>
          <t>WILL_IT_LAST_RESULT</t>
        </is>
      </c>
      <c r="C87" s="3" t="inlineStr">
        <is>
          <t>src/domain/retirement/willItLast.ts:149</t>
        </is>
      </c>
      <c r="D87" s="3" t="inlineStr">
        <is>
          <t>What are the odds, and can we honestly show them?</t>
        </is>
      </c>
      <c r="E87" s="3" t="inlineStr">
        <is>
          <t>MK-PL-M-034 · MK-XS-M-002</t>
        </is>
      </c>
      <c r="F87" s="3" t="inlineStr">
        <is>
          <t>Named by 2 figure(s)</t>
        </is>
      </c>
    </row>
    <row r="88">
      <c r="A88" s="3" t="inlineStr">
        <is>
          <t>MK-XS-E-008</t>
        </is>
      </c>
      <c r="B88" s="3" t="inlineStr">
        <is>
          <t>ASSET_CLASS_OF_ACCOUNT</t>
        </is>
      </c>
      <c r="C88" s="3" t="inlineStr">
        <is>
          <t>src/domain/assets/index.ts:221</t>
        </is>
      </c>
      <c r="D88" s="3" t="inlineStr">
        <is>
          <t>What kind of thing is this account — cash, a bond, shares, or something else?</t>
        </is>
      </c>
      <c r="E88" s="3" t="inlineStr">
        <is>
          <t>—</t>
        </is>
      </c>
      <c r="F88" s="3" t="inlineStr">
        <is>
          <t>Only as another engine’s dependency — no figure names it directly</t>
        </is>
      </c>
    </row>
    <row r="89">
      <c r="A89" s="3" t="inlineStr">
        <is>
          <t>MK-XS-E-009</t>
        </is>
      </c>
      <c r="B89" s="3" t="inlineStr">
        <is>
          <t>TOTAL_INVESTMENTS</t>
        </is>
      </c>
      <c r="C89" s="3" t="inlineStr">
        <is>
          <t>src/domain/assets/index.ts:291</t>
        </is>
      </c>
      <c r="D89" s="3" t="inlineStr">
        <is>
          <t>How much do I have invested?</t>
        </is>
      </c>
      <c r="E89" s="3" t="inlineStr">
        <is>
          <t>MK-XS-M-003</t>
        </is>
      </c>
      <c r="F89" s="3" t="inlineStr">
        <is>
          <t>Named by 1 figure(s)</t>
        </is>
      </c>
    </row>
    <row r="90">
      <c r="A90" s="3" t="inlineStr">
        <is>
          <t>MK-XS-E-010</t>
        </is>
      </c>
      <c r="B90" s="3" t="inlineStr">
        <is>
          <t>VALUE_WEIGHTED_RETURN</t>
        </is>
      </c>
      <c r="C90" s="3" t="inlineStr">
        <is>
          <t>src/domain/performance/index.ts:283</t>
        </is>
      </c>
      <c r="D90" s="3" t="inlineStr">
        <is>
          <t>How did everything I hold do over the chosen period?</t>
        </is>
      </c>
      <c r="E90" s="3" t="inlineStr">
        <is>
          <t>MK-XS-M-004</t>
        </is>
      </c>
      <c r="F90" s="3" t="inlineStr">
        <is>
          <t>Named by 1 figure(s)</t>
        </is>
      </c>
    </row>
    <row r="91">
      <c r="A91" s="3" t="inlineStr">
        <is>
          <t>MK-XS-E-011</t>
        </is>
      </c>
      <c r="B91" s="3" t="inlineStr">
        <is>
          <t>NOT IN OLD MASTER — budgetVsActual, src/domain/budget</t>
        </is>
      </c>
      <c r="C91" s="3" t="inlineStr">
        <is>
          <t>NOT DETERMINED — no source line on record</t>
        </is>
      </c>
      <c r="D91" s="3" t="inlineStr">
        <is>
          <t>—</t>
        </is>
      </c>
      <c r="E91" s="3" t="inlineStr">
        <is>
          <t>MK-CF-M-004 · MK-XS-M-005</t>
        </is>
      </c>
      <c r="F91" s="3" t="inlineStr">
        <is>
          <t>Named by 2 figure(s)</t>
        </is>
      </c>
    </row>
    <row r="92">
      <c r="A92" s="3" t="inlineStr">
        <is>
          <t>MK-XS-E-012</t>
        </is>
      </c>
      <c r="B92" s="3" t="inlineStr">
        <is>
          <t>NOT IN OLD MASTER — incomeMonthlyGrid, src/domain/income</t>
        </is>
      </c>
      <c r="C92" s="3" t="inlineStr">
        <is>
          <t>NOT DETERMINED — no source line on record</t>
        </is>
      </c>
      <c r="D92" s="3" t="inlineStr">
        <is>
          <t>—</t>
        </is>
      </c>
      <c r="E92" s="3" t="inlineStr">
        <is>
          <t>MK-CF-M-018 · MK-XS-M-006</t>
        </is>
      </c>
      <c r="F92" s="3" t="inlineStr">
        <is>
          <t>Named by 2 figure(s)</t>
        </is>
      </c>
    </row>
    <row r="93">
      <c r="A93" s="3" t="inlineStr">
        <is>
          <t>MK-XS-E-013</t>
        </is>
      </c>
      <c r="B93" s="3" t="inlineStr">
        <is>
          <t>FETCH_PRICES</t>
        </is>
      </c>
      <c r="C93" s="3" t="inlineStr">
        <is>
          <t>src/services/marketData.ts:71</t>
        </is>
      </c>
      <c r="D93" s="3" t="inlineStr">
        <is>
          <t>What are these holdings worth?</t>
        </is>
      </c>
      <c r="E93" s="3" t="inlineStr">
        <is>
          <t>—</t>
        </is>
      </c>
      <c r="F93" s="3" t="inlineStr">
        <is>
          <t>Only as another engine’s dependency — no figure names it directly</t>
        </is>
      </c>
    </row>
    <row r="94">
      <c r="A94" s="3" t="inlineStr">
        <is>
          <t>MK-XS-E-014</t>
        </is>
      </c>
      <c r="B94" s="3" t="inlineStr">
        <is>
          <t>SNAPSHOT_READ_ALL</t>
        </is>
      </c>
      <c r="C94" s="3" t="inlineStr">
        <is>
          <t>src/domain/history.ts:107</t>
        </is>
      </c>
      <c r="D94" s="3" t="inlineStr">
        <is>
          <t>What history do we hold?</t>
        </is>
      </c>
      <c r="E94" s="3" t="inlineStr">
        <is>
          <t>—</t>
        </is>
      </c>
      <c r="F94" s="3" t="inlineStr">
        <is>
          <t>Only as another engine’s dependency — no figure names it directly</t>
        </is>
      </c>
    </row>
    <row r="95">
      <c r="A95" s="3" t="inlineStr">
        <is>
          <t>MK-XS-E-015</t>
        </is>
      </c>
      <c r="B95" s="3" t="inlineStr">
        <is>
          <t>ACCOUNT_SPLIT</t>
        </is>
      </c>
      <c r="C95" s="3" t="inlineStr">
        <is>
          <t>src/domain/assets/index.ts:401</t>
        </is>
      </c>
      <c r="D95" s="3" t="inlineStr">
        <is>
          <t>This one brokerage account holds several different things — how much of it is each?</t>
        </is>
      </c>
      <c r="E95" s="3" t="inlineStr">
        <is>
          <t>MK-NW-M-008 · MK-NW-M-020</t>
        </is>
      </c>
      <c r="F95" s="3" t="inlineStr">
        <is>
          <t>Named by 2 figure(s)</t>
        </is>
      </c>
    </row>
    <row r="96">
      <c r="A96" s="3" t="inlineStr">
        <is>
          <t>MK-XS-E-016</t>
        </is>
      </c>
      <c r="B96" s="3" t="inlineStr">
        <is>
          <t>CLASS_FROM_NAME_TEXT</t>
        </is>
      </c>
      <c r="C96" s="3" t="inlineStr">
        <is>
          <t>src/domain/assets/index.ts:193</t>
        </is>
      </c>
      <c r="D96" s="3" t="inlineStr">
        <is>
          <t>Reading the NAME alone, is this cash, a money-market fund, or a CD / T-bill?</t>
        </is>
      </c>
      <c r="E96" s="3" t="inlineStr">
        <is>
          <t>—</t>
        </is>
      </c>
      <c r="F96" s="3" t="inlineStr">
        <is>
          <t>Only as another engine’s dependency — no figure names it directly</t>
        </is>
      </c>
    </row>
    <row r="97">
      <c r="A97" s="3" t="inlineStr">
        <is>
          <t>MK-XS-E-017</t>
        </is>
      </c>
      <c r="B97" s="3" t="inlineStr">
        <is>
          <t>DEBT_MINIMUM_TOTAL</t>
        </is>
      </c>
      <c r="C97" s="3" t="inlineStr">
        <is>
          <t>src/domain/debt/index.ts:55</t>
        </is>
      </c>
      <c r="D97" s="3" t="inlineStr">
        <is>
          <t>What must I pay across all debts to stay current?</t>
        </is>
      </c>
      <c r="E97" s="3" t="inlineStr">
        <is>
          <t>—</t>
        </is>
      </c>
      <c r="F97" s="3" t="inlineStr">
        <is>
          <t>Only as another engine’s dependency — no figure names it directly</t>
        </is>
      </c>
    </row>
    <row r="98">
      <c r="A98" s="3" t="inlineStr">
        <is>
          <t>MK-XS-E-018</t>
        </is>
      </c>
      <c r="B98" s="3" t="inlineStr">
        <is>
          <t>DEBT_PAYMENTS_ACTUAL</t>
        </is>
      </c>
      <c r="C98" s="3" t="inlineStr">
        <is>
          <t>src/domain/debt/index.ts:59</t>
        </is>
      </c>
      <c r="D98" s="3" t="inlineStr">
        <is>
          <t>What is actually going out on debt each month?</t>
        </is>
      </c>
      <c r="E98" s="3" t="inlineStr">
        <is>
          <t>—</t>
        </is>
      </c>
      <c r="F98" s="3" t="inlineStr">
        <is>
          <t>Only as another engine’s dependency — no figure names it directly</t>
        </is>
      </c>
    </row>
    <row r="99">
      <c r="A99" s="3" t="inlineStr">
        <is>
          <t>MK-XS-E-019</t>
        </is>
      </c>
      <c r="B99" s="3" t="inlineStr">
        <is>
          <t>DEBT_SHAPE</t>
        </is>
      </c>
      <c r="C99" s="3" t="inlineStr">
        <is>
          <t>src/domain/debt/index.ts:38</t>
        </is>
      </c>
      <c r="D99" s="3" t="inlineStr">
        <is>
          <t>How is THIS debt repaid?</t>
        </is>
      </c>
      <c r="E99" s="3" t="inlineStr">
        <is>
          <t>—</t>
        </is>
      </c>
      <c r="F99" s="3" t="inlineStr">
        <is>
          <t>Only as another engine’s dependency — no figure names it directly</t>
        </is>
      </c>
    </row>
    <row r="100">
      <c r="A100" s="3" t="inlineStr">
        <is>
          <t>MK-XS-E-020</t>
        </is>
      </c>
      <c r="B100" s="3" t="inlineStr">
        <is>
          <t>READ_A_NUMBER</t>
        </is>
      </c>
      <c r="C100" s="3" t="inlineStr">
        <is>
          <t>src/domain/_shared/num.ts:4</t>
        </is>
      </c>
      <c r="D100" s="3" t="inlineStr">
        <is>
          <t>What number did the person actually type?</t>
        </is>
      </c>
      <c r="E100" s="3" t="inlineStr">
        <is>
          <t>—</t>
        </is>
      </c>
      <c r="F100" s="3" t="inlineStr">
        <is>
          <t>Only as another engine’s dependency — no figure names it directly</t>
        </is>
      </c>
    </row>
    <row r="101">
      <c r="A101" s="3" t="inlineStr">
        <is>
          <t>MK-XS-E-021</t>
        </is>
      </c>
      <c r="B101" s="3" t="inlineStr">
        <is>
          <t>SPENDING_BY_KIND</t>
        </is>
      </c>
      <c r="C101" s="3" t="inlineStr">
        <is>
          <t>src/domain/budget/index.ts:72</t>
        </is>
      </c>
      <c r="D101" s="3" t="inlineStr">
        <is>
          <t>What is spent each month, split by kind?</t>
        </is>
      </c>
      <c r="E101" s="3" t="inlineStr">
        <is>
          <t>MK-CF-M-013 · MK-CF-M-014 · MK-MN-M-021</t>
        </is>
      </c>
      <c r="F101" s="3" t="inlineStr">
        <is>
          <t>Named by 3 figure(s)</t>
        </is>
      </c>
    </row>
    <row r="102">
      <c r="A102" s="3" t="inlineStr">
        <is>
          <t>MK-XS-E-022</t>
        </is>
      </c>
      <c r="B102" s="3" t="inlineStr">
        <is>
          <t>HOLDING_SHARES</t>
        </is>
      </c>
      <c r="C102" s="3" t="inlineStr">
        <is>
          <t>src/domain/performance/index.ts:37</t>
        </is>
      </c>
      <c r="D102" s="3" t="inlineStr">
        <is>
          <t>How many shares of this do I own?</t>
        </is>
      </c>
      <c r="E102" s="3" t="inlineStr">
        <is>
          <t>MK-NW-M-031</t>
        </is>
      </c>
      <c r="F102" s="3" t="inlineStr">
        <is>
          <t>Named by 1 figure(s)</t>
        </is>
      </c>
    </row>
    <row r="103">
      <c r="A103" s="3" t="inlineStr">
        <is>
          <t>MK-XS-E-023</t>
        </is>
      </c>
      <c r="B103" s="3" t="inlineStr">
        <is>
          <t>BENCHMARK_FOR_KIND</t>
        </is>
      </c>
      <c r="C103" s="3" t="inlineStr">
        <is>
          <t>src/domain/performance/index.ts:167</t>
        </is>
      </c>
      <c r="D103" s="3" t="inlineStr">
        <is>
          <t>What should this holding be compared against?</t>
        </is>
      </c>
      <c r="E103" s="3" t="inlineStr">
        <is>
          <t>—</t>
        </is>
      </c>
      <c r="F103" s="3" t="inlineStr">
        <is>
          <t>Only as another engine’s dependency — no figure names it directly</t>
        </is>
      </c>
    </row>
    <row r="104">
      <c r="A104" s="3" t="inlineStr">
        <is>
          <t>MK-XS-E-024</t>
        </is>
      </c>
      <c r="B104" s="3" t="inlineStr">
        <is>
          <t>HOLDING_FIRST_BOUGHT</t>
        </is>
      </c>
      <c r="C104" s="3" t="inlineStr">
        <is>
          <t>src/domain/performance/index.ts:146</t>
        </is>
      </c>
      <c r="D104" s="3" t="inlineStr">
        <is>
          <t>When did I first buy this?</t>
        </is>
      </c>
      <c r="E104" s="3" t="inlineStr">
        <is>
          <t>—</t>
        </is>
      </c>
      <c r="F104" s="3" t="inlineStr">
        <is>
          <t>Only as another engine’s dependency — no figure names it directly</t>
        </is>
      </c>
    </row>
    <row r="105">
      <c r="A105" s="3" t="inlineStr">
        <is>
          <t>MK-XS-E-025</t>
        </is>
      </c>
      <c r="B105" s="3" t="inlineStr">
        <is>
          <t>HOLDING_TOTAL_ROI</t>
        </is>
      </c>
      <c r="C105" s="3" t="inlineStr">
        <is>
          <t>src/domain/performance/index.ts:89</t>
        </is>
      </c>
      <c r="D105" s="3" t="inlineStr">
        <is>
          <t>How much am I up on this in percentage terms, since I bought it?</t>
        </is>
      </c>
      <c r="E105" s="3" t="inlineStr">
        <is>
          <t>—</t>
        </is>
      </c>
      <c r="F105" s="3" t="inlineStr">
        <is>
          <t>Only as another engine’s dependency — no figure names it directly</t>
        </is>
      </c>
    </row>
    <row r="106">
      <c r="A106" s="3" t="inlineStr">
        <is>
          <t>MK-XS-E-026</t>
        </is>
      </c>
      <c r="B106" s="3" t="inlineStr">
        <is>
          <t>HOLDING_UNREALISED_GAIN</t>
        </is>
      </c>
      <c r="C106" s="3" t="inlineStr">
        <is>
          <t>src/domain/performance/index.ts:51</t>
        </is>
      </c>
      <c r="D106" s="3" t="inlineStr">
        <is>
          <t>How much am I up or down on this?</t>
        </is>
      </c>
      <c r="E106" s="3" t="inlineStr">
        <is>
          <t>—</t>
        </is>
      </c>
      <c r="F106" s="3" t="inlineStr">
        <is>
          <t>Only as another engine’s dependency — no figure names it directly</t>
        </is>
      </c>
    </row>
    <row r="107">
      <c r="A107" s="3" t="inlineStr">
        <is>
          <t>MK-XS-E-027</t>
        </is>
      </c>
      <c r="B107" s="3" t="inlineStr">
        <is>
          <t>PERIOD_RETURN</t>
        </is>
      </c>
      <c r="C107" s="3" t="inlineStr">
        <is>
          <t>src/domain/performance/index.ts:122</t>
        </is>
      </c>
      <c r="D107" s="3" t="inlineStr">
        <is>
          <t>What did this holding do over the chosen period?</t>
        </is>
      </c>
      <c r="E107" s="3" t="inlineStr">
        <is>
          <t>—</t>
        </is>
      </c>
      <c r="F107" s="3" t="inlineStr">
        <is>
          <t>Only as another engine’s dependency — no figure names it directly</t>
        </is>
      </c>
    </row>
    <row r="108">
      <c r="A108" s="3" t="inlineStr">
        <is>
          <t>MK-XS-E-028</t>
        </is>
      </c>
      <c r="B108" s="3" t="inlineStr">
        <is>
          <t>PERIOD_START_DATE</t>
        </is>
      </c>
      <c r="C108" s="3" t="inlineStr">
        <is>
          <t>src/domain/performance/index.ts:96</t>
        </is>
      </c>
      <c r="D108" s="3" t="inlineStr">
        <is>
          <t>Which date does the chosen period start from?</t>
        </is>
      </c>
      <c r="E108" s="3" t="inlineStr">
        <is>
          <t>—</t>
        </is>
      </c>
      <c r="F108" s="3" t="inlineStr">
        <is>
          <t>Only as another engine’s dependency — no figure names it directly</t>
        </is>
      </c>
    </row>
    <row r="109">
      <c r="A109" s="3" t="inlineStr">
        <is>
          <t>MK-XS-E-029</t>
        </is>
      </c>
      <c r="B109" s="3" t="inlineStr">
        <is>
          <t>PRICE_LATEST</t>
        </is>
      </c>
      <c r="C109" s="3" t="inlineStr">
        <is>
          <t>src/domain/performance/index.ts:117</t>
        </is>
      </c>
      <c r="D109" s="3" t="inlineStr">
        <is>
          <t>What is the most recent price we hold for this?</t>
        </is>
      </c>
      <c r="E109" s="3" t="inlineStr">
        <is>
          <t>—</t>
        </is>
      </c>
      <c r="F109" s="3" t="inlineStr">
        <is>
          <t>Only as another engine’s dependency — no figure names it directly</t>
        </is>
      </c>
    </row>
    <row r="110">
      <c r="A110" s="3" t="inlineStr">
        <is>
          <t>MK-XS-E-030</t>
        </is>
      </c>
      <c r="B110" s="3" t="inlineStr">
        <is>
          <t>RETURN_SINCE_A_DATE</t>
        </is>
      </c>
      <c r="C110" s="3" t="inlineStr">
        <is>
          <t>src/domain/performance/index.ts:137</t>
        </is>
      </c>
      <c r="D110" s="3" t="inlineStr">
        <is>
          <t>What did this do between a given date and today?</t>
        </is>
      </c>
      <c r="E110" s="3" t="inlineStr">
        <is>
          <t>—</t>
        </is>
      </c>
      <c r="F110" s="3" t="inlineStr">
        <is>
          <t>Only as another engine’s dependency — no figure names it directly</t>
        </is>
      </c>
    </row>
    <row r="111">
      <c r="A111" s="3" t="inlineStr">
        <is>
          <t>MK-XS-E-031</t>
        </is>
      </c>
      <c r="B111" s="3" t="inlineStr">
        <is>
          <t>PRICE_FACTOR_OVER_WINDOW</t>
        </is>
      </c>
      <c r="C111" s="3" t="inlineStr">
        <is>
          <t>src/domain/performance/lookBack.ts:19</t>
        </is>
      </c>
      <c r="D111" s="3" t="inlineStr">
        <is>
          <t>By what multiple did this price move over the last N months?</t>
        </is>
      </c>
      <c r="E111" s="3" t="inlineStr">
        <is>
          <t>—</t>
        </is>
      </c>
      <c r="F111" s="3" t="inlineStr">
        <is>
          <t>Only as another engine’s dependency — no figure names it directly</t>
        </is>
      </c>
    </row>
    <row r="112">
      <c r="A112" s="3" t="inlineStr">
        <is>
          <t>MK-XS-E-032</t>
        </is>
      </c>
      <c r="B112" s="3" t="inlineStr">
        <is>
          <t>EFFECTIVE_TAX_RATE</t>
        </is>
      </c>
      <c r="C112" s="3" t="inlineStr">
        <is>
          <t>src/domain/income/tax.ts:130</t>
        </is>
      </c>
      <c r="D112" s="3" t="inlineStr">
        <is>
          <t>What share of my income actually goes in tax?</t>
        </is>
      </c>
      <c r="E112" s="3" t="inlineStr">
        <is>
          <t>—</t>
        </is>
      </c>
      <c r="F112" s="3" t="inlineStr">
        <is>
          <t>Only as another engine’s dependency — no figure names it directly</t>
        </is>
      </c>
    </row>
    <row r="113">
      <c r="A113" s="3" t="inlineStr">
        <is>
          <t>MK-XS-E-033</t>
        </is>
      </c>
      <c r="B113" s="3" t="inlineStr">
        <is>
          <t>EXPECTED_RETURN_BLENDED</t>
        </is>
      </c>
      <c r="C113" s="3" t="inlineStr">
        <is>
          <t>src/domain/assets/index.ts:638</t>
        </is>
      </c>
      <c r="D113" s="3" t="inlineStr">
        <is>
          <t>What return should I expect on everything I hold together?</t>
        </is>
      </c>
      <c r="E113" s="3" t="inlineStr">
        <is>
          <t>—</t>
        </is>
      </c>
      <c r="F113" s="3" t="inlineStr">
        <is>
          <t>Only as another engine’s dependency — no figure names it directly</t>
        </is>
      </c>
    </row>
    <row r="114">
      <c r="A114" s="3" t="inlineStr">
        <is>
          <t>MK-XS-E-034</t>
        </is>
      </c>
      <c r="B114" s="3" t="inlineStr">
        <is>
          <t>EXPECTED_SWING_BLENDED</t>
        </is>
      </c>
      <c r="C114" s="3" t="inlineStr">
        <is>
          <t>src/domain/assets/index.ts:597</t>
        </is>
      </c>
      <c r="D114" s="3" t="inlineStr">
        <is>
          <t>How much does a year's return typically swing around that average?</t>
        </is>
      </c>
      <c r="E114" s="3" t="inlineStr">
        <is>
          <t>—</t>
        </is>
      </c>
      <c r="F114" s="3" t="inlineStr">
        <is>
          <t>Only as another engine’s dependency — no figure names it directly</t>
        </is>
      </c>
    </row>
    <row r="115">
      <c r="A115" s="3" t="inlineStr">
        <is>
          <t>MK-XS-E-035</t>
        </is>
      </c>
      <c r="B115" s="3" t="inlineStr">
        <is>
          <t>FILING_STATUS</t>
        </is>
      </c>
      <c r="C115" s="3" t="inlineStr">
        <is>
          <t>src/domain/income/onboarding.ts:354</t>
        </is>
      </c>
      <c r="D115" s="3" t="inlineStr">
        <is>
          <t>How does this person file?</t>
        </is>
      </c>
      <c r="E115" s="3" t="inlineStr">
        <is>
          <t>—</t>
        </is>
      </c>
      <c r="F115" s="3" t="inlineStr">
        <is>
          <t>Only as another engine’s dependency — no figure names it directly</t>
        </is>
      </c>
    </row>
    <row r="116">
      <c r="A116" s="3" t="inlineStr">
        <is>
          <t>MK-XS-E-036</t>
        </is>
      </c>
      <c r="B116" s="3" t="inlineStr">
        <is>
          <t>GUARANTEED_OUTSIDE_STREAMS</t>
        </is>
      </c>
      <c r="C116" s="3" t="inlineStr">
        <is>
          <t>src/domain/income/onboarding.ts:227</t>
        </is>
      </c>
      <c r="D116" s="3" t="inlineStr">
        <is>
          <t>The plan's guaranteed-income input as separate streams of OUTSIDE money only. Answers: zer</t>
        </is>
      </c>
      <c r="E116" s="3" t="inlineStr">
        <is>
          <t>—</t>
        </is>
      </c>
      <c r="F116" s="3" t="inlineStr">
        <is>
          <t>Only as another engine’s dependency — no figure names it directly</t>
        </is>
      </c>
    </row>
    <row r="117">
      <c r="A117" s="3" t="inlineStr">
        <is>
          <t>MK-XS-E-037</t>
        </is>
      </c>
      <c r="B117" s="3" t="inlineStr">
        <is>
          <t>MONTHLY_SAVING</t>
        </is>
      </c>
      <c r="C117" s="3" t="inlineStr">
        <is>
          <t>src/domain/assets/index.ts:695</t>
        </is>
      </c>
      <c r="D117" s="3" t="inlineStr">
        <is>
          <t>How much goes in each month?</t>
        </is>
      </c>
      <c r="E117" s="3" t="inlineStr">
        <is>
          <t>—</t>
        </is>
      </c>
      <c r="F117" s="3" t="inlineStr">
        <is>
          <t>Only as another engine’s dependency — no figure names it directly</t>
        </is>
      </c>
    </row>
    <row r="118">
      <c r="A118" s="3" t="inlineStr">
        <is>
          <t>MK-XS-E-038</t>
        </is>
      </c>
      <c r="B118" s="3" t="inlineStr">
        <is>
          <t>REPORTED_RETURN</t>
        </is>
      </c>
      <c r="C118" s="3" t="inlineStr">
        <is>
          <t>src/domain/assets/index.ts:108</t>
        </is>
      </c>
      <c r="D118" s="3" t="inlineStr">
        <is>
          <t>What return did the person say they actually earned over the past year?</t>
        </is>
      </c>
      <c r="E118" s="3" t="inlineStr">
        <is>
          <t>—</t>
        </is>
      </c>
      <c r="F118" s="3" t="inlineStr">
        <is>
          <t>Only as another engine’s dependency — no figure names it directly</t>
        </is>
      </c>
    </row>
    <row r="119">
      <c r="A119" s="3" t="inlineStr">
        <is>
          <t>MK-XS-E-039</t>
        </is>
      </c>
      <c r="B119" s="3" t="inlineStr">
        <is>
          <t>SPLIT_BY_HOW_IT_IS_TAXED</t>
        </is>
      </c>
      <c r="C119" s="3" t="inlineStr">
        <is>
          <t>src/domain/decumulation/index.ts:11</t>
        </is>
      </c>
      <c r="D119" s="3" t="inlineStr">
        <is>
          <t>How is the retirement money split by the tax that will be owed on it?</t>
        </is>
      </c>
      <c r="E119" s="3" t="inlineStr">
        <is>
          <t>—</t>
        </is>
      </c>
      <c r="F119" s="3" t="inlineStr">
        <is>
          <t>Only as another engine’s dependency — no figure names it directly</t>
        </is>
      </c>
    </row>
    <row r="120">
      <c r="A120" s="3" t="inlineStr">
        <is>
          <t>MK-XS-E-040</t>
        </is>
      </c>
      <c r="B120" s="3" t="inlineStr">
        <is>
          <t>SS_BENEFIT_AT_AGE</t>
        </is>
      </c>
      <c r="C120" s="3" t="inlineStr">
        <is>
          <t>src/domain/retirement/ssTiming.ts:54</t>
        </is>
      </c>
      <c r="D120" s="3" t="inlineStr">
        <is>
          <t>The monthly Social Security check at a chosen claim age, in today's dollars. Answers: a wh</t>
        </is>
      </c>
      <c r="E120" s="3" t="inlineStr">
        <is>
          <t>MK-PL-M-017</t>
        </is>
      </c>
      <c r="F120" s="3" t="inlineStr">
        <is>
          <t>Named by 1 figure(s)</t>
        </is>
      </c>
    </row>
    <row r="121">
      <c r="A121" s="3" t="inlineStr">
        <is>
          <t>MK-XS-E-041</t>
        </is>
      </c>
      <c r="B121" s="3" t="inlineStr">
        <is>
          <t>STATE_TAX_RATE</t>
        </is>
      </c>
      <c r="C121" s="3" t="inlineStr">
        <is>
          <t>src/domain/income/onboarding.ts:358</t>
        </is>
      </c>
      <c r="D121" s="3" t="inlineStr">
        <is>
          <t>What state tax rate applies?</t>
        </is>
      </c>
      <c r="E121" s="3" t="inlineStr">
        <is>
          <t>—</t>
        </is>
      </c>
      <c r="F121" s="3" t="inlineStr">
        <is>
          <t>Only as another engine’s dependency — no figure names it directly</t>
        </is>
      </c>
    </row>
    <row r="122">
      <c r="A122" s="3" t="inlineStr">
        <is>
          <t>MK-XS-E-042</t>
        </is>
      </c>
      <c r="B122" s="3" t="inlineStr">
        <is>
          <t>SWING_FROM_RETURN</t>
        </is>
      </c>
      <c r="C122" s="3" t="inlineStr">
        <is>
          <t>src/domain/retirement/willItLast.ts:19</t>
        </is>
      </c>
      <c r="D122" s="3" t="inlineStr">
        <is>
          <t>How much might a year's return swing, judged from the return alone?</t>
        </is>
      </c>
      <c r="E122" s="3" t="inlineStr">
        <is>
          <t>—</t>
        </is>
      </c>
      <c r="F122" s="3" t="inlineStr">
        <is>
          <t>Only as another engine’s dependency — no figure names it directly</t>
        </is>
      </c>
    </row>
    <row r="123">
      <c r="A123" s="3" t="inlineStr">
        <is>
          <t>MK-XS-E-043</t>
        </is>
      </c>
      <c r="B123" s="3" t="inlineStr">
        <is>
          <t>TAX_OVER65_COUNT</t>
        </is>
      </c>
      <c r="C123" s="3" t="inlineStr">
        <is>
          <t>src/domain/income/onboarding.ts:405</t>
        </is>
      </c>
      <c r="D123" s="3" t="inlineStr">
        <is>
          <t xml:space="preserve">How many people on the tax return are 65 or older — the input the over-65 deduction needs </t>
        </is>
      </c>
      <c r="E123" s="3" t="inlineStr">
        <is>
          <t>—</t>
        </is>
      </c>
      <c r="F123" s="3" t="inlineStr">
        <is>
          <t>Only as another engine’s dependency — no figure names it directly</t>
        </is>
      </c>
    </row>
    <row r="124">
      <c r="A124" s="3" t="inlineStr">
        <is>
          <t>MK-XS-E-044</t>
        </is>
      </c>
      <c r="B124" s="3" t="inlineStr">
        <is>
          <t>TOTAL_INCOME</t>
        </is>
      </c>
      <c r="C124" s="3" t="inlineStr">
        <is>
          <t>src/domain/income/onboarding.ts:337</t>
        </is>
      </c>
      <c r="D124" s="3" t="inlineStr">
        <is>
          <t>What is the whole household income for the year, before tax?</t>
        </is>
      </c>
      <c r="E124" s="3" t="inlineStr">
        <is>
          <t>MK-CF-M-006 · MK-CF-M-007 · MK-CF-M-008 · MK-CF-M-027 · MK-MN-M-011 · MK-MN-M-012 · MK-MN-M-013</t>
        </is>
      </c>
      <c r="F124" s="3" t="inlineStr">
        <is>
          <t>Named by 7 figure(s)</t>
        </is>
      </c>
    </row>
    <row r="125">
      <c r="A125" s="3" t="inlineStr">
        <is>
          <t>MK-XS-E-045</t>
        </is>
      </c>
      <c r="B125" s="3" t="inlineStr">
        <is>
          <t>COST_OF_LIVING</t>
        </is>
      </c>
      <c r="C125" s="3" t="inlineStr">
        <is>
          <t>src/domain/retirement/col.ts:53</t>
        </is>
      </c>
      <c r="D125" s="3" t="inlineStr">
        <is>
          <t>How much more or less does life cost where they plan to live?</t>
        </is>
      </c>
      <c r="E125" s="3" t="inlineStr">
        <is>
          <t>—</t>
        </is>
      </c>
      <c r="F125" s="3" t="inlineStr">
        <is>
          <t>Only as another engine’s dependency — no figure names it directly</t>
        </is>
      </c>
    </row>
    <row r="126">
      <c r="A126" s="3" t="inlineStr">
        <is>
          <t>MK-XS-E-046</t>
        </is>
      </c>
      <c r="B126" s="3" t="inlineStr">
        <is>
          <t>SS_CLAIM_FACTOR</t>
        </is>
      </c>
      <c r="C126" s="3" t="inlineStr">
        <is>
          <t>src/domain/retirement/ssTiming.ts:34</t>
        </is>
      </c>
      <c r="D126" s="3" t="inlineStr">
        <is>
          <t>How much of the statement amount a claim age actually pays, anchored at the person's OWN f</t>
        </is>
      </c>
      <c r="E126" s="3" t="inlineStr">
        <is>
          <t>—</t>
        </is>
      </c>
      <c r="F126" s="3" t="inlineStr">
        <is>
          <t>Only as another engine’s dependency — no figure names it directly</t>
        </is>
      </c>
    </row>
    <row r="127">
      <c r="A127" s="3" t="inlineStr">
        <is>
          <t>MK-XS-E-047</t>
        </is>
      </c>
      <c r="B127" s="3" t="inlineStr">
        <is>
          <t>RETIREMENT_INCOME</t>
        </is>
      </c>
      <c r="C127" s="3" t="inlineStr">
        <is>
          <t>src/domain/income/onboarding.ts:213</t>
        </is>
      </c>
      <c r="D127" s="3" t="inlineStr">
        <is>
          <t>How much retirement income arrives monthly?</t>
        </is>
      </c>
      <c r="E127" s="3" t="inlineStr">
        <is>
          <t>MK-CF-M-023</t>
        </is>
      </c>
      <c r="F127" s="3" t="inlineStr">
        <is>
          <t>Named by 1 figure(s)</t>
        </is>
      </c>
    </row>
    <row r="128">
      <c r="A128" s="3" t="inlineStr">
        <is>
          <t>MK-XS-E-048</t>
        </is>
      </c>
      <c r="B128" s="3" t="inlineStr">
        <is>
          <t>SS_FULL_RETIREMENT_AGE</t>
        </is>
      </c>
      <c r="C128" s="3" t="inlineStr">
        <is>
          <t>src/domain/retirement/ssTiming.ts:23</t>
        </is>
      </c>
      <c r="D128" s="3" t="inlineStr">
        <is>
          <t>The person's own Social Security full retirement age. Answers: 66 (born through 1954) · 66</t>
        </is>
      </c>
      <c r="E128" s="3" t="inlineStr">
        <is>
          <t>—</t>
        </is>
      </c>
      <c r="F128" s="3" t="inlineStr">
        <is>
          <t>Only as another engine’s dependency — no figure names it directly</t>
        </is>
      </c>
    </row>
    <row r="129">
      <c r="A129" s="3" t="inlineStr">
        <is>
          <t>MK-XS-E-049</t>
        </is>
      </c>
      <c r="B129" s="3" t="inlineStr">
        <is>
          <t>EQUITY_THIS_YEAR</t>
        </is>
      </c>
      <c r="C129" s="3" t="inlineStr">
        <is>
          <t>src/domain/income/onboarding.ts:114</t>
        </is>
      </c>
      <c r="D129" s="3" t="inlineStr">
        <is>
          <t>How much equity vests this year?</t>
        </is>
      </c>
      <c r="E129" s="3" t="inlineStr">
        <is>
          <t>—</t>
        </is>
      </c>
      <c r="F129" s="3" t="inlineStr">
        <is>
          <t>Only as another engine’s dependency — no figure names it directly</t>
        </is>
      </c>
    </row>
    <row r="130">
      <c r="A130" s="3" t="inlineStr">
        <is>
          <t>MK-XS-E-050</t>
        </is>
      </c>
      <c r="B130" s="3" t="inlineStr">
        <is>
          <t>OTHER_INCOME</t>
        </is>
      </c>
      <c r="C130" s="3" t="inlineStr">
        <is>
          <t>src/domain/income/onboarding.ts:161</t>
        </is>
      </c>
      <c r="D130" s="3" t="inlineStr">
        <is>
          <t>What else comes in?</t>
        </is>
      </c>
      <c r="E130" s="3" t="inlineStr">
        <is>
          <t>—</t>
        </is>
      </c>
      <c r="F130" s="3" t="inlineStr">
        <is>
          <t>Only as another engine’s dependency — no figure names it directly</t>
        </is>
      </c>
    </row>
    <row r="131">
      <c r="A131" s="3" t="inlineStr">
        <is>
          <t>MK-XS-E-051</t>
        </is>
      </c>
      <c r="B131" s="3" t="inlineStr">
        <is>
          <t>RENTAL_INCOME_A_YEAR</t>
        </is>
      </c>
      <c r="C131" s="3" t="inlineStr">
        <is>
          <t>src/domain/income/onboarding.ts:142</t>
        </is>
      </c>
      <c r="D131" s="3" t="inlineStr">
        <is>
          <t>What do the rentals net over a year?</t>
        </is>
      </c>
      <c r="E131" s="3" t="inlineStr">
        <is>
          <t>MK-CF-M-010</t>
        </is>
      </c>
      <c r="F131" s="3" t="inlineStr">
        <is>
          <t>Named by 1 figure(s)</t>
        </is>
      </c>
    </row>
    <row r="132">
      <c r="A132" s="3" t="inlineStr">
        <is>
          <t>MK-XS-E-052</t>
        </is>
      </c>
      <c r="B132" s="3" t="inlineStr">
        <is>
          <t>SALARY_A_YEAR</t>
        </is>
      </c>
      <c r="C132" s="3" t="inlineStr">
        <is>
          <t>src/domain/income/onboarding.ts:331</t>
        </is>
      </c>
      <c r="D132" s="3" t="inlineStr">
        <is>
          <t>What is the salary for the year?</t>
        </is>
      </c>
      <c r="E132" s="3" t="inlineStr">
        <is>
          <t>—</t>
        </is>
      </c>
      <c r="F132" s="3" t="inlineStr">
        <is>
          <t>Only as another engine’s dependency — no figure names it directly</t>
        </is>
      </c>
    </row>
    <row r="133">
      <c r="A133" s="3" t="inlineStr">
        <is>
          <t>MK-XS-E-053</t>
        </is>
      </c>
      <c r="B133" s="3" t="inlineStr">
        <is>
          <t>TIPS_A_YEAR</t>
        </is>
      </c>
      <c r="C133" s="3" t="inlineStr">
        <is>
          <t>src/domain/income/onboarding.ts:204</t>
        </is>
      </c>
      <c r="D133" s="3" t="inlineStr">
        <is>
          <t>What do tips come to over the year?</t>
        </is>
      </c>
      <c r="E133" s="3" t="inlineStr">
        <is>
          <t>—</t>
        </is>
      </c>
      <c r="F133" s="3" t="inlineStr">
        <is>
          <t>Only as another engine’s dependency — no figure names it directly</t>
        </is>
      </c>
    </row>
    <row r="134">
      <c r="A134" s="3" t="inlineStr">
        <is>
          <t>MK-XS-E-054</t>
        </is>
      </c>
      <c r="B134" s="3" t="inlineStr">
        <is>
          <t>RENTALS</t>
        </is>
      </c>
      <c r="C134" s="3" t="inlineStr">
        <is>
          <t>src/domain/income/onboarding.ts:129</t>
        </is>
      </c>
      <c r="D134" s="3" t="inlineStr">
        <is>
          <t>What rental properties are there, and what does each bring in?</t>
        </is>
      </c>
      <c r="E134" s="3" t="inlineStr">
        <is>
          <t>—</t>
        </is>
      </c>
      <c r="F134" s="3" t="inlineStr">
        <is>
          <t>Only as another engine’s dependency — no figure names it directly</t>
        </is>
      </c>
    </row>
    <row r="135">
      <c r="A135" s="3" t="inlineStr">
        <is>
          <t>MK-XS-E-055</t>
        </is>
      </c>
      <c r="B135" s="3" t="inlineStr">
        <is>
          <t>IS_PHYSICAL_ASSET</t>
        </is>
      </c>
      <c r="C135" s="3" t="inlineStr">
        <is>
          <t>src/domain/assets/index.ts:253</t>
        </is>
      </c>
      <c r="D135" s="3" t="inlineStr">
        <is>
          <t>Is this something physical you own rather than money you could spend?</t>
        </is>
      </c>
      <c r="E135" s="3" t="inlineStr">
        <is>
          <t>—</t>
        </is>
      </c>
      <c r="F135" s="3" t="inlineStr">
        <is>
          <t>Only as another engine’s dependency — no figure names it directly</t>
        </is>
      </c>
    </row>
    <row r="136">
      <c r="A136" s="3" t="inlineStr">
        <is>
          <t>MK-XS-E-056</t>
        </is>
      </c>
      <c r="B136" s="3" t="inlineStr">
        <is>
          <t>TAX_DEDUCTION</t>
        </is>
      </c>
      <c r="C136" s="3" t="inlineStr">
        <is>
          <t>src/domain/income/tax.ts:105</t>
        </is>
      </c>
      <c r="D136" s="3" t="inlineStr">
        <is>
          <t>What amount of income is tax-free before the brackets start. Answers: $16,100 single · $32</t>
        </is>
      </c>
      <c r="E136" s="3" t="inlineStr">
        <is>
          <t>—</t>
        </is>
      </c>
      <c r="F136" s="3" t="inlineStr">
        <is>
          <t>Only as another engine’s dependency — no figure names it directly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457"/>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4" customWidth="1" min="6" max="6"/>
    <col width="42" customWidth="1" min="7" max="7"/>
    <col width="30" customWidth="1" min="8" max="8"/>
    <col width="62" customWidth="1" min="9" max="9"/>
    <col width="54" customWidth="1" min="10" max="10"/>
    <col width="14" customWidth="1" min="11" max="11"/>
    <col width="34" customWidth="1" min="12" max="12"/>
    <col width="12" customWidth="1" min="13" max="13"/>
    <col width="52" customWidth="1" min="14" max="14"/>
    <col width="66" customWidth="1" min="15" max="15"/>
    <col width="26" customWidth="1" min="16" max="16"/>
    <col width="22" customWidth="1" min="17" max="17"/>
  </cols>
  <sheetData>
    <row r="1">
      <c r="A1" s="1" t="inlineStr">
        <is>
          <t>Function ID</t>
        </is>
      </c>
      <c r="B1" s="1" t="inlineStr">
        <is>
          <t>Function</t>
        </is>
      </c>
      <c r="C1" s="1" t="inlineStr">
        <is>
          <t>File</t>
        </is>
      </c>
      <c r="D1" s="1" t="inlineStr">
        <is>
          <t>Line</t>
        </is>
      </c>
      <c r="E1" s="1" t="inlineStr">
        <is>
          <t>Category</t>
        </is>
      </c>
      <c r="F1" s="1" t="inlineStr">
        <is>
          <t>What it is for</t>
        </is>
      </c>
      <c r="G1" s="1" t="inlineStr">
        <is>
          <t>What it is handed (its inputs)</t>
        </is>
      </c>
      <c r="H1" s="1" t="inlineStr">
        <is>
          <t>What it gives back (its output)</t>
        </is>
      </c>
      <c r="I1" s="1" t="inlineStr">
        <is>
          <t>Where its answer appears — the words, the screen, the section</t>
        </is>
      </c>
      <c r="J1" s="1" t="inlineStr">
        <is>
          <t>Assumptions it makes</t>
        </is>
      </c>
      <c r="K1" s="1" t="inlineStr">
        <is>
          <t>Can its answer reach a screen?</t>
        </is>
      </c>
      <c r="L1" s="1" t="inlineStr">
        <is>
          <t>Dependent functions — one step below</t>
        </is>
      </c>
      <c r="M1" s="1" t="inlineStr">
        <is>
          <t>Dependent functions — how many in total</t>
        </is>
      </c>
      <c r="N1" s="1" t="inlineStr">
        <is>
          <t>Dependent functions — all of them</t>
        </is>
      </c>
      <c r="O1" s="1" t="inlineStr">
        <is>
          <t>The chain, ending in this function</t>
        </is>
      </c>
      <c r="P1" s="1" t="inlineStr">
        <is>
          <t>Figures that name it</t>
        </is>
      </c>
      <c r="Q1" s="1" t="inlineStr">
        <is>
          <t>Name in the old inventory</t>
        </is>
      </c>
    </row>
    <row r="2">
      <c r="A2" s="4"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3" t="inlineStr"/>
      <c r="H2" s="3" t="inlineStr"/>
      <c r="I2" s="3" t="inlineStr"/>
      <c r="J2" s="3" t="inlineStr"/>
      <c r="K2" s="3" t="inlineStr"/>
      <c r="L2" s="3" t="inlineStr"/>
      <c r="M2" s="3" t="inlineStr"/>
      <c r="N2" s="3" t="inlineStr"/>
      <c r="O2" s="3" t="inlineStr"/>
      <c r="P2" s="3" t="n"/>
      <c r="Q2" s="3" t="n"/>
    </row>
    <row r="3">
      <c r="A3" s="3" t="inlineStr">
        <is>
          <t>MK-NW-F-005</t>
        </is>
      </c>
      <c r="B3" s="3" t="inlineStr">
        <is>
          <t>accountAllowsTicker</t>
        </is>
      </c>
      <c r="C3" s="3" t="inlineStr">
        <is>
          <t>src/domain/assets/index.ts</t>
        </is>
      </c>
      <c r="D3" s="3" t="n">
        <v>118</v>
      </c>
      <c r="E3" s="3" t="inlineStr">
        <is>
          <t>2 · DISPLAYED</t>
        </is>
      </c>
      <c r="F3" s="3" t="inlineStr">
        <is>
          <t>Can this account hold individual ticker securities?</t>
        </is>
      </c>
      <c r="G3" s="3" t="inlineStr">
        <is>
          <t>a: AssetAccount</t>
        </is>
      </c>
      <c r="H3" s="3" t="inlineStr">
        <is>
          <t>boolean</t>
        </is>
      </c>
      <c r="I3" s="3" t="inlineStr">
        <is>
          <t>NOT FOUND — a screen calls it, but the words printed beside its answer could not be traced automatically. Needs reading.</t>
        </is>
      </c>
      <c r="J3" s="3" t="inlineStr">
        <is>
          <t>None found in this function — anything it assumes comes from the functions it depends on.</t>
        </is>
      </c>
      <c r="K3" s="3" t="inlineStr">
        <is>
          <t>Yes</t>
        </is>
      </c>
      <c r="L3" s="3" t="inlineStr">
        <is>
          <t>MK-NW-F-011 assetClassOf</t>
        </is>
      </c>
      <c r="M3" s="3" t="n">
        <v>3</v>
      </c>
      <c r="N3" s="3" t="inlineStr">
        <is>
          <t>MK-NW-F-011 assetClassOf · MK-NW-F-008 incomeBearingClassOf · MK-ST-F-010 nameEvidence</t>
        </is>
      </c>
      <c r="O3" s="3" t="inlineStr">
        <is>
          <t>MK-ST-F-010 nameEvidence → MK-NW-F-008 incomeBearingClassOf → MK-NW-F-011 assetClassOf → MK-NW-F-005 accountAllowsTicker</t>
        </is>
      </c>
      <c r="P3" s="3" t="inlineStr">
        <is>
          <t>—</t>
        </is>
      </c>
      <c r="Q3" s="3" t="inlineStr">
        <is>
          <t>CAN_HOLD_TICKERS</t>
        </is>
      </c>
    </row>
    <row r="4">
      <c r="A4" s="3" t="inlineStr">
        <is>
          <t>MK-NW-F-027</t>
        </is>
      </c>
      <c r="B4" s="3" t="inlineStr">
        <is>
          <t>accountClassBreakdown</t>
        </is>
      </c>
      <c r="C4" s="3" t="inlineStr">
        <is>
          <t>src/domain/assets/index.ts</t>
        </is>
      </c>
      <c r="D4" s="3" t="n">
        <v>401</v>
      </c>
      <c r="E4" s="3" t="inlineStr">
        <is>
          <t>2 · DISPLAYED</t>
        </is>
      </c>
      <c r="F4"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4" s="3" t="inlineStr">
        <is>
          <t>a: AssetAccount</t>
        </is>
      </c>
      <c r="H4" s="3" t="inlineStr">
        <is>
          <t>Record&lt;AssetClass, number&gt; | null</t>
        </is>
      </c>
      <c r="I4" s="3" t="inlineStr">
        <is>
          <t>NOT FOUND — a screen calls it, but the words printed beside its answer could not be traced automatically. Needs reading.</t>
        </is>
      </c>
      <c r="J4" s="3" t="inlineStr">
        <is>
          <t>· If cash balance is missing it uses 0.
· If shares is missing it counts as zero, so nothing recorded and a real zero look the same.
· If value is missing it counts as zero, so nothing recorded and a real zero look the same.
· If balance is missing it counts as zero, so nothing recorded and a real zero look the same.</t>
        </is>
      </c>
      <c r="K4" s="3" t="inlineStr">
        <is>
          <t>Yes</t>
        </is>
      </c>
      <c r="L4" s="3" t="inlineStr">
        <is>
          <t>MK-NW-F-011 assetClassOf · MK-NW-F-008 incomeBearingClassOf · MK-ST-F-055 round2</t>
        </is>
      </c>
      <c r="M4" s="3" t="n">
        <v>4</v>
      </c>
      <c r="N4" s="3" t="inlineStr">
        <is>
          <t>MK-NW-F-011 assetClassOf · MK-NW-F-008 incomeBearingClassOf · MK-ST-F-055 round2 · MK-ST-F-010 nameEvidence</t>
        </is>
      </c>
      <c r="O4" s="3" t="inlineStr">
        <is>
          <t>MK-ST-F-010 nameEvidence → MK-NW-F-008 incomeBearingClassOf → MK-NW-F-011 assetClassOf → MK-NW-F-027 accountClassBreakdown
MK-ST-F-010 nameEvidence → MK-NW-F-008 incomeBearingClassOf → MK-NW-F-027 accountClassBreakdown
MK-ST-F-055 round2 → MK-NW-F-027 accountClassBreakdown</t>
        </is>
      </c>
      <c r="P4" s="3" t="inlineStr">
        <is>
          <t>MK-NW-M-008 · MK-NW-M-020</t>
        </is>
      </c>
      <c r="Q4" s="3" t="inlineStr">
        <is>
          <t>ACCOUNT_SPLIT</t>
        </is>
      </c>
    </row>
    <row r="5">
      <c r="A5" s="3" t="inlineStr">
        <is>
          <t>MK-NW-F-025</t>
        </is>
      </c>
      <c r="B5" s="3" t="inlineStr">
        <is>
          <t>accountDisplayName</t>
        </is>
      </c>
      <c r="C5" s="3" t="inlineStr">
        <is>
          <t>src/domain/assets/index.ts</t>
        </is>
      </c>
      <c r="D5" s="3" t="n">
        <v>333</v>
      </c>
      <c r="E5" s="3" t="inlineStr">
        <is>
          <t>3 · DEPENDENT</t>
        </is>
      </c>
      <c r="F5" s="3" t="inlineStr">
        <is>
          <t>The ONE display name for an account row (build-43 finding #1): institution prefixes the label ONLY when the label doesn't already say it (E*TRADE's own name is "E*Trade Individual Brokerage" — prefixing the institution again rendered "E-Trade E*Trade Individual…"), and the broker's mask suffixes when present so two same-named accounts are tellable apart (wireframe: "Brokerage ...4821").</t>
        </is>
      </c>
      <c r="G5" s="3" t="inlineStr">
        <is>
          <t>a: Pick&lt;AssetAccount, 'label' | 'institution' | 'mask'&gt; &amp; { positions?: unknown[]; kind?: string; tax_bucket?: TaxBucket; tax_treatment?: TaxTreatment }</t>
        </is>
      </c>
      <c r="H5" s="3" t="inlineStr">
        <is>
          <t>string</t>
        </is>
      </c>
      <c r="I5" s="3" t="inlineStr">
        <is>
          <t>—</t>
        </is>
      </c>
      <c r="J5" s="3" t="inlineStr">
        <is>
          <t>None found in this function — anything it assumes comes from the functions it depends on.</t>
        </is>
      </c>
      <c r="K5" s="3" t="inlineStr">
        <is>
          <t>Yes</t>
        </is>
      </c>
      <c r="L5" s="3" t="inlineStr">
        <is>
          <t>MK-NW-F-024 accountLastFour · MK-NW-F-012 taxTreatmentOf · MK-NW-F-023 wrapperWord</t>
        </is>
      </c>
      <c r="M5" s="3" t="n">
        <v>3</v>
      </c>
      <c r="N5" s="3" t="inlineStr">
        <is>
          <t>MK-NW-F-024 accountLastFour · MK-NW-F-012 taxTreatmentOf · MK-NW-F-023 wrapperWord</t>
        </is>
      </c>
      <c r="O5" s="3" t="inlineStr">
        <is>
          <t>MK-NW-F-024 accountLastFour → MK-NW-F-025 accountDisplayName
MK-NW-F-012 taxTreatmentOf → MK-NW-F-025 accountDisplayName
MK-NW-F-023 wrapperWord → MK-NW-F-025 accountDisplayName</t>
        </is>
      </c>
      <c r="P5" s="3" t="inlineStr">
        <is>
          <t>—</t>
        </is>
      </c>
      <c r="Q5" s="3" t="inlineStr">
        <is>
          <t>—</t>
        </is>
      </c>
    </row>
    <row r="6">
      <c r="A6" s="3" t="inlineStr">
        <is>
          <t>MK-NW-F-026</t>
        </is>
      </c>
      <c r="B6" s="3" t="inlineStr">
        <is>
          <t>accountDisplayNames</t>
        </is>
      </c>
      <c r="C6" s="3" t="inlineStr">
        <is>
          <t>src/domain/assets/index.ts</t>
        </is>
      </c>
      <c r="D6" s="3" t="n">
        <v>379</v>
      </c>
      <c r="E6" s="3" t="inlineStr">
        <is>
          <t>2 · DISPLAYED</t>
        </is>
      </c>
      <c r="F6" s="3" t="inlineStr">
        <is>
          <t>Display names for a whole LIST of accounts.</t>
        </is>
      </c>
      <c r="G6" s="3" t="inlineStr">
        <is>
          <t>accounts: (Pick&lt;AssetAccount, 'asset_id' | 'label' | 'institution' | 'mask'&gt; &amp; { positions?: unknown[] })[]</t>
        </is>
      </c>
      <c r="H6" s="3" t="inlineStr">
        <is>
          <t>Map&lt;string, string&gt;</t>
        </is>
      </c>
      <c r="I6" s="3" t="inlineStr">
        <is>
          <t>"Bonds &amp; alternatives — recorded on their own pages" — on the Performance screen</t>
        </is>
      </c>
      <c r="J6" s="3" t="inlineStr">
        <is>
          <t>None found in this function — anything it assumes comes from the functions it depends on.</t>
        </is>
      </c>
      <c r="K6" s="3" t="inlineStr">
        <is>
          <t>Yes</t>
        </is>
      </c>
      <c r="L6" s="3" t="inlineStr">
        <is>
          <t>MK-NW-F-025 accountDisplayName</t>
        </is>
      </c>
      <c r="M6" s="3" t="n">
        <v>4</v>
      </c>
      <c r="N6" s="3" t="inlineStr">
        <is>
          <t>MK-NW-F-025 accountDisplayName · MK-NW-F-024 accountLastFour · MK-NW-F-012 taxTreatmentOf · MK-NW-F-023 wrapperWord</t>
        </is>
      </c>
      <c r="O6" s="3" t="inlineStr">
        <is>
          <t>MK-NW-F-024 accountLastFour → MK-NW-F-025 accountDisplayName → MK-NW-F-026 accountDisplayNames
MK-NW-F-012 taxTreatmentOf → MK-NW-F-025 accountDisplayName → MK-NW-F-026 accountDisplayNames
MK-NW-F-023 wrapperWord → MK-NW-F-025 accountDisplayName → MK-NW-F-026 accountDisplayNames</t>
        </is>
      </c>
      <c r="P6" s="3" t="inlineStr">
        <is>
          <t>—</t>
        </is>
      </c>
      <c r="Q6" s="3" t="inlineStr">
        <is>
          <t>ACCOUNT_NAMES</t>
        </is>
      </c>
    </row>
    <row r="7">
      <c r="A7" s="3" t="inlineStr">
        <is>
          <t>MK-ST-F-027</t>
        </is>
      </c>
      <c r="B7" s="3" t="inlineStr">
        <is>
          <t>accountId</t>
        </is>
      </c>
      <c r="C7" s="3" t="inlineStr">
        <is>
          <t>Calculation Module code/engines/snapshots.ts</t>
        </is>
      </c>
      <c r="D7" s="3" t="n">
        <v>68</v>
      </c>
      <c r="E7" s="3" t="inlineStr">
        <is>
          <t>1 · ACTION</t>
        </is>
      </c>
      <c r="F7" s="3" t="inlineStr">
        <is>
          <t>NOT DETERMINED — the code carries no note saying what this is for, and it has no row in the old inventory. Needs reading.</t>
        </is>
      </c>
      <c r="G7" s="3" t="inlineStr">
        <is>
          <t>s: Pick&lt;AccountSnapshot, 'date' | 'accountId'&gt;</t>
        </is>
      </c>
      <c r="H7" s="3" t="inlineStr">
        <is>
          <t>string</t>
        </is>
      </c>
      <c r="I7" s="3" t="inlineStr">
        <is>
          <t>—</t>
        </is>
      </c>
      <c r="J7" s="3" t="inlineStr">
        <is>
          <t>None found in this function — anything it assumes comes from the functions it depends on.</t>
        </is>
      </c>
      <c r="K7" s="3" t="inlineStr">
        <is>
          <t>No</t>
        </is>
      </c>
      <c r="L7" s="3" t="inlineStr">
        <is>
          <t>—</t>
        </is>
      </c>
      <c r="M7" s="3" t="n">
        <v>0</v>
      </c>
      <c r="N7" s="3" t="inlineStr">
        <is>
          <t>None — no dependent function stands behind it</t>
        </is>
      </c>
      <c r="O7" s="3" t="inlineStr">
        <is>
          <t>No dependent function — it reads its inputs and answers</t>
        </is>
      </c>
      <c r="P7" s="3" t="inlineStr">
        <is>
          <t>—</t>
        </is>
      </c>
      <c r="Q7" s="3" t="inlineStr">
        <is>
          <t>—</t>
        </is>
      </c>
    </row>
    <row r="8">
      <c r="A8" s="3" t="inlineStr">
        <is>
          <t>MK-NW-F-024</t>
        </is>
      </c>
      <c r="B8" s="3" t="inlineStr">
        <is>
          <t>accountLastFour</t>
        </is>
      </c>
      <c r="C8" s="3" t="inlineStr">
        <is>
          <t>src/domain/assets/index.ts</t>
        </is>
      </c>
      <c r="D8" s="3" t="n">
        <v>321</v>
      </c>
      <c r="E8" s="3" t="inlineStr">
        <is>
          <t>3 · DEPENDENT</t>
        </is>
      </c>
      <c r="F8" s="3" t="inlineStr">
        <is>
          <t>The last four digits of an account, or null when we genuinely don't have them.</t>
        </is>
      </c>
      <c r="G8" s="3" t="inlineStr">
        <is>
          <t>a: { mask?: string; account_number?: string }</t>
        </is>
      </c>
      <c r="H8" s="3" t="inlineStr">
        <is>
          <t>string | null</t>
        </is>
      </c>
      <c r="I8" s="3" t="inlineStr">
        <is>
          <t>—</t>
        </is>
      </c>
      <c r="J8" s="3" t="inlineStr">
        <is>
          <t>None found in this function — anything it assumes comes from the functions it depends on.</t>
        </is>
      </c>
      <c r="K8" s="3" t="inlineStr">
        <is>
          <t>Yes</t>
        </is>
      </c>
      <c r="L8" s="3" t="inlineStr">
        <is>
          <t>—</t>
        </is>
      </c>
      <c r="M8" s="3" t="n">
        <v>0</v>
      </c>
      <c r="N8" s="3" t="inlineStr">
        <is>
          <t>None — no dependent function stands behind it</t>
        </is>
      </c>
      <c r="O8" s="3" t="inlineStr">
        <is>
          <t>No dependent function — it reads its inputs and answers</t>
        </is>
      </c>
      <c r="P8" s="3" t="inlineStr">
        <is>
          <t>—</t>
        </is>
      </c>
      <c r="Q8" s="3" t="inlineStr">
        <is>
          <t>—</t>
        </is>
      </c>
    </row>
    <row r="9">
      <c r="A9" s="3" t="inlineStr">
        <is>
          <t>MK-ST-F-047</t>
        </is>
      </c>
      <c r="B9" s="3" t="inlineStr">
        <is>
          <t>activeCurrency</t>
        </is>
      </c>
      <c r="C9" s="3" t="inlineStr">
        <is>
          <t>src/domain/_shared/money.ts</t>
        </is>
      </c>
      <c r="D9" s="3" t="n">
        <v>49</v>
      </c>
      <c r="E9" s="3" t="inlineStr">
        <is>
          <t>3 · DEPENDENT</t>
        </is>
      </c>
      <c r="F9" s="3" t="inlineStr">
        <is>
          <t>Which currency is the app showing?</t>
        </is>
      </c>
      <c r="G9" s="3" t="inlineStr">
        <is>
          <t>Nothing is handed to it</t>
        </is>
      </c>
      <c r="H9" s="3" t="inlineStr">
        <is>
          <t>Currency</t>
        </is>
      </c>
      <c r="I9" s="3" t="inlineStr">
        <is>
          <t>—</t>
        </is>
      </c>
      <c r="J9" s="3" t="inlineStr">
        <is>
          <t>None found in this function — anything it assumes comes from the functions it depends on.</t>
        </is>
      </c>
      <c r="K9" s="3" t="inlineStr">
        <is>
          <t>Yes</t>
        </is>
      </c>
      <c r="L9" s="3" t="inlineStr">
        <is>
          <t>—</t>
        </is>
      </c>
      <c r="M9" s="3" t="n">
        <v>0</v>
      </c>
      <c r="N9" s="3" t="inlineStr">
        <is>
          <t>None — no dependent function stands behind it</t>
        </is>
      </c>
      <c r="O9" s="3" t="inlineStr">
        <is>
          <t>No dependent function — it reads its inputs and answers</t>
        </is>
      </c>
      <c r="P9" s="3" t="inlineStr">
        <is>
          <t>—</t>
        </is>
      </c>
      <c r="Q9" s="3" t="inlineStr">
        <is>
          <t>CURRENCY</t>
        </is>
      </c>
    </row>
    <row r="10">
      <c r="A10" s="3" t="inlineStr">
        <is>
          <t>MK-XS-F-099</t>
        </is>
      </c>
      <c r="B10" s="3" t="inlineStr">
        <is>
          <t>activeSyncProvider</t>
        </is>
      </c>
      <c r="C10" s="3" t="inlineStr">
        <is>
          <t>src/services/sync/index.ts</t>
        </is>
      </c>
      <c r="D10" s="3" t="n">
        <v>55</v>
      </c>
      <c r="E10" s="3" t="inlineStr">
        <is>
          <t>2 · DISPLAYED</t>
        </is>
      </c>
      <c r="F10" s="3" t="inlineStr">
        <is>
          <t>The one lookup the UI uses.</t>
        </is>
      </c>
      <c r="G10" s="3" t="inlineStr">
        <is>
          <t>Nothing is handed to it</t>
        </is>
      </c>
      <c r="H10" s="3" t="inlineStr">
        <is>
          <t>SyncProvider | null</t>
        </is>
      </c>
      <c r="I10" s="3" t="inlineStr">
        <is>
          <t>NOT FOUND — a screen calls it, but the words printed beside its answer could not be traced automatically. Needs reading.</t>
        </is>
      </c>
      <c r="J10" s="3" t="inlineStr">
        <is>
          <t>None found in this function — anything it assumes comes from the functions it depends on.</t>
        </is>
      </c>
      <c r="K10" s="3" t="inlineStr">
        <is>
          <t>Yes</t>
        </is>
      </c>
      <c r="L10" s="3" t="inlineStr">
        <is>
          <t>—</t>
        </is>
      </c>
      <c r="M10" s="3" t="n">
        <v>0</v>
      </c>
      <c r="N10" s="3" t="inlineStr">
        <is>
          <t>None — no dependent function stands behind it</t>
        </is>
      </c>
      <c r="O10" s="3" t="inlineStr">
        <is>
          <t>No dependent function — it reads its inputs and answers</t>
        </is>
      </c>
      <c r="P10" s="3" t="inlineStr">
        <is>
          <t>—</t>
        </is>
      </c>
      <c r="Q10" s="3" t="inlineStr">
        <is>
          <t>—</t>
        </is>
      </c>
    </row>
    <row r="11">
      <c r="A11" s="3" t="inlineStr">
        <is>
          <t>MK-XS-F-108</t>
        </is>
      </c>
      <c r="B11" s="3" t="inlineStr">
        <is>
          <t>activityKey</t>
        </is>
      </c>
      <c r="C11" s="3" t="inlineStr">
        <is>
          <t>src/services/sync/snaptrade.ts</t>
        </is>
      </c>
      <c r="D11" s="3" t="n">
        <v>245</v>
      </c>
      <c r="E11" s="3" t="inlineStr">
        <is>
          <t>3 · DEPENDENT (feeds an action only)</t>
        </is>
      </c>
      <c r="F11" s="3" t="inlineStr">
        <is>
          <t>── duplicate-proofing ───────────────────────────────────────────────────────────────────────── SnapTrade activity ids can change when they reprocess history, so identity = the composite of everything that makes the row THAT row.</t>
        </is>
      </c>
      <c r="G11" s="3" t="inlineStr">
        <is>
          <t>accountId: string · a: StActivity</t>
        </is>
      </c>
      <c r="H11" s="3" t="inlineStr">
        <is>
          <t>string</t>
        </is>
      </c>
      <c r="I11" s="3" t="inlineStr">
        <is>
          <t>—</t>
        </is>
      </c>
      <c r="J11" s="3" t="inlineStr">
        <is>
          <t>None found in this function — anything it assumes comes from the functions it depends on.</t>
        </is>
      </c>
      <c r="K11" s="3" t="inlineStr">
        <is>
          <t>No</t>
        </is>
      </c>
      <c r="L11" s="3" t="inlineStr">
        <is>
          <t>MK-ST-F-014 importKey</t>
        </is>
      </c>
      <c r="M11" s="3" t="n">
        <v>1</v>
      </c>
      <c r="N11" s="3" t="inlineStr">
        <is>
          <t>MK-ST-F-014 importKey</t>
        </is>
      </c>
      <c r="O11" s="3" t="inlineStr">
        <is>
          <t>MK-ST-F-014 importKey → MK-XS-F-108 activityKey</t>
        </is>
      </c>
      <c r="P11" s="3" t="inlineStr">
        <is>
          <t>—</t>
        </is>
      </c>
      <c r="Q11" s="3" t="inlineStr">
        <is>
          <t>ACTIVITY_IDENTITY</t>
        </is>
      </c>
    </row>
    <row r="12">
      <c r="A12" s="3" t="inlineStr">
        <is>
          <t>MK-CF-F-026</t>
        </is>
      </c>
      <c r="B12" s="3" t="inlineStr">
        <is>
          <t>actualDebtPayment</t>
        </is>
      </c>
      <c r="C12" s="3" t="inlineStr">
        <is>
          <t>src/domain/debt/index.ts</t>
        </is>
      </c>
      <c r="D12" s="3" t="n">
        <v>59</v>
      </c>
      <c r="E12" s="3" t="inlineStr">
        <is>
          <t>2 · DISPLAYED</t>
        </is>
      </c>
      <c r="F12" s="3" t="inlineStr">
        <is>
          <t>Σ ACTUAL payments (override ≥ minimum) — what actually leaves your account.</t>
        </is>
      </c>
      <c r="G12" s="3" t="inlineStr">
        <is>
          <t>debts: Debt[]</t>
        </is>
      </c>
      <c r="H12" s="3" t="inlineStr">
        <is>
          <t>number</t>
        </is>
      </c>
      <c r="I12" s="3" t="inlineStr">
        <is>
          <t>"In (take-home)" — on the Cash flow screen, under "THIS MONTH"</t>
        </is>
      </c>
      <c r="J12" s="3" t="inlineStr">
        <is>
          <t>None found in this function — anything it assumes comes from the functions it depends on.</t>
        </is>
      </c>
      <c r="K12" s="3" t="inlineStr">
        <is>
          <t>Yes</t>
        </is>
      </c>
      <c r="L12" s="3" t="inlineStr">
        <is>
          <t>MK-ST-F-055 round2 · MK-CF-F-024 totalDebtMonthly</t>
        </is>
      </c>
      <c r="M12" s="3" t="n">
        <v>5</v>
      </c>
      <c r="N12" s="3" t="inlineStr">
        <is>
          <t>MK-ST-F-055 round2 · MK-CF-F-024 totalDebtMonthly · MK-CF-F-023 requiredPayment · MK-CF-F-022 paymentShape · MK-CF-F-021 defaultPaymentType</t>
        </is>
      </c>
      <c r="O12" s="3" t="inlineStr">
        <is>
          <t>MK-ST-F-055 round2 → MK-CF-F-026 actualDebtPayment
MK-CF-F-021 defaultPaymentType → MK-CF-F-022 paymentShape → MK-CF-F-023 requiredPayment → MK-CF-F-024 totalDebtMonthly → MK-CF-F-026 actualDebtPayment</t>
        </is>
      </c>
      <c r="P12" s="3" t="inlineStr">
        <is>
          <t>—</t>
        </is>
      </c>
      <c r="Q12" s="3" t="inlineStr">
        <is>
          <t>DEBT_PAYMENTS_ACTUAL</t>
        </is>
      </c>
    </row>
    <row r="13">
      <c r="A13" s="3" t="inlineStr">
        <is>
          <t>MK-CF-F-005</t>
        </is>
      </c>
      <c r="B13" s="3" t="inlineStr">
        <is>
          <t>actualMonthFlow</t>
        </is>
      </c>
      <c r="C13" s="3" t="inlineStr">
        <is>
          <t>src/domain/budget/index.ts</t>
        </is>
      </c>
      <c r="D13" s="3" t="n">
        <v>93</v>
      </c>
      <c r="E13" s="3" t="inlineStr">
        <is>
          <t>2 · DISPLAYED</t>
        </is>
      </c>
      <c r="F13" s="3" t="inlineStr">
        <is>
          <t>Actual money flow for a month from LOGGED data — the exact figures behind the Home cash-flow card, so every screen (Home, Goals) shows the SAME surplus.</t>
        </is>
      </c>
      <c r="G13" s="3" t="inlineStr">
        <is>
          <t>Nothing is handed to it</t>
        </is>
      </c>
      <c r="H13" s="3" t="inlineStr">
        <is>
          <t>NOT DECLARED — the code does not say what it gives back</t>
        </is>
      </c>
      <c r="I13" s="3" t="inlineStr">
        <is>
          <t>NOT FOUND — a screen calls it, but the words printed beside its answer could not be traced automatically. Needs reading.</t>
        </is>
      </c>
      <c r="J13" s="3" t="inlineStr">
        <is>
          <t>· If amount is missing it uses 0.
· Leaves some rows out of the answer — check which.</t>
        </is>
      </c>
      <c r="K13" s="3" t="inlineStr">
        <is>
          <t>Yes</t>
        </is>
      </c>
      <c r="L13" s="3" t="inlineStr">
        <is>
          <t>MK-CF-F-014 budgetVsActual · MK-CF-F-092 incomeMonthlyGrid</t>
        </is>
      </c>
      <c r="M13" s="3" t="n">
        <v>38</v>
      </c>
      <c r="N13" s="3" t="inlineStr">
        <is>
          <t>MK-CF-F-014 budgetVsActual · MK-CF-F-092 incomeMonthlyGrid · MK-ST-F-055 round2 · MK-CF-F-004 spendBuckets · MK-ST-F-052 toNum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MK-CF-F-003 categoryMonthly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O13" s="3" t="inlineStr">
        <is>
          <t>MK-ST-F-055 round2 → MK-CF-F-014 budgetVsActual → MK-CF-F-005 actualMonthFlow
MK-ST-F-052 toNum → MK-CF-F-003 categoryMonthly → MK-CF-F-004 spendBuckets → MK-CF-F-014 budgetVsActual → MK-CF-F-005 actualMonthFlow
MK-ST-F-055 round2 → MK-CF-F-004 spendBuckets → MK-CF-F-014 budgetVsActual → MK-CF-F-005 actualMonthFlow
MK-ST-F-052 toNum → MK-CF-F-004 spendBuckets → MK-CF-F-014 budgetVsActual → MK-CF-F-005 actualMonthFlow
MK-ST-F-052 toNum → MK-CF-F-014 budgetVsActual → MK-CF-F-005 actualMonthFlow
MK-CF-F-069 benefitActiveMonths → MK-CF-F-092 incomeMonthlyGrid → MK-CF-F-005 actualMonthFlow
MK-ST-F-052 toNum → MK-CF-F-075 retirementIncomeMonthly → MK-CF-F-072 currentRetirementIncomeMonthly → MK-CF-F-092 incomeMonthlyGrid → MK-CF-F-005 actualMonthFlow
MK-ST-F-052 toNum → MK-CF-F-062 equityRowValue → MK-CF-F-065 equityVestWeights → MK-CF-F-092 incomeMonthlyGrid → MK-CF-F-005 actualMonthFlow
… and 46 more paths</t>
        </is>
      </c>
      <c r="P13" s="3" t="inlineStr">
        <is>
          <t>—</t>
        </is>
      </c>
      <c r="Q13" s="3" t="inlineStr">
        <is>
          <t>—</t>
        </is>
      </c>
    </row>
    <row r="14">
      <c r="A14" s="3" t="inlineStr">
        <is>
          <t>MK-XS-F-090</t>
        </is>
      </c>
      <c r="B14" s="3" t="inlineStr">
        <is>
          <t>addNotificationResponseListener</t>
        </is>
      </c>
      <c r="C14" s="3" t="inlineStr">
        <is>
          <t>src/services/notifications.ts</t>
        </is>
      </c>
      <c r="D14" s="3" t="n">
        <v>103</v>
      </c>
      <c r="E14" s="3" t="inlineStr">
        <is>
          <t>3 · DEPENDENT (feeds an action only)</t>
        </is>
      </c>
      <c r="F14" s="3" t="inlineStr">
        <is>
          <t>── Listen for notification taps ───────────────────────────────────</t>
        </is>
      </c>
      <c r="G14" s="3" t="inlineStr">
        <is>
          <t>Nothing is handed to it</t>
        </is>
      </c>
      <c r="H14" s="3" t="inlineStr">
        <is>
          <t>NOT DECLARED — the code does not say what it gives back</t>
        </is>
      </c>
      <c r="I14" s="3" t="inlineStr">
        <is>
          <t>—</t>
        </is>
      </c>
      <c r="J14" s="3" t="inlineStr">
        <is>
          <t>None found in this function — anything it assumes comes from the functions it depends on.</t>
        </is>
      </c>
      <c r="K14" s="3" t="inlineStr">
        <is>
          <t>No</t>
        </is>
      </c>
      <c r="L14" s="3" t="inlineStr">
        <is>
          <t>—</t>
        </is>
      </c>
      <c r="M14" s="3" t="n">
        <v>0</v>
      </c>
      <c r="N14" s="3" t="inlineStr">
        <is>
          <t>None — no dependent function stands behind it</t>
        </is>
      </c>
      <c r="O14" s="3" t="inlineStr">
        <is>
          <t>No dependent function — it reads its inputs and answers</t>
        </is>
      </c>
      <c r="P14" s="3" t="inlineStr">
        <is>
          <t>—</t>
        </is>
      </c>
      <c r="Q14" s="3" t="inlineStr">
        <is>
          <t>—</t>
        </is>
      </c>
    </row>
    <row r="15">
      <c r="A15" s="3" t="inlineStr">
        <is>
          <t>MK-CF-F-113</t>
        </is>
      </c>
      <c r="B15" s="3" t="inlineStr">
        <is>
          <t>affectedAccountIds</t>
        </is>
      </c>
      <c r="C15" s="3" t="inlineStr">
        <is>
          <t>src/domain/transactions/index.ts</t>
        </is>
      </c>
      <c r="D15" s="3" t="n">
        <v>180</v>
      </c>
      <c r="E15" s="3" t="inlineStr">
        <is>
          <t>3 · DEPENDENT (feeds an action only)</t>
        </is>
      </c>
      <c r="F15" s="3" t="inlineStr">
        <is>
          <t>The account ids a transaction can touch.</t>
        </is>
      </c>
      <c r="G15" s="3" t="inlineStr">
        <is>
          <t>t: Transaction</t>
        </is>
      </c>
      <c r="H15" s="3" t="inlineStr">
        <is>
          <t>EntityId[]</t>
        </is>
      </c>
      <c r="I15" s="3" t="inlineStr">
        <is>
          <t>—</t>
        </is>
      </c>
      <c r="J15" s="3" t="inlineStr">
        <is>
          <t>None found in this function — anything it assumes comes from the functions it depends on.</t>
        </is>
      </c>
      <c r="K15" s="3" t="inlineStr">
        <is>
          <t>No</t>
        </is>
      </c>
      <c r="L15" s="3" t="inlineStr">
        <is>
          <t>—</t>
        </is>
      </c>
      <c r="M15" s="3" t="n">
        <v>0</v>
      </c>
      <c r="N15" s="3" t="inlineStr">
        <is>
          <t>None — no dependent function stands behind it</t>
        </is>
      </c>
      <c r="O15" s="3" t="inlineStr">
        <is>
          <t>No dependent function — it reads its inputs and answers</t>
        </is>
      </c>
      <c r="P15" s="3" t="inlineStr">
        <is>
          <t>—</t>
        </is>
      </c>
      <c r="Q15" s="3" t="inlineStr">
        <is>
          <t>—</t>
        </is>
      </c>
    </row>
    <row r="16">
      <c r="A16" s="3" t="inlineStr">
        <is>
          <t>MK-CF-F-006</t>
        </is>
      </c>
      <c r="B16" s="3" t="inlineStr">
        <is>
          <t>allocatableThisMonth</t>
        </is>
      </c>
      <c r="C16" s="3" t="inlineStr">
        <is>
          <t>src/domain/budget/index.ts</t>
        </is>
      </c>
      <c r="D16" s="3" t="n">
        <v>110</v>
      </c>
      <c r="E16" s="3" t="inlineStr">
        <is>
          <t>2 · DISPLAYED</t>
        </is>
      </c>
      <c r="F16" s="3" t="inlineStr">
        <is>
          <t>What's LEFT of this month's surplus to put to work = surplus − already-allocated this month (never &lt; 0).</t>
        </is>
      </c>
      <c r="G16" s="3" t="inlineStr">
        <is>
          <t>surplus: number · allocatedThisMonth: number | undefined</t>
        </is>
      </c>
      <c r="H16" s="3" t="inlineStr">
        <is>
          <t>number</t>
        </is>
      </c>
      <c r="I16" s="3" t="inlineStr">
        <is>
          <t>"Allocate to this goal ›" — on the Goals screen, under "YOUR GOALS"</t>
        </is>
      </c>
      <c r="J16" s="3" t="inlineStr">
        <is>
          <t>· If allocated this month is missing it counts as zero, so nothing recorded and a real zero look the same.</t>
        </is>
      </c>
      <c r="K16" s="3" t="inlineStr">
        <is>
          <t>Yes</t>
        </is>
      </c>
      <c r="L16" s="3" t="inlineStr">
        <is>
          <t>—</t>
        </is>
      </c>
      <c r="M16" s="3" t="n">
        <v>0</v>
      </c>
      <c r="N16" s="3" t="inlineStr">
        <is>
          <t>None — no dependent function stands behind it</t>
        </is>
      </c>
      <c r="O16" s="3" t="inlineStr">
        <is>
          <t>No dependent function — it reads its inputs and answers</t>
        </is>
      </c>
      <c r="P16" s="3" t="inlineStr">
        <is>
          <t>—</t>
        </is>
      </c>
      <c r="Q16" s="3" t="inlineStr">
        <is>
          <t>—</t>
        </is>
      </c>
    </row>
    <row r="17">
      <c r="A17" s="3" t="inlineStr">
        <is>
          <t>MK-PF-F-017</t>
        </is>
      </c>
      <c r="B17" s="3" t="inlineStr">
        <is>
          <t>allocation</t>
        </is>
      </c>
      <c r="C17" s="3" t="inlineStr">
        <is>
          <t>src/domain/performance/index.ts</t>
        </is>
      </c>
      <c r="D17" s="3" t="n">
        <v>244</v>
      </c>
      <c r="E17" s="3" t="inlineStr">
        <is>
          <t>2 · DISPLAYED</t>
        </is>
      </c>
      <c r="F17" s="3" t="inlineStr">
        <is>
          <t>How is my invested money spread?</t>
        </is>
      </c>
      <c r="G17" s="3" t="inlineStr">
        <is>
          <t>rows: PerformanceRow[] · cash = 0</t>
        </is>
      </c>
      <c r="H17" s="3" t="inlineStr">
        <is>
          <t>AllocSlice[]</t>
        </is>
      </c>
      <c r="I17" s="3" t="inlineStr">
        <is>
          <t>NOT FOUND — a screen calls it, but the words printed beside its answer could not be traced automatically. Needs reading.</t>
        </is>
      </c>
      <c r="J17" s="3" t="inlineStr">
        <is>
          <t>· If by kind[k] is missing it counts as zero, so nothing recorded and a real zero look the same.
· Rounds the answer to a whole number.</t>
        </is>
      </c>
      <c r="K17" s="3" t="inlineStr">
        <is>
          <t>Yes</t>
        </is>
      </c>
      <c r="L17" s="3" t="inlineStr">
        <is>
          <t>MK-ST-F-055 round2</t>
        </is>
      </c>
      <c r="M17" s="3" t="n">
        <v>1</v>
      </c>
      <c r="N17" s="3" t="inlineStr">
        <is>
          <t>MK-ST-F-055 round2</t>
        </is>
      </c>
      <c r="O17" s="3" t="inlineStr">
        <is>
          <t>MK-ST-F-055 round2 → MK-PF-F-017 allocation</t>
        </is>
      </c>
      <c r="P17" s="3" t="inlineStr">
        <is>
          <t>—</t>
        </is>
      </c>
      <c r="Q17" s="3" t="inlineStr">
        <is>
          <t>ALLOCATION_BY_HOLDING_KIND</t>
        </is>
      </c>
    </row>
    <row r="18">
      <c r="A18" s="3" t="inlineStr">
        <is>
          <t>MK-NW-F-002</t>
        </is>
      </c>
      <c r="B18" s="3" t="inlineStr">
        <is>
          <t>alternativesSummary</t>
        </is>
      </c>
      <c r="C18" s="3" t="inlineStr">
        <is>
          <t>src/domain/alternatives/index.ts</t>
        </is>
      </c>
      <c r="D18" s="3" t="n">
        <v>20</v>
      </c>
      <c r="E18" s="3" t="inlineStr">
        <is>
          <t>2 · DISPLAYED</t>
        </is>
      </c>
      <c r="F18" s="3" t="inlineStr">
        <is>
          <t>NOT DETERMINED — the code carries no note saying what this is for, and it has no row in the old inventory. Needs reading.</t>
        </is>
      </c>
      <c r="G18" s="3" t="inlineStr">
        <is>
          <t>accounts: AssetAccount[]</t>
        </is>
      </c>
      <c r="H18" s="3" t="inlineStr">
        <is>
          <t>AltSummary</t>
        </is>
      </c>
      <c r="I18" s="3" t="inlineStr">
        <is>
          <t>"EST. GROWTH / YR" — on the Other investments screen, under "ALTERNATIVES" · "EXP. RETURN" — on the Other investments screen, under "ALTERNATIVES"</t>
        </is>
      </c>
      <c r="J18" s="3" t="inlineStr">
        <is>
          <t>· If balance is missing it counts as zero, so nothing recorded and a real zero look the same.
· Rounds the answer to a whole number.
· Leaves some rows out of the answer — check which.</t>
        </is>
      </c>
      <c r="K18" s="3" t="inlineStr">
        <is>
          <t>Yes</t>
        </is>
      </c>
      <c r="L18" s="3" t="inlineStr">
        <is>
          <t>MK-NW-F-034 benchmarkReturn · MK-ST-F-055 round2</t>
        </is>
      </c>
      <c r="M18" s="3" t="n">
        <v>6</v>
      </c>
      <c r="N18" s="3" t="inlineStr">
        <is>
          <t>MK-NW-F-034 benchmarkReturn · MK-ST-F-055 round2 · MK-NW-F-007 assetKind · MK-NW-F-011 assetClassOf · MK-NW-F-008 incomeBearingClassOf · MK-ST-F-010 nameEvidence</t>
        </is>
      </c>
      <c r="O18" s="3" t="inlineStr">
        <is>
          <t>MK-ST-F-010 nameEvidence → MK-NW-F-008 incomeBearingClassOf → MK-NW-F-011 assetClassOf → MK-NW-F-007 assetKind → MK-NW-F-034 benchmarkReturn → MK-NW-F-002 alternativesSummary
MK-ST-F-055 round2 → MK-NW-F-002 alternativesSummary</t>
        </is>
      </c>
      <c r="P18" s="3" t="inlineStr">
        <is>
          <t>—</t>
        </is>
      </c>
      <c r="Q18" s="3" t="inlineStr">
        <is>
          <t>—</t>
        </is>
      </c>
    </row>
    <row r="19">
      <c r="A19" s="3" t="inlineStr">
        <is>
          <t>MK-NW-F-019</t>
        </is>
      </c>
      <c r="B19" s="3" t="inlineStr">
        <is>
          <t>alternativesTotal</t>
        </is>
      </c>
      <c r="C19" s="3" t="inlineStr">
        <is>
          <t>src/domain/assets/index.ts</t>
        </is>
      </c>
      <c r="D19" s="3" t="n">
        <v>283</v>
      </c>
      <c r="E19" s="3" t="inlineStr">
        <is>
          <t>3 · DEPENDENT (feeds an action only)</t>
        </is>
      </c>
      <c r="F19" s="3" t="inlineStr">
        <is>
          <t>NOT DETERMINED — the code carries no note saying what this is for, and it has no row in the old inventory. Needs reading.</t>
        </is>
      </c>
      <c r="G19" s="3" t="inlineStr">
        <is>
          <t>accounts: AssetAccount[]</t>
        </is>
      </c>
      <c r="H19" s="3" t="inlineStr">
        <is>
          <t>number</t>
        </is>
      </c>
      <c r="I19" s="3" t="inlineStr">
        <is>
          <t>—</t>
        </is>
      </c>
      <c r="J19" s="3" t="inlineStr">
        <is>
          <t>None found in this function — anything it assumes comes from the functions it depends on.</t>
        </is>
      </c>
      <c r="K19" s="3" t="inlineStr">
        <is>
          <t>No</t>
        </is>
      </c>
      <c r="L19" s="3" t="inlineStr">
        <is>
          <t>MK-NW-F-011 assetClassOf</t>
        </is>
      </c>
      <c r="M19" s="3" t="n">
        <v>3</v>
      </c>
      <c r="N19" s="3" t="inlineStr">
        <is>
          <t>MK-NW-F-011 assetClassOf · MK-NW-F-008 incomeBearingClassOf · MK-ST-F-010 nameEvidence</t>
        </is>
      </c>
      <c r="O19" s="3" t="inlineStr">
        <is>
          <t>MK-ST-F-010 nameEvidence → MK-NW-F-008 incomeBearingClassOf → MK-NW-F-011 assetClassOf → MK-NW-F-019 alternativesTotal</t>
        </is>
      </c>
      <c r="P19" s="3" t="inlineStr">
        <is>
          <t>—</t>
        </is>
      </c>
      <c r="Q19" s="3" t="inlineStr">
        <is>
          <t>—</t>
        </is>
      </c>
    </row>
    <row r="20">
      <c r="A20" s="3" t="inlineStr">
        <is>
          <t>MK-XS-F-057</t>
        </is>
      </c>
      <c r="B20" s="3" t="inlineStr">
        <is>
          <t>analyzeExpenses</t>
        </is>
      </c>
      <c r="C20" s="3" t="inlineStr">
        <is>
          <t>src/services/economicData.ts</t>
        </is>
      </c>
      <c r="D20" s="3" t="n">
        <v>109</v>
      </c>
      <c r="E20" s="3" t="inlineStr">
        <is>
          <t>4 · BRINGS DATA IN</t>
        </is>
      </c>
      <c r="F20" s="3" t="inlineStr">
        <is>
          <t>What is worth saying about this spending?</t>
        </is>
      </c>
      <c r="G20" s="3" t="inlineStr">
        <is>
          <t>Nothing is handed to it</t>
        </is>
      </c>
      <c r="H20" s="3" t="inlineStr">
        <is>
          <t>NOT DECLARED — the code does not say what it gives back</t>
        </is>
      </c>
      <c r="I20" s="3" t="inlineStr">
        <is>
          <t>—</t>
        </is>
      </c>
      <c r="J20" s="3" t="inlineStr">
        <is>
          <t>None found in this function — anything it assumes comes from the functions it depends on.</t>
        </is>
      </c>
      <c r="K20" s="3" t="inlineStr">
        <is>
          <t>No</t>
        </is>
      </c>
      <c r="L20" s="3" t="inlineStr">
        <is>
          <t>—</t>
        </is>
      </c>
      <c r="M20" s="3" t="n">
        <v>0</v>
      </c>
      <c r="N20" s="3" t="inlineStr">
        <is>
          <t>None — no dependent function stands behind it</t>
        </is>
      </c>
      <c r="O20" s="3" t="inlineStr">
        <is>
          <t>No dependent function — it reads its inputs and answers</t>
        </is>
      </c>
      <c r="P20" s="3" t="inlineStr">
        <is>
          <t>—</t>
        </is>
      </c>
      <c r="Q20" s="3" t="inlineStr">
        <is>
          <t>EXPENSE_COMMENTARY</t>
        </is>
      </c>
    </row>
    <row r="21">
      <c r="A21" s="3" t="inlineStr">
        <is>
          <t>MK-CF-F-053</t>
        </is>
      </c>
      <c r="B21" s="3" t="inlineStr">
        <is>
          <t>annual401kLimit</t>
        </is>
      </c>
      <c r="C21" s="3" t="inlineStr">
        <is>
          <t>src/domain/income/limits.ts</t>
        </is>
      </c>
      <c r="D21" s="3" t="n">
        <v>15</v>
      </c>
      <c r="E21" s="3" t="inlineStr">
        <is>
          <t>2 · DISPLAYED</t>
        </is>
      </c>
      <c r="F21" s="3" t="inlineStr">
        <is>
          <t>Annual employee 401(k) limit for the user's age (adds the 50+ catch-up).</t>
        </is>
      </c>
      <c r="G21" s="3" t="inlineStr">
        <is>
          <t>age: number | null</t>
        </is>
      </c>
      <c r="H21" s="3" t="inlineStr">
        <is>
          <t>number</t>
        </is>
      </c>
      <c r="I21" s="3" t="inlineStr">
        <is>
          <t>"Your contribution (per month)" — on the setup questions, which appear on more than one screen</t>
        </is>
      </c>
      <c r="J21" s="3" t="inlineStr">
        <is>
          <t>None found in this function — anything it assumes comes from the functions it depends on.</t>
        </is>
      </c>
      <c r="K21" s="3" t="inlineStr">
        <is>
          <t>Yes</t>
        </is>
      </c>
      <c r="L21" s="3" t="inlineStr">
        <is>
          <t>—</t>
        </is>
      </c>
      <c r="M21" s="3" t="n">
        <v>0</v>
      </c>
      <c r="N21" s="3" t="inlineStr">
        <is>
          <t>None — no dependent function stands behind it</t>
        </is>
      </c>
      <c r="O21" s="3" t="inlineStr">
        <is>
          <t>No dependent function — it reads its inputs and answers</t>
        </is>
      </c>
      <c r="P21" s="3" t="inlineStr">
        <is>
          <t>—</t>
        </is>
      </c>
      <c r="Q21" s="3" t="inlineStr">
        <is>
          <t>—</t>
        </is>
      </c>
    </row>
    <row r="22">
      <c r="A22" s="3" t="inlineStr">
        <is>
          <t>MK-CF-F-012</t>
        </is>
      </c>
      <c r="B22" s="3" t="inlineStr">
        <is>
          <t>annualCashflow</t>
        </is>
      </c>
      <c r="C22" s="3" t="inlineStr">
        <is>
          <t>src/domain/budget/index.ts</t>
        </is>
      </c>
      <c r="D22" s="3" t="n">
        <v>219</v>
      </c>
      <c r="E22" s="3" t="inlineStr">
        <is>
          <t>2 · DISPLAYED</t>
        </is>
      </c>
      <c r="F22" s="3" t="inlineStr">
        <is>
          <t>ONE annual cash-flow roll-up, derived entirely from the per-month income grid + spendByMonth — the SAME bases the savings-plan and budget already use.</t>
        </is>
      </c>
      <c r="G22" s="3" t="inlineStr">
        <is>
          <t>op: OnboardingProfile | null</t>
        </is>
      </c>
      <c r="H22" s="3" t="inlineStr">
        <is>
          <t>NOT DECLARED — the code does not say what it gives back</t>
        </is>
      </c>
      <c r="I22" s="3" t="inlineStr">
        <is>
          <t>NOT FOUND — a screen calls it, but the words printed beside its answer could not be traced automatically. Needs reading.</t>
        </is>
      </c>
      <c r="J22" s="3" t="inlineStr">
        <is>
          <t>None found in this function — anything it assumes comes from the functions it depends on.</t>
        </is>
      </c>
      <c r="K22" s="3" t="inlineStr">
        <is>
          <t>Yes</t>
        </is>
      </c>
      <c r="L22" s="3" t="inlineStr">
        <is>
          <t>MK-CF-F-092 incomeMonthlyGrid · MK-ST-F-055 round2 · MK-CF-F-008 spendByMonth</t>
        </is>
      </c>
      <c r="M22" s="3" t="n">
        <v>38</v>
      </c>
      <c r="N22" s="3" t="inlineStr">
        <is>
          <t>MK-CF-F-092 incomeMonthlyGrid · MK-ST-F-055 round2 · MK-CF-F-008 spendByMonth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MK-ST-F-052 toNum · MK-CF-F-004 spendBuckets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MK-CF-F-003 categoryMonthly · MK-CF-F-102 effectiveRateOnGrossFor · MK-CF-F-084 taxableAnnual · MK-CF-F-101 taxOwedFor · MK-CF-F-100 taxableIncomeFor · MK-CF-F-095 taxOwed · MK-CF-F-082 salaryAnnual · MK-CF-F-074 tipsAnnual · MK-CF-F-099 deductionFor · MK-CF-F-093 taxableIncome · MK-CF-F-081 salaryActiveMonths</t>
        </is>
      </c>
      <c r="O22" s="3" t="inlineStr">
        <is>
          <t>MK-CF-F-069 benefitActiveMonths → MK-CF-F-092 incomeMonthlyGrid → MK-CF-F-012 annualCashflow
MK-ST-F-052 toNum → MK-CF-F-075 retirementIncomeMonthly → MK-CF-F-072 currentRetirementIncomeMonthly → MK-CF-F-092 incomeMonthlyGrid → MK-CF-F-012 annualCashflow
MK-ST-F-052 toNum → MK-CF-F-062 equityRowValue → MK-CF-F-065 equityVestWeights → MK-CF-F-092 incomeMonthlyGrid → MK-CF-F-012 annualCashflow
MK-CF-F-069 benefitActiveMonths → MK-CF-F-070 benefitAnnual → MK-CF-F-071 extraIncome → MK-CF-F-092 incomeMonthlyGrid → MK-CF-F-012 annualCashflow
MK-ST-F-052 toNum → MK-CF-F-070 benefitAnnual → MK-CF-F-071 extraIncome → MK-CF-F-092 incomeMonthlyGrid → MK-CF-F-012 annualCashflow
MK-ST-F-055 round2 → MK-CF-F-071 extraIncome → MK-CF-F-092 incomeMonthlyGrid → MK-CF-F-012 annualCashflow
MK-ST-F-052 toNum → MK-CF-F-071 extraIncome → MK-CF-F-092 incomeMonthlyGrid → MK-CF-F-012 annualCashflow
MK-CF-F-101 taxOwedFor → MK-CF-F-102 effectiveRateOnGrossFor → MK-CF-F-090 effectiveRate → MK-CF-F-087 monthlyTaxRates → MK-CF-F-092 incomeMonthlyGrid → MK-CF-F-012 annualCashflow
… and 46 more paths</t>
        </is>
      </c>
      <c r="P22" s="3" t="inlineStr">
        <is>
          <t>—</t>
        </is>
      </c>
      <c r="Q22" s="3" t="inlineStr">
        <is>
          <t>—</t>
        </is>
      </c>
    </row>
    <row r="23">
      <c r="A23" s="3" t="inlineStr">
        <is>
          <t>MK-NW-F-057</t>
        </is>
      </c>
      <c r="B23" s="3" t="inlineStr">
        <is>
          <t>annualCoupon</t>
        </is>
      </c>
      <c r="C23" s="3" t="inlineStr">
        <is>
          <t>src/domain/bonds/index.ts</t>
        </is>
      </c>
      <c r="D23" s="3" t="n">
        <v>21</v>
      </c>
      <c r="E23" s="3" t="inlineStr">
        <is>
          <t>2 · DISPLAYED</t>
        </is>
      </c>
      <c r="F23" s="3" t="inlineStr">
        <is>
          <t>Annual coupon income = face value × coupon rate (paid as cash).</t>
        </is>
      </c>
      <c r="G23" s="3" t="inlineStr">
        <is>
          <t>b: BondInfo</t>
        </is>
      </c>
      <c r="H23" s="3" t="inlineStr">
        <is>
          <t>number</t>
        </is>
      </c>
      <c r="I23" s="3" t="inlineStr">
        <is>
          <t>"Interest payments" — on the Account detail screen</t>
        </is>
      </c>
      <c r="J23" s="3" t="inlineStr">
        <is>
          <t>None found in this function — anything it assumes comes from the functions it depends on.</t>
        </is>
      </c>
      <c r="K23" s="3" t="inlineStr">
        <is>
          <t>Yes</t>
        </is>
      </c>
      <c r="L23" s="3" t="inlineStr">
        <is>
          <t>MK-ST-F-055 round2</t>
        </is>
      </c>
      <c r="M23" s="3" t="n">
        <v>1</v>
      </c>
      <c r="N23" s="3" t="inlineStr">
        <is>
          <t>MK-ST-F-055 round2</t>
        </is>
      </c>
      <c r="O23" s="3" t="inlineStr">
        <is>
          <t>MK-ST-F-055 round2 → MK-NW-F-057 annualCoupon</t>
        </is>
      </c>
      <c r="P23" s="3" t="inlineStr">
        <is>
          <t>MK-NW-M-024 · MK-NW-M-043</t>
        </is>
      </c>
      <c r="Q23" s="3" t="inlineStr">
        <is>
          <t>BOND_COUPON</t>
        </is>
      </c>
    </row>
    <row r="24">
      <c r="A24" s="3" t="inlineStr">
        <is>
          <t>MK-CF-F-055</t>
        </is>
      </c>
      <c r="B24" s="3" t="inlineStr">
        <is>
          <t>annualHsaLimit</t>
        </is>
      </c>
      <c r="C24" s="3" t="inlineStr">
        <is>
          <t>src/domain/income/limits.ts</t>
        </is>
      </c>
      <c r="D24" s="3" t="n">
        <v>21</v>
      </c>
      <c r="E24" s="3" t="inlineStr">
        <is>
          <t>2 · DISPLAYED</t>
        </is>
      </c>
      <c r="F24" s="3" t="inlineStr">
        <is>
          <t>NOT DETERMINED — the code carries no note saying what this is for, and it has no row in the old inventory. Needs reading.</t>
        </is>
      </c>
      <c r="G24" s="3" t="inlineStr">
        <is>
          <t>age: number | null · family = false</t>
        </is>
      </c>
      <c r="H24" s="3" t="inlineStr">
        <is>
          <t>number</t>
        </is>
      </c>
      <c r="I24" s="3" t="inlineStr">
        <is>
          <t>NOT FOUND — a screen calls it, but the words printed beside its answer could not be traced automatically. Needs reading.</t>
        </is>
      </c>
      <c r="J24" s="3" t="inlineStr">
        <is>
          <t>None found in this function — anything it assumes comes from the functions it depends on.</t>
        </is>
      </c>
      <c r="K24" s="3" t="inlineStr">
        <is>
          <t>Yes</t>
        </is>
      </c>
      <c r="L24" s="3" t="inlineStr">
        <is>
          <t>—</t>
        </is>
      </c>
      <c r="M24" s="3" t="n">
        <v>0</v>
      </c>
      <c r="N24" s="3" t="inlineStr">
        <is>
          <t>None — no dependent function stands behind it</t>
        </is>
      </c>
      <c r="O24" s="3" t="inlineStr">
        <is>
          <t>No dependent function — it reads its inputs and answers</t>
        </is>
      </c>
      <c r="P24" s="3" t="inlineStr">
        <is>
          <t>—</t>
        </is>
      </c>
      <c r="Q24" s="3" t="inlineStr">
        <is>
          <t>—</t>
        </is>
      </c>
    </row>
    <row r="25">
      <c r="A25" s="3" t="inlineStr">
        <is>
          <t>MK-CF-F-054</t>
        </is>
      </c>
      <c r="B25" s="3" t="inlineStr">
        <is>
          <t>annualIraLimit</t>
        </is>
      </c>
      <c r="C25" s="3" t="inlineStr">
        <is>
          <t>src/domain/income/limits.ts</t>
        </is>
      </c>
      <c r="D25" s="3" t="n">
        <v>18</v>
      </c>
      <c r="E25" s="3" t="inlineStr">
        <is>
          <t>2 · DISPLAYED</t>
        </is>
      </c>
      <c r="F25" s="3" t="inlineStr">
        <is>
          <t>NOT DETERMINED — the code carries no note saying what this is for, and it has no row in the old inventory. Needs reading.</t>
        </is>
      </c>
      <c r="G25" s="3" t="inlineStr">
        <is>
          <t>age: number | null</t>
        </is>
      </c>
      <c r="H25" s="3" t="inlineStr">
        <is>
          <t>number</t>
        </is>
      </c>
      <c r="I25" s="3" t="inlineStr">
        <is>
          <t>"Tax-smart moves" — on the Retirement cockpit screen</t>
        </is>
      </c>
      <c r="J25" s="3" t="inlineStr">
        <is>
          <t>None found in this function — anything it assumes comes from the functions it depends on.</t>
        </is>
      </c>
      <c r="K25" s="3" t="inlineStr">
        <is>
          <t>Yes</t>
        </is>
      </c>
      <c r="L25" s="3" t="inlineStr">
        <is>
          <t>—</t>
        </is>
      </c>
      <c r="M25" s="3" t="n">
        <v>0</v>
      </c>
      <c r="N25" s="3" t="inlineStr">
        <is>
          <t>None — no dependent function stands behind it</t>
        </is>
      </c>
      <c r="O25" s="3" t="inlineStr">
        <is>
          <t>No dependent function — it reads its inputs and answers</t>
        </is>
      </c>
      <c r="P25" s="3" t="inlineStr">
        <is>
          <t>—</t>
        </is>
      </c>
      <c r="Q25" s="3" t="inlineStr">
        <is>
          <t>—</t>
        </is>
      </c>
    </row>
    <row r="26">
      <c r="A26" s="3" t="inlineStr">
        <is>
          <t>MK-CF-F-044</t>
        </is>
      </c>
      <c r="B26" s="3" t="inlineStr">
        <is>
          <t>annualNet</t>
        </is>
      </c>
      <c r="C26" s="3" t="inlineStr">
        <is>
          <t>src/domain/income/calc.ts</t>
        </is>
      </c>
      <c r="D26" s="3" t="n">
        <v>11</v>
      </c>
      <c r="E26" s="3" t="inlineStr">
        <is>
          <t>3 · DEPENDENT</t>
        </is>
      </c>
      <c r="F26" s="3" t="inlineStr">
        <is>
          <t>Annual NET contribution of a source: jobs use gross; rentals net out operating expenses.</t>
        </is>
      </c>
      <c r="G26" s="3" t="inlineStr">
        <is>
          <t>s: IncomeSource</t>
        </is>
      </c>
      <c r="H26" s="3" t="inlineStr">
        <is>
          <t>number</t>
        </is>
      </c>
      <c r="I26" s="3" t="inlineStr">
        <is>
          <t>—</t>
        </is>
      </c>
      <c r="J26" s="3" t="inlineStr">
        <is>
          <t>· If operating expenses is missing it counts as zero, so nothing recorded and a real zero look the same.</t>
        </is>
      </c>
      <c r="K26" s="3" t="inlineStr">
        <is>
          <t>Yes</t>
        </is>
      </c>
      <c r="L26" s="3" t="inlineStr">
        <is>
          <t>—</t>
        </is>
      </c>
      <c r="M26" s="3" t="n">
        <v>0</v>
      </c>
      <c r="N26" s="3" t="inlineStr">
        <is>
          <t>None — no dependent function stands behind it</t>
        </is>
      </c>
      <c r="O26" s="3" t="inlineStr">
        <is>
          <t>No dependent function — it reads its inputs and answers</t>
        </is>
      </c>
      <c r="P26" s="3" t="inlineStr">
        <is>
          <t>—</t>
        </is>
      </c>
      <c r="Q26" s="3" t="inlineStr">
        <is>
          <t>—</t>
        </is>
      </c>
    </row>
    <row r="27">
      <c r="A27" s="3" t="inlineStr">
        <is>
          <t>MK-CF-F-059</t>
        </is>
      </c>
      <c r="B27" s="3" t="inlineStr">
        <is>
          <t>annualizedEnteredSalary</t>
        </is>
      </c>
      <c r="C27" s="3" t="inlineStr">
        <is>
          <t>src/domain/income/onboarding.ts</t>
        </is>
      </c>
      <c r="D27" s="3" t="n">
        <v>24</v>
      </c>
      <c r="E27" s="3" t="inlineStr">
        <is>
          <t>3 · DEPENDENT (feeds an action only)</t>
        </is>
      </c>
      <c r="F27" s="3" t="inlineStr">
        <is>
          <t>Annual amount of what the user ENTERED (not grossed up) — for display.</t>
        </is>
      </c>
      <c r="G27" s="3" t="inlineStr">
        <is>
          <t>op: OnboardingProfile | null</t>
        </is>
      </c>
      <c r="H27" s="3" t="inlineStr">
        <is>
          <t>number</t>
        </is>
      </c>
      <c r="I27" s="3" t="inlineStr">
        <is>
          <t>—</t>
        </is>
      </c>
      <c r="J27" s="3" t="inlineStr">
        <is>
          <t>· If salary freq] is missing it uses 12.
· Treats a year as twelve equal months.</t>
        </is>
      </c>
      <c r="K27" s="3" t="inlineStr">
        <is>
          <t>No</t>
        </is>
      </c>
      <c r="L27" s="3" t="inlineStr">
        <is>
          <t>MK-ST-F-052 toNum</t>
        </is>
      </c>
      <c r="M27" s="3" t="n">
        <v>1</v>
      </c>
      <c r="N27" s="3" t="inlineStr">
        <is>
          <t>MK-ST-F-052 toNum</t>
        </is>
      </c>
      <c r="O27" s="3" t="inlineStr">
        <is>
          <t>MK-ST-F-052 toNum → MK-CF-F-059 annualizedEnteredSalary</t>
        </is>
      </c>
      <c r="P27" s="3" t="inlineStr">
        <is>
          <t>—</t>
        </is>
      </c>
      <c r="Q27" s="3" t="inlineStr">
        <is>
          <t>—</t>
        </is>
      </c>
    </row>
    <row r="28">
      <c r="A28" s="3" t="inlineStr">
        <is>
          <t>MK-CF-F-111</t>
        </is>
      </c>
      <c r="B28" s="3" t="inlineStr">
        <is>
          <t>applyTransaction</t>
        </is>
      </c>
      <c r="C28" s="3" t="inlineStr">
        <is>
          <t>src/domain/transactions/index.ts</t>
        </is>
      </c>
      <c r="D28" s="3" t="n">
        <v>114</v>
      </c>
      <c r="E28" s="3" t="inlineStr">
        <is>
          <t>3 · DEPENDENT (feeds an action only)</t>
        </is>
      </c>
      <c r="F28" s="3" t="inlineStr">
        <is>
          <t>Apply one transaction to the accounts (pure).</t>
        </is>
      </c>
      <c r="G28" s="3" t="inlineStr">
        <is>
          <t>accounts: AssetAccount[] · t: Transaction</t>
        </is>
      </c>
      <c r="H28" s="3" t="inlineStr">
        <is>
          <t>AssetAccount[]</t>
        </is>
      </c>
      <c r="I28" s="3" t="inlineStr">
        <is>
          <t>—</t>
        </is>
      </c>
      <c r="J28" s="3" t="inlineStr">
        <is>
          <t>· If shares is missing it counts as zero, so nothing recorded and a real zero look the same.
· If price is missing it counts as zero, so nothing recorded and a real zero look the same.
· If amount is missing it counts as zero, so nothing recorded and a real zero look the same.
· If balance is missing it counts as zero, so nothing recorded and a real zero look the same.
· Leaves some rows out of the answer — check which.</t>
        </is>
      </c>
      <c r="K28" s="3" t="inlineStr">
        <is>
          <t>No</t>
        </is>
      </c>
      <c r="L28" s="3" t="inlineStr">
        <is>
          <t>MK-ST-F-055 round2 · MK-PF-F-001 totalShares</t>
        </is>
      </c>
      <c r="M28" s="3" t="n">
        <v>2</v>
      </c>
      <c r="N28" s="3" t="inlineStr">
        <is>
          <t>MK-ST-F-055 round2 · MK-PF-F-001 totalShares</t>
        </is>
      </c>
      <c r="O28" s="3" t="inlineStr">
        <is>
          <t>MK-ST-F-055 round2 → MK-CF-F-111 applyTransaction
MK-PF-F-001 totalShares → MK-CF-F-111 applyTransaction</t>
        </is>
      </c>
      <c r="P28" s="3" t="inlineStr">
        <is>
          <t>—</t>
        </is>
      </c>
      <c r="Q28" s="3" t="inlineStr">
        <is>
          <t>—</t>
        </is>
      </c>
    </row>
    <row r="29">
      <c r="A29" s="3" t="inlineStr">
        <is>
          <t>MK-NW-F-060</t>
        </is>
      </c>
      <c r="B29" s="3" t="inlineStr">
        <is>
          <t>approxYTM</t>
        </is>
      </c>
      <c r="C29" s="3" t="inlineStr">
        <is>
          <t>src/domain/bonds/index.ts</t>
        </is>
      </c>
      <c r="D29" s="3" t="n">
        <v>33</v>
      </c>
      <c r="E29" s="3" t="inlineStr">
        <is>
          <t>2 · DISPLAYED</t>
        </is>
      </c>
      <c r="F29" s="3" t="inlineStr">
        <is>
          <t>Approximate yield to maturity (standard approximation), decimal.</t>
        </is>
      </c>
      <c r="G29" s="3" t="inlineStr">
        <is>
          <t>b: BondInfo · now: Date = new Date()</t>
        </is>
      </c>
      <c r="H29" s="3" t="inlineStr">
        <is>
          <t>number | null</t>
        </is>
      </c>
      <c r="I29" s="3" t="inlineStr">
        <is>
          <t>"Yield if held to maturity" — on the Account detail screen</t>
        </is>
      </c>
      <c r="J29" s="3" t="inlineStr">
        <is>
          <t>· Uses today's date from the device clock, so the answer changes by itself overnight.
· Rounds the answer to a whole number.</t>
        </is>
      </c>
      <c r="K29" s="3" t="inlineStr">
        <is>
          <t>Yes</t>
        </is>
      </c>
      <c r="L29" s="3" t="inlineStr">
        <is>
          <t>MK-NW-F-057 annualCoupon · MK-NW-F-058 yearsToMaturity</t>
        </is>
      </c>
      <c r="M29" s="3" t="n">
        <v>3</v>
      </c>
      <c r="N29" s="3" t="inlineStr">
        <is>
          <t>MK-NW-F-057 annualCoupon · MK-NW-F-058 yearsToMaturity · MK-ST-F-055 round2</t>
        </is>
      </c>
      <c r="O29" s="3" t="inlineStr">
        <is>
          <t>MK-ST-F-055 round2 → MK-NW-F-057 annualCoupon → MK-NW-F-060 approxYTM
MK-NW-F-058 yearsToMaturity → MK-NW-F-060 approxYTM</t>
        </is>
      </c>
      <c r="P29" s="3" t="inlineStr">
        <is>
          <t>MK-NW-M-026</t>
        </is>
      </c>
      <c r="Q29" s="3" t="inlineStr">
        <is>
          <t>BOND_YIELD_TO_MATURITY</t>
        </is>
      </c>
    </row>
    <row r="30">
      <c r="A30" s="3" t="inlineStr">
        <is>
          <t>MK-NW-F-029</t>
        </is>
      </c>
      <c r="B30" s="3" t="inlineStr">
        <is>
          <t>assetAllocation</t>
        </is>
      </c>
      <c r="C30" s="3" t="inlineStr">
        <is>
          <t>src/domain/assets/index.ts</t>
        </is>
      </c>
      <c r="D30" s="3" t="n">
        <v>502</v>
      </c>
      <c r="E30" s="3" t="inlineStr">
        <is>
          <t>2 · DISPLAYED</t>
        </is>
      </c>
      <c r="F30" s="3" t="inlineStr">
        <is>
          <t>How much money sits in each of the seven classes?</t>
        </is>
      </c>
      <c r="G30" s="3" t="inlineStr">
        <is>
          <t>accounts: AssetAccount[]</t>
        </is>
      </c>
      <c r="H30" s="3" t="inlineStr">
        <is>
          <t>Record&lt;AssetClass, number&gt;</t>
        </is>
      </c>
      <c r="I30" s="3" t="inlineStr">
        <is>
          <t>NOT FOUND — a screen calls it, but the words printed beside its answer could not be traced automatically. Needs reading.</t>
        </is>
      </c>
      <c r="J30" s="3" t="inlineStr">
        <is>
          <t>· If balance is missing it counts as zero, so nothing recorded and a real zero look the same.</t>
        </is>
      </c>
      <c r="K30" s="3" t="inlineStr">
        <is>
          <t>Yes</t>
        </is>
      </c>
      <c r="L30" s="3" t="inlineStr">
        <is>
          <t>MK-NW-F-027 accountClassBreakdown · MK-NW-F-011 assetClassOf · MK-ST-F-055 round2</t>
        </is>
      </c>
      <c r="M30" s="3" t="n">
        <v>5</v>
      </c>
      <c r="N30" s="3" t="inlineStr">
        <is>
          <t>MK-NW-F-027 accountClassBreakdown · MK-NW-F-011 assetClassOf · MK-ST-F-055 round2 · MK-NW-F-008 incomeBearingClassOf · MK-ST-F-010 nameEvidence</t>
        </is>
      </c>
      <c r="O30" s="3" t="inlineStr">
        <is>
          <t>MK-ST-F-010 nameEvidence → MK-NW-F-008 incomeBearingClassOf → MK-NW-F-011 assetClassOf → MK-NW-F-027 accountClassBreakdown → MK-NW-F-029 assetAllocation
MK-ST-F-010 nameEvidence → MK-NW-F-008 incomeBearingClassOf → MK-NW-F-027 accountClassBreakdown → MK-NW-F-029 assetAllocation
MK-ST-F-055 round2 → MK-NW-F-027 accountClassBreakdown → MK-NW-F-029 assetAllocation
MK-ST-F-010 nameEvidence → MK-NW-F-008 incomeBearingClassOf → MK-NW-F-011 assetClassOf → MK-NW-F-029 assetAllocation
MK-ST-F-055 round2 → MK-NW-F-029 assetAllocation</t>
        </is>
      </c>
      <c r="P30" s="3" t="inlineStr">
        <is>
          <t>MK-NW-M-007</t>
        </is>
      </c>
      <c r="Q30" s="3" t="inlineStr">
        <is>
          <t>ALLOCATION_BY_CLASS</t>
        </is>
      </c>
    </row>
    <row r="31">
      <c r="A31" s="3" t="inlineStr">
        <is>
          <t>MK-NW-F-011</t>
        </is>
      </c>
      <c r="B31" s="3" t="inlineStr">
        <is>
          <t>assetClassOf</t>
        </is>
      </c>
      <c r="C31" s="3" t="inlineStr">
        <is>
          <t>src/domain/assets/index.ts</t>
        </is>
      </c>
      <c r="D31" s="3" t="n">
        <v>221</v>
      </c>
      <c r="E31" s="3" t="inlineStr">
        <is>
          <t>2 · DISPLAYED</t>
        </is>
      </c>
      <c r="F31" s="3" t="inlineStr">
        <is>
          <t>WHAT the account is (asset class).</t>
        </is>
      </c>
      <c r="G31" s="3" t="inlineStr">
        <is>
          <t>a: AssetAccount</t>
        </is>
      </c>
      <c r="H31" s="3" t="inlineStr">
        <is>
          <t>AssetClass</t>
        </is>
      </c>
      <c r="I31" s="3" t="inlineStr">
        <is>
          <t>"Bonds &amp; alternatives — recorded on their own pages" — on the Performance screen</t>
        </is>
      </c>
      <c r="J31" s="3" t="inlineStr">
        <is>
          <t>None found in this function — anything it assumes comes from the functions it depends on.</t>
        </is>
      </c>
      <c r="K31" s="3" t="inlineStr">
        <is>
          <t>Yes</t>
        </is>
      </c>
      <c r="L31" s="3" t="inlineStr">
        <is>
          <t>MK-NW-F-008 incomeBearingClassOf</t>
        </is>
      </c>
      <c r="M31" s="3" t="n">
        <v>2</v>
      </c>
      <c r="N31" s="3" t="inlineStr">
        <is>
          <t>MK-NW-F-008 incomeBearingClassOf · MK-ST-F-010 nameEvidence</t>
        </is>
      </c>
      <c r="O31" s="3" t="inlineStr">
        <is>
          <t>MK-ST-F-010 nameEvidence → MK-NW-F-008 incomeBearingClassOf → MK-NW-F-011 assetClassOf</t>
        </is>
      </c>
      <c r="P31" s="3" t="inlineStr">
        <is>
          <t>—</t>
        </is>
      </c>
      <c r="Q31" s="3" t="inlineStr">
        <is>
          <t>ASSET_CLASS_OF_ACCOUNT</t>
        </is>
      </c>
    </row>
    <row r="32">
      <c r="A32" s="3" t="inlineStr">
        <is>
          <t>MK-NW-F-007</t>
        </is>
      </c>
      <c r="B32" s="3" t="inlineStr">
        <is>
          <t>assetKind</t>
        </is>
      </c>
      <c r="C32" s="3" t="inlineStr">
        <is>
          <t>src/domain/assets/index.ts</t>
        </is>
      </c>
      <c r="D32" s="3" t="n">
        <v>167</v>
      </c>
      <c r="E32" s="3" t="inlineStr">
        <is>
          <t>2 · DISPLAYED</t>
        </is>
      </c>
      <c r="F32" s="3" t="inlineStr">
        <is>
          <t>What do we know about this kind of account?</t>
        </is>
      </c>
      <c r="G32" s="3" t="inlineStr">
        <is>
          <t>id?: string</t>
        </is>
      </c>
      <c r="H32" s="3" t="inlineStr">
        <is>
          <t>NOT DECLARED — the code does not say what it gives back</t>
        </is>
      </c>
      <c r="I32" s="3" t="inlineStr">
        <is>
          <t>"ACCOUNTS / INVESTING" — on a card used on more than one screen (MoneySheets) · "EST. GROWTH / YR" — on the Other investments screen, under "ALTERNATIVES" · "Type" — on the Account detail screen · "Type" — on the Other investments screen</t>
        </is>
      </c>
      <c r="J32" s="3" t="inlineStr">
        <is>
          <t>None found in this function — anything it assumes comes from the functions it depends on.</t>
        </is>
      </c>
      <c r="K32" s="3" t="inlineStr">
        <is>
          <t>Yes</t>
        </is>
      </c>
      <c r="L32" s="3" t="inlineStr">
        <is>
          <t>MK-NW-F-011 assetClassOf</t>
        </is>
      </c>
      <c r="M32" s="3" t="n">
        <v>3</v>
      </c>
      <c r="N32" s="3" t="inlineStr">
        <is>
          <t>MK-NW-F-011 assetClassOf · MK-NW-F-008 incomeBearingClassOf · MK-ST-F-010 nameEvidence</t>
        </is>
      </c>
      <c r="O32" s="3" t="inlineStr">
        <is>
          <t>MK-ST-F-010 nameEvidence → MK-NW-F-008 incomeBearingClassOf → MK-NW-F-011 assetClassOf → MK-NW-F-007 assetKind</t>
        </is>
      </c>
      <c r="P32" s="3" t="inlineStr">
        <is>
          <t>—</t>
        </is>
      </c>
      <c r="Q32" s="3" t="inlineStr">
        <is>
          <t>ACCOUNT_TYPE_FACTS</t>
        </is>
      </c>
    </row>
    <row r="33">
      <c r="A33" s="3" t="inlineStr">
        <is>
          <t>MK-NW-F-040</t>
        </is>
      </c>
      <c r="B33" s="3" t="inlineStr">
        <is>
          <t>assetsFromOnboarding</t>
        </is>
      </c>
      <c r="C33" s="3" t="inlineStr">
        <is>
          <t>src/domain/assets/index.ts</t>
        </is>
      </c>
      <c r="D33" s="3" t="n">
        <v>675</v>
      </c>
      <c r="E33" s="3" t="inlineStr">
        <is>
          <t>3 · DEPENDENT</t>
        </is>
      </c>
      <c r="F33" s="3" t="inlineStr">
        <is>
          <t>Build asset accounts from onboarding answers (accumulation: retirement savings + holdings).</t>
        </is>
      </c>
      <c r="G33" s="3" t="inlineStr">
        <is>
          <t>uid: UserId · op: Record&lt;string, any&gt; | null</t>
        </is>
      </c>
      <c r="H33" s="3" t="inlineStr">
        <is>
          <t>AssetsDoc</t>
        </is>
      </c>
      <c r="I33" s="3" t="inlineStr">
        <is>
          <t>—</t>
        </is>
      </c>
      <c r="J33" s="3" t="inlineStr">
        <is>
          <t>None found in this function — anything it assumes comes from the functions it depends on.</t>
        </is>
      </c>
      <c r="K33" s="3" t="inlineStr">
        <is>
          <t>Yes</t>
        </is>
      </c>
      <c r="L33" s="3" t="inlineStr">
        <is>
          <t>MK-ST-F-043 newEntityId · MK-ST-F-052 toNum</t>
        </is>
      </c>
      <c r="M33" s="3" t="n">
        <v>2</v>
      </c>
      <c r="N33" s="3" t="inlineStr">
        <is>
          <t>MK-ST-F-043 newEntityId · MK-ST-F-052 toNum</t>
        </is>
      </c>
      <c r="O33" s="3" t="inlineStr">
        <is>
          <t>MK-ST-F-043 newEntityId → MK-NW-F-040 assetsFromOnboarding
MK-ST-F-052 toNum → MK-NW-F-040 assetsFromOnboarding</t>
        </is>
      </c>
      <c r="P33" s="3" t="inlineStr">
        <is>
          <t>—</t>
        </is>
      </c>
      <c r="Q33" s="3" t="inlineStr">
        <is>
          <t>ACCOUNTS_FROM_SETUP</t>
        </is>
      </c>
    </row>
    <row r="34">
      <c r="A34" s="3" t="inlineStr">
        <is>
          <t>MK-PF-F-016</t>
        </is>
      </c>
      <c r="B34" s="3" t="inlineStr">
        <is>
          <t>attribution</t>
        </is>
      </c>
      <c r="C34" s="3" t="inlineStr">
        <is>
          <t>src/domain/performance/index.ts</t>
        </is>
      </c>
      <c r="D34" s="3" t="n">
        <v>233</v>
      </c>
      <c r="E34" s="3" t="inlineStr">
        <is>
          <t>2 · DISPLAYED</t>
        </is>
      </c>
      <c r="F34" s="3" t="inlineStr">
        <is>
          <t>Per-holding contribution to the portfolio's period return = weight × the holding's return (pts).</t>
        </is>
      </c>
      <c r="G34" s="3" t="inlineStr">
        <is>
          <t>rows: PerformanceRow[]</t>
        </is>
      </c>
      <c r="H34" s="3" t="inlineStr">
        <is>
          <t>NOT DECLARED — the code does not say what it gives back</t>
        </is>
      </c>
      <c r="I34" s="3" t="inlineStr">
        <is>
          <t>NOT FOUND — a screen calls it, but the words printed beside its answer could not be traced automatically. Needs reading.</t>
        </is>
      </c>
      <c r="J34" s="3" t="inlineStr">
        <is>
          <t>· Rounds the answer to a whole number.
· Leaves some rows out of the answer — check which.</t>
        </is>
      </c>
      <c r="K34" s="3" t="inlineStr">
        <is>
          <t>Yes</t>
        </is>
      </c>
      <c r="L34" s="3" t="inlineStr">
        <is>
          <t>—</t>
        </is>
      </c>
      <c r="M34" s="3" t="n">
        <v>0</v>
      </c>
      <c r="N34" s="3" t="inlineStr">
        <is>
          <t>None — no dependent function stands behind it</t>
        </is>
      </c>
      <c r="O34" s="3" t="inlineStr">
        <is>
          <t>No dependent function — it reads its inputs and answers</t>
        </is>
      </c>
      <c r="P34" s="3" t="inlineStr">
        <is>
          <t>—</t>
        </is>
      </c>
      <c r="Q34" s="3" t="inlineStr">
        <is>
          <t>WHAT_DROVE_THE_RETURN</t>
        </is>
      </c>
    </row>
    <row r="35">
      <c r="A35" s="3" t="inlineStr">
        <is>
          <t>MK-XS-F-035</t>
        </is>
      </c>
      <c r="B35" s="3" t="inlineStr">
        <is>
          <t>authenticate</t>
        </is>
      </c>
      <c r="C35" s="3" t="inlineStr">
        <is>
          <t>src/services/appLock.ts</t>
        </is>
      </c>
      <c r="D35" s="3" t="n">
        <v>29</v>
      </c>
      <c r="E35" s="3" t="inlineStr">
        <is>
          <t>2 · DISPLAYED</t>
        </is>
      </c>
      <c r="F35" s="3" t="inlineStr">
        <is>
          <t>Prompt for Face ID / Touch ID / device passcode.</t>
        </is>
      </c>
      <c r="G35" s="3" t="inlineStr">
        <is>
          <t>reason = 'Unlock MoneyKeel'</t>
        </is>
      </c>
      <c r="H35" s="3" t="inlineStr">
        <is>
          <t>Promise&lt;boolean&gt;</t>
        </is>
      </c>
      <c r="I35" s="3" t="inlineStr">
        <is>
          <t>NOT FOUND — a screen calls it, but the words printed beside its answer could not be traced automatically. Needs reading.</t>
        </is>
      </c>
      <c r="J35" s="3" t="inlineStr">
        <is>
          <t>None found in this function — anything it assumes comes from the functions it depends on.</t>
        </is>
      </c>
      <c r="K35" s="3" t="inlineStr">
        <is>
          <t>Yes</t>
        </is>
      </c>
      <c r="L35" s="3" t="inlineStr">
        <is>
          <t>—</t>
        </is>
      </c>
      <c r="M35" s="3" t="n">
        <v>0</v>
      </c>
      <c r="N35" s="3" t="inlineStr">
        <is>
          <t>None — no dependent function stands behind it</t>
        </is>
      </c>
      <c r="O35" s="3" t="inlineStr">
        <is>
          <t>No dependent function — it reads its inputs and answers</t>
        </is>
      </c>
      <c r="P35" s="3" t="inlineStr">
        <is>
          <t>—</t>
        </is>
      </c>
      <c r="Q35" s="3" t="inlineStr">
        <is>
          <t>—</t>
        </is>
      </c>
    </row>
    <row r="36">
      <c r="A36" s="3" t="inlineStr">
        <is>
          <t>MK-PL-F-016</t>
        </is>
      </c>
      <c r="B36" s="3" t="inlineStr">
        <is>
          <t>availableToSaveSummary</t>
        </is>
      </c>
      <c r="C36" s="3" t="inlineStr">
        <is>
          <t>src/domain/goals/index.ts</t>
        </is>
      </c>
      <c r="D36" s="3" t="n">
        <v>70</v>
      </c>
      <c r="E36" s="3" t="inlineStr">
        <is>
          <t>2 · DISPLAYED</t>
        </is>
      </c>
      <c r="F36" s="3" t="inlineStr">
        <is>
          <t>Summarize per-month available-to-save from a 12-month cash-flow grid.</t>
        </is>
      </c>
      <c r="G36" s="3" t="inlineStr">
        <is>
          <t>grid: { label: string; amount: number }[]</t>
        </is>
      </c>
      <c r="H36" s="3" t="inlineStr">
        <is>
          <t>SaveCapacity</t>
        </is>
      </c>
      <c r="I36" s="3" t="inlineStr">
        <is>
          <t>"Plan" — on the Goals screen</t>
        </is>
      </c>
      <c r="J36" s="3" t="inlineStr">
        <is>
          <t>· Applies a built-in rate of 25% to avg.
· Rounds the answer to a whole number.</t>
        </is>
      </c>
      <c r="K36" s="3" t="inlineStr">
        <is>
          <t>Yes</t>
        </is>
      </c>
      <c r="L36" s="3" t="inlineStr">
        <is>
          <t>—</t>
        </is>
      </c>
      <c r="M36" s="3" t="n">
        <v>0</v>
      </c>
      <c r="N36" s="3" t="inlineStr">
        <is>
          <t>None — no dependent function stands behind it</t>
        </is>
      </c>
      <c r="O36" s="3" t="inlineStr">
        <is>
          <t>No dependent function — it reads its inputs and answers</t>
        </is>
      </c>
      <c r="P36" s="3" t="inlineStr">
        <is>
          <t>—</t>
        </is>
      </c>
      <c r="Q36" s="3" t="inlineStr">
        <is>
          <t>—</t>
        </is>
      </c>
    </row>
    <row r="37">
      <c r="A37" s="3" t="inlineStr">
        <is>
          <t>MK-PF-F-003</t>
        </is>
      </c>
      <c r="B37" s="3" t="inlineStr">
        <is>
          <t>avgCost</t>
        </is>
      </c>
      <c r="C37" s="3" t="inlineStr">
        <is>
          <t>src/domain/performance/index.ts</t>
        </is>
      </c>
      <c r="D37" s="3" t="n">
        <v>43</v>
      </c>
      <c r="E37" s="3" t="inlineStr">
        <is>
          <t>2 · DISPLAYED</t>
        </is>
      </c>
      <c r="F37" s="3" t="inlineStr">
        <is>
          <t>NOT DETERMINED — the code carries no note saying what this is for, and it has no row in the old inventory. Needs reading.</t>
        </is>
      </c>
      <c r="G37" s="3" t="inlineStr">
        <is>
          <t>p: Position</t>
        </is>
      </c>
      <c r="H37" s="3" t="inlineStr">
        <is>
          <t>number</t>
        </is>
      </c>
      <c r="I37" s="3" t="inlineStr">
        <is>
          <t>NOT FOUND — a screen calls it, but the words printed beside its answer could not be traced automatically. Needs reading.</t>
        </is>
      </c>
      <c r="J37" s="3" t="inlineStr">
        <is>
          <t>None found in this function — anything it assumes comes from the functions it depends on.</t>
        </is>
      </c>
      <c r="K37" s="3" t="inlineStr">
        <is>
          <t>Yes</t>
        </is>
      </c>
      <c r="L37" s="3" t="inlineStr">
        <is>
          <t>MK-PF-F-002 costBasis · MK-ST-F-055 round2 · MK-PF-F-001 totalShares</t>
        </is>
      </c>
      <c r="M37" s="3" t="n">
        <v>3</v>
      </c>
      <c r="N37" s="3" t="inlineStr">
        <is>
          <t>MK-PF-F-002 costBasis · MK-ST-F-055 round2 · MK-PF-F-001 totalShares</t>
        </is>
      </c>
      <c r="O37" s="3" t="inlineStr">
        <is>
          <t>MK-ST-F-055 round2 → MK-PF-F-002 costBasis → MK-PF-F-003 avgCost
MK-ST-F-055 round2 → MK-PF-F-003 avgCost
MK-PF-F-001 totalShares → MK-PF-F-003 avgCost</t>
        </is>
      </c>
      <c r="P37" s="3" t="inlineStr">
        <is>
          <t>—</t>
        </is>
      </c>
      <c r="Q37" s="3" t="inlineStr">
        <is>
          <t>—</t>
        </is>
      </c>
    </row>
    <row r="38">
      <c r="A38" s="3" t="inlineStr">
        <is>
          <t>MK-ST-F-046</t>
        </is>
      </c>
      <c r="B38" s="3" t="inlineStr">
        <is>
          <t>balancesHidden</t>
        </is>
      </c>
      <c r="C38" s="3" t="inlineStr">
        <is>
          <t>src/domain/_shared/money.ts</t>
        </is>
      </c>
      <c r="D38" s="3" t="n">
        <v>47</v>
      </c>
      <c r="E38" s="3" t="inlineStr">
        <is>
          <t>3 · DEPENDENT (feeds an action only)</t>
        </is>
      </c>
      <c r="F38" s="3" t="inlineStr">
        <is>
          <t>NOT DETERMINED — the code carries no note saying what this is for, and it has no row in the old inventory. Needs reading.</t>
        </is>
      </c>
      <c r="G38" s="3" t="inlineStr">
        <is>
          <t>Nothing is handed to it</t>
        </is>
      </c>
      <c r="H38" s="3" t="inlineStr">
        <is>
          <t>boolean</t>
        </is>
      </c>
      <c r="I38" s="3" t="inlineStr">
        <is>
          <t>—</t>
        </is>
      </c>
      <c r="J38" s="3" t="inlineStr">
        <is>
          <t>None found in this function — anything it assumes comes from the functions it depends on.</t>
        </is>
      </c>
      <c r="K38" s="3" t="inlineStr">
        <is>
          <t>No</t>
        </is>
      </c>
      <c r="L38" s="3" t="inlineStr">
        <is>
          <t>—</t>
        </is>
      </c>
      <c r="M38" s="3" t="n">
        <v>0</v>
      </c>
      <c r="N38" s="3" t="inlineStr">
        <is>
          <t>None — no dependent function stands behind it</t>
        </is>
      </c>
      <c r="O38" s="3" t="inlineStr">
        <is>
          <t>No dependent function — it reads its inputs and answers</t>
        </is>
      </c>
      <c r="P38" s="3" t="inlineStr">
        <is>
          <t>—</t>
        </is>
      </c>
      <c r="Q38" s="3" t="inlineStr">
        <is>
          <t>—</t>
        </is>
      </c>
    </row>
    <row r="39">
      <c r="A39" s="3" t="inlineStr">
        <is>
          <t>MK-NW-F-036</t>
        </is>
      </c>
      <c r="B39" s="3" t="inlineStr">
        <is>
          <t>benchmarkInfo</t>
        </is>
      </c>
      <c r="C39" s="3" t="inlineStr">
        <is>
          <t>src/domain/assets/index.ts</t>
        </is>
      </c>
      <c r="D39" s="3" t="n">
        <v>630</v>
      </c>
      <c r="E39" s="3" t="inlineStr">
        <is>
          <t>2 · DISPLAYED</t>
        </is>
      </c>
      <c r="F39" s="3" t="inlineStr">
        <is>
          <t>Benchmark return + its source/period for an asset kind.</t>
        </is>
      </c>
      <c r="G39" s="3" t="inlineStr">
        <is>
          <t>kind: string | undefined · overrides?: Record&lt;string, number&gt;</t>
        </is>
      </c>
      <c r="H39" s="3" t="inlineStr">
        <is>
          <t>NOT DECLARED — the code does not say what it gives back</t>
        </is>
      </c>
      <c r="I39" s="3" t="inlineStr">
        <is>
          <t>NOT FOUND — a screen calls it, but the words printed beside its answer could not be traced automatically. Needs reading.</t>
        </is>
      </c>
      <c r="J39" s="3" t="inlineStr">
        <is>
          <t>None found in this function — anything it assumes comes from the functions it depends on.</t>
        </is>
      </c>
      <c r="K39" s="3" t="inlineStr">
        <is>
          <t>Yes</t>
        </is>
      </c>
      <c r="L39" s="3" t="inlineStr">
        <is>
          <t>MK-NW-F-034 benchmarkReturn</t>
        </is>
      </c>
      <c r="M39" s="3" t="n">
        <v>5</v>
      </c>
      <c r="N39" s="3" t="inlineStr">
        <is>
          <t>MK-NW-F-034 benchmarkReturn · MK-NW-F-007 assetKind · MK-NW-F-011 assetClassOf · MK-NW-F-008 incomeBearingClassOf · MK-ST-F-010 nameEvidence</t>
        </is>
      </c>
      <c r="O39" s="3" t="inlineStr">
        <is>
          <t>MK-ST-F-010 nameEvidence → MK-NW-F-008 incomeBearingClassOf → MK-NW-F-011 assetClassOf → MK-NW-F-007 assetKind → MK-NW-F-034 benchmarkReturn → MK-NW-F-036 benchmarkInfo</t>
        </is>
      </c>
      <c r="P39" s="3" t="inlineStr">
        <is>
          <t>—</t>
        </is>
      </c>
      <c r="Q39" s="3" t="inlineStr">
        <is>
          <t>—</t>
        </is>
      </c>
    </row>
    <row r="40">
      <c r="A40" s="3" t="inlineStr">
        <is>
          <t>MK-NW-F-034</t>
        </is>
      </c>
      <c r="B40" s="3" t="inlineStr">
        <is>
          <t>benchmarkReturn</t>
        </is>
      </c>
      <c r="C40" s="3" t="inlineStr">
        <is>
          <t>src/domain/assets/index.ts</t>
        </is>
      </c>
      <c r="D40" s="3" t="n">
        <v>554</v>
      </c>
      <c r="E40" s="3" t="inlineStr">
        <is>
          <t>2 · DISPLAYED</t>
        </is>
      </c>
      <c r="F40" s="3" t="inlineStr">
        <is>
          <t>Benchmark expected annual return for an asset kind — user override if set, else the ASSET_KINDS default.</t>
        </is>
      </c>
      <c r="G40" s="3" t="inlineStr">
        <is>
          <t>kind: string | undefined · overrides?: Record&lt;string, number&gt;</t>
        </is>
      </c>
      <c r="H40" s="3" t="inlineStr">
        <is>
          <t>number</t>
        </is>
      </c>
      <c r="I40" s="3" t="inlineStr">
        <is>
          <t>"EST. GROWTH / YR" — on the Other investments screen, under "ALTERNATIVES" · "Type" — on the Other investments screen · "Typical yearly return for this type" — on the Account detail screen</t>
        </is>
      </c>
      <c r="J40" s="3" t="inlineStr">
        <is>
          <t>· If return is missing it uses 6%.</t>
        </is>
      </c>
      <c r="K40" s="3" t="inlineStr">
        <is>
          <t>Yes</t>
        </is>
      </c>
      <c r="L40" s="3" t="inlineStr">
        <is>
          <t>MK-NW-F-007 assetKind</t>
        </is>
      </c>
      <c r="M40" s="3" t="n">
        <v>4</v>
      </c>
      <c r="N40" s="3" t="inlineStr">
        <is>
          <t>MK-NW-F-007 assetKind · MK-NW-F-011 assetClassOf · MK-NW-F-008 incomeBearingClassOf · MK-ST-F-010 nameEvidence</t>
        </is>
      </c>
      <c r="O40" s="3" t="inlineStr">
        <is>
          <t>MK-ST-F-010 nameEvidence → MK-NW-F-008 incomeBearingClassOf → MK-NW-F-011 assetClassOf → MK-NW-F-007 assetKind → MK-NW-F-034 benchmarkReturn</t>
        </is>
      </c>
      <c r="P40" s="3" t="inlineStr">
        <is>
          <t>—</t>
        </is>
      </c>
      <c r="Q40" s="3" t="inlineStr">
        <is>
          <t>EXPECTED_RETURN_BY_KIND</t>
        </is>
      </c>
    </row>
    <row r="41">
      <c r="A41" s="3" t="inlineStr">
        <is>
          <t>MK-PF-F-013</t>
        </is>
      </c>
      <c r="B41" s="3" t="inlineStr">
        <is>
          <t>benchmarkTicker</t>
        </is>
      </c>
      <c r="C41" s="3" t="inlineStr">
        <is>
          <t>src/domain/performance/index.ts</t>
        </is>
      </c>
      <c r="D41" s="3" t="n">
        <v>167</v>
      </c>
      <c r="E41" s="3" t="inlineStr">
        <is>
          <t>2 · DISPLAYED</t>
        </is>
      </c>
      <c r="F41" s="3" t="inlineStr">
        <is>
          <t>What should this holding be compared against?</t>
        </is>
      </c>
      <c r="G41" s="3" t="inlineStr">
        <is>
          <t>kind?: string</t>
        </is>
      </c>
      <c r="H41" s="3" t="inlineStr">
        <is>
          <t>string</t>
        </is>
      </c>
      <c r="I41" s="3" t="inlineStr">
        <is>
          <t>"Name (optional)" — on the Performance screen · "You are" — on the Holding detail screen, under "VS THE STOCK MARKET · SAME DATES"</t>
        </is>
      </c>
      <c r="J41" s="3" t="inlineStr">
        <is>
          <t>None found in this function — anything it assumes comes from the functions it depends on.</t>
        </is>
      </c>
      <c r="K41" s="3" t="inlineStr">
        <is>
          <t>Yes</t>
        </is>
      </c>
      <c r="L41" s="3" t="inlineStr">
        <is>
          <t>MK-ST-F-053 money</t>
        </is>
      </c>
      <c r="M41" s="3" t="n">
        <v>4</v>
      </c>
      <c r="N41" s="3" t="inlineStr">
        <is>
          <t>MK-ST-F-053 money · MK-ST-F-049 formatMoney · MK-ST-F-048 currencySymbol · MK-ST-F-047 activeCurrency</t>
        </is>
      </c>
      <c r="O41" s="3" t="inlineStr">
        <is>
          <t>MK-ST-F-047 activeCurrency → MK-ST-F-048 currencySymbol → MK-ST-F-049 formatMoney → MK-ST-F-053 money → MK-PF-F-013 benchmarkTicker</t>
        </is>
      </c>
      <c r="P41" s="3" t="inlineStr">
        <is>
          <t>—</t>
        </is>
      </c>
      <c r="Q41" s="3" t="inlineStr">
        <is>
          <t>BENCHMARK_FOR_KIND</t>
        </is>
      </c>
    </row>
    <row r="42">
      <c r="A42" s="3" t="inlineStr">
        <is>
          <t>MK-CF-F-069</t>
        </is>
      </c>
      <c r="B42" s="3" t="inlineStr">
        <is>
          <t>benefitActiveMonths</t>
        </is>
      </c>
      <c r="C42" s="3" t="inlineStr">
        <is>
          <t>src/domain/income/onboarding.ts</t>
        </is>
      </c>
      <c r="D42" s="3" t="n">
        <v>148</v>
      </c>
      <c r="E42" s="3" t="inlineStr">
        <is>
          <t>3 · DEPENDENT</t>
        </is>
      </c>
      <c r="F42" s="3" t="inlineStr">
        <is>
          <t>Calendar months (1-12) benefits are received — e.g.</t>
        </is>
      </c>
      <c r="G42" s="3" t="inlineStr">
        <is>
          <t>op: OnboardingProfile | null</t>
        </is>
      </c>
      <c r="H42" s="3" t="inlineStr">
        <is>
          <t>number[]</t>
        </is>
      </c>
      <c r="I42" s="3" t="inlineStr">
        <is>
          <t>—</t>
        </is>
      </c>
      <c r="J42" s="3" t="inlineStr">
        <is>
          <t>· Leaves some rows out of the answer — check which.</t>
        </is>
      </c>
      <c r="K42" s="3" t="inlineStr">
        <is>
          <t>Yes</t>
        </is>
      </c>
      <c r="L42" s="3" t="inlineStr">
        <is>
          <t>—</t>
        </is>
      </c>
      <c r="M42" s="3" t="n">
        <v>0</v>
      </c>
      <c r="N42" s="3" t="inlineStr">
        <is>
          <t>None — no dependent function stands behind it</t>
        </is>
      </c>
      <c r="O42" s="3" t="inlineStr">
        <is>
          <t>No dependent function — it reads its inputs and answers</t>
        </is>
      </c>
      <c r="P42" s="3" t="inlineStr">
        <is>
          <t>—</t>
        </is>
      </c>
      <c r="Q42" s="3" t="inlineStr">
        <is>
          <t>—</t>
        </is>
      </c>
    </row>
    <row r="43">
      <c r="A43" s="3" t="inlineStr">
        <is>
          <t>MK-CF-F-070</t>
        </is>
      </c>
      <c r="B43" s="3" t="inlineStr">
        <is>
          <t>benefitAnnual</t>
        </is>
      </c>
      <c r="C43" s="3" t="inlineStr">
        <is>
          <t>src/domain/income/onboarding.ts</t>
        </is>
      </c>
      <c r="D43" s="3" t="n">
        <v>154</v>
      </c>
      <c r="E43" s="3" t="inlineStr">
        <is>
          <t>2 · DISPLAYED</t>
        </is>
      </c>
      <c r="F43" s="3" t="inlineStr">
        <is>
          <t>Annual benefits = monthly amount × the months it's actually received.</t>
        </is>
      </c>
      <c r="G43" s="3" t="inlineStr">
        <is>
          <t>op: OnboardingProfile | null</t>
        </is>
      </c>
      <c r="H43" s="3" t="inlineStr">
        <is>
          <t>number</t>
        </is>
      </c>
      <c r="I43" s="3" t="inlineStr">
        <is>
          <t>NOT FOUND — a screen calls it, but the words printed beside its answer could not be traced automatically. Needs reading.</t>
        </is>
      </c>
      <c r="J43" s="3" t="inlineStr">
        <is>
          <t>None found in this function — anything it assumes comes from the functions it depends on.</t>
        </is>
      </c>
      <c r="K43" s="3" t="inlineStr">
        <is>
          <t>Yes</t>
        </is>
      </c>
      <c r="L43" s="3" t="inlineStr">
        <is>
          <t>MK-CF-F-069 benefitActiveMonths · MK-ST-F-052 toNum</t>
        </is>
      </c>
      <c r="M43" s="3" t="n">
        <v>2</v>
      </c>
      <c r="N43" s="3" t="inlineStr">
        <is>
          <t>MK-CF-F-069 benefitActiveMonths · MK-ST-F-052 toNum</t>
        </is>
      </c>
      <c r="O43" s="3" t="inlineStr">
        <is>
          <t>MK-CF-F-069 benefitActiveMonths → MK-CF-F-070 benefitAnnual
MK-ST-F-052 toNum → MK-CF-F-070 benefitAnnual</t>
        </is>
      </c>
      <c r="P43" s="3" t="inlineStr">
        <is>
          <t>—</t>
        </is>
      </c>
      <c r="Q43" s="3" t="inlineStr">
        <is>
          <t>—</t>
        </is>
      </c>
    </row>
    <row r="44">
      <c r="A44" s="3" t="inlineStr">
        <is>
          <t>MK-NW-F-037</t>
        </is>
      </c>
      <c r="B44" s="3" t="inlineStr">
        <is>
          <t>blendedReturn</t>
        </is>
      </c>
      <c r="C44" s="3" t="inlineStr">
        <is>
          <t>src/domain/assets/index.ts</t>
        </is>
      </c>
      <c r="D44" s="3" t="n">
        <v>638</v>
      </c>
      <c r="E44" s="3" t="inlineStr">
        <is>
          <t>2 · DISPLAYED</t>
        </is>
      </c>
      <c r="F44" s="3" t="inlineStr">
        <is>
          <t>Blended expected return across the EARMARKED nest egg, weighted by each holding's share.</t>
        </is>
      </c>
      <c r="G44" s="3" t="inlineStr">
        <is>
          <t>accounts: AssetAccount[] · overrides?: Record&lt;string, number&gt;</t>
        </is>
      </c>
      <c r="H44" s="3" t="inlineStr">
        <is>
          <t>number</t>
        </is>
      </c>
      <c r="I44" s="3" t="inlineStr">
        <is>
          <t>"Expected return" — on the Retirement cockpit screen, under "scRetired ?" · "Weighted average" — on the Retirement cockpit screen</t>
        </is>
      </c>
      <c r="J44" s="3" t="inlineStr">
        <is>
          <t>· Rounds the answer to a whole number.
· Leaves some rows out of the answer — check which.</t>
        </is>
      </c>
      <c r="K44" s="3" t="inlineStr">
        <is>
          <t>Yes</t>
        </is>
      </c>
      <c r="L44" s="3" t="inlineStr">
        <is>
          <t>MK-NW-F-034 benchmarkReturn · MK-NW-F-032 earmarkedAmount · MK-NW-F-031 primaryCarIdOf</t>
        </is>
      </c>
      <c r="M44" s="3" t="n">
        <v>10</v>
      </c>
      <c r="N44" s="3" t="inlineStr">
        <is>
          <t>MK-NW-F-034 benchmarkReturn · MK-NW-F-032 earmarkedAmount · MK-NW-F-031 primaryCarIdOf · MK-NW-F-007 assetKind · MK-NW-F-030 earmarkDefault · MK-ST-F-055 round2 · MK-NW-F-011 assetClassOf · MK-NW-F-013 realEstateUseOf · MK-NW-F-008 incomeBearingClassOf · MK-ST-F-010 nameEvidence</t>
        </is>
      </c>
      <c r="O44" s="3" t="inlineStr">
        <is>
          <t>MK-ST-F-010 nameEvidence → MK-NW-F-008 incomeBearingClassOf → MK-NW-F-011 assetClassOf → MK-NW-F-007 assetKind → MK-NW-F-034 benchmarkReturn → MK-NW-F-037 blendedReturn
MK-ST-F-010 nameEvidence → MK-NW-F-008 incomeBearingClassOf → MK-NW-F-011 assetClassOf → MK-NW-F-030 earmarkDefault → MK-NW-F-032 earmarkedAmount → MK-NW-F-037 blendedReturn
MK-NW-F-013 realEstateUseOf → MK-NW-F-030 earmarkDefault → MK-NW-F-032 earmarkedAmount → MK-NW-F-037 blendedReturn
MK-ST-F-055 round2 → MK-NW-F-032 earmarkedAmount → MK-NW-F-037 blendedReturn
MK-ST-F-010 nameEvidence → MK-NW-F-008 incomeBearingClassOf → MK-NW-F-011 assetClassOf → MK-NW-F-031 primaryCarIdOf → MK-NW-F-037 blendedReturn</t>
        </is>
      </c>
      <c r="P44" s="3" t="inlineStr">
        <is>
          <t>—</t>
        </is>
      </c>
      <c r="Q44" s="3" t="inlineStr">
        <is>
          <t>EXPECTED_RETURN_BLENDED</t>
        </is>
      </c>
    </row>
    <row r="45">
      <c r="A45" s="3" t="inlineStr">
        <is>
          <t>MK-NW-F-035</t>
        </is>
      </c>
      <c r="B45" s="3" t="inlineStr">
        <is>
          <t>blendedVolatility</t>
        </is>
      </c>
      <c r="C45" s="3" t="inlineStr">
        <is>
          <t>src/domain/assets/index.ts</t>
        </is>
      </c>
      <c r="D45" s="3" t="n">
        <v>597</v>
      </c>
      <c r="E45" s="3" t="inlineStr">
        <is>
          <t>3 · DEPENDENT</t>
        </is>
      </c>
      <c r="F45" s="3" t="inlineStr">
        <is>
          <t>The volatility of THIS portfolio — each account's own class volatility, weighted the way the money actually is (the same weighting `blendedReturn` uses, so the pair always describes one portfolio).</t>
        </is>
      </c>
      <c r="G45" s="3" t="inlineStr">
        <is>
          <t>accounts: AssetAccount[] · overrides?: Record&lt;string, number&gt;</t>
        </is>
      </c>
      <c r="H45" s="3" t="inlineStr">
        <is>
          <t>number</t>
        </is>
      </c>
      <c r="I45" s="3" t="inlineStr">
        <is>
          <t>—</t>
        </is>
      </c>
      <c r="J45" s="3" t="inlineStr">
        <is>
          <t>· If v is missing it uses 12%.
· Rounds the answer to a whole number.
· Leaves some rows out of the answer — check which.</t>
        </is>
      </c>
      <c r="K45" s="3" t="inlineStr">
        <is>
          <t>Yes</t>
        </is>
      </c>
      <c r="L45" s="3" t="inlineStr">
        <is>
          <t>MK-NW-F-032 earmarkedAmount · MK-NW-F-031 primaryCarIdOf</t>
        </is>
      </c>
      <c r="M45" s="3" t="n">
        <v>8</v>
      </c>
      <c r="N45" s="3" t="inlineStr">
        <is>
          <t>MK-NW-F-032 earmarkedAmount · MK-NW-F-031 primaryCarIdOf · MK-NW-F-030 earmarkDefault · MK-ST-F-055 round2 · MK-NW-F-011 assetClassOf · MK-NW-F-013 realEstateUseOf · MK-NW-F-008 incomeBearingClassOf · MK-ST-F-010 nameEvidence</t>
        </is>
      </c>
      <c r="O45" s="3" t="inlineStr">
        <is>
          <t>MK-ST-F-010 nameEvidence → MK-NW-F-008 incomeBearingClassOf → MK-NW-F-011 assetClassOf → MK-NW-F-030 earmarkDefault → MK-NW-F-032 earmarkedAmount → MK-NW-F-035 blendedVolatility
MK-NW-F-013 realEstateUseOf → MK-NW-F-030 earmarkDefault → MK-NW-F-032 earmarkedAmount → MK-NW-F-035 blendedVolatility
MK-ST-F-055 round2 → MK-NW-F-032 earmarkedAmount → MK-NW-F-035 blendedVolatility
MK-ST-F-010 nameEvidence → MK-NW-F-008 incomeBearingClassOf → MK-NW-F-011 assetClassOf → MK-NW-F-031 primaryCarIdOf → MK-NW-F-035 blendedVolatility</t>
        </is>
      </c>
      <c r="P45" s="3" t="inlineStr">
        <is>
          <t>—</t>
        </is>
      </c>
      <c r="Q45" s="3" t="inlineStr">
        <is>
          <t>EXPECTED_SWING_BLENDED</t>
        </is>
      </c>
    </row>
    <row r="46">
      <c r="A46" s="3" t="inlineStr">
        <is>
          <t>MK-NW-F-056</t>
        </is>
      </c>
      <c r="B46" s="3" t="inlineStr">
        <is>
          <t>bondInfo</t>
        </is>
      </c>
      <c r="C46" s="3" t="inlineStr">
        <is>
          <t>src/domain/bonds/index.ts</t>
        </is>
      </c>
      <c r="D46" s="3" t="n">
        <v>16</v>
      </c>
      <c r="E46" s="3" t="inlineStr">
        <is>
          <t>2 · DISPLAYED</t>
        </is>
      </c>
      <c r="F46" s="3" t="inlineStr">
        <is>
          <t>What are this holding's bond facts?</t>
        </is>
      </c>
      <c r="G46" s="3" t="inlineStr">
        <is>
          <t>a: AssetAccount</t>
        </is>
      </c>
      <c r="H46" s="3" t="inlineStr">
        <is>
          <t>BondInfo</t>
        </is>
      </c>
      <c r="I46" s="3" t="inlineStr">
        <is>
          <t>"Face value" — on the Account detail screen · "IF INTEREST RATES MOVE" — on the Account detail screen · "Interest payments" — on the Account detail screen · "Matures" — on the Account detail screen</t>
        </is>
      </c>
      <c r="J46" s="3" t="inlineStr">
        <is>
          <t>· If face value is missing it counts as zero, so nothing recorded and a real zero look the same.
· If coupon rate is missing it counts as zero, so nothing recorded and a real zero look the same.
· If balance is missing it counts as zero, so nothing recorded and a real zero look the same.</t>
        </is>
      </c>
      <c r="K46" s="3" t="inlineStr">
        <is>
          <t>Yes</t>
        </is>
      </c>
      <c r="L46" s="3" t="inlineStr">
        <is>
          <t>—</t>
        </is>
      </c>
      <c r="M46" s="3" t="n">
        <v>0</v>
      </c>
      <c r="N46" s="3" t="inlineStr">
        <is>
          <t>None — no dependent function stands behind it</t>
        </is>
      </c>
      <c r="O46" s="3" t="inlineStr">
        <is>
          <t>No dependent function — it reads its inputs and answers</t>
        </is>
      </c>
      <c r="P46" s="3" t="inlineStr">
        <is>
          <t>MK-NW-M-023 · MK-NW-M-041 · MK-NW-M-042</t>
        </is>
      </c>
      <c r="Q46" s="3" t="inlineStr">
        <is>
          <t>BOND_FACTS</t>
        </is>
      </c>
    </row>
    <row r="47">
      <c r="A47" s="3" t="inlineStr">
        <is>
          <t>MK-NW-F-064</t>
        </is>
      </c>
      <c r="B47" s="3" t="inlineStr">
        <is>
          <t>bondRateSensitivity</t>
        </is>
      </c>
      <c r="C47" s="3" t="inlineStr">
        <is>
          <t>src/domain/bonds/index.ts</t>
        </is>
      </c>
      <c r="D47" s="3" t="n">
        <v>97</v>
      </c>
      <c r="E47" s="3" t="inlineStr">
        <is>
          <t>2 · DISPLAYED</t>
        </is>
      </c>
      <c r="F47" s="3" t="inlineStr">
        <is>
          <t>What happens to this bond if interest rates move?</t>
        </is>
      </c>
      <c r="G47" s="3" t="inlineStr">
        <is>
          <t>b: BondInfo · now: Date = new Date()</t>
        </is>
      </c>
      <c r="H47" s="3" t="inlineStr">
        <is>
          <t>RateSensitivity | null</t>
        </is>
      </c>
      <c r="I47" s="3" t="inlineStr">
        <is>
          <t>"IF INTEREST RATES MOVE" — on the Account detail screen</t>
        </is>
      </c>
      <c r="J47" s="3" t="inlineStr">
        <is>
          <t>· Applies a built-in rate of 99% to v.
· Uses today's date from the device clock, so the answer changes by itself overnight.
· Rounds the answer to a whole number.</t>
        </is>
      </c>
      <c r="K47" s="3" t="inlineStr">
        <is>
          <t>Yes</t>
        </is>
      </c>
      <c r="L47" s="3" t="inlineStr">
        <is>
          <t>MK-NW-F-060 approxYTM</t>
        </is>
      </c>
      <c r="M47" s="3" t="n">
        <v>4</v>
      </c>
      <c r="N47" s="3" t="inlineStr">
        <is>
          <t>MK-NW-F-060 approxYTM · MK-NW-F-057 annualCoupon · MK-NW-F-058 yearsToMaturity · MK-ST-F-055 round2</t>
        </is>
      </c>
      <c r="O47" s="3" t="inlineStr">
        <is>
          <t>MK-ST-F-055 round2 → MK-NW-F-057 annualCoupon → MK-NW-F-060 approxYTM → MK-NW-F-064 bondRateSensitivity
MK-NW-F-058 yearsToMaturity → MK-NW-F-060 approxYTM → MK-NW-F-064 bondRateSensitivity</t>
        </is>
      </c>
      <c r="P47" s="3" t="inlineStr">
        <is>
          <t>—</t>
        </is>
      </c>
      <c r="Q47" s="3" t="inlineStr">
        <is>
          <t>IF_RATES_MOVE</t>
        </is>
      </c>
    </row>
    <row r="48">
      <c r="A48" s="3" t="inlineStr">
        <is>
          <t>MK-NW-F-061</t>
        </is>
      </c>
      <c r="B48" s="3" t="inlineStr">
        <is>
          <t>bondSummary</t>
        </is>
      </c>
      <c r="C48" s="3" t="inlineStr">
        <is>
          <t>src/domain/bonds/index.ts</t>
        </is>
      </c>
      <c r="D48" s="3" t="n">
        <v>42</v>
      </c>
      <c r="E48" s="3" t="inlineStr">
        <is>
          <t>2 · DISPLAYED</t>
        </is>
      </c>
      <c r="F48" s="3" t="inlineStr">
        <is>
          <t>NOT DETERMINED — the code carries no note saying what this is for, and it has no row in the old inventory. Needs reading.</t>
        </is>
      </c>
      <c r="G48" s="3" t="inlineStr">
        <is>
          <t>bonds: BondInfo[] · now: Date = new Date()</t>
        </is>
      </c>
      <c r="H48" s="3" t="inlineStr">
        <is>
          <t>BondSummary</t>
        </is>
      </c>
      <c r="I48" s="3" t="inlineStr">
        <is>
          <t>"AVG YIELD" — on the Bonds screen, under "BONDS &amp; CDS" · "COUPON / YR" — on the Bonds screen, under "BONDS &amp; CDS" · "NEXT MATURITY" — on the Bonds screen, under "BONDS &amp; CDS"</t>
        </is>
      </c>
      <c r="J48" s="3" t="inlineStr">
        <is>
          <t>· Uses today's date from the device clock, so the answer changes by itself overnight.
· Rounds the answer to a whole number.
· Leaves some rows out of the answer — check which.</t>
        </is>
      </c>
      <c r="K48" s="3" t="inlineStr">
        <is>
          <t>Yes</t>
        </is>
      </c>
      <c r="L48" s="3" t="inlineStr">
        <is>
          <t>MK-NW-F-057 annualCoupon · MK-ST-F-055 round2</t>
        </is>
      </c>
      <c r="M48" s="3" t="n">
        <v>2</v>
      </c>
      <c r="N48" s="3" t="inlineStr">
        <is>
          <t>MK-NW-F-057 annualCoupon · MK-ST-F-055 round2</t>
        </is>
      </c>
      <c r="O48" s="3" t="inlineStr">
        <is>
          <t>MK-ST-F-055 round2 → MK-NW-F-057 annualCoupon → MK-NW-F-061 bondSummary
MK-ST-F-055 round2 → MK-NW-F-061 bondSummary</t>
        </is>
      </c>
      <c r="P48" s="3" t="inlineStr">
        <is>
          <t>—</t>
        </is>
      </c>
      <c r="Q48" s="3" t="inlineStr">
        <is>
          <t>—</t>
        </is>
      </c>
    </row>
    <row r="49">
      <c r="A49" s="3" t="inlineStr">
        <is>
          <t>MK-CF-F-013</t>
        </is>
      </c>
      <c r="B49" s="3" t="inlineStr">
        <is>
          <t>budgetFromOnboarding</t>
        </is>
      </c>
      <c r="C49" s="3" t="inlineStr">
        <is>
          <t>src/domain/budget/index.ts</t>
        </is>
      </c>
      <c r="D49" s="3" t="n">
        <v>238</v>
      </c>
      <c r="E49" s="3" t="inlineStr">
        <is>
          <t>3 · DEPENDENT</t>
        </is>
      </c>
      <c r="F49" s="3" t="inlineStr">
        <is>
          <t>NOT DETERMINED — the code carries no note saying what this is for, and it has no row in the old inventory. Needs reading.</t>
        </is>
      </c>
      <c r="G49" s="3" t="inlineStr">
        <is>
          <t>uid: UserId · op: OnboardingProfile | null</t>
        </is>
      </c>
      <c r="H49" s="3" t="inlineStr">
        <is>
          <t>BudgetDoc</t>
        </is>
      </c>
      <c r="I49" s="3" t="inlineStr">
        <is>
          <t>—</t>
        </is>
      </c>
      <c r="J49" s="3" t="inlineStr">
        <is>
          <t>None found in this function — anything it assumes comes from the functions it depends on.</t>
        </is>
      </c>
      <c r="K49" s="3" t="inlineStr">
        <is>
          <t>Yes</t>
        </is>
      </c>
      <c r="L49" s="3" t="inlineStr">
        <is>
          <t>MK-CF-F-002 plannedMonthlySpend · MK-CF-F-004 spendBuckets</t>
        </is>
      </c>
      <c r="M49" s="3" t="n">
        <v>38</v>
      </c>
      <c r="N49" s="3" t="inlineStr">
        <is>
          <t>MK-CF-F-002 plannedMonthlySpend · MK-CF-F-004 spendBuckets · MK-CF-F-092 incomeMonthlyGrid · MK-ST-F-052 toNum · MK-CF-F-003 categoryMonthly · MK-ST-F-055 round2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O49" s="3" t="inlineStr">
        <is>
          <t>MK-CF-F-069 benefitActiveMonths → MK-CF-F-092 incomeMonthlyGrid → MK-CF-F-002 plannedMonthlySpend → MK-CF-F-013 budgetFromOnboarding
MK-ST-F-052 toNum → MK-CF-F-075 retirementIncomeMonthly → MK-CF-F-072 currentRetirementIncomeMonthly → MK-CF-F-092 incomeMonthlyGrid → MK-CF-F-002 plannedMonthlySpend → MK-CF-F-013 budgetFromOnboarding
MK-ST-F-052 toNum → MK-CF-F-062 equityRowValue → MK-CF-F-065 equityVestWeights → MK-CF-F-092 incomeMonthlyGrid → MK-CF-F-002 plannedMonthlySpend → MK-CF-F-013 budgetFromOnboarding
MK-CF-F-069 benefitActiveMonths → MK-CF-F-070 benefitAnnual → MK-CF-F-071 extraIncome → MK-CF-F-092 incomeMonthlyGrid → MK-CF-F-002 plannedMonthlySpend → MK-CF-F-013 budgetFromOnboarding
MK-ST-F-052 toNum → MK-CF-F-070 benefitAnnual → MK-CF-F-071 extraIncome → MK-CF-F-092 incomeMonthlyGrid → MK-CF-F-002 plannedMonthlySpend → MK-CF-F-013 budgetFromOnboarding
MK-ST-F-055 round2 → MK-CF-F-071 extraIncome → MK-CF-F-092 incomeMonthlyGrid → MK-CF-F-002 plannedMonthlySpend → MK-CF-F-013 budgetFromOnboarding
MK-ST-F-052 toNum → MK-CF-F-071 extraIncome → MK-CF-F-092 incomeMonthlyGrid → MK-CF-F-002 plannedMonthlySpend → MK-CF-F-013 budgetFromOnboarding
MK-CF-F-102 effectiveRateOnGrossFor → MK-CF-F-090 effectiveRate → MK-CF-F-087 monthlyTaxRates → MK-CF-F-092 incomeMonthlyGrid → MK-CF-F-002 plannedMonthlySpend → MK-CF-F-013 budgetFromOnboarding
… and 36 more paths</t>
        </is>
      </c>
      <c r="P49" s="3" t="inlineStr">
        <is>
          <t>—</t>
        </is>
      </c>
      <c r="Q49" s="3" t="inlineStr">
        <is>
          <t>—</t>
        </is>
      </c>
    </row>
    <row r="50">
      <c r="A50" s="3" t="inlineStr">
        <is>
          <t>MK-CF-F-014</t>
        </is>
      </c>
      <c r="B50" s="3" t="inlineStr">
        <is>
          <t>budgetVsActual</t>
        </is>
      </c>
      <c r="C50" s="3" t="inlineStr">
        <is>
          <t>src/domain/budget/index.ts</t>
        </is>
      </c>
      <c r="D50" s="3" t="n">
        <v>261</v>
      </c>
      <c r="E50" s="3" t="inlineStr">
        <is>
          <t>2 · DISPLAYED</t>
        </is>
      </c>
      <c r="F50" s="3" t="inlineStr">
        <is>
          <t>Month-to-date actual spending vs the planned budget, bucketed.</t>
        </is>
      </c>
      <c r="G50" s="3" t="inlineStr">
        <is>
          <t>expenses: any[] · op: OnboardingProfile | null · now: Date = new Date()</t>
        </is>
      </c>
      <c r="H50" s="3" t="inlineStr">
        <is>
          <t>BudgetVsActual</t>
        </is>
      </c>
      <c r="I50" s="3" t="inlineStr">
        <is>
          <t>"No regular bills recorded." — on the Month detail screen, under "REGULAR BILLS" · "Spent so far" — on the Home screen, under "THIS MONTH"</t>
        </is>
      </c>
      <c r="J50" s="3" t="inlineStr">
        <is>
          <t>· Uses today's date from the device clock, so the answer changes by itself overnight.
· Leaves some rows out of the answer — check which.</t>
        </is>
      </c>
      <c r="K50" s="3" t="inlineStr">
        <is>
          <t>Yes</t>
        </is>
      </c>
      <c r="L50" s="3" t="inlineStr">
        <is>
          <t>MK-ST-F-055 round2 · MK-CF-F-004 spendBuckets · MK-ST-F-052 toNum</t>
        </is>
      </c>
      <c r="M50" s="3" t="n">
        <v>4</v>
      </c>
      <c r="N50" s="3" t="inlineStr">
        <is>
          <t>MK-ST-F-055 round2 · MK-CF-F-004 spendBuckets · MK-ST-F-052 toNum · MK-CF-F-003 categoryMonthly</t>
        </is>
      </c>
      <c r="O50" s="3" t="inlineStr">
        <is>
          <t>MK-ST-F-055 round2 → MK-CF-F-014 budgetVsActual
MK-ST-F-052 toNum → MK-CF-F-003 categoryMonthly → MK-CF-F-004 spendBuckets → MK-CF-F-014 budgetVsActual
MK-ST-F-055 round2 → MK-CF-F-004 spendBuckets → MK-CF-F-014 budgetVsActual
MK-ST-F-052 toNum → MK-CF-F-004 spendBuckets → MK-CF-F-014 budgetVsActual
MK-ST-F-052 toNum → MK-CF-F-014 budgetVsActual</t>
        </is>
      </c>
      <c r="P50" s="3" t="inlineStr">
        <is>
          <t>—</t>
        </is>
      </c>
      <c r="Q50" s="3" t="inlineStr">
        <is>
          <t>—</t>
        </is>
      </c>
    </row>
    <row r="51">
      <c r="A51" s="3" t="inlineStr">
        <is>
          <t>MK-NW-F-039</t>
        </is>
      </c>
      <c r="B51" s="3" t="inlineStr">
        <is>
          <t>buildAssetsState</t>
        </is>
      </c>
      <c r="C51" s="3" t="inlineStr">
        <is>
          <t>src/domain/assets/index.ts</t>
        </is>
      </c>
      <c r="D51" s="3" t="n">
        <v>663</v>
      </c>
      <c r="E51" s="3" t="inlineStr">
        <is>
          <t>2 · DISPLAYED</t>
        </is>
      </c>
      <c r="F51" s="3" t="inlineStr">
        <is>
          <t>How much of everything sits in each account, and what return do they blend to?</t>
        </is>
      </c>
      <c r="G51" s="3" t="inlineStr">
        <is>
          <t>uid: UserId · accounts: AssetAccount[]</t>
        </is>
      </c>
      <c r="H51" s="3" t="inlineStr">
        <is>
          <t>AssetsState</t>
        </is>
      </c>
      <c r="I51" s="3" t="inlineStr">
        <is>
          <t>NOT FOUND — a screen calls it, but the words printed beside its answer could not be traced automatically. Needs reading.</t>
        </is>
      </c>
      <c r="J51" s="3" t="inlineStr">
        <is>
          <t>· Multiplies by 100 — a percentage, or an option contract treated as 100 shares. Worth checking which.
· Rounds the answer to a whole number.</t>
        </is>
      </c>
      <c r="K51" s="3" t="inlineStr">
        <is>
          <t>Yes</t>
        </is>
      </c>
      <c r="L51" s="3" t="inlineStr">
        <is>
          <t>MK-ST-F-055 round2</t>
        </is>
      </c>
      <c r="M51" s="3" t="n">
        <v>1</v>
      </c>
      <c r="N51" s="3" t="inlineStr">
        <is>
          <t>MK-ST-F-055 round2</t>
        </is>
      </c>
      <c r="O51" s="3" t="inlineStr">
        <is>
          <t>MK-ST-F-055 round2 → MK-NW-F-039 buildAssetsState</t>
        </is>
      </c>
      <c r="P51" s="3" t="inlineStr">
        <is>
          <t>MK-NW-M-004</t>
        </is>
      </c>
      <c r="Q51" s="3" t="inlineStr">
        <is>
          <t>ACCOUNT_SHARE_OF_TOTAL</t>
        </is>
      </c>
    </row>
    <row r="52">
      <c r="A52" s="3" t="inlineStr">
        <is>
          <t>MK-CF-F-001</t>
        </is>
      </c>
      <c r="B52" s="3" t="inlineStr">
        <is>
          <t>buildBudgetState</t>
        </is>
      </c>
      <c r="C52" s="3" t="inlineStr">
        <is>
          <t>src/domain/budget/index.ts</t>
        </is>
      </c>
      <c r="D52" s="3" t="n">
        <v>30</v>
      </c>
      <c r="E52" s="3" t="inlineStr">
        <is>
          <t>3 · DEPENDENT</t>
        </is>
      </c>
      <c r="F52" s="3" t="inlineStr">
        <is>
          <t>projected_to_save = net monthly income − monthly spending.</t>
        </is>
      </c>
      <c r="G52" s="3" t="inlineStr">
        <is>
          <t>uid: UserId · netMonthlyIncome: number · doc: BudgetDoc</t>
        </is>
      </c>
      <c r="H52" s="3" t="inlineStr">
        <is>
          <t>BudgetState</t>
        </is>
      </c>
      <c r="I52" s="3" t="inlineStr">
        <is>
          <t>—</t>
        </is>
      </c>
      <c r="J52" s="3" t="inlineStr">
        <is>
          <t>· If monthly spending is missing it counts as zero, so nothing recorded and a real zero look the same.</t>
        </is>
      </c>
      <c r="K52" s="3" t="inlineStr">
        <is>
          <t>Yes</t>
        </is>
      </c>
      <c r="L52" s="3" t="inlineStr">
        <is>
          <t>MK-ST-F-055 round2</t>
        </is>
      </c>
      <c r="M52" s="3" t="n">
        <v>1</v>
      </c>
      <c r="N52" s="3" t="inlineStr">
        <is>
          <t>MK-ST-F-055 round2</t>
        </is>
      </c>
      <c r="O52" s="3" t="inlineStr">
        <is>
          <t>MK-ST-F-055 round2 → MK-CF-F-001 buildBudgetState</t>
        </is>
      </c>
      <c r="P52" s="3" t="inlineStr">
        <is>
          <t>—</t>
        </is>
      </c>
      <c r="Q52" s="3" t="inlineStr">
        <is>
          <t>—</t>
        </is>
      </c>
    </row>
    <row r="53">
      <c r="A53" s="3" t="inlineStr">
        <is>
          <t>MK-XS-F-011</t>
        </is>
      </c>
      <c r="B53" s="3" t="inlineStr">
        <is>
          <t>buildChangeWalk</t>
        </is>
      </c>
      <c r="C53" s="3" t="inlineStr">
        <is>
          <t>src/domain/history.ts</t>
        </is>
      </c>
      <c r="D53" s="3" t="n">
        <v>144</v>
      </c>
      <c r="E53" s="3" t="inlineStr">
        <is>
          <t>2 · DISPLAYED</t>
        </is>
      </c>
      <c r="F53" s="3" t="inlineStr">
        <is>
          <t>My net worth changed since last time — what actually caused it?</t>
        </is>
      </c>
      <c r="G53" s="3" t="inlineStr">
        <is>
          <t>Nothing is handed to it</t>
        </is>
      </c>
      <c r="H53" s="3" t="inlineStr">
        <is>
          <t>NOT DECLARED — the code does not say what it gives back</t>
        </is>
      </c>
      <c r="I53" s="3" t="inlineStr">
        <is>
          <t>"Ending market value (today)" — on the Performance screen, under "HOW $" · "Ending market value" — on the Performance screen · "Wealth generated" — on the Performance screen, under "SUMMARY · $"</t>
        </is>
      </c>
      <c r="J53" s="3" t="inlineStr">
        <is>
          <t>· If contributions is missing it uses 0.
· If withdrawals is missing it uses 0.
· If dividends is missing it uses 0.
· If interest is missing it uses 0.
· If debt principal is missing it uses 0.</t>
        </is>
      </c>
      <c r="K53" s="3" t="inlineStr">
        <is>
          <t>Yes</t>
        </is>
      </c>
      <c r="L53" s="3" t="inlineStr">
        <is>
          <t>MK-ST-F-055 round2</t>
        </is>
      </c>
      <c r="M53" s="3" t="n">
        <v>1</v>
      </c>
      <c r="N53" s="3" t="inlineStr">
        <is>
          <t>MK-ST-F-055 round2</t>
        </is>
      </c>
      <c r="O53" s="3" t="inlineStr">
        <is>
          <t>MK-ST-F-055 round2 → MK-XS-F-011 buildChangeWalk</t>
        </is>
      </c>
      <c r="P53" s="3" t="inlineStr">
        <is>
          <t>MK-PF-M-001 · MK-PF-M-002 · MK-PF-M-003 · MK-PF-M-004</t>
        </is>
      </c>
      <c r="Q53" s="3" t="inlineStr">
        <is>
          <t>NW_CHANGE_WALK</t>
        </is>
      </c>
    </row>
    <row r="54">
      <c r="A54" s="3" t="inlineStr">
        <is>
          <t>MK-XS-F-004</t>
        </is>
      </c>
      <c r="B54" s="3" t="inlineStr">
        <is>
          <t>buildDatedGrid</t>
        </is>
      </c>
      <c r="C54" s="3" t="inlineStr">
        <is>
          <t>src/domain/grid/index.ts</t>
        </is>
      </c>
      <c r="D54" s="3" t="n">
        <v>66</v>
      </c>
      <c r="E54" s="3" t="inlineStr">
        <is>
          <t>2 · DISPLAYED</t>
        </is>
      </c>
      <c r="F54" s="3" t="inlineStr">
        <is>
          <t>Build the dated 12-month grid.</t>
        </is>
      </c>
      <c r="G54" s="3" t="inlineStr">
        <is>
          <t>op: OnboardingProfile | null · opts: GridOptions = {}</t>
        </is>
      </c>
      <c r="H54" s="3" t="inlineStr">
        <is>
          <t>DatedGrid</t>
        </is>
      </c>
      <c r="I54" s="3" t="inlineStr">
        <is>
          <t>NOT FOUND — a screen calls it, but the words printed beside its answer could not be traced automatically. Needs reading.</t>
        </is>
      </c>
      <c r="J54" s="3" t="inlineStr">
        <is>
          <t>· If year is missing it uses 0.
· If a year is missing it uses 0.
· If start balance is missing it uses 0.
· Uses a built-in s of 0.
· Uses a built-in q of 0.
· Uses a built-in t of 0.
· Treats a year as twelve equal months.
· Turns a monthly figure into a year by multiplying by twelve.
· Uses today's date from the device clock, so the answer changes by itself overnight.
· Leaves some rows out of the answer — check which.</t>
        </is>
      </c>
      <c r="K54" s="3" t="inlineStr">
        <is>
          <t>Yes</t>
        </is>
      </c>
      <c r="L54" s="3" t="inlineStr">
        <is>
          <t>MK-CF-F-069 benefitActiveMonths · MK-CF-F-072 currentRetirementIncomeMonthly · MK-CF-F-018 equityByMonth · MK-ST-F-053 money · MK-CF-F-087 monthlyTaxRates · MK-CF-F-073 otherIncomeMonth · MK-CF-F-022 paymentShape · MK-CF-F-068 rentalNetAnnual · MK-CF-F-023 requiredPayment · MK-ST-F-055 round2 · MK-CF-F-060 salaryGrossByMonth · MK-CF-F-008 spendByMonth · MK-ST-F-052 toNum</t>
        </is>
      </c>
      <c r="M54" s="3" t="n">
        <v>44</v>
      </c>
      <c r="N54" s="3" t="inlineStr">
        <is>
          <t>MK-CF-F-069 benefitActiveMonths · MK-CF-F-072 currentRetirementIncomeMonthly · MK-CF-F-018 equityByMonth · MK-ST-F-053 money · MK-CF-F-087 monthlyTaxRates · MK-CF-F-073 otherIncomeMonth · MK-CF-F-022 paymentShape · MK-CF-F-068 rentalNetAnnual · MK-CF-F-023 requiredPayment · MK-ST-F-055 round2 · MK-CF-F-060 salaryGrossByMonth · MK-CF-F-008 spendByMonth · MK-ST-F-052 toNum · MK-CF-F-075 retirementIncomeMonthly · MK-CF-F-062 equityRowValue · MK-CF-F-066 rsuAnnual · MK-ST-F-049 formatMoney · MK-CF-F-090 effectiveRate · MK-CF-F-085 filingStatusOf · MK-CF-F-089 over65CountOf · MK-CF-F-098 progressiveMonthlyTax · MK-CF-F-086 stateRateOf · MK-CF-F-088 taxableByCalendarMonth · MK-CF-F-021 defaultPaymentType · MK-CF-F-067 rentalList · MK-CF-F-097 grossFromNet · MK-CF-F-004 spendBuckets · MK-CF-F-063 rowVestYear · MK-ST-F-048 currencySymbol · MK-CF-F-102 effectiveRateOnGrossFor · MK-CF-F-084 taxableAnnual · MK-CF-F-101 taxOwedFor · MK-CF-F-100 taxableIncomeFor · MK-CF-F-065 equityVestWeights · MK-CF-F-071 extraIncome · MK-CF-F-095 taxOwed · MK-CF-F-003 categoryMonthly · MK-ST-F-047 activeCurrency · MK-CF-F-082 salaryAnnual · MK-CF-F-074 tipsAnnual · MK-CF-F-099 deductionFor · MK-CF-F-070 benefitAnnual · MK-CF-F-093 taxableIncome · MK-CF-F-081 salaryActiveMonths</t>
        </is>
      </c>
      <c r="O54" s="3" t="inlineStr">
        <is>
          <t>MK-CF-F-069 benefitActiveMonths → MK-XS-F-004 buildDatedGrid
MK-ST-F-052 toNum → MK-CF-F-075 retirementIncomeMonthly → MK-CF-F-072 currentRetirementIncomeMonthly → MK-XS-F-004 buildDatedGrid
MK-ST-F-052 toNum → MK-CF-F-062 equityRowValue → MK-CF-F-018 equityByMonth → MK-XS-F-004 buildDatedGrid
MK-ST-F-052 toNum → MK-CF-F-062 equityRowValue → MK-CF-F-066 rsuAnnual → MK-CF-F-018 equityByMonth → MK-XS-F-004 buildDatedGrid
MK-CF-F-063 rowVestYear → MK-CF-F-066 rsuAnnual → MK-CF-F-018 equityByMonth → MK-XS-F-004 buildDatedGrid
MK-ST-F-052 toNum → MK-CF-F-066 rsuAnnual → MK-CF-F-018 equityByMonth → MK-XS-F-004 buildDatedGrid
MK-ST-F-047 activeCurrency → MK-ST-F-048 currencySymbol → MK-ST-F-049 formatMoney → MK-ST-F-053 money → MK-XS-F-004 buildDatedGrid
MK-CF-F-100 taxableIncomeFor → MK-CF-F-101 taxOwedFor → MK-CF-F-102 effectiveRateOnGrossFor → MK-CF-F-090 effectiveRate → MK-CF-F-087 monthlyTaxRates → MK-XS-F-004 buildDatedGrid
… and 49 more paths</t>
        </is>
      </c>
      <c r="P54" s="3" t="inlineStr">
        <is>
          <t>—</t>
        </is>
      </c>
      <c r="Q54" s="3" t="inlineStr">
        <is>
          <t>—</t>
        </is>
      </c>
    </row>
    <row r="55">
      <c r="A55" s="3" t="inlineStr">
        <is>
          <t>MK-ST-F-028</t>
        </is>
      </c>
      <c r="B55" s="3" t="inlineStr">
        <is>
          <t>buildDayFromAccounts</t>
        </is>
      </c>
      <c r="C55" s="3" t="inlineStr">
        <is>
          <t>Calculation Module code/engines/snapshots.ts</t>
        </is>
      </c>
      <c r="D55" s="3" t="n">
        <v>92</v>
      </c>
      <c r="E55" s="3" t="inlineStr">
        <is>
          <t>3 · DEPENDENT (feeds an action only)</t>
        </is>
      </c>
      <c r="F55" s="3" t="inlineStr">
        <is>
          <t>Today's SnapshotDay, observed from the live account state.</t>
        </is>
      </c>
      <c r="G55" s="3" t="inlineStr">
        <is>
          <t>accounts: AccountLike[] · date: string · writtenAt: string</t>
        </is>
      </c>
      <c r="H55" s="3" t="inlineStr">
        <is>
          <t>SnapshotDay</t>
        </is>
      </c>
      <c r="I55" s="3" t="inlineStr">
        <is>
          <t>—</t>
        </is>
      </c>
      <c r="J55" s="3" t="inlineStr">
        <is>
          <t>· If balance is missing it uses 0.
· If shares is missing it counts as zero, so nothing recorded and a real zero look the same.
· If cost per share is missing it counts as zero, so nothing recorded and a real zero look the same.
· Uses a built-in d a i l y y e a r s of 2.
· Multiplies by 100 — a percentage, or an option contract treated as 100 shares. Worth checking which.
· Rounds the answer to a whole number.</t>
        </is>
      </c>
      <c r="K55" s="3" t="inlineStr">
        <is>
          <t>No</t>
        </is>
      </c>
      <c r="L55" s="3" t="inlineStr">
        <is>
          <t>—</t>
        </is>
      </c>
      <c r="M55" s="3" t="n">
        <v>0</v>
      </c>
      <c r="N55" s="3" t="inlineStr">
        <is>
          <t>None — no dependent function stands behind it</t>
        </is>
      </c>
      <c r="O55" s="3" t="inlineStr">
        <is>
          <t>No dependent function — it reads its inputs and answers</t>
        </is>
      </c>
      <c r="P55" s="3" t="inlineStr">
        <is>
          <t>—</t>
        </is>
      </c>
      <c r="Q55" s="3" t="inlineStr">
        <is>
          <t>—</t>
        </is>
      </c>
    </row>
    <row r="56">
      <c r="A56" s="3" t="inlineStr">
        <is>
          <t>MK-CF-F-036</t>
        </is>
      </c>
      <c r="B56" s="3" t="inlineStr">
        <is>
          <t>buildDebtState</t>
        </is>
      </c>
      <c r="C56" s="3" t="inlineStr">
        <is>
          <t>src/domain/debt/index.ts</t>
        </is>
      </c>
      <c r="D56" s="3" t="n">
        <v>214</v>
      </c>
      <c r="E56" s="3" t="inlineStr">
        <is>
          <t>2 · DISPLAYED</t>
        </is>
      </c>
      <c r="F56" s="3" t="inlineStr">
        <is>
          <t>What is the whole debt picture?</t>
        </is>
      </c>
      <c r="G56" s="3" t="inlineStr">
        <is>
          <t>uid: UserId · debts: Debt[]</t>
        </is>
      </c>
      <c r="H56" s="3" t="inlineStr">
        <is>
          <t>DebtState</t>
        </is>
      </c>
      <c r="I56" s="3" t="inlineStr">
        <is>
          <t>"Monthly debt payments" — on the Net worth screen, under "💳  DEBTS" · "Net worth so far" — on the Net worth screen, under "EMERGENCY CUSHION" · "WHAT YOU OWE" — on the Net worth screen, under "WHAT YOU OWE"</t>
        </is>
      </c>
      <c r="J56" s="3" t="inlineStr">
        <is>
          <t>· Leaves some rows out of the answer — check which.</t>
        </is>
      </c>
      <c r="K56" s="3" t="inlineStr">
        <is>
          <t>Yes</t>
        </is>
      </c>
      <c r="L56" s="3" t="inlineStr">
        <is>
          <t>MK-CF-F-026 actualDebtPayment · MK-CF-F-025 minimumDebtService · MK-ST-F-055 round2</t>
        </is>
      </c>
      <c r="M56" s="3" t="n">
        <v>7</v>
      </c>
      <c r="N56" s="3" t="inlineStr">
        <is>
          <t>MK-CF-F-026 actualDebtPayment · MK-CF-F-025 minimumDebtService · MK-ST-F-055 round2 · MK-CF-F-024 totalDebtMonthly · MK-CF-F-022 paymentShape · MK-CF-F-023 requiredPayment · MK-CF-F-021 defaultPaymentType</t>
        </is>
      </c>
      <c r="O56" s="3" t="inlineStr">
        <is>
          <t>MK-ST-F-055 round2 → MK-CF-F-026 actualDebtPayment → MK-CF-F-036 buildDebtState
MK-CF-F-021 defaultPaymentType → MK-CF-F-022 paymentShape → MK-CF-F-023 requiredPayment → MK-CF-F-024 totalDebtMonthly → MK-CF-F-026 actualDebtPayment → MK-CF-F-036 buildDebtState
MK-CF-F-021 defaultPaymentType → MK-CF-F-022 paymentShape → MK-CF-F-025 minimumDebtService → MK-CF-F-036 buildDebtState
MK-ST-F-055 round2 → MK-CF-F-025 minimumDebtService → MK-CF-F-036 buildDebtState
MK-ST-F-055 round2 → MK-CF-F-036 buildDebtState</t>
        </is>
      </c>
      <c r="P56" s="3" t="inlineStr">
        <is>
          <t>MK-NW-M-009 · MK-NW-M-010 · MK-NW-M-012</t>
        </is>
      </c>
      <c r="Q56" s="3" t="inlineStr">
        <is>
          <t>DEBT_PICTURE</t>
        </is>
      </c>
    </row>
    <row r="57">
      <c r="A57" s="3" t="inlineStr">
        <is>
          <t>MK-PL-F-011</t>
        </is>
      </c>
      <c r="B57" s="3" t="inlineStr">
        <is>
          <t>buildGoalsState</t>
        </is>
      </c>
      <c r="C57" s="3" t="inlineStr">
        <is>
          <t>src/domain/goals/index.ts</t>
        </is>
      </c>
      <c r="D57" s="3" t="n">
        <v>24</v>
      </c>
      <c r="E57" s="3" t="inlineStr">
        <is>
          <t>3 · DEPENDENT</t>
        </is>
      </c>
      <c r="F57" s="3" t="inlineStr">
        <is>
          <t>Months to reach each goal at the given monthly savings capacity.</t>
        </is>
      </c>
      <c r="G57" s="3" t="inlineStr">
        <is>
          <t>uid: UserId · goals: Goal[] · monthlyCapacity: number</t>
        </is>
      </c>
      <c r="H57" s="3" t="inlineStr">
        <is>
          <t>GoalsState</t>
        </is>
      </c>
      <c r="I57" s="3" t="inlineStr">
        <is>
          <t>—</t>
        </is>
      </c>
      <c r="J57" s="3" t="inlineStr">
        <is>
          <t>None found in this function — anything it assumes comes from the functions it depends on.</t>
        </is>
      </c>
      <c r="K57" s="3" t="inlineStr">
        <is>
          <t>Yes</t>
        </is>
      </c>
      <c r="L57" s="3" t="inlineStr">
        <is>
          <t>MK-ST-F-055 round2 · MK-PL-F-012 waterfall</t>
        </is>
      </c>
      <c r="M57" s="3" t="n">
        <v>2</v>
      </c>
      <c r="N57" s="3" t="inlineStr">
        <is>
          <t>MK-ST-F-055 round2 · MK-PL-F-012 waterfall</t>
        </is>
      </c>
      <c r="O57" s="3" t="inlineStr">
        <is>
          <t>MK-ST-F-055 round2 → MK-PL-F-011 buildGoalsState
MK-ST-F-055 round2 → MK-PL-F-012 waterfall → MK-PL-F-011 buildGoalsState</t>
        </is>
      </c>
      <c r="P57" s="3" t="inlineStr">
        <is>
          <t>—</t>
        </is>
      </c>
      <c r="Q57" s="3" t="inlineStr">
        <is>
          <t>—</t>
        </is>
      </c>
    </row>
    <row r="58">
      <c r="A58" s="3" t="inlineStr">
        <is>
          <t>MK-CF-F-049</t>
        </is>
      </c>
      <c r="B58" s="3" t="inlineStr">
        <is>
          <t>buildIncomeState</t>
        </is>
      </c>
      <c r="C58" s="3" t="inlineStr">
        <is>
          <t>src/domain/income/calc.ts</t>
        </is>
      </c>
      <c r="D58" s="3" t="n">
        <v>62</v>
      </c>
      <c r="E58" s="3" t="inlineStr">
        <is>
          <t>2 · DISPLAYED</t>
        </is>
      </c>
      <c r="F58" s="3" t="inlineStr">
        <is>
          <t>NOT DETERMINED — the code carries no note saying what this is for, and it has no row in the old inventory. Needs reading.</t>
        </is>
      </c>
      <c r="G58" s="3" t="inlineStr">
        <is>
          <t>userId: string · sources: IncomeSource[] · tax: TaxProfile</t>
        </is>
      </c>
      <c r="H58" s="3" t="inlineStr">
        <is>
          <t>IncomeState</t>
        </is>
      </c>
      <c r="I58" s="3" t="inlineStr">
        <is>
          <t>NOT FOUND — a screen calls it, but the words printed beside its answer could not be traced automatically. Needs reading.</t>
        </is>
      </c>
      <c r="J58" s="3" t="inlineStr">
        <is>
          <t>· Uses a built-in i of 0.
· Treats a year as twelve equal months.
· Multiplies by 100 — a percentage, or an option contract treated as 100 shares. Worth checking which.
· Rounds the answer to a whole number.</t>
        </is>
      </c>
      <c r="K58" s="3" t="inlineStr">
        <is>
          <t>Yes</t>
        </is>
      </c>
      <c r="L58" s="3" t="inlineStr">
        <is>
          <t>MK-CF-F-048 effectiveTaxRate · MK-CF-F-046 employerMatchAnnual · MK-CF-F-045 grossAnnualBaseline · MK-CF-F-098 progressiveMonthlyTax · MK-ST-F-055 round2</t>
        </is>
      </c>
      <c r="M58" s="3" t="n">
        <v>13</v>
      </c>
      <c r="N58" s="3" t="inlineStr">
        <is>
          <t>MK-CF-F-048 effectiveTaxRate · MK-CF-F-046 employerMatchAnnual · MK-CF-F-045 grossAnnualBaseline · MK-CF-F-098 progressiveMonthlyTax · MK-ST-F-055 round2 · MK-CF-F-047 estimateEffectiveTaxRate · MK-CF-F-044 annualNet · MK-CF-F-101 taxOwedFor · MK-CF-F-100 taxableIncomeFor · MK-CF-F-096 effectiveRateOnGross · MK-CF-F-099 deductionFor · MK-CF-F-095 taxOwed · MK-CF-F-093 taxableIncome</t>
        </is>
      </c>
      <c r="O58" s="3" t="inlineStr">
        <is>
          <t>MK-CF-F-093 taxableIncome → MK-CF-F-095 taxOwed → MK-CF-F-096 effectiveRateOnGross → MK-CF-F-047 estimateEffectiveTaxRate → MK-CF-F-048 effectiveTaxRate → MK-CF-F-049 buildIncomeState
MK-CF-F-046 employerMatchAnnual → MK-CF-F-049 buildIncomeState
MK-CF-F-044 annualNet → MK-CF-F-045 grossAnnualBaseline → MK-CF-F-049 buildIncomeState
MK-CF-F-099 deductionFor → MK-CF-F-100 taxableIncomeFor → MK-CF-F-101 taxOwedFor → MK-CF-F-098 progressiveMonthlyTax → MK-CF-F-049 buildIncomeState
MK-CF-F-099 deductionFor → MK-CF-F-100 taxableIncomeFor → MK-CF-F-098 progressiveMonthlyTax → MK-CF-F-049 buildIncomeState
MK-ST-F-055 round2 → MK-CF-F-049 buildIncomeState</t>
        </is>
      </c>
      <c r="P58" s="3" t="inlineStr">
        <is>
          <t>—</t>
        </is>
      </c>
      <c r="Q58" s="3" t="inlineStr">
        <is>
          <t>—</t>
        </is>
      </c>
    </row>
    <row r="59">
      <c r="A59" s="3" t="inlineStr">
        <is>
          <t>MK-HM-F-001</t>
        </is>
      </c>
      <c r="B59" s="3" t="inlineStr">
        <is>
          <t>buildInsights</t>
        </is>
      </c>
      <c r="C59" s="3" t="inlineStr">
        <is>
          <t>src/domain/insights/index.ts</t>
        </is>
      </c>
      <c r="D59" s="3" t="n">
        <v>102</v>
      </c>
      <c r="E59" s="3" t="inlineStr">
        <is>
          <t>2 · DISPLAYED</t>
        </is>
      </c>
      <c r="F59" s="3" t="inlineStr">
        <is>
          <t>Ranked insights (highest priority first).</t>
        </is>
      </c>
      <c r="G59" s="3" t="inlineStr">
        <is>
          <t>input: InsightInput · limit?: number</t>
        </is>
      </c>
      <c r="H59" s="3" t="inlineStr">
        <is>
          <t>Insight[]</t>
        </is>
      </c>
      <c r="I59" s="3" t="inlineStr">
        <is>
          <t>NOT FOUND — a screen calls it, but the words printed beside its answer could not be traced automatically. Needs reading.</t>
        </is>
      </c>
      <c r="J59" s="3" t="inlineStr">
        <is>
          <t>· Leaves some rows out of the answer — check which.</t>
        </is>
      </c>
      <c r="K59" s="3" t="inlineStr">
        <is>
          <t>Yes</t>
        </is>
      </c>
      <c r="L59" s="3" t="inlineStr">
        <is>
          <t>—</t>
        </is>
      </c>
      <c r="M59" s="3" t="n">
        <v>0</v>
      </c>
      <c r="N59" s="3" t="inlineStr">
        <is>
          <t>None — no dependent function stands behind it</t>
        </is>
      </c>
      <c r="O59" s="3" t="inlineStr">
        <is>
          <t>No dependent function — it reads its inputs and answers</t>
        </is>
      </c>
      <c r="P59" s="3" t="inlineStr">
        <is>
          <t>—</t>
        </is>
      </c>
      <c r="Q59" s="3" t="inlineStr">
        <is>
          <t>—</t>
        </is>
      </c>
    </row>
    <row r="60">
      <c r="A60" s="3" t="inlineStr">
        <is>
          <t>MK-NW-F-052</t>
        </is>
      </c>
      <c r="B60" s="3" t="inlineStr">
        <is>
          <t>buildItemizedAccounts</t>
        </is>
      </c>
      <c r="C60" s="3" t="inlineStr">
        <is>
          <t>src/domain/assets/itemize.ts</t>
        </is>
      </c>
      <c r="D60" s="3" t="n">
        <v>48</v>
      </c>
      <c r="E60" s="3" t="inlineStr">
        <is>
          <t>2 · DISPLAYED</t>
        </is>
      </c>
      <c r="F60" s="3" t="inlineStr">
        <is>
          <t>Build the new accounts to CREATE when committing an itemization.</t>
        </is>
      </c>
      <c r="G60" s="3" t="inlineStr">
        <is>
          <t>Nothing is handed to it</t>
        </is>
      </c>
      <c r="H60" s="3" t="inlineStr">
        <is>
          <t>NOT DECLARED — the code does not say what it gives back</t>
        </is>
      </c>
      <c r="I60" s="3" t="inlineStr">
        <is>
          <t>NOT FOUND — a screen calls it, but the words printed beside its answer could not be traced automatically. Needs reading.</t>
        </is>
      </c>
      <c r="J60" s="3" t="inlineStr">
        <is>
          <t>· If value is missing it counts as zero, so nothing recorded and a real zero look the same.
· If coupon rate is missing it counts as zero, so nothing recorded and a real zero look the same.</t>
        </is>
      </c>
      <c r="K60" s="3" t="inlineStr">
        <is>
          <t>Yes</t>
        </is>
      </c>
      <c r="L60" s="3" t="inlineStr">
        <is>
          <t>MK-NW-F-050 itemizeRemainder · MK-ST-F-055 round2</t>
        </is>
      </c>
      <c r="M60" s="3" t="n">
        <v>3</v>
      </c>
      <c r="N60" s="3" t="inlineStr">
        <is>
          <t>MK-NW-F-050 itemizeRemainder · MK-ST-F-055 round2 · MK-NW-F-049 itemizedTotal</t>
        </is>
      </c>
      <c r="O60" s="3" t="inlineStr">
        <is>
          <t>MK-ST-F-055 round2 → MK-NW-F-049 itemizedTotal → MK-NW-F-050 itemizeRemainder → MK-NW-F-052 buildItemizedAccounts
MK-ST-F-055 round2 → MK-NW-F-050 itemizeRemainder → MK-NW-F-052 buildItemizedAccounts
MK-ST-F-055 round2 → MK-NW-F-052 buildItemizedAccounts</t>
        </is>
      </c>
      <c r="P60" s="3" t="inlineStr">
        <is>
          <t>—</t>
        </is>
      </c>
      <c r="Q60" s="3" t="inlineStr">
        <is>
          <t>ITEMISE_AN_ACCOUNT</t>
        </is>
      </c>
    </row>
    <row r="61">
      <c r="A61" s="3" t="inlineStr">
        <is>
          <t>MK-NW-F-065</t>
        </is>
      </c>
      <c r="B61" s="3" t="inlineStr">
        <is>
          <t>buildNetWorth</t>
        </is>
      </c>
      <c r="C61" s="3" t="inlineStr">
        <is>
          <t>src/domain/networth/index.ts</t>
        </is>
      </c>
      <c r="D61" s="3" t="n">
        <v>12</v>
      </c>
      <c r="E61" s="3" t="inlineStr">
        <is>
          <t>2 · DISPLAYED</t>
        </is>
      </c>
      <c r="F61" s="3" t="inlineStr">
        <is>
          <t>What is this household worth?</t>
        </is>
      </c>
      <c r="G61" s="3" t="inlineStr">
        <is>
          <t>uid: UserId · grossAssets: number · grossDebt: number</t>
        </is>
      </c>
      <c r="H61" s="3" t="inlineStr">
        <is>
          <t>NetWorthState</t>
        </is>
      </c>
      <c r="I61" s="3" t="inlineStr">
        <is>
          <t>"Net worth so far" — on the Net worth screen, under "EMERGENCY CUSHION"</t>
        </is>
      </c>
      <c r="J61" s="3" t="inlineStr">
        <is>
          <t>None found in this function — anything it assumes comes from the functions it depends on.</t>
        </is>
      </c>
      <c r="K61" s="3" t="inlineStr">
        <is>
          <t>Yes</t>
        </is>
      </c>
      <c r="L61" s="3" t="inlineStr">
        <is>
          <t>MK-ST-F-055 round2</t>
        </is>
      </c>
      <c r="M61" s="3" t="n">
        <v>1</v>
      </c>
      <c r="N61" s="3" t="inlineStr">
        <is>
          <t>MK-ST-F-055 round2</t>
        </is>
      </c>
      <c r="O61" s="3" t="inlineStr">
        <is>
          <t>MK-ST-F-055 round2 → MK-NW-F-065 buildNetWorth</t>
        </is>
      </c>
      <c r="P61" s="3" t="inlineStr">
        <is>
          <t>MK-NW-M-016 · MK-XS-M-001</t>
        </is>
      </c>
      <c r="Q61" s="3" t="inlineStr">
        <is>
          <t>NET_WORTH</t>
        </is>
      </c>
    </row>
    <row r="62">
      <c r="A62" s="3" t="inlineStr">
        <is>
          <t>MK-CF-F-107</t>
        </is>
      </c>
      <c r="B62" s="3" t="inlineStr">
        <is>
          <t>buildPaycheckYear</t>
        </is>
      </c>
      <c r="C62" s="3" t="inlineStr">
        <is>
          <t>src/domain/paycheck/index.ts</t>
        </is>
      </c>
      <c r="D62" s="3" t="n">
        <v>122</v>
      </c>
      <c r="E62" s="3" t="inlineStr">
        <is>
          <t>2 · DISPLAYED</t>
        </is>
      </c>
      <c r="F62" s="3" t="inlineStr">
        <is>
          <t>Build the month-by-month paycheck.</t>
        </is>
      </c>
      <c r="G62" s="3" t="inlineStr">
        <is>
          <t>op: OnboardingProfile | null · opts: PaycheckOptions</t>
        </is>
      </c>
      <c r="H62" s="3" t="inlineStr">
        <is>
          <t>PaycheckYear</t>
        </is>
      </c>
      <c r="I62" s="3" t="inlineStr">
        <is>
          <t>NOT FOUND — a screen calls it, but the words printed beside its answer could not be traced automatically. Needs reading.</t>
        </is>
      </c>
      <c r="J62" s="3" t="inlineStr">
        <is>
          <t>· If chance floor is missing it uses 80.
· Treats a year as twelve equal months.
· Turns a monthly figure into a year by multiplying by twelve.
· Uses today's date from the device clock, so the answer changes by itself overnight.
· Leaves some rows out of the answer — check which.</t>
        </is>
      </c>
      <c r="K62" s="3" t="inlineStr">
        <is>
          <t>Yes</t>
        </is>
      </c>
      <c r="L62" s="3" t="inlineStr">
        <is>
          <t>MK-XS-F-004 buildDatedGrid · MK-CF-F-105 guaranteedRows · MK-NW-F-033 retirementEarmarkedValue · MK-ST-F-055 round2 · MK-CF-F-106 solveSafeDraw</t>
        </is>
      </c>
      <c r="M62" s="3" t="n">
        <v>58</v>
      </c>
      <c r="N62" s="3" t="inlineStr">
        <is>
          <t>MK-XS-F-004 buildDatedGrid · MK-CF-F-105 guaranteedRows · MK-NW-F-033 retirementEarmarkedValue · MK-ST-F-055 round2 · MK-CF-F-106 solveSafeDraw · MK-CF-F-069 benefitActiveMonths · MK-CF-F-072 currentRetirementIncomeMonthly · MK-CF-F-018 equityByMonth · MK-ST-F-053 money · MK-CF-F-087 monthlyTaxRates · MK-CF-F-073 otherIncomeMonth · MK-CF-F-022 paymentShape · MK-CF-F-068 rentalNetAnnual · MK-CF-F-023 requiredPayment · MK-CF-F-060 salaryGrossByMonth · MK-CF-F-008 spendByMonth · MK-ST-F-052 toNum · MK-NW-F-032 earmarkedAmount · MK-NW-F-031 primaryCarIdOf · MK-PL-F-050 simulate · MK-CF-F-075 retirementIncomeMonthly · MK-CF-F-062 equityRowValue · MK-CF-F-066 rsuAnnual · MK-ST-F-049 formatMoney · MK-CF-F-090 effectiveRate · MK-CF-F-085 filingStatusOf · MK-CF-F-089 over65CountOf · MK-CF-F-098 progressiveMonthlyTax · MK-CF-F-086 stateRateOf · MK-CF-F-088 taxableByCalendarMonth · MK-CF-F-021 defaultPaymentType · MK-CF-F-067 rentalList · MK-CF-F-097 grossFromNet · MK-CF-F-004 spendBuckets · MK-NW-F-030 earmarkDefault · MK-NW-F-011 assetClassOf · MK-ST-F-025 rmdStartAgeFromAge · MK-CF-F-063 rowVestYear · MK-ST-F-048 currencySymbol · MK-CF-F-102 effectiveRateOnGrossFor · MK-CF-F-084 taxableAnnual · MK-CF-F-101 taxOwedFor · MK-CF-F-100 taxableIncomeFor · MK-CF-F-065 equityVestWeights · MK-CF-F-071 extraIncome · MK-CF-F-095 taxOwed · MK-CF-F-003 categoryMonthly · MK-NW-F-013 realEstateUseOf · MK-NW-F-008 incomeBearingClassOf · MK-ST-F-024 rmdStartAge · MK-ST-F-047 activeCurrency · MK-CF-F-082 salaryAnnual · MK-CF-F-074 tipsAnnual · MK-CF-F-099 deductionFor · MK-CF-F-070 benefitAnnual · MK-CF-F-093 taxableIncome · MK-ST-F-010 nameEvidence · MK-CF-F-081 salaryActiveMonths</t>
        </is>
      </c>
      <c r="O62" s="3" t="inlineStr">
        <is>
          <t>MK-CF-F-069 benefitActiveMonths → MK-XS-F-004 buildDatedGrid → MK-CF-F-107 buildPaycheckYear
MK-ST-F-052 toNum → MK-CF-F-075 retirementIncomeMonthly → MK-CF-F-072 currentRetirementIncomeMonthly → MK-XS-F-004 buildDatedGrid → MK-CF-F-107 buildPaycheckYear
MK-ST-F-052 toNum → MK-CF-F-062 equityRowValue → MK-CF-F-018 equityByMonth → MK-XS-F-004 buildDatedGrid → MK-CF-F-107 buildPaycheckYear
MK-ST-F-052 toNum → MK-CF-F-062 equityRowValue → MK-CF-F-066 rsuAnnual → MK-CF-F-018 equityByMonth → MK-XS-F-004 buildDatedGrid → MK-CF-F-107 buildPaycheckYear
MK-CF-F-063 rowVestYear → MK-CF-F-066 rsuAnnual → MK-CF-F-018 equityByMonth → MK-XS-F-004 buildDatedGrid → MK-CF-F-107 buildPaycheckYear
MK-ST-F-052 toNum → MK-CF-F-066 rsuAnnual → MK-CF-F-018 equityByMonth → MK-XS-F-004 buildDatedGrid → MK-CF-F-107 buildPaycheckYear
MK-ST-F-047 activeCurrency → MK-ST-F-048 currencySymbol → MK-ST-F-049 formatMoney → MK-ST-F-053 money → MK-XS-F-004 buildDatedGrid → MK-CF-F-107 buildPaycheckYear
MK-CF-F-101 taxOwedFor → MK-CF-F-102 effectiveRateOnGrossFor → MK-CF-F-090 effectiveRate → MK-CF-F-087 monthlyTaxRates → MK-XS-F-004 buildDatedGrid → MK-CF-F-107 buildPaycheckYear
… and 53 more paths</t>
        </is>
      </c>
      <c r="P62" s="3" t="inlineStr">
        <is>
          <t>—</t>
        </is>
      </c>
      <c r="Q62" s="3" t="inlineStr">
        <is>
          <t>—</t>
        </is>
      </c>
    </row>
    <row r="63">
      <c r="A63" s="3" t="inlineStr">
        <is>
          <t>MK-PF-F-014</t>
        </is>
      </c>
      <c r="B63" s="3" t="inlineStr">
        <is>
          <t>buildPerformance</t>
        </is>
      </c>
      <c r="C63" s="3" t="inlineStr">
        <is>
          <t>src/domain/performance/index.ts</t>
        </is>
      </c>
      <c r="D63" s="3" t="n">
        <v>191</v>
      </c>
      <c r="E63" s="3" t="inlineStr">
        <is>
          <t>2 · DISPLAYED</t>
        </is>
      </c>
      <c r="F63" s="3" t="inlineStr">
        <is>
          <t>Build the per-holding rows for a period from positions + a price-series lookup.</t>
        </is>
      </c>
      <c r="G63" s="3" t="inlineStr">
        <is>
          <t>Nothing is handed to it</t>
        </is>
      </c>
      <c r="H63" s="3" t="inlineStr">
        <is>
          <t>NOT DECLARED — the code does not say what it gives back</t>
        </is>
      </c>
      <c r="I63" s="3" t="inlineStr">
        <is>
          <t>NOT FOUND — a screen calls it, but the words printed beside its answer could not be traced automatically. Needs reading.</t>
        </is>
      </c>
      <c r="J63" s="3" t="inlineStr">
        <is>
          <t>· Uses today's date from the device clock, so the answer changes by itself overnight.
· Rounds the answer to a whole number.</t>
        </is>
      </c>
      <c r="K63" s="3" t="inlineStr">
        <is>
          <t>Yes</t>
        </is>
      </c>
      <c r="L63" s="3" t="inlineStr">
        <is>
          <t>MK-PF-F-013 benchmarkTicker · MK-PF-F-002 costBasis · MK-PF-F-012 earliestPurchaseDate · MK-PF-F-009 latestClose · MK-PF-F-004 marketValue · MK-PF-F-010 periodReturn · MK-PF-F-011 periodReturnSince · MK-PF-F-008 startDateFor · MK-PF-F-007 totalROI · MK-PF-F-005 unrealizedGain</t>
        </is>
      </c>
      <c r="M63" s="3" t="n">
        <v>16</v>
      </c>
      <c r="N63" s="3" t="inlineStr">
        <is>
          <t>MK-PF-F-013 benchmarkTicker · MK-PF-F-002 costBasis · MK-PF-F-012 earliestPurchaseDate · MK-PF-F-009 latestClose · MK-PF-F-004 marketValue · MK-PF-F-010 periodReturn · MK-PF-F-011 periodReturnSince · MK-PF-F-008 startDateFor · MK-PF-F-007 totalROI · MK-PF-F-005 unrealizedGain · MK-ST-F-053 money · MK-ST-F-055 round2 · MK-PF-F-001 totalShares · MK-ST-F-049 formatMoney · MK-ST-F-048 currencySymbol · MK-ST-F-047 activeCurrency</t>
        </is>
      </c>
      <c r="O63" s="3" t="inlineStr">
        <is>
          <t>MK-ST-F-047 activeCurrency → MK-ST-F-048 currencySymbol → MK-ST-F-049 formatMoney → MK-ST-F-053 money → MK-PF-F-013 benchmarkTicker → MK-PF-F-014 buildPerformance
MK-ST-F-055 round2 → MK-PF-F-002 costBasis → MK-PF-F-014 buildPerformance
MK-PF-F-012 earliestPurchaseDate → MK-PF-F-014 buildPerformance
MK-PF-F-009 latestClose → MK-PF-F-014 buildPerformance
MK-ST-F-055 round2 → MK-PF-F-004 marketValue → MK-PF-F-014 buildPerformance
MK-PF-F-001 totalShares → MK-PF-F-004 marketValue → MK-PF-F-014 buildPerformance
MK-PF-F-009 latestClose → MK-PF-F-010 periodReturn → MK-PF-F-014 buildPerformance
MK-PF-F-008 startDateFor → MK-PF-F-010 periodReturn → MK-PF-F-014 buildPerformance
… and 11 more paths</t>
        </is>
      </c>
      <c r="P63" s="3" t="inlineStr">
        <is>
          <t>MK-PF-M-005 · MK-PF-M-006 · MK-PF-M-007</t>
        </is>
      </c>
      <c r="Q63" s="3" t="inlineStr">
        <is>
          <t>PERFORMANCE_TABLE</t>
        </is>
      </c>
    </row>
    <row r="64">
      <c r="A64" s="3" t="inlineStr">
        <is>
          <t>MK-PL-F-053</t>
        </is>
      </c>
      <c r="B64" s="3" t="inlineStr">
        <is>
          <t>buildRetirementState</t>
        </is>
      </c>
      <c r="C64" s="3" t="inlineStr">
        <is>
          <t>src/domain/retirement/index.ts</t>
        </is>
      </c>
      <c r="D64" s="3" t="n">
        <v>297</v>
      </c>
      <c r="E64" s="3" t="inlineStr">
        <is>
          <t>3 · DEPENDENT</t>
        </is>
      </c>
      <c r="F64" s="3" t="inlineStr">
        <is>
          <t>NOT DETERMINED — the code carries no note saying what this is for, and it has no row in the old inventory. Needs reading.</t>
        </is>
      </c>
      <c r="G64" s="3" t="inlineStr">
        <is>
          <t>uid: UserId · inp: RetirementInputs</t>
        </is>
      </c>
      <c r="H64" s="3" t="inlineStr">
        <is>
          <t>RetirementState</t>
        </is>
      </c>
      <c r="I64" s="3" t="inlineStr">
        <is>
          <t>—</t>
        </is>
      </c>
      <c r="J64" s="3" t="inlineStr">
        <is>
          <t>· If paths is missing it uses 500.</t>
        </is>
      </c>
      <c r="K64" s="3" t="inlineStr">
        <is>
          <t>Yes</t>
        </is>
      </c>
      <c r="L64" s="3" t="inlineStr">
        <is>
          <t>MK-PL-F-050 simulate</t>
        </is>
      </c>
      <c r="M64" s="3" t="n">
        <v>4</v>
      </c>
      <c r="N64" s="3" t="inlineStr">
        <is>
          <t>MK-PL-F-050 simulate · MK-ST-F-025 rmdStartAgeFromAge · MK-ST-F-055 round2 · MK-ST-F-024 rmdStartAge</t>
        </is>
      </c>
      <c r="O64" s="3" t="inlineStr">
        <is>
          <t>MK-ST-F-024 rmdStartAge → MK-ST-F-025 rmdStartAgeFromAge → MK-PL-F-050 simulate → MK-PL-F-053 buildRetirementState
MK-ST-F-055 round2 → MK-PL-F-050 simulate → MK-PL-F-053 buildRetirementState</t>
        </is>
      </c>
      <c r="P64" s="3" t="inlineStr">
        <is>
          <t>—</t>
        </is>
      </c>
      <c r="Q64" s="3" t="inlineStr">
        <is>
          <t>—</t>
        </is>
      </c>
    </row>
    <row r="65">
      <c r="A65" s="3" t="inlineStr">
        <is>
          <t>MK-XS-F-031</t>
        </is>
      </c>
      <c r="B65" s="3" t="inlineStr">
        <is>
          <t>buildSnapshot</t>
        </is>
      </c>
      <c r="C65" s="3" t="inlineStr">
        <is>
          <t>src/domain/snapshot.ts</t>
        </is>
      </c>
      <c r="D65" s="3" t="n">
        <v>52</v>
      </c>
      <c r="E65" s="3" t="inlineStr">
        <is>
          <t>2 · DISPLAYED</t>
        </is>
      </c>
      <c r="F65" s="3" t="inlineStr">
        <is>
          <t>Build a snapshot from EXPLICIT net-worth rows.</t>
        </is>
      </c>
      <c r="G65" s="3" t="inlineStr">
        <is>
          <t>Nothing is handed to it</t>
        </is>
      </c>
      <c r="H65" s="3" t="inlineStr">
        <is>
          <t>NOT DECLARED — the code does not say what it gives back</t>
        </is>
      </c>
      <c r="I65" s="3" t="inlineStr">
        <is>
          <t>NOT FOUND — a screen calls it, but the words printed beside its answer could not be traced automatically. Needs reading.</t>
        </is>
      </c>
      <c r="J65" s="3" t="inlineStr">
        <is>
          <t>· If current age is missing it uses 35.
· If target retirement age is missing it uses 65.
· If plan to age is missing it uses 90.</t>
        </is>
      </c>
      <c r="K65" s="3" t="inlineStr">
        <is>
          <t>Yes</t>
        </is>
      </c>
      <c r="L65" s="3" t="inlineStr">
        <is>
          <t>MK-NW-F-037 blendedReturn · MK-CF-F-013 budgetFromOnboarding · MK-NW-F-039 buildAssetsState · MK-CF-F-001 buildBudgetState · MK-CF-F-036 buildDebtState · MK-PL-F-011 buildGoalsState · MK-CF-F-049 buildIncomeState · MK-NW-F-065 buildNetWorth · MK-PL-F-053 buildRetirementState · MK-XS-F-030 effectiveAnnualContribution · MK-PL-F-013 goalsFromOnboarding · MK-CF-F-076 guaranteedOutsideStreams · MK-CF-F-079 incomeFromOnboarding · MK-XS-F-026 profileFromOnboarding · MK-NW-F-033 retirementEarmarkedValue · MK-PL-F-049 retirementSpendMonthly · MK-ST-F-052 toNum · MK-XS-F-020 toReadModel</t>
        </is>
      </c>
      <c r="M65" s="3" t="n">
        <v>89</v>
      </c>
      <c r="N65" s="3" t="inlineStr">
        <is>
          <t>MK-NW-F-037 blendedReturn · MK-CF-F-013 budgetFromOnboarding · MK-NW-F-039 buildAssetsState · MK-CF-F-001 buildBudgetState · MK-CF-F-036 buildDebtState · MK-PL-F-011 buildGoalsState · MK-CF-F-049 buildIncomeState · MK-NW-F-065 buildNetWorth · MK-PL-F-053 buildRetirementState · MK-XS-F-030 effectiveAnnualContribution · MK-PL-F-013 goalsFromOnboarding · MK-CF-F-076 guaranteedOutsideStreams · MK-CF-F-079 incomeFromOnboarding · MK-XS-F-026 profileFromOnboarding · MK-NW-F-033 retirementEarmarkedValue · MK-PL-F-049 retirementSpendMonthly · MK-ST-F-052 toNum · MK-XS-F-020 toReadModel · MK-NW-F-034 benchmarkReturn · MK-NW-F-032 earmarkedAmount · MK-NW-F-031 primaryCarIdOf · MK-CF-F-002 plannedMonthlySpend · MK-CF-F-004 spendBuckets · MK-ST-F-055 round2 · MK-CF-F-026 actualDebtPayment · MK-CF-F-025 minimumDebtService · MK-PL-F-012 waterfall · MK-CF-F-048 effectiveTaxRate · MK-CF-F-046 employerMatchAnnual · MK-CF-F-045 grossAnnualBaseline · MK-CF-F-098 progressiveMonthlyTax · MK-PL-F-050 simulate · MK-NW-F-041 monthlyContributionsFromOnboarding · MK-CF-F-011 savingsByMonth · MK-ST-F-043 newEntityId · MK-CF-F-070 benefitAnnual · MK-CF-F-072 currentRetirementIncomeMonthly · MK-CF-F-078 employerMatchMonthly · MK-CF-F-065 equityVestWeights · MK-CF-F-067 rentalList · MK-CF-F-066 rsuAnnual · MK-CF-F-082 salaryAnnual · MK-CF-F-074 tipsAnnual · MK-PL-F-047 colFactor · MK-XS-F-017 currentAge · MK-XS-F-019 retirementHorizonYears · MK-XS-F-018 yearsToRetirement · MK-NW-F-007 assetKind · MK-NW-F-030 earmarkDefault · MK-NW-F-011 assetClassOf · MK-CF-F-092 incomeMonthlyGrid · MK-CF-F-003 categoryMonthly · MK-CF-F-024 totalDebtMonthly · MK-CF-F-022 paymentShape · MK-CF-F-047 estimateEffectiveTaxRate · MK-CF-F-044 annualNet · MK-CF-F-101 taxOwedFor · MK-CF-F-100 taxableIncomeFor · MK-ST-F-025 rmdStartAgeFromAge · MK-CF-F-008 spendByMonth · MK-CF-F-069 benefitActiveMonths · MK-CF-F-075 retirementIncomeMonthly · MK-CF-F-062 equityRowValue · MK-CF-F-063 rowVestYear · MK-CF-F-060 salaryGrossByMonth · MK-CF-F-081 salaryActiveMonths · MK-NW-F-013 realEstateUseOf · MK-NW-F-008 incomeBearingClassOf · MK-CF-F-071 extraIncome · MK-CF-F-087 monthlyTaxRates · MK-CF-F-073 otherIncomeMonth · MK-CF-F-068 rentalNetAnnual · MK-CF-F-077 scholarshipByCalendarMonth · MK-CF-F-023 requiredPayment · MK-CF-F-021 defaultPaymentType · MK-CF-F-096 effectiveRateOnGross · MK-CF-F-099 deductionFor · MK-ST-F-024 rmdStartAge · MK-CF-F-097 grossFromNet · MK-ST-F-010 nameEvidence · MK-CF-F-090 effectiveRate · MK-CF-F-085 filingStatusOf · MK-CF-F-089 over65CountOf · MK-CF-F-086 stateRateOf · MK-CF-F-088 taxableByCalendarMonth · MK-CF-F-095 taxOwed · MK-CF-F-102 effectiveRateOnGrossFor · MK-CF-F-084 taxableAnnual · MK-CF-F-093 taxableIncome</t>
        </is>
      </c>
      <c r="O65" s="3" t="inlineStr">
        <is>
          <t>MK-NW-F-008 incomeBearingClassOf → MK-NW-F-011 assetClassOf → MK-NW-F-007 assetKind → MK-NW-F-034 benchmarkReturn → MK-NW-F-037 blendedReturn → MK-XS-F-031 buildSnapshot
MK-NW-F-008 incomeBearingClassOf → MK-NW-F-011 assetClassOf → MK-NW-F-030 earmarkDefault → MK-NW-F-032 earmarkedAmount → MK-NW-F-037 blendedReturn → MK-XS-F-031 buildSnapshot
MK-NW-F-013 realEstateUseOf → MK-NW-F-030 earmarkDefault → MK-NW-F-032 earmarkedAmount → MK-NW-F-037 blendedReturn → MK-XS-F-031 buildSnapshot
MK-ST-F-055 round2 → MK-NW-F-032 earmarkedAmount → MK-NW-F-037 blendedReturn → MK-XS-F-031 buildSnapshot
MK-ST-F-010 nameEvidence → MK-NW-F-008 incomeBearingClassOf → MK-NW-F-011 assetClassOf → MK-NW-F-031 primaryCarIdOf → MK-NW-F-037 blendedReturn → MK-XS-F-031 buildSnapshot
MK-CF-F-069 benefitActiveMonths → MK-CF-F-092 incomeMonthlyGrid → MK-CF-F-002 plannedMonthlySpend → MK-CF-F-013 budgetFromOnboarding → MK-XS-F-031 buildSnapshot
MK-CF-F-075 retirementIncomeMonthly → MK-CF-F-072 currentRetirementIncomeMonthly → MK-CF-F-092 incomeMonthlyGrid → MK-CF-F-002 plannedMonthlySpend → MK-CF-F-013 budgetFromOnboarding → MK-XS-F-031 buildSnapshot
MK-CF-F-062 equityRowValue → MK-CF-F-065 equityVestWeights → MK-CF-F-092 incomeMonthlyGrid → MK-CF-F-002 plannedMonthlySpend → MK-CF-F-013 budgetFromOnboarding → MK-XS-F-031 buildSnapshot
… and 110 more paths</t>
        </is>
      </c>
      <c r="P65" s="3" t="inlineStr">
        <is>
          <t>—</t>
        </is>
      </c>
      <c r="Q65" s="3" t="inlineStr">
        <is>
          <t>—</t>
        </is>
      </c>
    </row>
    <row r="66">
      <c r="A66" s="3" t="inlineStr">
        <is>
          <t>MK-XS-F-041</t>
        </is>
      </c>
      <c r="B66" s="3" t="inlineStr">
        <is>
          <t>cacheDataKey</t>
        </is>
      </c>
      <c r="C66" s="3" t="inlineStr">
        <is>
          <t>src/services/dataCrypto.ts</t>
        </is>
      </c>
      <c r="D66" s="3" t="n">
        <v>41</v>
      </c>
      <c r="E66" s="3" t="inlineStr">
        <is>
          <t>1 · ACTION</t>
        </is>
      </c>
      <c r="F66" s="3" t="inlineStr">
        <is>
          <t>── DEK lifecycle (the cached, unwrapped key the sync layer uses) ───── Cache the unwrapped DEK (memory + keychain).</t>
        </is>
      </c>
      <c r="G66" s="3" t="inlineStr">
        <is>
          <t>dek: string</t>
        </is>
      </c>
      <c r="H66" s="3" t="inlineStr">
        <is>
          <t>Promise&lt;void&gt;</t>
        </is>
      </c>
      <c r="I66" s="3" t="inlineStr">
        <is>
          <t>—</t>
        </is>
      </c>
      <c r="J66" s="3" t="inlineStr">
        <is>
          <t>None found in this function — anything it assumes comes from the functions it depends on.</t>
        </is>
      </c>
      <c r="K66" s="3" t="inlineStr">
        <is>
          <t>Yes</t>
        </is>
      </c>
      <c r="L66" s="3" t="inlineStr">
        <is>
          <t>—</t>
        </is>
      </c>
      <c r="M66" s="3" t="n">
        <v>0</v>
      </c>
      <c r="N66" s="3" t="inlineStr">
        <is>
          <t>None — no dependent function stands behind it</t>
        </is>
      </c>
      <c r="O66" s="3" t="inlineStr">
        <is>
          <t>No dependent function — it reads its inputs and answers</t>
        </is>
      </c>
      <c r="P66" s="3" t="inlineStr">
        <is>
          <t>—</t>
        </is>
      </c>
      <c r="Q66" s="3" t="inlineStr">
        <is>
          <t>—</t>
        </is>
      </c>
    </row>
    <row r="67">
      <c r="A67" s="3" t="inlineStr">
        <is>
          <t>MK-ST-F-006</t>
        </is>
      </c>
      <c r="B67" s="3" t="inlineStr">
        <is>
          <t>canAnswer</t>
        </is>
      </c>
      <c r="C67" s="3" t="inlineStr">
        <is>
          <t>Calculation Module code/engines/coverage.ts</t>
        </is>
      </c>
      <c r="D67" s="3" t="n">
        <v>99</v>
      </c>
      <c r="E67" s="3" t="inlineStr">
        <is>
          <t>3 · DEPENDENT (feeds an action only)</t>
        </is>
      </c>
      <c r="F67" s="3" t="inlineStr">
        <is>
          <t>Is there any record at all on or before this date?</t>
        </is>
      </c>
      <c r="G67" s="3" t="inlineStr">
        <is>
          <t>days: Dated[] · from: string</t>
        </is>
      </c>
      <c r="H67" s="3" t="inlineStr">
        <is>
          <t>boolean</t>
        </is>
      </c>
      <c r="I67" s="3" t="inlineStr">
        <is>
          <t>—</t>
        </is>
      </c>
      <c r="J67" s="3" t="inlineStr">
        <is>
          <t>None found in this function — anything it assumes comes from the functions it depends on.</t>
        </is>
      </c>
      <c r="K67" s="3" t="inlineStr">
        <is>
          <t>No</t>
        </is>
      </c>
      <c r="L67" s="3" t="inlineStr">
        <is>
          <t>MK-ST-F-033 onOrBefore</t>
        </is>
      </c>
      <c r="M67" s="3" t="n">
        <v>1</v>
      </c>
      <c r="N67" s="3" t="inlineStr">
        <is>
          <t>MK-ST-F-033 onOrBefore</t>
        </is>
      </c>
      <c r="O67" s="3" t="inlineStr">
        <is>
          <t>MK-ST-F-033 onOrBefore → MK-ST-F-006 canAnswer</t>
        </is>
      </c>
      <c r="P67" s="3" t="inlineStr">
        <is>
          <t>—</t>
        </is>
      </c>
      <c r="Q67" s="3" t="inlineStr">
        <is>
          <t>—</t>
        </is>
      </c>
    </row>
    <row r="68">
      <c r="A68" s="3" t="inlineStr">
        <is>
          <t>MK-XS-F-086</t>
        </is>
      </c>
      <c r="B68" s="3" t="inlineStr">
        <is>
          <t>cancelStreakReminder</t>
        </is>
      </c>
      <c r="C68" s="3" t="inlineStr">
        <is>
          <t>src/services/notifications.ts</t>
        </is>
      </c>
      <c r="D68" s="3" t="n">
        <v>47</v>
      </c>
      <c r="E68" s="3" t="inlineStr">
        <is>
          <t>1 · ACTION</t>
        </is>
      </c>
      <c r="F68" s="3" t="inlineStr">
        <is>
          <t>── Cancel streak reminder (e.g.</t>
        </is>
      </c>
      <c r="G68" s="3" t="inlineStr">
        <is>
          <t>Nothing is handed to it</t>
        </is>
      </c>
      <c r="H68" s="3" t="inlineStr">
        <is>
          <t>NOT DECLARED — the code does not say what it gives back</t>
        </is>
      </c>
      <c r="I68" s="3" t="inlineStr">
        <is>
          <t>—</t>
        </is>
      </c>
      <c r="J68" s="3" t="inlineStr">
        <is>
          <t>None found in this function — anything it assumes comes from the functions it depends on.</t>
        </is>
      </c>
      <c r="K68" s="3" t="inlineStr">
        <is>
          <t>No</t>
        </is>
      </c>
      <c r="L68" s="3" t="inlineStr">
        <is>
          <t>—</t>
        </is>
      </c>
      <c r="M68" s="3" t="n">
        <v>0</v>
      </c>
      <c r="N68" s="3" t="inlineStr">
        <is>
          <t>None — no dependent function stands behind it</t>
        </is>
      </c>
      <c r="O68" s="3" t="inlineStr">
        <is>
          <t>No dependent function — it reads its inputs and answers</t>
        </is>
      </c>
      <c r="P68" s="3" t="inlineStr">
        <is>
          <t>—</t>
        </is>
      </c>
      <c r="Q68" s="3" t="inlineStr">
        <is>
          <t>—</t>
        </is>
      </c>
    </row>
    <row r="69">
      <c r="A69" s="3" t="inlineStr">
        <is>
          <t>MK-PF-F-006</t>
        </is>
      </c>
      <c r="B69" s="3" t="inlineStr">
        <is>
          <t>capGains</t>
        </is>
      </c>
      <c r="C69" s="3" t="inlineStr">
        <is>
          <t>src/domain/performance/index.ts</t>
        </is>
      </c>
      <c r="D69" s="3" t="n">
        <v>63</v>
      </c>
      <c r="E69" s="3" t="inlineStr">
        <is>
          <t>2 · DISPLAYED</t>
        </is>
      </c>
      <c r="F69" s="3" t="inlineStr">
        <is>
          <t>If I sold this today, how much of the gain is long-term and how much short-term?</t>
        </is>
      </c>
      <c r="G69" s="3" t="inlineStr">
        <is>
          <t>p: Position · price: number | null | undefined · now: Date = new Date()</t>
        </is>
      </c>
      <c r="H69" s="3" t="inlineStr">
        <is>
          <t>CapGains</t>
        </is>
      </c>
      <c r="I69" s="3" t="inlineStr">
        <is>
          <t>"Gain — long-term (held over 1 yr)" — on the Holding detail screen, under "IF YOU SOLD TODAY" · "Gain — short-term (under 1 yr)" — on the Holding detail screen, under "IF YOU SOLD TODAY"</t>
        </is>
      </c>
      <c r="J69" s="3" t="inlineStr">
        <is>
          <t>· Uses today's date from the device clock, so the answer changes by itself overnight.</t>
        </is>
      </c>
      <c r="K69" s="3" t="inlineStr">
        <is>
          <t>Yes</t>
        </is>
      </c>
      <c r="L69" s="3" t="inlineStr">
        <is>
          <t>MK-ST-F-055 round2</t>
        </is>
      </c>
      <c r="M69" s="3" t="n">
        <v>1</v>
      </c>
      <c r="N69" s="3" t="inlineStr">
        <is>
          <t>MK-ST-F-055 round2</t>
        </is>
      </c>
      <c r="O69" s="3" t="inlineStr">
        <is>
          <t>MK-ST-F-055 round2 → MK-PF-F-006 capGains</t>
        </is>
      </c>
      <c r="P69" s="3" t="inlineStr">
        <is>
          <t>MK-NW-M-036 · MK-NW-M-037</t>
        </is>
      </c>
      <c r="Q69" s="3" t="inlineStr">
        <is>
          <t>HOLDING_CAP_GAINS</t>
        </is>
      </c>
    </row>
    <row r="70">
      <c r="A70" s="3" t="inlineStr">
        <is>
          <t>MK-PL-F-048</t>
        </is>
      </c>
      <c r="B70" s="3" t="inlineStr">
        <is>
          <t>capitalNeeded</t>
        </is>
      </c>
      <c r="C70" s="3" t="inlineStr">
        <is>
          <t>src/domain/retirement/index.ts</t>
        </is>
      </c>
      <c r="D70" s="3" t="n">
        <v>33</v>
      </c>
      <c r="E70" s="3" t="inlineStr">
        <is>
          <t>2 · DISPLAYED</t>
        </is>
      </c>
      <c r="F70" s="3" t="inlineStr">
        <is>
          <t>NOT DETERMINED — the code carries no note saying what this is for, and it has no row in the old inventory. Needs reading.</t>
        </is>
      </c>
      <c r="G70" s="3" t="inlineStr">
        <is>
          <t>inp: CapitalNeedInputs</t>
        </is>
      </c>
      <c r="H70" s="3" t="inlineStr">
        <is>
          <t>CapitalNeed</t>
        </is>
      </c>
      <c r="I70" s="3" t="inlineStr">
        <is>
          <t>"Annuity / other" — on the setup questions, which appear on more than one screen · "Capital needed" — on the setup questions, which appear on more than one screen · "Leave behind (your legacy goal)" — on the setup questions, which appear on more than one screen · "To fund from savings" — on the setup questions, which appear on more than one screen · "What are you saving for?" — on the setup questions, which appear on more than one screen · "Your retirement outlook" — on the setup questions, which appear on more than one screen</t>
        </is>
      </c>
      <c r="J70" s="3" t="inlineStr">
        <is>
          <t>· Turns a monthly figure into a year by multiplying by twelve.
· Multiplies by 100 — a percentage, or an option contract treated as 100 shares. Worth checking which.
· Rounds the answer to a whole number.</t>
        </is>
      </c>
      <c r="K70" s="3" t="inlineStr">
        <is>
          <t>Yes</t>
        </is>
      </c>
      <c r="L70" s="3" t="inlineStr">
        <is>
          <t>MK-ST-F-055 round2</t>
        </is>
      </c>
      <c r="M70" s="3" t="n">
        <v>1</v>
      </c>
      <c r="N70" s="3" t="inlineStr">
        <is>
          <t>MK-ST-F-055 round2</t>
        </is>
      </c>
      <c r="O70" s="3" t="inlineStr">
        <is>
          <t>MK-ST-F-055 round2 → MK-PL-F-048 capitalNeeded</t>
        </is>
      </c>
      <c r="P70" s="3" t="inlineStr">
        <is>
          <t>—</t>
        </is>
      </c>
      <c r="Q70" s="3" t="inlineStr">
        <is>
          <t>—</t>
        </is>
      </c>
    </row>
    <row r="71">
      <c r="A71" s="3" t="inlineStr">
        <is>
          <t>MK-XS-F-037</t>
        </is>
      </c>
      <c r="B71" s="3" t="inlineStr">
        <is>
          <t>captureException</t>
        </is>
      </c>
      <c r="C71" s="3" t="inlineStr">
        <is>
          <t>src/services/crashReporter.ts</t>
        </is>
      </c>
      <c r="D71" s="3" t="n">
        <v>53</v>
      </c>
      <c r="E71" s="3" t="inlineStr">
        <is>
          <t>1 · ACTION</t>
        </is>
      </c>
      <c r="F71" s="3" t="inlineStr">
        <is>
          <t>Report a caught error.</t>
        </is>
      </c>
      <c r="G71" s="3" t="inlineStr">
        <is>
          <t>error: unknown · extra?: Extra</t>
        </is>
      </c>
      <c r="H71" s="3" t="inlineStr">
        <is>
          <t>void</t>
        </is>
      </c>
      <c r="I71" s="3" t="inlineStr">
        <is>
          <t>—</t>
        </is>
      </c>
      <c r="J71" s="3" t="inlineStr">
        <is>
          <t>None found in this function — anything it assumes comes from the functions it depends on.</t>
        </is>
      </c>
      <c r="K71" s="3" t="inlineStr">
        <is>
          <t>Yes</t>
        </is>
      </c>
      <c r="L71" s="3" t="inlineStr">
        <is>
          <t>—</t>
        </is>
      </c>
      <c r="M71" s="3" t="n">
        <v>0</v>
      </c>
      <c r="N71" s="3" t="inlineStr">
        <is>
          <t>None — no dependent function stands behind it</t>
        </is>
      </c>
      <c r="O71" s="3" t="inlineStr">
        <is>
          <t>No dependent function — it reads its inputs and answers</t>
        </is>
      </c>
      <c r="P71" s="3" t="inlineStr">
        <is>
          <t>—</t>
        </is>
      </c>
      <c r="Q71" s="3" t="inlineStr">
        <is>
          <t>—</t>
        </is>
      </c>
    </row>
    <row r="72">
      <c r="A72" s="3" t="inlineStr">
        <is>
          <t>MK-CF-F-118</t>
        </is>
      </c>
      <c r="B72" s="3" t="inlineStr">
        <is>
          <t>cashEffect</t>
        </is>
      </c>
      <c r="C72" s="3" t="inlineStr">
        <is>
          <t>src/domain/transactions/index.ts</t>
        </is>
      </c>
      <c r="D72" s="3" t="n">
        <v>227</v>
      </c>
      <c r="E72" s="3" t="inlineStr">
        <is>
          <t>2 · DISPLAYED</t>
        </is>
      </c>
      <c r="F72" s="3" t="inlineStr">
        <is>
          <t>Signed cash effect on the primary account (for display).</t>
        </is>
      </c>
      <c r="G72" s="3" t="inlineStr">
        <is>
          <t>t: Transaction</t>
        </is>
      </c>
      <c r="H72" s="3" t="inlineStr">
        <is>
          <t>number</t>
        </is>
      </c>
      <c r="I72" s="3" t="inlineStr">
        <is>
          <t>NOT FOUND — a screen calls it, but the words printed beside its answer could not be traced automatically. Needs reading.</t>
        </is>
      </c>
      <c r="J72" s="3" t="inlineStr">
        <is>
          <t>· If shares is missing it counts as zero, so nothing recorded and a real zero look the same.
· If price is missing it counts as zero, so nothing recorded and a real zero look the same.
· If amount is missing it counts as zero, so nothing recorded and a real zero look the same.</t>
        </is>
      </c>
      <c r="K72" s="3" t="inlineStr">
        <is>
          <t>Yes</t>
        </is>
      </c>
      <c r="L72" s="3" t="inlineStr">
        <is>
          <t>—</t>
        </is>
      </c>
      <c r="M72" s="3" t="n">
        <v>0</v>
      </c>
      <c r="N72" s="3" t="inlineStr">
        <is>
          <t>None — no dependent function stands behind it</t>
        </is>
      </c>
      <c r="O72" s="3" t="inlineStr">
        <is>
          <t>No dependent function — it reads its inputs and answers</t>
        </is>
      </c>
      <c r="P72" s="3" t="inlineStr">
        <is>
          <t>—</t>
        </is>
      </c>
      <c r="Q72" s="3" t="inlineStr">
        <is>
          <t>CASH_EFFECT_OF_A_ROW</t>
        </is>
      </c>
    </row>
    <row r="73">
      <c r="A73" s="3" t="inlineStr">
        <is>
          <t>MK-NW-F-016</t>
        </is>
      </c>
      <c r="B73" s="3" t="inlineStr">
        <is>
          <t>cashTotal</t>
        </is>
      </c>
      <c r="C73" s="3" t="inlineStr">
        <is>
          <t>src/domain/assets/index.ts</t>
        </is>
      </c>
      <c r="D73" s="3" t="n">
        <v>271</v>
      </c>
      <c r="E73" s="3" t="inlineStr">
        <is>
          <t>2 · DISPLAYED</t>
        </is>
      </c>
      <c r="F73" s="3" t="inlineStr">
        <is>
          <t>Cash &amp; cash equivalents (Term #3) — THE cash number, and the same one the Net Worth CASH group shows.</t>
        </is>
      </c>
      <c r="G73" s="3" t="inlineStr">
        <is>
          <t>accounts: AssetAccount[]</t>
        </is>
      </c>
      <c r="H73" s="3" t="inlineStr">
        <is>
          <t>number</t>
        </is>
      </c>
      <c r="I73" s="3" t="inlineStr">
        <is>
          <t>"Cash on hand now" — on the Bill calendar screen · "EMERGENCY CUSHION" — on the Net worth screen, under "EMERGENCY CUSHION"</t>
        </is>
      </c>
      <c r="J73" s="3" t="inlineStr">
        <is>
          <t>· If balance is missing it counts as zero, so nothing recorded and a real zero look the same.</t>
        </is>
      </c>
      <c r="K73" s="3" t="inlineStr">
        <is>
          <t>Yes</t>
        </is>
      </c>
      <c r="L73" s="3" t="inlineStr">
        <is>
          <t>MK-NW-F-027 accountClassBreakdown · MK-NW-F-011 assetClassOf · MK-ST-F-055 round2</t>
        </is>
      </c>
      <c r="M73" s="3" t="n">
        <v>5</v>
      </c>
      <c r="N73" s="3" t="inlineStr">
        <is>
          <t>MK-NW-F-027 accountClassBreakdown · MK-NW-F-011 assetClassOf · MK-ST-F-055 round2 · MK-NW-F-008 incomeBearingClassOf · MK-ST-F-010 nameEvidence</t>
        </is>
      </c>
      <c r="O73" s="3" t="inlineStr">
        <is>
          <t>MK-ST-F-010 nameEvidence → MK-NW-F-008 incomeBearingClassOf → MK-NW-F-011 assetClassOf → MK-NW-F-027 accountClassBreakdown → MK-NW-F-016 cashTotal
MK-ST-F-010 nameEvidence → MK-NW-F-008 incomeBearingClassOf → MK-NW-F-027 accountClassBreakdown → MK-NW-F-016 cashTotal
MK-ST-F-055 round2 → MK-NW-F-027 accountClassBreakdown → MK-NW-F-016 cashTotal
MK-ST-F-010 nameEvidence → MK-NW-F-008 incomeBearingClassOf → MK-NW-F-011 assetClassOf → MK-NW-F-016 cashTotal
MK-ST-F-055 round2 → MK-NW-F-016 cashTotal</t>
        </is>
      </c>
      <c r="P73" s="3" t="inlineStr">
        <is>
          <t>MK-NW-M-005</t>
        </is>
      </c>
      <c r="Q73" s="3" t="inlineStr">
        <is>
          <t>TOTAL_CASH</t>
        </is>
      </c>
    </row>
    <row r="74">
      <c r="A74" s="3" t="inlineStr">
        <is>
          <t>MK-CF-F-020</t>
        </is>
      </c>
      <c r="B74" s="3" t="inlineStr">
        <is>
          <t>cashflowYear</t>
        </is>
      </c>
      <c r="C74" s="3" t="inlineStr">
        <is>
          <t>src/domain/cashflow/index.ts</t>
        </is>
      </c>
      <c r="D74" s="3" t="n">
        <v>147</v>
      </c>
      <c r="E74" s="3" t="inlineStr">
        <is>
          <t>3 · DEPENDENT (feeds an action only)</t>
        </is>
      </c>
      <c r="F74" s="3" t="inlineStr">
        <is>
          <t>Build the 12-month cash-flow picture.</t>
        </is>
      </c>
      <c r="G74" s="3" t="inlineStr">
        <is>
          <t>op: OnboardingProfile | null · startBalance = 0 · now: Date = new Date()</t>
        </is>
      </c>
      <c r="H74" s="3" t="inlineStr">
        <is>
          <t>CashflowYear</t>
        </is>
      </c>
      <c r="I74" s="3" t="inlineStr">
        <is>
          <t>—</t>
        </is>
      </c>
      <c r="J74" s="3" t="inlineStr">
        <is>
          <t>· Uses a built-in beyond window of 0.
· Uses a built-in s of 0.
· Treats a year as twelve equal months.
· Turns a monthly figure into a year by multiplying by twelve.
· Uses today's date from the device clock, so the answer changes by itself overnight.
· Leaves some rows out of the answer — check which.</t>
        </is>
      </c>
      <c r="K74" s="3" t="inlineStr">
        <is>
          <t>No</t>
        </is>
      </c>
      <c r="L74" s="3" t="inlineStr">
        <is>
          <t>MK-CF-F-069 benefitActiveMonths · MK-CF-F-072 currentRetirementIncomeMonthly · MK-CF-F-090 effectiveRate · MK-CF-F-018 equityByMonth · MK-CF-F-073 otherIncomeMonth · MK-CF-F-068 rentalNetAnnual · MK-ST-F-055 round2 · MK-CF-F-060 salaryGrossByMonth · MK-CF-F-008 spendByMonth · MK-ST-F-052 toNum</t>
        </is>
      </c>
      <c r="M74" s="3" t="n">
        <v>33</v>
      </c>
      <c r="N74" s="3" t="inlineStr">
        <is>
          <t>MK-CF-F-069 benefitActiveMonths · MK-CF-F-072 currentRetirementIncomeMonthly · MK-CF-F-090 effectiveRate · MK-CF-F-018 equityByMonth · MK-CF-F-073 otherIncomeMonth · MK-CF-F-068 rentalNetAnnual · MK-ST-F-055 round2 · MK-CF-F-060 salaryGrossByMonth · MK-CF-F-008 spendByMonth · MK-ST-F-052 toNum · MK-CF-F-075 retirementIncomeMonthly · MK-CF-F-102 effectiveRateOnGrossFor · MK-CF-F-085 filingStatusOf · MK-CF-F-089 over65CountOf · MK-CF-F-086 stateRateOf · MK-CF-F-084 taxableAnnual · MK-CF-F-062 equityRowValue · MK-CF-F-066 rsuAnnual · MK-CF-F-067 rentalList · MK-CF-F-097 grossFromNet · MK-CF-F-004 spendBuckets · MK-CF-F-101 taxOwedFor · MK-CF-F-071 extraIncome · MK-CF-F-082 salaryAnnual · MK-CF-F-074 tipsAnnual · MK-CF-F-063 rowVestYear · MK-CF-F-095 taxOwed · MK-CF-F-003 categoryMonthly · MK-CF-F-100 taxableIncomeFor · MK-CF-F-070 benefitAnnual · MK-CF-F-081 salaryActiveMonths · MK-CF-F-093 taxableIncome · MK-CF-F-099 deductionFor</t>
        </is>
      </c>
      <c r="O74" s="3" t="inlineStr">
        <is>
          <t>MK-CF-F-069 benefitActiveMonths → MK-CF-F-020 cashflowYear
MK-ST-F-052 toNum → MK-CF-F-075 retirementIncomeMonthly → MK-CF-F-072 currentRetirementIncomeMonthly → MK-CF-F-020 cashflowYear
MK-CF-F-099 deductionFor → MK-CF-F-100 taxableIncomeFor → MK-CF-F-101 taxOwedFor → MK-CF-F-102 effectiveRateOnGrossFor → MK-CF-F-090 effectiveRate → MK-CF-F-020 cashflowYear
MK-CF-F-085 filingStatusOf → MK-CF-F-090 effectiveRate → MK-CF-F-020 cashflowYear
MK-ST-F-052 toNum → MK-CF-F-089 over65CountOf → MK-CF-F-090 effectiveRate → MK-CF-F-020 cashflowYear
MK-ST-F-052 toNum → MK-CF-F-086 stateRateOf → MK-CF-F-090 effectiveRate → MK-CF-F-020 cashflowYear
MK-ST-F-052 toNum → MK-CF-F-075 retirementIncomeMonthly → MK-CF-F-072 currentRetirementIncomeMonthly → MK-CF-F-084 taxableAnnual → MK-CF-F-090 effectiveRate → MK-CF-F-020 cashflowYear
MK-CF-F-069 benefitActiveMonths → MK-CF-F-070 benefitAnnual → MK-CF-F-071 extraIncome → MK-CF-F-084 taxableAnnual → MK-CF-F-090 effectiveRate → MK-CF-F-020 cashflowYear
… and 29 more paths</t>
        </is>
      </c>
      <c r="P74" s="3" t="inlineStr">
        <is>
          <t>—</t>
        </is>
      </c>
      <c r="Q74" s="3" t="inlineStr">
        <is>
          <t>—</t>
        </is>
      </c>
    </row>
    <row r="75">
      <c r="A75" s="3" t="inlineStr">
        <is>
          <t>MK-CF-F-003</t>
        </is>
      </c>
      <c r="B75" s="3" t="inlineStr">
        <is>
          <t>categoryMonthly</t>
        </is>
      </c>
      <c r="C75" s="3" t="inlineStr">
        <is>
          <t>src/domain/budget/index.ts</t>
        </is>
      </c>
      <c r="D75" s="3" t="n">
        <v>61</v>
      </c>
      <c r="E75" s="3" t="inlineStr">
        <is>
          <t>2 · DISPLAYED</t>
        </is>
      </c>
      <c r="F75" s="3" t="inlineStr">
        <is>
          <t>Canonical per-category planned $/month — the ONE conversion the buckets AND the Budget screen share, so a category's on-screen line item ALWAYS reconciles with its bucket total (build-34 #3).</t>
        </is>
      </c>
      <c r="G75" s="3" t="inlineStr">
        <is>
          <t>c: { amount?: any; unit?: string; bucket?: string } | null | undefined · op: OnboardingProfile | null</t>
        </is>
      </c>
      <c r="H75" s="3" t="inlineStr">
        <is>
          <t>number</t>
        </is>
      </c>
      <c r="I75" s="3" t="inlineStr">
        <is>
          <t>NOT FOUND — a screen calls it, but the words printed beside its answer could not be traced automatically. Needs reading.</t>
        </is>
      </c>
      <c r="J75" s="3" t="inlineStr">
        <is>
          <t>· Treats a year as twelve equal months.
· Turns a monthly figure into a year by multiplying by twelve.</t>
        </is>
      </c>
      <c r="K75" s="3" t="inlineStr">
        <is>
          <t>Yes</t>
        </is>
      </c>
      <c r="L75" s="3" t="inlineStr">
        <is>
          <t>MK-ST-F-052 toNum</t>
        </is>
      </c>
      <c r="M75" s="3" t="n">
        <v>1</v>
      </c>
      <c r="N75" s="3" t="inlineStr">
        <is>
          <t>MK-ST-F-052 toNum</t>
        </is>
      </c>
      <c r="O75" s="3" t="inlineStr">
        <is>
          <t>MK-ST-F-052 toNum → MK-CF-F-003 categoryMonthly</t>
        </is>
      </c>
      <c r="P75" s="3" t="inlineStr">
        <is>
          <t>—</t>
        </is>
      </c>
      <c r="Q75" s="3" t="inlineStr">
        <is>
          <t>—</t>
        </is>
      </c>
    </row>
    <row r="76">
      <c r="A76" s="3" t="inlineStr">
        <is>
          <t>MK-PL-F-064</t>
        </is>
      </c>
      <c r="B76" s="3" t="inlineStr">
        <is>
          <t>claimWindow</t>
        </is>
      </c>
      <c r="C76" s="3" t="inlineStr">
        <is>
          <t>src/domain/retirement/ssTiming.ts</t>
        </is>
      </c>
      <c r="D76" s="3" t="n">
        <v>77</v>
      </c>
      <c r="E76" s="3" t="inlineStr">
        <is>
          <t>2 · DISPLAYED</t>
        </is>
      </c>
      <c r="F76" s="3" t="inlineStr">
        <is>
          <t>The claim window: the month the person turns 62 → the month they turn 70.</t>
        </is>
      </c>
      <c r="G76" s="3" t="inlineStr">
        <is>
          <t>birthYear: number | null · birthMonth: number | null</t>
        </is>
      </c>
      <c r="H76" s="3" t="inlineStr">
        <is>
          <t>NOT DECLARED — the code does not say what it gives back</t>
        </is>
      </c>
      <c r="I76" s="3" t="inlineStr">
        <is>
          <t>"Your assumption, not our prediction." — on the Social Security timing screen</t>
        </is>
      </c>
      <c r="J76" s="3" t="inlineStr">
        <is>
          <t>None found in this function — anything it assumes comes from the functions it depends on.</t>
        </is>
      </c>
      <c r="K76" s="3" t="inlineStr">
        <is>
          <t>Yes</t>
        </is>
      </c>
      <c r="L76" s="3" t="inlineStr">
        <is>
          <t>—</t>
        </is>
      </c>
      <c r="M76" s="3" t="n">
        <v>0</v>
      </c>
      <c r="N76" s="3" t="inlineStr">
        <is>
          <t>None — no dependent function stands behind it</t>
        </is>
      </c>
      <c r="O76" s="3" t="inlineStr">
        <is>
          <t>No dependent function — it reads its inputs and answers</t>
        </is>
      </c>
      <c r="P76" s="3" t="inlineStr">
        <is>
          <t>—</t>
        </is>
      </c>
      <c r="Q76" s="3" t="inlineStr">
        <is>
          <t>—</t>
        </is>
      </c>
    </row>
    <row r="77">
      <c r="A77" s="3" t="inlineStr">
        <is>
          <t>MK-NW-F-028</t>
        </is>
      </c>
      <c r="B77" s="3" t="inlineStr">
        <is>
          <t>classPortionLabel</t>
        </is>
      </c>
      <c r="C77" s="3" t="inlineStr">
        <is>
          <t>src/domain/assets/index.ts</t>
        </is>
      </c>
      <c r="D77" s="3" t="n">
        <v>465</v>
      </c>
      <c r="E77" s="3" t="inlineStr">
        <is>
          <t>2 · DISPLAYED</t>
        </is>
      </c>
      <c r="F77" s="3" t="inlineStr">
        <is>
          <t>Plain words for an account's slice inside a class row.</t>
        </is>
      </c>
      <c r="G77" s="3" t="inlineStr">
        <is>
          <t>a: AssetAccount · cls: AssetClass</t>
        </is>
      </c>
      <c r="H77" s="3" t="inlineStr">
        <is>
          <t>string</t>
        </is>
      </c>
      <c r="I77" s="3" t="inlineStr">
        <is>
          <t>NOT FOUND — a screen calls it, but the words printed beside its answer could not be traced automatically. Needs reading.</t>
        </is>
      </c>
      <c r="J77" s="3" t="inlineStr">
        <is>
          <t>· Leaves some rows out of the answer — check which.</t>
        </is>
      </c>
      <c r="K77" s="3" t="inlineStr">
        <is>
          <t>Yes</t>
        </is>
      </c>
      <c r="L77" s="3" t="inlineStr">
        <is>
          <t>—</t>
        </is>
      </c>
      <c r="M77" s="3" t="n">
        <v>0</v>
      </c>
      <c r="N77" s="3" t="inlineStr">
        <is>
          <t>None — no dependent function stands behind it</t>
        </is>
      </c>
      <c r="O77" s="3" t="inlineStr">
        <is>
          <t>No dependent function — it reads its inputs and answers</t>
        </is>
      </c>
      <c r="P77" s="3" t="inlineStr">
        <is>
          <t>—</t>
        </is>
      </c>
      <c r="Q77" s="3" t="inlineStr">
        <is>
          <t>SLICE_WORDING</t>
        </is>
      </c>
    </row>
    <row r="78">
      <c r="A78" s="3" t="inlineStr">
        <is>
          <t>MK-ST-F-007</t>
        </is>
      </c>
      <c r="B78" s="3" t="inlineStr">
        <is>
          <t>classifyEvent</t>
        </is>
      </c>
      <c r="C78" s="3" t="inlineStr">
        <is>
          <t>Calculation Module code/engines/events.ts</t>
        </is>
      </c>
      <c r="D78" s="3" t="n">
        <v>178</v>
      </c>
      <c r="E78" s="3" t="inlineStr">
        <is>
          <t>3 · DEPENDENT (feeds an action only)</t>
        </is>
      </c>
      <c r="F78" s="3" t="inlineStr">
        <is>
          <t>Classify one institution word.</t>
        </is>
      </c>
      <c r="G78" s="3" t="inlineStr">
        <is>
          <t>word: string | null | undefined</t>
        </is>
      </c>
      <c r="H78" s="3" t="inlineStr">
        <is>
          <t>Classified</t>
        </is>
      </c>
      <c r="I78" s="3" t="inlineStr">
        <is>
          <t>—</t>
        </is>
      </c>
      <c r="J78" s="3" t="inlineStr">
        <is>
          <t>None found in this function — anything it assumes comes from the functions it depends on.</t>
        </is>
      </c>
      <c r="K78" s="3" t="inlineStr">
        <is>
          <t>No</t>
        </is>
      </c>
      <c r="L78" s="3" t="inlineStr">
        <is>
          <t>—</t>
        </is>
      </c>
      <c r="M78" s="3" t="n">
        <v>0</v>
      </c>
      <c r="N78" s="3" t="inlineStr">
        <is>
          <t>None — no dependent function stands behind it</t>
        </is>
      </c>
      <c r="O78" s="3" t="inlineStr">
        <is>
          <t>No dependent function — it reads its inputs and answers</t>
        </is>
      </c>
      <c r="P78" s="3" t="inlineStr">
        <is>
          <t>—</t>
        </is>
      </c>
      <c r="Q78" s="3" t="inlineStr">
        <is>
          <t>—</t>
        </is>
      </c>
    </row>
    <row r="79">
      <c r="A79" s="3" t="inlineStr">
        <is>
          <t>MK-XS-F-014</t>
        </is>
      </c>
      <c r="B79" s="3" t="inlineStr">
        <is>
          <t>classifyHolding</t>
        </is>
      </c>
      <c r="C79" s="3" t="inlineStr">
        <is>
          <t>src/domain/import/holdingsImport.ts</t>
        </is>
      </c>
      <c r="D79" s="3" t="n">
        <v>137</v>
      </c>
      <c r="E79" s="3" t="inlineStr">
        <is>
          <t>3 · DEPENDENT</t>
        </is>
      </c>
      <c r="F79" s="3" t="inlineStr">
        <is>
          <t>B7 (founder brief 2026-08-20): classification lives in the ONE engine — this road only adapts.</t>
        </is>
      </c>
      <c r="G79" s="3" t="inlineStr">
        <is>
          <t>symbol: string · name = ''</t>
        </is>
      </c>
      <c r="H79" s="3" t="inlineStr">
        <is>
          <t>AssetClass</t>
        </is>
      </c>
      <c r="I79" s="3" t="inlineStr">
        <is>
          <t>—</t>
        </is>
      </c>
      <c r="J79" s="3" t="inlineStr">
        <is>
          <t>· Uses a built-in i of 0.</t>
        </is>
      </c>
      <c r="K79" s="3" t="inlineStr">
        <is>
          <t>Yes</t>
        </is>
      </c>
      <c r="L79" s="3" t="inlineStr">
        <is>
          <t>MK-ST-F-011 classifyHoldingClass</t>
        </is>
      </c>
      <c r="M79" s="3" t="n">
        <v>2</v>
      </c>
      <c r="N79" s="3" t="inlineStr">
        <is>
          <t>MK-ST-F-011 classifyHoldingClass · MK-ST-F-010 nameEvidence</t>
        </is>
      </c>
      <c r="O79" s="3" t="inlineStr">
        <is>
          <t>MK-ST-F-010 nameEvidence → MK-ST-F-011 classifyHoldingClass → MK-XS-F-014 classifyHolding</t>
        </is>
      </c>
      <c r="P79" s="3" t="inlineStr">
        <is>
          <t>—</t>
        </is>
      </c>
      <c r="Q79" s="3" t="inlineStr">
        <is>
          <t>CLASS_FROM_FILE</t>
        </is>
      </c>
    </row>
    <row r="80">
      <c r="A80" s="3" t="inlineStr">
        <is>
          <t>MK-ST-F-011</t>
        </is>
      </c>
      <c r="B80" s="3" t="inlineStr">
        <is>
          <t>classifyHoldingClass</t>
        </is>
      </c>
      <c r="C80" s="3" t="inlineStr">
        <is>
          <t>Calculation Module code/engines/holding-class.ts</t>
        </is>
      </c>
      <c r="D80" s="3" t="n">
        <v>106</v>
      </c>
      <c r="E80" s="3" t="inlineStr">
        <is>
          <t>3 · DEPENDENT</t>
        </is>
      </c>
      <c r="F80" s="3" t="inlineStr">
        <is>
          <t>NOT DETERMINED — the code carries no note saying what this is for, and it has no row in the old inventory. Needs reading.</t>
        </is>
      </c>
      <c r="G80" s="3" t="inlineStr">
        <is>
          <t>e: ClassEvidence</t>
        </is>
      </c>
      <c r="H80" s="3" t="inlineStr">
        <is>
          <t>ClassVerdict</t>
        </is>
      </c>
      <c r="I80" s="3" t="inlineStr">
        <is>
          <t>—</t>
        </is>
      </c>
      <c r="J80" s="3" t="inlineStr">
        <is>
          <t>None found in this function — anything it assumes comes from the functions it depends on.</t>
        </is>
      </c>
      <c r="K80" s="3" t="inlineStr">
        <is>
          <t>Yes</t>
        </is>
      </c>
      <c r="L80" s="3" t="inlineStr">
        <is>
          <t>MK-ST-F-010 nameEvidence</t>
        </is>
      </c>
      <c r="M80" s="3" t="n">
        <v>1</v>
      </c>
      <c r="N80" s="3" t="inlineStr">
        <is>
          <t>MK-ST-F-010 nameEvidence</t>
        </is>
      </c>
      <c r="O80" s="3" t="inlineStr">
        <is>
          <t>MK-ST-F-010 nameEvidence → MK-ST-F-011 classifyHoldingClass</t>
        </is>
      </c>
      <c r="P80" s="3" t="inlineStr">
        <is>
          <t>—</t>
        </is>
      </c>
      <c r="Q80" s="3" t="inlineStr">
        <is>
          <t>—</t>
        </is>
      </c>
    </row>
    <row r="81">
      <c r="A81" s="3" t="inlineStr">
        <is>
          <t>MK-XS-F-043</t>
        </is>
      </c>
      <c r="B81" s="3" t="inlineStr">
        <is>
          <t>clearDataKey</t>
        </is>
      </c>
      <c r="C81" s="3" t="inlineStr">
        <is>
          <t>src/services/dataCrypto.ts</t>
        </is>
      </c>
      <c r="D81" s="3" t="n">
        <v>52</v>
      </c>
      <c r="E81" s="3" t="inlineStr">
        <is>
          <t>1 · ACTION</t>
        </is>
      </c>
      <c r="F81" s="3" t="inlineStr">
        <is>
          <t>Forget the DEK (on logout / account deletion).</t>
        </is>
      </c>
      <c r="G81" s="3" t="inlineStr">
        <is>
          <t>Nothing is handed to it</t>
        </is>
      </c>
      <c r="H81" s="3" t="inlineStr">
        <is>
          <t>Promise&lt;void&gt;</t>
        </is>
      </c>
      <c r="I81" s="3" t="inlineStr">
        <is>
          <t>—</t>
        </is>
      </c>
      <c r="J81" s="3" t="inlineStr">
        <is>
          <t>None found in this function — anything it assumes comes from the functions it depends on.</t>
        </is>
      </c>
      <c r="K81" s="3" t="inlineStr">
        <is>
          <t>Yes</t>
        </is>
      </c>
      <c r="L81" s="3" t="inlineStr">
        <is>
          <t>—</t>
        </is>
      </c>
      <c r="M81" s="3" t="n">
        <v>0</v>
      </c>
      <c r="N81" s="3" t="inlineStr">
        <is>
          <t>None — no dependent function stands behind it</t>
        </is>
      </c>
      <c r="O81" s="3" t="inlineStr">
        <is>
          <t>No dependent function — it reads its inputs and answers</t>
        </is>
      </c>
      <c r="P81" s="3" t="inlineStr">
        <is>
          <t>—</t>
        </is>
      </c>
      <c r="Q81" s="3" t="inlineStr">
        <is>
          <t>—</t>
        </is>
      </c>
    </row>
    <row r="82">
      <c r="A82" s="3" t="inlineStr">
        <is>
          <t>MK-PL-F-047</t>
        </is>
      </c>
      <c r="B82" s="3" t="inlineStr">
        <is>
          <t>colFactor</t>
        </is>
      </c>
      <c r="C82" s="3" t="inlineStr">
        <is>
          <t>src/domain/retirement/col.ts</t>
        </is>
      </c>
      <c r="D82" s="3" t="n">
        <v>53</v>
      </c>
      <c r="E82" s="3" t="inlineStr">
        <is>
          <t>2 · DISPLAYED</t>
        </is>
      </c>
      <c r="F82" s="3" t="inlineStr">
        <is>
          <t>Cost-of-living factor for a free-text location.</t>
        </is>
      </c>
      <c r="G82" s="3" t="inlineStr">
        <is>
          <t>location?: string | null</t>
        </is>
      </c>
      <c r="H82" s="3" t="inlineStr">
        <is>
          <t>ColMatch</t>
        </is>
      </c>
      <c r="I82" s="3" t="inlineStr">
        <is>
          <t>"Country / region" — on the setup questions, which appear on more than one screen · "You plan to spend" — on the Retirement cockpit screen</t>
        </is>
      </c>
      <c r="J82" s="3" t="inlineStr">
        <is>
          <t>None found in this function — anything it assumes comes from the functions it depends on.</t>
        </is>
      </c>
      <c r="K82" s="3" t="inlineStr">
        <is>
          <t>Yes</t>
        </is>
      </c>
      <c r="L82" s="3" t="inlineStr">
        <is>
          <t>—</t>
        </is>
      </c>
      <c r="M82" s="3" t="n">
        <v>0</v>
      </c>
      <c r="N82" s="3" t="inlineStr">
        <is>
          <t>None — no dependent function stands behind it</t>
        </is>
      </c>
      <c r="O82" s="3" t="inlineStr">
        <is>
          <t>No dependent function — it reads its inputs and answers</t>
        </is>
      </c>
      <c r="P82" s="3" t="inlineStr">
        <is>
          <t>—</t>
        </is>
      </c>
      <c r="Q82" s="3" t="inlineStr">
        <is>
          <t>COST_OF_LIVING</t>
        </is>
      </c>
    </row>
    <row r="83">
      <c r="A83" s="3" t="inlineStr">
        <is>
          <t>MK-CF-F-043</t>
        </is>
      </c>
      <c r="B83" s="3" t="inlineStr">
        <is>
          <t>compareMortgageToTreasury</t>
        </is>
      </c>
      <c r="C83" s="3" t="inlineStr">
        <is>
          <t>src/domain/debt/mortgageVsTreasury.ts</t>
        </is>
      </c>
      <c r="D83" s="3" t="n">
        <v>72</v>
      </c>
      <c r="E83" s="3" t="inlineStr">
        <is>
          <t>2 · DISPLAYED</t>
        </is>
      </c>
      <c r="F83" s="3" t="inlineStr">
        <is>
          <t>Compare paying `extraMonthly` into the mortgage against putting the same money into Treasuries.</t>
        </is>
      </c>
      <c r="G83" s="3" t="inlineStr">
        <is>
          <t>Nothing is handed to it</t>
        </is>
      </c>
      <c r="H83" s="3" t="inlineStr">
        <is>
          <t>NOT DECLARED — the code does not say what it gives back</t>
        </is>
      </c>
      <c r="I83" s="3" t="inlineStr">
        <is>
          <t>NOT FOUND — a screen calls it, but the words printed beside its answer could not be traced automatically. Needs reading.</t>
        </is>
      </c>
      <c r="J83" s="3" t="inlineStr">
        <is>
          <t>· Uses a built-in lifetime of 0.
· Multiplies by 100 — a percentage, or an option contract treated as 100 shares. Worth checking which.
· Rounds the answer to a whole number.
· Shows 2 decimal places.</t>
        </is>
      </c>
      <c r="K83" s="3" t="inlineStr">
        <is>
          <t>Yes</t>
        </is>
      </c>
      <c r="L83" s="3" t="inlineStr">
        <is>
          <t>—</t>
        </is>
      </c>
      <c r="M83" s="3" t="n">
        <v>0</v>
      </c>
      <c r="N83" s="3" t="inlineStr">
        <is>
          <t>None — no dependent function stands behind it</t>
        </is>
      </c>
      <c r="O83" s="3" t="inlineStr">
        <is>
          <t>No dependent function — it reads its inputs and answers</t>
        </is>
      </c>
      <c r="P83" s="3" t="inlineStr">
        <is>
          <t>—</t>
        </is>
      </c>
      <c r="Q83" s="3" t="inlineStr">
        <is>
          <t>—</t>
        </is>
      </c>
    </row>
    <row r="84">
      <c r="A84" s="3" t="inlineStr">
        <is>
          <t>MK-XS-F-103</t>
        </is>
      </c>
      <c r="B84" s="3" t="inlineStr">
        <is>
          <t>confirmWrapper</t>
        </is>
      </c>
      <c r="C84" s="3" t="inlineStr">
        <is>
          <t>src/services/sync/ingest.ts</t>
        </is>
      </c>
      <c r="D84" s="3" t="n">
        <v>227</v>
      </c>
      <c r="E84" s="3" t="inlineStr">
        <is>
          <t>3 · DEPENDENT (feeds an action only)</t>
        </is>
      </c>
      <c r="F84" s="3" t="inlineStr">
        <is>
          <t>Mark an account's wrapper as USER-CONFIRMED — future syncs never override it.</t>
        </is>
      </c>
      <c r="G84" s="3" t="inlineStr">
        <is>
          <t>accounts: AssetAccount[] · assetId: string · kind: string · taxBucket: AssetAccount['tax_bucket']</t>
        </is>
      </c>
      <c r="H84" s="3" t="inlineStr">
        <is>
          <t>AssetAccount[]</t>
        </is>
      </c>
      <c r="I84" s="3" t="inlineStr">
        <is>
          <t>—</t>
        </is>
      </c>
      <c r="J84" s="3" t="inlineStr">
        <is>
          <t>None found in this function — anything it assumes comes from the functions it depends on.</t>
        </is>
      </c>
      <c r="K84" s="3" t="inlineStr">
        <is>
          <t>No</t>
        </is>
      </c>
      <c r="L84" s="3" t="inlineStr">
        <is>
          <t>—</t>
        </is>
      </c>
      <c r="M84" s="3" t="n">
        <v>0</v>
      </c>
      <c r="N84" s="3" t="inlineStr">
        <is>
          <t>None — no dependent function stands behind it</t>
        </is>
      </c>
      <c r="O84" s="3" t="inlineStr">
        <is>
          <t>No dependent function — it reads its inputs and answers</t>
        </is>
      </c>
      <c r="P84" s="3" t="inlineStr">
        <is>
          <t>—</t>
        </is>
      </c>
      <c r="Q84" s="3" t="inlineStr">
        <is>
          <t>CONFIRM_TAX_TYPE</t>
        </is>
      </c>
    </row>
    <row r="85">
      <c r="A85" s="3" t="inlineStr">
        <is>
          <t>MK-XS-F-100</t>
        </is>
      </c>
      <c r="B85" s="3" t="inlineStr">
        <is>
          <t>connectionFreshness</t>
        </is>
      </c>
      <c r="C85" s="3" t="inlineStr">
        <is>
          <t>src/services/sync/index.ts</t>
        </is>
      </c>
      <c r="D85" s="3" t="n">
        <v>65</v>
      </c>
      <c r="E85" s="3" t="inlineStr">
        <is>
          <t>2 · DISPLAYED</t>
        </is>
      </c>
      <c r="F85" s="3" t="inlineStr">
        <is>
          <t>How old a connected account's last successful sync is.</t>
        </is>
      </c>
      <c r="G85" s="3" t="inlineStr">
        <is>
          <t>lastSynced: string | null | undefined · now: number = Date.now()</t>
        </is>
      </c>
      <c r="H85" s="3" t="inlineStr">
        <is>
          <t>ConnectionFreshness | null</t>
        </is>
      </c>
      <c r="I85" s="3" t="inlineStr">
        <is>
          <t>NOT FOUND — a screen calls it, but the words printed beside its answer could not be traced automatically. Needs reading.</t>
        </is>
      </c>
      <c r="J85" s="3" t="inlineStr">
        <is>
          <t>· Uses today's date from the device clock, so the answer changes by itself overnight.</t>
        </is>
      </c>
      <c r="K85" s="3" t="inlineStr">
        <is>
          <t>Yes</t>
        </is>
      </c>
      <c r="L85" s="3" t="inlineStr">
        <is>
          <t>—</t>
        </is>
      </c>
      <c r="M85" s="3" t="n">
        <v>0</v>
      </c>
      <c r="N85" s="3" t="inlineStr">
        <is>
          <t>None — no dependent function stands behind it</t>
        </is>
      </c>
      <c r="O85" s="3" t="inlineStr">
        <is>
          <t>No dependent function — it reads its inputs and answers</t>
        </is>
      </c>
      <c r="P85" s="3" t="inlineStr">
        <is>
          <t>—</t>
        </is>
      </c>
      <c r="Q85" s="3" t="inlineStr">
        <is>
          <t>—</t>
        </is>
      </c>
    </row>
    <row r="86">
      <c r="A86" s="3" t="inlineStr">
        <is>
          <t>MK-NW-F-053</t>
        </is>
      </c>
      <c r="B86" s="3" t="inlineStr">
        <is>
          <t>correctClassOf</t>
        </is>
      </c>
      <c r="C86" s="3" t="inlineStr">
        <is>
          <t>src/domain/assets/reclassify.ts</t>
        </is>
      </c>
      <c r="D86" s="3" t="n">
        <v>11</v>
      </c>
      <c r="E86" s="3" t="inlineStr">
        <is>
          <t>3 · DEPENDENT (feeds an action only)</t>
        </is>
      </c>
      <c r="F86" s="3" t="inlineStr">
        <is>
          <t>The class an account SHOULD carry under the current rule.</t>
        </is>
      </c>
      <c r="G86" s="3" t="inlineStr">
        <is>
          <t>a: AssetAccount</t>
        </is>
      </c>
      <c r="H86" s="3" t="inlineStr">
        <is>
          <t>AssetClass | null</t>
        </is>
      </c>
      <c r="I86" s="3" t="inlineStr">
        <is>
          <t>—</t>
        </is>
      </c>
      <c r="J86" s="3" t="inlineStr">
        <is>
          <t>None found in this function — anything it assumes comes from the functions it depends on.</t>
        </is>
      </c>
      <c r="K86" s="3" t="inlineStr">
        <is>
          <t>No</t>
        </is>
      </c>
      <c r="L86" s="3" t="inlineStr">
        <is>
          <t>MK-NW-F-008 incomeBearingClassOf · MK-NW-F-009 maturityClass</t>
        </is>
      </c>
      <c r="M86" s="3" t="n">
        <v>3</v>
      </c>
      <c r="N86" s="3" t="inlineStr">
        <is>
          <t>MK-NW-F-008 incomeBearingClassOf · MK-NW-F-009 maturityClass · MK-ST-F-010 nameEvidence</t>
        </is>
      </c>
      <c r="O86" s="3" t="inlineStr">
        <is>
          <t>MK-ST-F-010 nameEvidence → MK-NW-F-008 incomeBearingClassOf → MK-NW-F-053 correctClassOf
MK-NW-F-009 maturityClass → MK-NW-F-053 correctClassOf</t>
        </is>
      </c>
      <c r="P86" s="3" t="inlineStr">
        <is>
          <t>—</t>
        </is>
      </c>
      <c r="Q86" s="3" t="inlineStr">
        <is>
          <t>—</t>
        </is>
      </c>
    </row>
    <row r="87">
      <c r="A87" s="3" t="inlineStr">
        <is>
          <t>MK-PF-F-002</t>
        </is>
      </c>
      <c r="B87" s="3" t="inlineStr">
        <is>
          <t>costBasis</t>
        </is>
      </c>
      <c r="C87" s="3" t="inlineStr">
        <is>
          <t>src/domain/performance/index.ts</t>
        </is>
      </c>
      <c r="D87" s="3" t="n">
        <v>40</v>
      </c>
      <c r="E87" s="3" t="inlineStr">
        <is>
          <t>2 · DISPLAYED</t>
        </is>
      </c>
      <c r="F87" s="3" t="inlineStr">
        <is>
          <t>What did I pay for this in total?</t>
        </is>
      </c>
      <c r="G87" s="3" t="inlineStr">
        <is>
          <t>p: Position</t>
        </is>
      </c>
      <c r="H87" s="3" t="inlineStr">
        <is>
          <t>number</t>
        </is>
      </c>
      <c r="I87" s="3" t="inlineStr">
        <is>
          <t>"Total paid" — on the Holding detail screen, under "WHAT YOU BOUGHT"</t>
        </is>
      </c>
      <c r="J87" s="3" t="inlineStr">
        <is>
          <t>· If shares is missing it counts as zero, so nothing recorded and a real zero look the same.
· If cost per share is missing it counts as zero, so nothing recorded and a real zero look the same.</t>
        </is>
      </c>
      <c r="K87" s="3" t="inlineStr">
        <is>
          <t>Yes</t>
        </is>
      </c>
      <c r="L87" s="3" t="inlineStr">
        <is>
          <t>MK-ST-F-055 round2</t>
        </is>
      </c>
      <c r="M87" s="3" t="n">
        <v>1</v>
      </c>
      <c r="N87" s="3" t="inlineStr">
        <is>
          <t>MK-ST-F-055 round2</t>
        </is>
      </c>
      <c r="O87" s="3" t="inlineStr">
        <is>
          <t>MK-ST-F-055 round2 → MK-PF-F-002 costBasis</t>
        </is>
      </c>
      <c r="P87" s="3" t="inlineStr">
        <is>
          <t>MK-NW-M-032 · MK-NW-M-033</t>
        </is>
      </c>
      <c r="Q87" s="3" t="inlineStr">
        <is>
          <t>HOLDING_COST_BASIS</t>
        </is>
      </c>
    </row>
    <row r="88">
      <c r="A88" s="3" t="inlineStr">
        <is>
          <t>MK-NW-F-062</t>
        </is>
      </c>
      <c r="B88" s="3" t="inlineStr">
        <is>
          <t>couponIncomeAnnual</t>
        </is>
      </c>
      <c r="C88" s="3" t="inlineStr">
        <is>
          <t>src/domain/bonds/index.ts</t>
        </is>
      </c>
      <c r="D88" s="3" t="n">
        <v>52</v>
      </c>
      <c r="E88" s="3" t="inlineStr">
        <is>
          <t>3 · DEPENDENT (feeds an action only)</t>
        </is>
      </c>
      <c r="F88" s="3" t="inlineStr">
        <is>
          <t>Total annual coupon income across the user's INDIVIDUAL bonds (kept for the Bonds screen summary).</t>
        </is>
      </c>
      <c r="G88" s="3" t="inlineStr">
        <is>
          <t>accounts: AssetAccount[]</t>
        </is>
      </c>
      <c r="H88" s="3" t="inlineStr">
        <is>
          <t>number</t>
        </is>
      </c>
      <c r="I88" s="3" t="inlineStr">
        <is>
          <t>—</t>
        </is>
      </c>
      <c r="J88" s="3" t="inlineStr">
        <is>
          <t>· Uses a built-in d e f a u l t b o n d y i e l d of 4.2%.
· Leaves some rows out of the answer — check which.</t>
        </is>
      </c>
      <c r="K88" s="3" t="inlineStr">
        <is>
          <t>No</t>
        </is>
      </c>
      <c r="L88" s="3" t="inlineStr">
        <is>
          <t>MK-NW-F-057 annualCoupon · MK-NW-F-056 bondInfo · MK-ST-F-055 round2</t>
        </is>
      </c>
      <c r="M88" s="3" t="n">
        <v>3</v>
      </c>
      <c r="N88" s="3" t="inlineStr">
        <is>
          <t>MK-NW-F-057 annualCoupon · MK-NW-F-056 bondInfo · MK-ST-F-055 round2</t>
        </is>
      </c>
      <c r="O88" s="3" t="inlineStr">
        <is>
          <t>MK-ST-F-055 round2 → MK-NW-F-057 annualCoupon → MK-NW-F-062 couponIncomeAnnual
MK-NW-F-056 bondInfo → MK-NW-F-062 couponIncomeAnnual
MK-ST-F-055 round2 → MK-NW-F-062 couponIncomeAnnual</t>
        </is>
      </c>
      <c r="P88" s="3" t="inlineStr">
        <is>
          <t>—</t>
        </is>
      </c>
      <c r="Q88" s="3" t="inlineStr">
        <is>
          <t>—</t>
        </is>
      </c>
    </row>
    <row r="89">
      <c r="A89" s="3" t="inlineStr">
        <is>
          <t>MK-ST-F-004</t>
        </is>
      </c>
      <c r="B89" s="3" t="inlineStr">
        <is>
          <t>coverageFor</t>
        </is>
      </c>
      <c r="C89" s="3" t="inlineStr">
        <is>
          <t>Calculation Module code/engines/coverage.ts</t>
        </is>
      </c>
      <c r="D89" s="3" t="n">
        <v>60</v>
      </c>
      <c r="E89" s="3" t="inlineStr">
        <is>
          <t>2 · DISPLAYED</t>
        </is>
      </c>
      <c r="F89" s="3" t="inlineStr">
        <is>
          <t>What can we honestly say about a window starting on `from`?</t>
        </is>
      </c>
      <c r="G89" s="3" t="inlineStr">
        <is>
          <t>days: Dated[] · from: string · today: string</t>
        </is>
      </c>
      <c r="H89" s="3" t="inlineStr">
        <is>
          <t>Coverage</t>
        </is>
      </c>
      <c r="I89" s="3" t="inlineStr">
        <is>
          <t>NOT FOUND — a screen calls it, but the words printed beside its answer could not be traced automatically. Needs reading.</t>
        </is>
      </c>
      <c r="J89" s="3" t="inlineStr">
        <is>
          <t>None found in this function — anything it assumes comes from the functions it depends on.</t>
        </is>
      </c>
      <c r="K89" s="3" t="inlineStr">
        <is>
          <t>Yes</t>
        </is>
      </c>
      <c r="L89" s="3" t="inlineStr">
        <is>
          <t>MK-ST-F-003 dayWords · MK-ST-F-034 firstDate · MK-ST-F-002 monthWords</t>
        </is>
      </c>
      <c r="M89" s="3" t="n">
        <v>3</v>
      </c>
      <c r="N89" s="3" t="inlineStr">
        <is>
          <t>MK-ST-F-003 dayWords · MK-ST-F-034 firstDate · MK-ST-F-002 monthWords</t>
        </is>
      </c>
      <c r="O89" s="3" t="inlineStr">
        <is>
          <t>MK-ST-F-002 monthWords → MK-ST-F-003 dayWords → MK-ST-F-004 coverageFor
MK-ST-F-034 firstDate → MK-ST-F-004 coverageFor
MK-ST-F-002 monthWords → MK-ST-F-004 coverageFor</t>
        </is>
      </c>
      <c r="P89" s="3" t="inlineStr">
        <is>
          <t>—</t>
        </is>
      </c>
      <c r="Q89" s="3" t="inlineStr">
        <is>
          <t>—</t>
        </is>
      </c>
    </row>
    <row r="90">
      <c r="A90" s="3" t="inlineStr">
        <is>
          <t>MK-ST-F-035</t>
        </is>
      </c>
      <c r="B90" s="3" t="inlineStr">
        <is>
          <t>covers</t>
        </is>
      </c>
      <c r="C90" s="3" t="inlineStr">
        <is>
          <t>Calculation Module code/engines/snapshots.ts</t>
        </is>
      </c>
      <c r="D90" s="3" t="n">
        <v>198</v>
      </c>
      <c r="E90" s="3" t="inlineStr">
        <is>
          <t>3 · DEPENDENT (feeds an action only)</t>
        </is>
      </c>
      <c r="F90" s="3" t="inlineStr">
        <is>
          <t>Does the record actually cover this window?</t>
        </is>
      </c>
      <c r="G90" s="3" t="inlineStr">
        <is>
          <t>days: SnapshotDay[] · from: string</t>
        </is>
      </c>
      <c r="H90" s="3" t="inlineStr">
        <is>
          <t>boolean</t>
        </is>
      </c>
      <c r="I90" s="3" t="inlineStr">
        <is>
          <t>—</t>
        </is>
      </c>
      <c r="J90" s="3" t="inlineStr">
        <is>
          <t>None found in this function — anything it assumes comes from the functions it depends on.</t>
        </is>
      </c>
      <c r="K90" s="3" t="inlineStr">
        <is>
          <t>No</t>
        </is>
      </c>
      <c r="L90" s="3" t="inlineStr">
        <is>
          <t>MK-ST-F-034 firstDate</t>
        </is>
      </c>
      <c r="M90" s="3" t="n">
        <v>1</v>
      </c>
      <c r="N90" s="3" t="inlineStr">
        <is>
          <t>MK-ST-F-034 firstDate</t>
        </is>
      </c>
      <c r="O90" s="3" t="inlineStr">
        <is>
          <t>MK-ST-F-034 firstDate → MK-ST-F-035 covers</t>
        </is>
      </c>
      <c r="P90" s="3" t="inlineStr">
        <is>
          <t>—</t>
        </is>
      </c>
      <c r="Q90" s="3" t="inlineStr">
        <is>
          <t>—</t>
        </is>
      </c>
    </row>
    <row r="91">
      <c r="A91" s="3" t="inlineStr">
        <is>
          <t>MK-XS-F-039</t>
        </is>
      </c>
      <c r="B91" s="3" t="inlineStr">
        <is>
          <t>crashReportingEnabled</t>
        </is>
      </c>
      <c r="C91" s="3" t="inlineStr">
        <is>
          <t>src/services/crashReporter.ts</t>
        </is>
      </c>
      <c r="D91" s="3" t="n">
        <v>77</v>
      </c>
      <c r="E91" s="3" t="inlineStr">
        <is>
          <t>3 · DEPENDENT (feeds an action only)</t>
        </is>
      </c>
      <c r="F91" s="3" t="inlineStr">
        <is>
          <t>Whether reports are actually shipping to Sentry (DSN + SDK present).</t>
        </is>
      </c>
      <c r="G91" s="3" t="inlineStr">
        <is>
          <t>Nothing is handed to it</t>
        </is>
      </c>
      <c r="H91" s="3" t="inlineStr">
        <is>
          <t>boolean</t>
        </is>
      </c>
      <c r="I91" s="3" t="inlineStr">
        <is>
          <t>—</t>
        </is>
      </c>
      <c r="J91" s="3" t="inlineStr">
        <is>
          <t>None found in this function — anything it assumes comes from the functions it depends on.</t>
        </is>
      </c>
      <c r="K91" s="3" t="inlineStr">
        <is>
          <t>No</t>
        </is>
      </c>
      <c r="L91" s="3" t="inlineStr">
        <is>
          <t>—</t>
        </is>
      </c>
      <c r="M91" s="3" t="n">
        <v>0</v>
      </c>
      <c r="N91" s="3" t="inlineStr">
        <is>
          <t>None — no dependent function stands behind it</t>
        </is>
      </c>
      <c r="O91" s="3" t="inlineStr">
        <is>
          <t>No dependent function — it reads its inputs and answers</t>
        </is>
      </c>
      <c r="P91" s="3" t="inlineStr">
        <is>
          <t>—</t>
        </is>
      </c>
      <c r="Q91" s="3" t="inlineStr">
        <is>
          <t>—</t>
        </is>
      </c>
    </row>
    <row r="92">
      <c r="A92" s="3" t="inlineStr">
        <is>
          <t>MK-XS-F-075</t>
        </is>
      </c>
      <c r="B92" s="3" t="inlineStr">
        <is>
          <t>createInvite</t>
        </is>
      </c>
      <c r="C92" s="3" t="inlineStr">
        <is>
          <t>src/services/firebase.ts</t>
        </is>
      </c>
      <c r="D92" s="3" t="n">
        <v>245</v>
      </c>
      <c r="E92" s="3" t="inlineStr">
        <is>
          <t>2 · DISPLAYED (presentation only)</t>
        </is>
      </c>
      <c r="F92" s="3" t="inlineStr">
        <is>
          <t>Create an invite code pointing at this household's shared data doc.</t>
        </is>
      </c>
      <c r="G92" s="3" t="inlineStr">
        <is>
          <t>householdId: string · inviterName: string | null</t>
        </is>
      </c>
      <c r="H92" s="3" t="inlineStr">
        <is>
          <t>Promise&lt;string&gt;</t>
        </is>
      </c>
      <c r="I92" s="3" t="inlineStr">
        <is>
          <t>"Vesting schedule" — on the setup questions, which appear on more than one screen</t>
        </is>
      </c>
      <c r="J92" s="3" t="inlineStr">
        <is>
          <t>None found in this function — anything it assumes comes from the functions it depends on.</t>
        </is>
      </c>
      <c r="K92" s="3" t="inlineStr">
        <is>
          <t>Yes</t>
        </is>
      </c>
      <c r="L92" s="3" t="inlineStr">
        <is>
          <t>—</t>
        </is>
      </c>
      <c r="M92" s="3" t="n">
        <v>0</v>
      </c>
      <c r="N92" s="3" t="inlineStr">
        <is>
          <t>None — no dependent function stands behind it</t>
        </is>
      </c>
      <c r="O92" s="3" t="inlineStr">
        <is>
          <t>No dependent function — it reads its inputs and answers</t>
        </is>
      </c>
      <c r="P92" s="3" t="inlineStr">
        <is>
          <t>—</t>
        </is>
      </c>
      <c r="Q92" s="3" t="inlineStr">
        <is>
          <t>—</t>
        </is>
      </c>
    </row>
    <row r="93">
      <c r="A93" s="3" t="inlineStr">
        <is>
          <t>MK-CF-F-032</t>
        </is>
      </c>
      <c r="B93" s="3" t="inlineStr">
        <is>
          <t>creditScoreBand</t>
        </is>
      </c>
      <c r="C93" s="3" t="inlineStr">
        <is>
          <t>src/domain/debt/index.ts</t>
        </is>
      </c>
      <c r="D93" s="3" t="n">
        <v>113</v>
      </c>
      <c r="E93" s="3" t="inlineStr">
        <is>
          <t>2 · DISPLAYED</t>
        </is>
      </c>
      <c r="F93" s="3" t="inlineStr">
        <is>
          <t>NOT DETERMINED — the code carries no note saying what this is for, and it has no row in the old inventory. Needs reading.</t>
        </is>
      </c>
      <c r="G93" s="3" t="inlineStr">
        <is>
          <t>score: number</t>
        </is>
      </c>
      <c r="H93" s="3" t="inlineStr">
        <is>
          <t>NOT DECLARED — the code does not say what it gives back</t>
        </is>
      </c>
      <c r="I93" s="3" t="inlineStr">
        <is>
          <t>"Your credit score (optional)" — on the Credit screen</t>
        </is>
      </c>
      <c r="J93" s="3" t="inlineStr">
        <is>
          <t>None found in this function — anything it assumes comes from the functions it depends on.</t>
        </is>
      </c>
      <c r="K93" s="3" t="inlineStr">
        <is>
          <t>Yes</t>
        </is>
      </c>
      <c r="L93" s="3" t="inlineStr">
        <is>
          <t>—</t>
        </is>
      </c>
      <c r="M93" s="3" t="n">
        <v>0</v>
      </c>
      <c r="N93" s="3" t="inlineStr">
        <is>
          <t>None — no dependent function stands behind it</t>
        </is>
      </c>
      <c r="O93" s="3" t="inlineStr">
        <is>
          <t>No dependent function — it reads its inputs and answers</t>
        </is>
      </c>
      <c r="P93" s="3" t="inlineStr">
        <is>
          <t>—</t>
        </is>
      </c>
      <c r="Q93" s="3" t="inlineStr">
        <is>
          <t>—</t>
        </is>
      </c>
    </row>
    <row r="94">
      <c r="A94" s="3" t="inlineStr">
        <is>
          <t>MK-CF-F-031</t>
        </is>
      </c>
      <c r="B94" s="3" t="inlineStr">
        <is>
          <t>creditUtilization</t>
        </is>
      </c>
      <c r="C94" s="3" t="inlineStr">
        <is>
          <t>src/domain/debt/index.ts</t>
        </is>
      </c>
      <c r="D94" s="3" t="n">
        <v>108</v>
      </c>
      <c r="E94" s="3" t="inlineStr">
        <is>
          <t>2 · DISPLAYED</t>
        </is>
      </c>
      <c r="F94" s="3" t="inlineStr">
        <is>
          <t>NOT DETERMINED — the code carries no note saying what this is for, and it has no row in the old inventory. Needs reading.</t>
        </is>
      </c>
      <c r="G94" s="3" t="inlineStr">
        <is>
          <t>balance: number · limit: number</t>
        </is>
      </c>
      <c r="H94" s="3" t="inlineStr">
        <is>
          <t>CreditUtil</t>
        </is>
      </c>
      <c r="I94" s="3" t="inlineStr">
        <is>
          <t>"Total credit limit" — on the Credit screen</t>
        </is>
      </c>
      <c r="J94" s="3" t="inlineStr">
        <is>
          <t>· Rounds the answer to a whole number.</t>
        </is>
      </c>
      <c r="K94" s="3" t="inlineStr">
        <is>
          <t>Yes</t>
        </is>
      </c>
      <c r="L94" s="3" t="inlineStr">
        <is>
          <t>—</t>
        </is>
      </c>
      <c r="M94" s="3" t="n">
        <v>0</v>
      </c>
      <c r="N94" s="3" t="inlineStr">
        <is>
          <t>None — no dependent function stands behind it</t>
        </is>
      </c>
      <c r="O94" s="3" t="inlineStr">
        <is>
          <t>No dependent function — it reads its inputs and answers</t>
        </is>
      </c>
      <c r="P94" s="3" t="inlineStr">
        <is>
          <t>—</t>
        </is>
      </c>
      <c r="Q94" s="3" t="inlineStr">
        <is>
          <t>—</t>
        </is>
      </c>
    </row>
    <row r="95">
      <c r="A95" s="3" t="inlineStr">
        <is>
          <t>MK-ST-F-048</t>
        </is>
      </c>
      <c r="B95" s="3" t="inlineStr">
        <is>
          <t>currencySymbol</t>
        </is>
      </c>
      <c r="C95" s="3" t="inlineStr">
        <is>
          <t>src/domain/_shared/money.ts</t>
        </is>
      </c>
      <c r="D95" s="3" t="n">
        <v>52</v>
      </c>
      <c r="E95" s="3" t="inlineStr">
        <is>
          <t>2 · DISPLAYED</t>
        </is>
      </c>
      <c r="F95" s="3" t="inlineStr">
        <is>
          <t>NOT DETERMINED — the code carries no note saying what this is for, and it has no row in the old inventory. Needs reading.</t>
        </is>
      </c>
      <c r="G95" s="3" t="inlineStr">
        <is>
          <t>Nothing is handed to it</t>
        </is>
      </c>
      <c r="H95" s="3" t="inlineStr">
        <is>
          <t>string</t>
        </is>
      </c>
      <c r="I95" s="3" t="inlineStr">
        <is>
          <t>"Amount" — on the Look back screen · "Break this into specific stocks, bonds, options…" — on the Net worth screen · "Estimated benefit" — on the Retirement cockpit screen · "HOW MUCH WILL YOU INVEST PER YEAR?" — on the setup questions, which appear on more than one screen · "How much (this disbursement)" — on the setup questions, which appear on more than one screen · "How much per month" — on the setup questions, which appear on more than one screen</t>
        </is>
      </c>
      <c r="J95" s="3" t="inlineStr">
        <is>
          <t>None found in this function — anything it assumes comes from the functions it depends on.</t>
        </is>
      </c>
      <c r="K95" s="3" t="inlineStr">
        <is>
          <t>Yes</t>
        </is>
      </c>
      <c r="L95" s="3" t="inlineStr">
        <is>
          <t>MK-ST-F-047 activeCurrency</t>
        </is>
      </c>
      <c r="M95" s="3" t="n">
        <v>1</v>
      </c>
      <c r="N95" s="3" t="inlineStr">
        <is>
          <t>MK-ST-F-047 activeCurrency</t>
        </is>
      </c>
      <c r="O95" s="3" t="inlineStr">
        <is>
          <t>MK-ST-F-047 activeCurrency → MK-ST-F-048 currencySymbol</t>
        </is>
      </c>
      <c r="P95" s="3" t="inlineStr">
        <is>
          <t>—</t>
        </is>
      </c>
      <c r="Q95" s="3" t="inlineStr">
        <is>
          <t>—</t>
        </is>
      </c>
    </row>
    <row r="96">
      <c r="A96" s="3" t="inlineStr">
        <is>
          <t>MK-XS-F-017</t>
        </is>
      </c>
      <c r="B96" s="3" t="inlineStr">
        <is>
          <t>currentAge</t>
        </is>
      </c>
      <c r="C96" s="3" t="inlineStr">
        <is>
          <t>src/domain/profile/calc.ts</t>
        </is>
      </c>
      <c r="D96" s="3" t="n">
        <v>5</v>
      </c>
      <c r="E96" s="3" t="inlineStr">
        <is>
          <t>2 · DISPLAYED</t>
        </is>
      </c>
      <c r="F96" s="3" t="inlineStr">
        <is>
          <t>Age in whole years from birth month/year, as of `asOf` (defaults to now).</t>
        </is>
      </c>
      <c r="G96" s="3" t="inlineStr">
        <is>
          <t>Nothing is handed to it</t>
        </is>
      </c>
      <c r="H96" s="3" t="inlineStr">
        <is>
          <t>NOT DECLARED — the code does not say what it gives back</t>
        </is>
      </c>
      <c r="I96" s="3" t="inlineStr">
        <is>
          <t>"How long should your money last?" — on the setup questions, which appear on more than one screen · "Operating expense / mo" — on the setup questions, which appear on more than one screen · "Projected to last to age" — on the setup questions, which appear on more than one screen · "Set by month" — on the setup questions, which appear on more than one screen · "Surplus by month" — on the setup questions, which appear on more than one screen · "Your contribution (per month)" — on the setup questions, which appear on more than one screen</t>
        </is>
      </c>
      <c r="J96" s="3" t="inlineStr">
        <is>
          <t>· Uses today's date from the device clock, so the answer changes by itself overnight.</t>
        </is>
      </c>
      <c r="K96" s="3" t="inlineStr">
        <is>
          <t>Yes</t>
        </is>
      </c>
      <c r="L96" s="3" t="inlineStr">
        <is>
          <t>—</t>
        </is>
      </c>
      <c r="M96" s="3" t="n">
        <v>0</v>
      </c>
      <c r="N96" s="3" t="inlineStr">
        <is>
          <t>None — no dependent function stands behind it</t>
        </is>
      </c>
      <c r="O96" s="3" t="inlineStr">
        <is>
          <t>No dependent function — it reads its inputs and answers</t>
        </is>
      </c>
      <c r="P96" s="3" t="inlineStr">
        <is>
          <t>—</t>
        </is>
      </c>
      <c r="Q96" s="3" t="inlineStr">
        <is>
          <t>—</t>
        </is>
      </c>
    </row>
    <row r="97">
      <c r="A97" s="3" t="inlineStr">
        <is>
          <t>MK-XS-F-064</t>
        </is>
      </c>
      <c r="B97" s="3" t="inlineStr">
        <is>
          <t>currentIdToken</t>
        </is>
      </c>
      <c r="C97" s="3" t="inlineStr">
        <is>
          <t>src/services/firebase.ts</t>
        </is>
      </c>
      <c r="D97" s="3" t="n">
        <v>107</v>
      </c>
      <c r="E97" s="3" t="inlineStr">
        <is>
          <t>3 · DEPENDENT</t>
        </is>
      </c>
      <c r="F97" s="3" t="inlineStr">
        <is>
          <t>The email of the account currently signed in to Firebase — the authoritative identity that account-level actions (delete, reauth) operate on.</t>
        </is>
      </c>
      <c r="G97" s="3" t="inlineStr">
        <is>
          <t>Nothing is handed to it</t>
        </is>
      </c>
      <c r="H97" s="3" t="inlineStr">
        <is>
          <t>Promise&lt;string | null&gt;</t>
        </is>
      </c>
      <c r="I97" s="3" t="inlineStr">
        <is>
          <t>—</t>
        </is>
      </c>
      <c r="J97" s="3" t="inlineStr">
        <is>
          <t>None found in this function — anything it assumes comes from the functions it depends on.</t>
        </is>
      </c>
      <c r="K97" s="3" t="inlineStr">
        <is>
          <t>Yes</t>
        </is>
      </c>
      <c r="L97" s="3" t="inlineStr">
        <is>
          <t>—</t>
        </is>
      </c>
      <c r="M97" s="3" t="n">
        <v>0</v>
      </c>
      <c r="N97" s="3" t="inlineStr">
        <is>
          <t>None — no dependent function stands behind it</t>
        </is>
      </c>
      <c r="O97" s="3" t="inlineStr">
        <is>
          <t>No dependent function — it reads its inputs and answers</t>
        </is>
      </c>
      <c r="P97" s="3" t="inlineStr">
        <is>
          <t>—</t>
        </is>
      </c>
      <c r="Q97" s="3" t="inlineStr">
        <is>
          <t>—</t>
        </is>
      </c>
    </row>
    <row r="98">
      <c r="A98" s="3" t="inlineStr">
        <is>
          <t>MK-CF-F-072</t>
        </is>
      </c>
      <c r="B98" s="3" t="inlineStr">
        <is>
          <t>currentRetirementIncomeMonthly</t>
        </is>
      </c>
      <c r="C98" s="3" t="inlineStr">
        <is>
          <t>src/domain/income/onboarding.ts</t>
        </is>
      </c>
      <c r="D98" s="3" t="n">
        <v>191</v>
      </c>
      <c r="E98" s="3" t="inlineStr">
        <is>
          <t>2 · DISPLAYED</t>
        </is>
      </c>
      <c r="F98" s="3" t="inlineStr">
        <is>
          <t>Retirement income (ri_*) counts as CURRENT income only when the user actually receives it now — i.e.</t>
        </is>
      </c>
      <c r="G98" s="3" t="inlineStr">
        <is>
          <t>op: OnboardingProfile | null</t>
        </is>
      </c>
      <c r="H98" s="3" t="inlineStr">
        <is>
          <t>number</t>
        </is>
      </c>
      <c r="I98" s="3" t="inlineStr">
        <is>
          <t>NOT FOUND — a screen calls it, but the words printed beside its answer could not be traced automatically. Needs reading.</t>
        </is>
      </c>
      <c r="J98" s="3" t="inlineStr">
        <is>
          <t>None found in this function — anything it assumes comes from the functions it depends on.</t>
        </is>
      </c>
      <c r="K98" s="3" t="inlineStr">
        <is>
          <t>Yes</t>
        </is>
      </c>
      <c r="L98" s="3" t="inlineStr">
        <is>
          <t>MK-CF-F-075 retirementIncomeMonthly</t>
        </is>
      </c>
      <c r="M98" s="3" t="n">
        <v>2</v>
      </c>
      <c r="N98" s="3" t="inlineStr">
        <is>
          <t>MK-CF-F-075 retirementIncomeMonthly · MK-ST-F-052 toNum</t>
        </is>
      </c>
      <c r="O98" s="3" t="inlineStr">
        <is>
          <t>MK-ST-F-052 toNum → MK-CF-F-075 retirementIncomeMonthly → MK-CF-F-072 currentRetirementIncomeMonthly</t>
        </is>
      </c>
      <c r="P98" s="3" t="inlineStr">
        <is>
          <t>MK-CF-M-011 · MK-CF-M-024 · MK-PL-M-018 · MK-PL-M-032</t>
        </is>
      </c>
      <c r="Q98" s="3" t="inlineStr">
        <is>
          <t>RETIREMENT_INCOME_NOW</t>
        </is>
      </c>
    </row>
    <row r="99">
      <c r="A99" s="3" t="inlineStr">
        <is>
          <t>MK-XS-F-065</t>
        </is>
      </c>
      <c r="B99" s="3" t="inlineStr">
        <is>
          <t>currentUserEmail</t>
        </is>
      </c>
      <c r="C99" s="3" t="inlineStr">
        <is>
          <t>src/services/firebase.ts</t>
        </is>
      </c>
      <c r="D99" s="3" t="n">
        <v>111</v>
      </c>
      <c r="E99" s="3" t="inlineStr">
        <is>
          <t>2 · DISPLAYED</t>
        </is>
      </c>
      <c r="F99" s="3" t="inlineStr">
        <is>
          <t>NOT DETERMINED — the code carries no note saying what this is for, and it has no row in the old inventory. Needs reading.</t>
        </is>
      </c>
      <c r="G99" s="3" t="inlineStr">
        <is>
          <t>Nothing is handed to it</t>
        </is>
      </c>
      <c r="H99" s="3" t="inlineStr">
        <is>
          <t>string | null</t>
        </is>
      </c>
      <c r="I99" s="3" t="inlineStr">
        <is>
          <t>"Confirm account deletion" — on the Settings screen, under "Account"</t>
        </is>
      </c>
      <c r="J99" s="3" t="inlineStr">
        <is>
          <t>None found in this function — anything it assumes comes from the functions it depends on.</t>
        </is>
      </c>
      <c r="K99" s="3" t="inlineStr">
        <is>
          <t>Yes</t>
        </is>
      </c>
      <c r="L99" s="3" t="inlineStr">
        <is>
          <t>—</t>
        </is>
      </c>
      <c r="M99" s="3" t="n">
        <v>0</v>
      </c>
      <c r="N99" s="3" t="inlineStr">
        <is>
          <t>None — no dependent function stands behind it</t>
        </is>
      </c>
      <c r="O99" s="3" t="inlineStr">
        <is>
          <t>No dependent function — it reads its inputs and answers</t>
        </is>
      </c>
      <c r="P99" s="3" t="inlineStr">
        <is>
          <t>—</t>
        </is>
      </c>
      <c r="Q99" s="3" t="inlineStr">
        <is>
          <t>—</t>
        </is>
      </c>
    </row>
    <row r="100">
      <c r="A100" s="3" t="inlineStr">
        <is>
          <t>MK-NW-F-059</t>
        </is>
      </c>
      <c r="B100" s="3" t="inlineStr">
        <is>
          <t>currentYield</t>
        </is>
      </c>
      <c r="C100" s="3" t="inlineStr">
        <is>
          <t>src/domain/bonds/index.ts</t>
        </is>
      </c>
      <c r="D100" s="3" t="n">
        <v>29</v>
      </c>
      <c r="E100" s="3" t="inlineStr">
        <is>
          <t>2 · DISPLAYED</t>
        </is>
      </c>
      <c r="F100" s="3" t="inlineStr">
        <is>
          <t>Current yield = annual coupon ÷ current price/value.</t>
        </is>
      </c>
      <c r="G100" s="3" t="inlineStr">
        <is>
          <t>b: BondInfo</t>
        </is>
      </c>
      <c r="H100" s="3" t="inlineStr">
        <is>
          <t>number | null</t>
        </is>
      </c>
      <c r="I100" s="3" t="inlineStr">
        <is>
          <t>"Yield on today" — on the Account detail screen</t>
        </is>
      </c>
      <c r="J100" s="3" t="inlineStr">
        <is>
          <t>· Rounds the answer to a whole number.</t>
        </is>
      </c>
      <c r="K100" s="3" t="inlineStr">
        <is>
          <t>Yes</t>
        </is>
      </c>
      <c r="L100" s="3" t="inlineStr">
        <is>
          <t>MK-NW-F-057 annualCoupon</t>
        </is>
      </c>
      <c r="M100" s="3" t="n">
        <v>2</v>
      </c>
      <c r="N100" s="3" t="inlineStr">
        <is>
          <t>MK-NW-F-057 annualCoupon · MK-ST-F-055 round2</t>
        </is>
      </c>
      <c r="O100" s="3" t="inlineStr">
        <is>
          <t>MK-ST-F-055 round2 → MK-NW-F-057 annualCoupon → MK-NW-F-059 currentYield</t>
        </is>
      </c>
      <c r="P100" s="3" t="inlineStr">
        <is>
          <t>MK-NW-M-027 · MK-NW-M-044</t>
        </is>
      </c>
      <c r="Q100" s="3" t="inlineStr">
        <is>
          <t>BOND_CURRENT_YIELD</t>
        </is>
      </c>
    </row>
    <row r="101">
      <c r="A101" s="3" t="inlineStr">
        <is>
          <t>MK-XS-F-002</t>
        </is>
      </c>
      <c r="B101" s="3" t="inlineStr">
        <is>
          <t>dataGaps</t>
        </is>
      </c>
      <c r="C101" s="3" t="inlineStr">
        <is>
          <t>src/domain/gaps/index.ts</t>
        </is>
      </c>
      <c r="D101" s="3" t="n">
        <v>57</v>
      </c>
      <c r="E101" s="3" t="inlineStr">
        <is>
          <t>2 · DISPLAYED</t>
        </is>
      </c>
      <c r="F101" s="3" t="inlineStr">
        <is>
          <t>Every incomplete promise across the given accounts.</t>
        </is>
      </c>
      <c r="G101" s="3" t="inlineStr">
        <is>
          <t>Nothing is handed to it</t>
        </is>
      </c>
      <c r="H101" s="3" t="inlineStr">
        <is>
          <t>NOT DECLARED — the code does not say what it gives back</t>
        </is>
      </c>
      <c r="I101" s="3" t="inlineStr">
        <is>
          <t>NOT FOUND — a screen calls it, but the words printed beside its answer could not be traced automatically. Needs reading.</t>
        </is>
      </c>
      <c r="J101" s="3" t="inlineStr">
        <is>
          <t>· If shares is missing it uses 0.
· Treats a year as 365 days.
· Uses today's date from the device clock, so the answer changes by itself overnight.</t>
        </is>
      </c>
      <c r="K101" s="3" t="inlineStr">
        <is>
          <t>Yes</t>
        </is>
      </c>
      <c r="L101" s="3" t="inlineStr">
        <is>
          <t>MK-NW-F-046 historyCoverage</t>
        </is>
      </c>
      <c r="M101" s="3" t="n">
        <v>1</v>
      </c>
      <c r="N101" s="3" t="inlineStr">
        <is>
          <t>MK-NW-F-046 historyCoverage</t>
        </is>
      </c>
      <c r="O101" s="3" t="inlineStr">
        <is>
          <t>MK-NW-F-046 historyCoverage → MK-XS-F-002 dataGaps</t>
        </is>
      </c>
      <c r="P101" s="3" t="inlineStr">
        <is>
          <t>—</t>
        </is>
      </c>
      <c r="Q101" s="3" t="inlineStr">
        <is>
          <t>WHAT_IS_MISSING</t>
        </is>
      </c>
    </row>
    <row r="102">
      <c r="A102" s="3" t="inlineStr">
        <is>
          <t>MK-ST-F-003</t>
        </is>
      </c>
      <c r="B102" s="3" t="inlineStr">
        <is>
          <t>dayWords</t>
        </is>
      </c>
      <c r="C102" s="3" t="inlineStr">
        <is>
          <t>Calculation Module code/engines/coverage.ts</t>
        </is>
      </c>
      <c r="D102" s="3" t="n">
        <v>48</v>
      </c>
      <c r="E102" s="3" t="inlineStr">
        <is>
          <t>3 · DEPENDENT</t>
        </is>
      </c>
      <c r="F102" s="3" t="inlineStr">
        <is>
          <t>"14 March 2022".</t>
        </is>
      </c>
      <c r="G102" s="3" t="inlineStr">
        <is>
          <t>iso: string | null</t>
        </is>
      </c>
      <c r="H102" s="3" t="inlineStr">
        <is>
          <t>string</t>
        </is>
      </c>
      <c r="I102" s="3" t="inlineStr">
        <is>
          <t>—</t>
        </is>
      </c>
      <c r="J102" s="3" t="inlineStr">
        <is>
          <t>None found in this function — anything it assumes comes from the functions it depends on.</t>
        </is>
      </c>
      <c r="K102" s="3" t="inlineStr">
        <is>
          <t>Yes</t>
        </is>
      </c>
      <c r="L102" s="3" t="inlineStr">
        <is>
          <t>MK-ST-F-002 monthWords</t>
        </is>
      </c>
      <c r="M102" s="3" t="n">
        <v>1</v>
      </c>
      <c r="N102" s="3" t="inlineStr">
        <is>
          <t>MK-ST-F-002 monthWords</t>
        </is>
      </c>
      <c r="O102" s="3" t="inlineStr">
        <is>
          <t>MK-ST-F-002 monthWords → MK-ST-F-003 dayWords</t>
        </is>
      </c>
      <c r="P102" s="3" t="inlineStr">
        <is>
          <t>—</t>
        </is>
      </c>
      <c r="Q102" s="3" t="inlineStr">
        <is>
          <t>—</t>
        </is>
      </c>
    </row>
    <row r="103">
      <c r="A103" s="3" t="inlineStr">
        <is>
          <t>MK-CF-F-035</t>
        </is>
      </c>
      <c r="B103" s="3" t="inlineStr">
        <is>
          <t>debtKind</t>
        </is>
      </c>
      <c r="C103" s="3" t="inlineStr">
        <is>
          <t>src/domain/debt/index.ts</t>
        </is>
      </c>
      <c r="D103" s="3" t="n">
        <v>197</v>
      </c>
      <c r="E103" s="3" t="inlineStr">
        <is>
          <t>2 · DISPLAYED</t>
        </is>
      </c>
      <c r="F103" s="3" t="inlineStr">
        <is>
          <t>What do we know about this kind of debt?</t>
        </is>
      </c>
      <c r="G103" s="3" t="inlineStr">
        <is>
          <t>id?: string</t>
        </is>
      </c>
      <c r="H103" s="3" t="inlineStr">
        <is>
          <t>NOT DECLARED — the code does not say what it gives back</t>
        </is>
      </c>
      <c r="I103" s="3" t="inlineStr">
        <is>
          <t>"Add a debt →" — on the Net worth screen, under "💳  DEBTS"</t>
        </is>
      </c>
      <c r="J103" s="3" t="inlineStr">
        <is>
          <t>· Uses a built-in t o x i c a p r of 7%.</t>
        </is>
      </c>
      <c r="K103" s="3" t="inlineStr">
        <is>
          <t>Yes</t>
        </is>
      </c>
      <c r="L103" s="3" t="inlineStr">
        <is>
          <t>—</t>
        </is>
      </c>
      <c r="M103" s="3" t="n">
        <v>0</v>
      </c>
      <c r="N103" s="3" t="inlineStr">
        <is>
          <t>None — no dependent function stands behind it</t>
        </is>
      </c>
      <c r="O103" s="3" t="inlineStr">
        <is>
          <t>No dependent function — it reads its inputs and answers</t>
        </is>
      </c>
      <c r="P103" s="3" t="inlineStr">
        <is>
          <t>—</t>
        </is>
      </c>
      <c r="Q103" s="3" t="inlineStr">
        <is>
          <t>DEBT_TYPE_FACTS</t>
        </is>
      </c>
    </row>
    <row r="104">
      <c r="A104" s="3" t="inlineStr">
        <is>
          <t>MK-CF-F-033</t>
        </is>
      </c>
      <c r="B104" s="3" t="inlineStr">
        <is>
          <t>debtToIncome</t>
        </is>
      </c>
      <c r="C104" s="3" t="inlineStr">
        <is>
          <t>src/domain/debt/index.ts</t>
        </is>
      </c>
      <c r="D104" s="3" t="n">
        <v>123</v>
      </c>
      <c r="E104" s="3" t="inlineStr">
        <is>
          <t>2 · DISPLAYED</t>
        </is>
      </c>
      <c r="F104" s="3" t="inlineStr">
        <is>
          <t>NOT DETERMINED — the code carries no note saying what this is for, and it has no row in the old inventory. Needs reading.</t>
        </is>
      </c>
      <c r="G104" s="3" t="inlineStr">
        <is>
          <t>monthlyDebt: number · grossMonthly: number · homeowner = false</t>
        </is>
      </c>
      <c r="H104" s="3" t="inlineStr">
        <is>
          <t>DTI</t>
        </is>
      </c>
      <c r="I104" s="3" t="inlineStr">
        <is>
          <t>"DEBT-TO-INCOME" — on the Goals screen, under "DEBT-TO-INCOME"</t>
        </is>
      </c>
      <c r="J104" s="3" t="inlineStr">
        <is>
          <t>· Rounds the answer to a whole number.</t>
        </is>
      </c>
      <c r="K104" s="3" t="inlineStr">
        <is>
          <t>Yes</t>
        </is>
      </c>
      <c r="L104" s="3" t="inlineStr">
        <is>
          <t>MK-ST-F-055 round2</t>
        </is>
      </c>
      <c r="M104" s="3" t="n">
        <v>1</v>
      </c>
      <c r="N104" s="3" t="inlineStr">
        <is>
          <t>MK-ST-F-055 round2</t>
        </is>
      </c>
      <c r="O104" s="3" t="inlineStr">
        <is>
          <t>MK-ST-F-055 round2 → MK-CF-F-033 debtToIncome</t>
        </is>
      </c>
      <c r="P104" s="3" t="inlineStr">
        <is>
          <t>—</t>
        </is>
      </c>
      <c r="Q104" s="3" t="inlineStr">
        <is>
          <t>—</t>
        </is>
      </c>
    </row>
    <row r="105">
      <c r="A105" s="3" t="inlineStr">
        <is>
          <t>MK-CF-F-038</t>
        </is>
      </c>
      <c r="B105" s="3" t="inlineStr">
        <is>
          <t>debtsFromOnboarding</t>
        </is>
      </c>
      <c r="C105" s="3" t="inlineStr">
        <is>
          <t>src/domain/debt/index.ts</t>
        </is>
      </c>
      <c r="D105" s="3" t="n">
        <v>240</v>
      </c>
      <c r="E105" s="3" t="inlineStr">
        <is>
          <t>3 · DEPENDENT</t>
        </is>
      </c>
      <c r="F105" s="3" t="inlineStr">
        <is>
          <t>What debts should exist from the setup answers?</t>
        </is>
      </c>
      <c r="G105" s="3" t="inlineStr">
        <is>
          <t>uid: UserId · op: Record&lt;string, any&gt; | null</t>
        </is>
      </c>
      <c r="H105" s="3" t="inlineStr">
        <is>
          <t>DebtDoc</t>
        </is>
      </c>
      <c r="I105" s="3" t="inlineStr">
        <is>
          <t>—</t>
        </is>
      </c>
      <c r="J105" s="3" t="inlineStr">
        <is>
          <t>None found in this function — anything it assumes comes from the functions it depends on.</t>
        </is>
      </c>
      <c r="K105" s="3" t="inlineStr">
        <is>
          <t>Yes</t>
        </is>
      </c>
      <c r="L105" s="3" t="inlineStr">
        <is>
          <t>MK-CF-F-037 inferDebtType · MK-ST-F-043 newEntityId · MK-ST-F-052 toNum</t>
        </is>
      </c>
      <c r="M105" s="3" t="n">
        <v>3</v>
      </c>
      <c r="N105" s="3" t="inlineStr">
        <is>
          <t>MK-CF-F-037 inferDebtType · MK-ST-F-043 newEntityId · MK-ST-F-052 toNum</t>
        </is>
      </c>
      <c r="O105" s="3" t="inlineStr">
        <is>
          <t>MK-CF-F-037 inferDebtType → MK-CF-F-038 debtsFromOnboarding
MK-ST-F-043 newEntityId → MK-CF-F-038 debtsFromOnboarding
MK-ST-F-052 toNum → MK-CF-F-038 debtsFromOnboarding</t>
        </is>
      </c>
      <c r="P105" s="3" t="inlineStr">
        <is>
          <t>—</t>
        </is>
      </c>
      <c r="Q105" s="3" t="inlineStr">
        <is>
          <t>DEBTS_FROM_SETUP</t>
        </is>
      </c>
    </row>
    <row r="106">
      <c r="A106" s="3" t="inlineStr">
        <is>
          <t>MK-XS-F-012</t>
        </is>
      </c>
      <c r="B106" s="3" t="inlineStr">
        <is>
          <t>decodeCsvBase64</t>
        </is>
      </c>
      <c r="C106" s="3" t="inlineStr">
        <is>
          <t>src/domain/import/holdingsImport.ts</t>
        </is>
      </c>
      <c r="D106" s="3" t="n">
        <v>62</v>
      </c>
      <c r="E106" s="3" t="inlineStr">
        <is>
          <t>2 · DISPLAYED</t>
        </is>
      </c>
      <c r="F106" s="3" t="inlineStr">
        <is>
          <t>What is the text of the file that was picked?</t>
        </is>
      </c>
      <c r="G106" s="3" t="inlineStr">
        <is>
          <t>b64: string</t>
        </is>
      </c>
      <c r="H106" s="3" t="inlineStr">
        <is>
          <t>string</t>
        </is>
      </c>
      <c r="I106" s="3" t="inlineStr">
        <is>
          <t>NOT FOUND — a screen calls it, but the words printed beside its answer could not be traced automatically. Needs reading.</t>
        </is>
      </c>
      <c r="J106" s="3" t="inlineStr">
        <is>
          <t>· Uses a built-in start of 0.
· Uses a built-in nul of 0.
· Uses a built-in i of 0.
· Caps length at 400.</t>
        </is>
      </c>
      <c r="K106" s="3" t="inlineStr">
        <is>
          <t>Yes</t>
        </is>
      </c>
      <c r="L106" s="3" t="inlineStr">
        <is>
          <t>—</t>
        </is>
      </c>
      <c r="M106" s="3" t="n">
        <v>0</v>
      </c>
      <c r="N106" s="3" t="inlineStr">
        <is>
          <t>None — no dependent function stands behind it</t>
        </is>
      </c>
      <c r="O106" s="3" t="inlineStr">
        <is>
          <t>No dependent function — it reads its inputs and answers</t>
        </is>
      </c>
      <c r="P106" s="3" t="inlineStr">
        <is>
          <t>—</t>
        </is>
      </c>
      <c r="Q106" s="3" t="inlineStr">
        <is>
          <t>FILE_DECODE</t>
        </is>
      </c>
    </row>
    <row r="107">
      <c r="A107" s="3" t="inlineStr">
        <is>
          <t>MK-XS-F-055</t>
        </is>
      </c>
      <c r="B107" s="3" t="inlineStr">
        <is>
          <t>decryptFromSync</t>
        </is>
      </c>
      <c r="C107" s="3" t="inlineStr">
        <is>
          <t>src/services/dataCrypto.ts</t>
        </is>
      </c>
      <c r="D107" s="3" t="n">
        <v>129</v>
      </c>
      <c r="E107" s="3" t="inlineStr">
        <is>
          <t>3 · DEPENDENT</t>
        </is>
      </c>
      <c r="F107" s="3" t="inlineStr">
        <is>
          <t>Decrypt a synced value: ciphertext → object; legacy plaintext object → returned as-is; null if it's ciphertext we can't decrypt (no key).</t>
        </is>
      </c>
      <c r="G107" s="3" t="inlineStr">
        <is>
          <t>value: unknown</t>
        </is>
      </c>
      <c r="H107" s="3" t="inlineStr">
        <is>
          <t>Promise&lt;any | null&gt;</t>
        </is>
      </c>
      <c r="I107" s="3" t="inlineStr">
        <is>
          <t>—</t>
        </is>
      </c>
      <c r="J107" s="3" t="inlineStr">
        <is>
          <t>None found in this function — anything it assumes comes from the functions it depends on.</t>
        </is>
      </c>
      <c r="K107" s="3" t="inlineStr">
        <is>
          <t>Yes</t>
        </is>
      </c>
      <c r="L107" s="3" t="inlineStr">
        <is>
          <t>MK-XS-F-053 decryptWithKey · MK-XS-F-042 getDataKey · MK-XS-F-051 isEncrypted</t>
        </is>
      </c>
      <c r="M107" s="3" t="n">
        <v>3</v>
      </c>
      <c r="N107" s="3" t="inlineStr">
        <is>
          <t>MK-XS-F-053 decryptWithKey · MK-XS-F-042 getDataKey · MK-XS-F-051 isEncrypted</t>
        </is>
      </c>
      <c r="O107" s="3" t="inlineStr">
        <is>
          <t>MK-XS-F-051 isEncrypted → MK-XS-F-053 decryptWithKey → MK-XS-F-055 decryptFromSync
MK-XS-F-042 getDataKey → MK-XS-F-055 decryptFromSync
MK-XS-F-051 isEncrypted → MK-XS-F-055 decryptFromSync</t>
        </is>
      </c>
      <c r="P107" s="3" t="inlineStr">
        <is>
          <t>—</t>
        </is>
      </c>
      <c r="Q107" s="3" t="inlineStr">
        <is>
          <t>—</t>
        </is>
      </c>
    </row>
    <row r="108">
      <c r="A108" s="3" t="inlineStr">
        <is>
          <t>MK-XS-F-053</t>
        </is>
      </c>
      <c r="B108" s="3" t="inlineStr">
        <is>
          <t>decryptWithKey</t>
        </is>
      </c>
      <c r="C108" s="3" t="inlineStr">
        <is>
          <t>src/services/dataCrypto.ts</t>
        </is>
      </c>
      <c r="D108" s="3" t="n">
        <v>110</v>
      </c>
      <c r="E108" s="3" t="inlineStr">
        <is>
          <t>3 · DEPENDENT</t>
        </is>
      </c>
      <c r="F108" s="3" t="inlineStr">
        <is>
          <t>Decrypt an 'enc:'-tagged blob.</t>
        </is>
      </c>
      <c r="G108" s="3" t="inlineStr">
        <is>
          <t>blob: string · keyHex: string</t>
        </is>
      </c>
      <c r="H108" s="3" t="inlineStr">
        <is>
          <t>any | null</t>
        </is>
      </c>
      <c r="I108" s="3" t="inlineStr">
        <is>
          <t>—</t>
        </is>
      </c>
      <c r="J108" s="3" t="inlineStr">
        <is>
          <t>None found in this function — anything it assumes comes from the functions it depends on.</t>
        </is>
      </c>
      <c r="K108" s="3" t="inlineStr">
        <is>
          <t>Yes</t>
        </is>
      </c>
      <c r="L108" s="3" t="inlineStr">
        <is>
          <t>MK-XS-F-051 isEncrypted</t>
        </is>
      </c>
      <c r="M108" s="3" t="n">
        <v>1</v>
      </c>
      <c r="N108" s="3" t="inlineStr">
        <is>
          <t>MK-XS-F-051 isEncrypted</t>
        </is>
      </c>
      <c r="O108" s="3" t="inlineStr">
        <is>
          <t>MK-XS-F-051 isEncrypted → MK-XS-F-053 decryptWithKey</t>
        </is>
      </c>
      <c r="P108" s="3" t="inlineStr">
        <is>
          <t>—</t>
        </is>
      </c>
      <c r="Q108" s="3" t="inlineStr">
        <is>
          <t>—</t>
        </is>
      </c>
    </row>
    <row r="109">
      <c r="A109" s="3" t="inlineStr">
        <is>
          <t>MK-CF-F-099</t>
        </is>
      </c>
      <c r="B109" s="3" t="inlineStr">
        <is>
          <t>deductionFor</t>
        </is>
      </c>
      <c r="C109" s="3" t="inlineStr">
        <is>
          <t>src/domain/income/tax.ts</t>
        </is>
      </c>
      <c r="D109" s="3" t="n">
        <v>105</v>
      </c>
      <c r="E109" s="3" t="inlineStr">
        <is>
          <t>3 · DEPENDENT</t>
        </is>
      </c>
      <c r="F109" s="3" t="inlineStr">
        <is>
          <t>The standard deduction with the age-65 additions (E8).</t>
        </is>
      </c>
      <c r="G109" s="3" t="inlineStr">
        <is>
          <t>status: FilingStatus = 'single' · over65 = 0</t>
        </is>
      </c>
      <c r="H109" s="3" t="inlineStr">
        <is>
          <t>number</t>
        </is>
      </c>
      <c r="I109" s="3" t="inlineStr">
        <is>
          <t>—</t>
        </is>
      </c>
      <c r="J109" s="3" t="inlineStr">
        <is>
          <t>None found in this function — anything it assumes comes from the functions it depends on.</t>
        </is>
      </c>
      <c r="K109" s="3" t="inlineStr">
        <is>
          <t>Yes</t>
        </is>
      </c>
      <c r="L109" s="3" t="inlineStr">
        <is>
          <t>—</t>
        </is>
      </c>
      <c r="M109" s="3" t="n">
        <v>0</v>
      </c>
      <c r="N109" s="3" t="inlineStr">
        <is>
          <t>None — no dependent function stands behind it</t>
        </is>
      </c>
      <c r="O109" s="3" t="inlineStr">
        <is>
          <t>No dependent function — it reads its inputs and answers</t>
        </is>
      </c>
      <c r="P109" s="3" t="inlineStr">
        <is>
          <t>—</t>
        </is>
      </c>
      <c r="Q109" s="3" t="inlineStr">
        <is>
          <t>TAX_DEDUCTION</t>
        </is>
      </c>
    </row>
    <row r="110">
      <c r="A110" s="3" t="inlineStr">
        <is>
          <t>MK-XS-F-109</t>
        </is>
      </c>
      <c r="B110" s="3" t="inlineStr">
        <is>
          <t>dedupeActivities</t>
        </is>
      </c>
      <c r="C110" s="3" t="inlineStr">
        <is>
          <t>src/services/sync/snaptrade.ts</t>
        </is>
      </c>
      <c r="D110" s="3" t="n">
        <v>257</v>
      </c>
      <c r="E110" s="3" t="inlineStr">
        <is>
          <t>3 · DEPENDENT (feeds an action only)</t>
        </is>
      </c>
      <c r="F110" s="3" t="inlineStr">
        <is>
          <t>Which of these activities are new since the last sync?</t>
        </is>
      </c>
      <c r="G110" s="3" t="inlineStr">
        <is>
          <t>accountId: string · incoming: StActivity[] · seenKeys: Set&lt;string&gt;</t>
        </is>
      </c>
      <c r="H110" s="3" t="inlineStr">
        <is>
          <t>StActivity[]</t>
        </is>
      </c>
      <c r="I110" s="3" t="inlineStr">
        <is>
          <t>—</t>
        </is>
      </c>
      <c r="J110" s="3" t="inlineStr">
        <is>
          <t>None found in this function — anything it assumes comes from the functions it depends on.</t>
        </is>
      </c>
      <c r="K110" s="3" t="inlineStr">
        <is>
          <t>No</t>
        </is>
      </c>
      <c r="L110" s="3" t="inlineStr">
        <is>
          <t>MK-XS-F-108 activityKey</t>
        </is>
      </c>
      <c r="M110" s="3" t="n">
        <v>2</v>
      </c>
      <c r="N110" s="3" t="inlineStr">
        <is>
          <t>MK-XS-F-108 activityKey · MK-ST-F-014 importKey</t>
        </is>
      </c>
      <c r="O110" s="3" t="inlineStr">
        <is>
          <t>MK-ST-F-014 importKey → MK-XS-F-108 activityKey → MK-XS-F-109 dedupeActivities</t>
        </is>
      </c>
      <c r="P110" s="3" t="inlineStr">
        <is>
          <t>—</t>
        </is>
      </c>
      <c r="Q110" s="3" t="inlineStr">
        <is>
          <t>ALREADY_SEEN_CHECK</t>
        </is>
      </c>
    </row>
    <row r="111">
      <c r="A111" s="3" t="inlineStr">
        <is>
          <t>MK-CF-F-021</t>
        </is>
      </c>
      <c r="B111" s="3" t="inlineStr">
        <is>
          <t>defaultPaymentType</t>
        </is>
      </c>
      <c r="C111" s="3" t="inlineStr">
        <is>
          <t>src/domain/debt/index.ts</t>
        </is>
      </c>
      <c r="D111" s="3" t="n">
        <v>35</v>
      </c>
      <c r="E111" s="3" t="inlineStr">
        <is>
          <t>2 · DISPLAYED</t>
        </is>
      </c>
      <c r="F111" s="3" t="inlineStr">
        <is>
          <t>B47 finding 11 — a debt's repayment SHAPE.</t>
        </is>
      </c>
      <c r="G111" s="3" t="inlineStr">
        <is>
          <t>t: DebtType</t>
        </is>
      </c>
      <c r="H111" s="3" t="inlineStr">
        <is>
          <t>NonNullable&lt;Debt['payment_type']&gt;</t>
        </is>
      </c>
      <c r="I111" s="3" t="inlineStr">
        <is>
          <t>NOT FOUND — a screen calls it, but the words printed beside its answer could not be traced automatically. Needs reading.</t>
        </is>
      </c>
      <c r="J111" s="3" t="inlineStr">
        <is>
          <t>None found in this function — anything it assumes comes from the functions it depends on.</t>
        </is>
      </c>
      <c r="K111" s="3" t="inlineStr">
        <is>
          <t>Yes</t>
        </is>
      </c>
      <c r="L111" s="3" t="inlineStr">
        <is>
          <t>—</t>
        </is>
      </c>
      <c r="M111" s="3" t="n">
        <v>0</v>
      </c>
      <c r="N111" s="3" t="inlineStr">
        <is>
          <t>None — no dependent function stands behind it</t>
        </is>
      </c>
      <c r="O111" s="3" t="inlineStr">
        <is>
          <t>No dependent function — it reads its inputs and answers</t>
        </is>
      </c>
      <c r="P111" s="3" t="inlineStr">
        <is>
          <t>—</t>
        </is>
      </c>
      <c r="Q111" s="3" t="inlineStr">
        <is>
          <t>DEBT_SHAPE_DEFAULT</t>
        </is>
      </c>
    </row>
    <row r="112">
      <c r="A112" s="3" t="inlineStr">
        <is>
          <t>MK-XS-F-072</t>
        </is>
      </c>
      <c r="B112" s="3" t="inlineStr">
        <is>
          <t>deleteAccount</t>
        </is>
      </c>
      <c r="C112" s="3" t="inlineStr">
        <is>
          <t>src/services/firebase.ts</t>
        </is>
      </c>
      <c r="D112" s="3" t="n">
        <v>190</v>
      </c>
      <c r="E112" s="3" t="inlineStr">
        <is>
          <t>1 · ACTION</t>
        </is>
      </c>
      <c r="F112" s="3" t="inlineStr">
        <is>
          <t>Permanently delete the signed-in user's account (App Store Guideline 5.1.1(v)).</t>
        </is>
      </c>
      <c r="G112" s="3" t="inlineStr">
        <is>
          <t>password: string</t>
        </is>
      </c>
      <c r="H112" s="3" t="inlineStr">
        <is>
          <t>Promise&lt;void&gt;</t>
        </is>
      </c>
      <c r="I112" s="3" t="inlineStr">
        <is>
          <t>—</t>
        </is>
      </c>
      <c r="J112" s="3" t="inlineStr">
        <is>
          <t>None found in this function — anything it assumes comes from the functions it depends on.</t>
        </is>
      </c>
      <c r="K112" s="3" t="inlineStr">
        <is>
          <t>Yes</t>
        </is>
      </c>
      <c r="L112" s="3" t="inlineStr">
        <is>
          <t>MK-XS-F-035 authenticate · MK-XS-F-043 clearDataKey · MK-XS-F-079 loadUserRoot</t>
        </is>
      </c>
      <c r="M112" s="3" t="n">
        <v>7</v>
      </c>
      <c r="N112" s="3" t="inlineStr">
        <is>
          <t>MK-XS-F-035 authenticate · MK-XS-F-043 clearDataKey · MK-XS-F-079 loadUserRoot · MK-XS-F-055 decryptFromSync · MK-XS-F-053 decryptWithKey · MK-XS-F-042 getDataKey · MK-XS-F-051 isEncrypted</t>
        </is>
      </c>
      <c r="O112" s="3" t="inlineStr">
        <is>
          <t>MK-XS-F-035 authenticate → MK-XS-F-072 deleteAccount
MK-XS-F-043 clearDataKey → MK-XS-F-072 deleteAccount
MK-XS-F-051 isEncrypted → MK-XS-F-053 decryptWithKey → MK-XS-F-055 decryptFromSync → MK-XS-F-079 loadUserRoot → MK-XS-F-072 deleteAccount
MK-XS-F-042 getDataKey → MK-XS-F-055 decryptFromSync → MK-XS-F-079 loadUserRoot → MK-XS-F-072 deleteAccount
MK-XS-F-051 isEncrypted → MK-XS-F-055 decryptFromSync → MK-XS-F-079 loadUserRoot → MK-XS-F-072 deleteAccount</t>
        </is>
      </c>
      <c r="P112" s="3" t="inlineStr">
        <is>
          <t>—</t>
        </is>
      </c>
      <c r="Q112" s="3" t="inlineStr">
        <is>
          <t>—</t>
        </is>
      </c>
    </row>
    <row r="113">
      <c r="A113" s="3" t="inlineStr">
        <is>
          <t>MK-PL-F-003</t>
        </is>
      </c>
      <c r="B113" s="3" t="inlineStr">
        <is>
          <t>depletionAge</t>
        </is>
      </c>
      <c r="C113" s="3" t="inlineStr">
        <is>
          <t>src/domain/decumulation/index.ts</t>
        </is>
      </c>
      <c r="D113" s="3" t="n">
        <v>49</v>
      </c>
      <c r="E113" s="3" t="inlineStr">
        <is>
          <t>2 · DISPLAYED</t>
        </is>
      </c>
      <c r="F113" s="3" t="inlineStr">
        <is>
          <t>---- deterministic depletion ---- Age the portfolio runs out (deterministic), or null if it lasts to the horizon.</t>
        </is>
      </c>
      <c r="G113" s="3" t="inlineStr">
        <is>
          <t>o: { age: number; horizon: number; nestEgg: number; netWithdrawalNow: number; returnRate: number; inflation: number; preTaxShare?: number; rmdTaxRate?: number }</t>
        </is>
      </c>
      <c r="H113" s="3" t="inlineStr">
        <is>
          <t>number | null</t>
        </is>
      </c>
      <c r="I113" s="3" t="inlineStr">
        <is>
          <t>NOT FOUND — a screen calls it, but the words printed beside its answer could not be traced automatically. Needs reading.</t>
        </is>
      </c>
      <c r="J113" s="3" t="inlineStr">
        <is>
          <t>· If pre tax share is missing it uses 0.
· If required withdrawal tax rate is missing it uses 22%.</t>
        </is>
      </c>
      <c r="K113" s="3" t="inlineStr">
        <is>
          <t>Yes</t>
        </is>
      </c>
      <c r="L113" s="3" t="inlineStr">
        <is>
          <t>MK-PL-F-007 rmdAtAge · MK-PL-F-005 rmdStartAgeFor</t>
        </is>
      </c>
      <c r="M113" s="3" t="n">
        <v>6</v>
      </c>
      <c r="N113" s="3" t="inlineStr">
        <is>
          <t>MK-PL-F-007 rmdAtAge · MK-PL-F-005 rmdStartAgeFor · MK-PL-F-006 rmdDivisor · MK-ST-F-055 round2 · MK-ST-F-025 rmdStartAgeFromAge · MK-ST-F-024 rmdStartAge</t>
        </is>
      </c>
      <c r="O113" s="3" t="inlineStr">
        <is>
          <t>MK-PL-F-006 rmdDivisor → MK-PL-F-007 rmdAtAge → MK-PL-F-003 depletionAge
MK-ST-F-055 round2 → MK-PL-F-007 rmdAtAge → MK-PL-F-003 depletionAge
MK-ST-F-024 rmdStartAge → MK-ST-F-025 rmdStartAgeFromAge → MK-PL-F-005 rmdStartAgeFor → MK-PL-F-003 depletionAge</t>
        </is>
      </c>
      <c r="P113" s="3" t="inlineStr">
        <is>
          <t>—</t>
        </is>
      </c>
      <c r="Q113" s="3" t="inlineStr">
        <is>
          <t>—</t>
        </is>
      </c>
    </row>
    <row r="114">
      <c r="A114" s="3" t="inlineStr">
        <is>
          <t>MK-ST-F-009</t>
        </is>
      </c>
      <c r="B114" s="3" t="inlineStr">
        <is>
          <t>directionOf</t>
        </is>
      </c>
      <c r="C114" s="3" t="inlineStr">
        <is>
          <t>Calculation Module code/engines/events.ts</t>
        </is>
      </c>
      <c r="D114" s="3" t="n">
        <v>195</v>
      </c>
      <c r="E114" s="3" t="inlineStr">
        <is>
          <t>3 · DEPENDENT (feeds an action only)</t>
        </is>
      </c>
      <c r="F114" s="3" t="inlineStr">
        <is>
          <t>The direction an event implies, where the event itself decides it.</t>
        </is>
      </c>
      <c r="G114" s="3" t="inlineStr">
        <is>
          <t>e: CanonicalEvent</t>
        </is>
      </c>
      <c r="H114" s="3" t="inlineStr">
        <is>
          <t>Money['direction']</t>
        </is>
      </c>
      <c r="I114" s="3" t="inlineStr">
        <is>
          <t>—</t>
        </is>
      </c>
      <c r="J114" s="3" t="inlineStr">
        <is>
          <t>None found in this function — anything it assumes comes from the functions it depends on.</t>
        </is>
      </c>
      <c r="K114" s="3" t="inlineStr">
        <is>
          <t>No</t>
        </is>
      </c>
      <c r="L114" s="3" t="inlineStr">
        <is>
          <t>—</t>
        </is>
      </c>
      <c r="M114" s="3" t="n">
        <v>0</v>
      </c>
      <c r="N114" s="3" t="inlineStr">
        <is>
          <t>None — no dependent function stands behind it</t>
        </is>
      </c>
      <c r="O114" s="3" t="inlineStr">
        <is>
          <t>No dependent function — it reads its inputs and answers</t>
        </is>
      </c>
      <c r="P114" s="3" t="inlineStr">
        <is>
          <t>—</t>
        </is>
      </c>
      <c r="Q114" s="3" t="inlineStr">
        <is>
          <t>—</t>
        </is>
      </c>
    </row>
    <row r="115">
      <c r="A115" s="3" t="inlineStr">
        <is>
          <t>MK-PL-F-066</t>
        </is>
      </c>
      <c r="B115" s="3" t="inlineStr">
        <is>
          <t>displayOdds</t>
        </is>
      </c>
      <c r="C115" s="3" t="inlineStr">
        <is>
          <t>src/domain/retirement/willItLast.ts</t>
        </is>
      </c>
      <c r="D115" s="3" t="n">
        <v>55</v>
      </c>
      <c r="E115" s="3" t="inlineStr">
        <is>
          <t>2 · DISPLAYED</t>
        </is>
      </c>
      <c r="F115" s="3" t="inlineStr">
        <is>
          <t>B6 (founder brief 2026-08-20): the odds a person sees, to the nearest 5 — with one honesty guard at each end: 100 means "every simulated future worked" and 0 means "none did", and neither claim may be minted by rounding.</t>
        </is>
      </c>
      <c r="G115" s="3" t="inlineStr">
        <is>
          <t>chance: number</t>
        </is>
      </c>
      <c r="H115" s="3" t="inlineStr">
        <is>
          <t>number</t>
        </is>
      </c>
      <c r="I115" s="3" t="inlineStr">
        <is>
          <t>"Claim at age" — on the Retirement cockpit screen</t>
        </is>
      </c>
      <c r="J115" s="3" t="inlineStr">
        <is>
          <t>· Rounds the answer to a whole number.</t>
        </is>
      </c>
      <c r="K115" s="3" t="inlineStr">
        <is>
          <t>Yes</t>
        </is>
      </c>
      <c r="L115" s="3" t="inlineStr">
        <is>
          <t>—</t>
        </is>
      </c>
      <c r="M115" s="3" t="n">
        <v>0</v>
      </c>
      <c r="N115" s="3" t="inlineStr">
        <is>
          <t>None — no dependent function stands behind it</t>
        </is>
      </c>
      <c r="O115" s="3" t="inlineStr">
        <is>
          <t>No dependent function — it reads its inputs and answers</t>
        </is>
      </c>
      <c r="P115" s="3" t="inlineStr">
        <is>
          <t>—</t>
        </is>
      </c>
      <c r="Q115" s="3" t="inlineStr">
        <is>
          <t>ODDS_DISPLAY</t>
        </is>
      </c>
    </row>
    <row r="116">
      <c r="A116" s="3" t="inlineStr">
        <is>
          <t>MK-PL-F-010</t>
        </is>
      </c>
      <c r="B116" s="3" t="inlineStr">
        <is>
          <t>drawOrderOutcome</t>
        </is>
      </c>
      <c r="C116" s="3" t="inlineStr">
        <is>
          <t>src/domain/decumulation/index.ts</t>
        </is>
      </c>
      <c r="D116" s="3" t="n">
        <v>171</v>
      </c>
      <c r="E116" s="3" t="inlineStr">
        <is>
          <t>2 · DISPLAYED</t>
        </is>
      </c>
      <c r="F116" s="3" t="inlineStr">
        <is>
          <t>NOT DETERMINED — the code carries no note saying what this is for, and it has no row in the old inventory. Needs reading.</t>
        </is>
      </c>
      <c r="G116" s="3" t="inlineStr">
        <is>
          <t>Nothing is handed to it</t>
        </is>
      </c>
      <c r="H116" s="3" t="inlineStr">
        <is>
          <t>NOT DECLARED — the code does not say what it gives back</t>
        </is>
      </c>
      <c r="I116" s="3" t="inlineStr">
        <is>
          <t>NOT FOUND — a screen calls it, but the words printed beside its answer could not be traced automatically. Needs reading.</t>
        </is>
      </c>
      <c r="J116" s="3" t="inlineStr">
        <is>
          <t>· If ordinary rate is missing it uses 22%.
· If cap gains rate is missing it uses 15%.
· If gain share is missing it uses 50%.
· Uses a built-in taxes of 0.</t>
        </is>
      </c>
      <c r="K116" s="3" t="inlineStr">
        <is>
          <t>Yes</t>
        </is>
      </c>
      <c r="L116" s="3" t="inlineStr">
        <is>
          <t>MK-PL-F-007 rmdAtAge · MK-PL-F-005 rmdStartAgeFor · MK-ST-F-055 round2</t>
        </is>
      </c>
      <c r="M116" s="3" t="n">
        <v>6</v>
      </c>
      <c r="N116" s="3" t="inlineStr">
        <is>
          <t>MK-PL-F-007 rmdAtAge · MK-PL-F-005 rmdStartAgeFor · MK-ST-F-055 round2 · MK-PL-F-006 rmdDivisor · MK-ST-F-025 rmdStartAgeFromAge · MK-ST-F-024 rmdStartAge</t>
        </is>
      </c>
      <c r="O116" s="3" t="inlineStr">
        <is>
          <t>MK-PL-F-006 rmdDivisor → MK-PL-F-007 rmdAtAge → MK-PL-F-010 drawOrderOutcome
MK-ST-F-055 round2 → MK-PL-F-007 rmdAtAge → MK-PL-F-010 drawOrderOutcome
MK-ST-F-024 rmdStartAge → MK-ST-F-025 rmdStartAgeFromAge → MK-PL-F-005 rmdStartAgeFor → MK-PL-F-010 drawOrderOutcome
MK-ST-F-055 round2 → MK-PL-F-010 drawOrderOutcome</t>
        </is>
      </c>
      <c r="P116" s="3" t="inlineStr">
        <is>
          <t>—</t>
        </is>
      </c>
      <c r="Q116" s="3" t="inlineStr">
        <is>
          <t>—</t>
        </is>
      </c>
    </row>
    <row r="117">
      <c r="A117" s="3" t="inlineStr">
        <is>
          <t>MK-PF-F-012</t>
        </is>
      </c>
      <c r="B117" s="3" t="inlineStr">
        <is>
          <t>earliestPurchaseDate</t>
        </is>
      </c>
      <c r="C117" s="3" t="inlineStr">
        <is>
          <t>src/domain/performance/index.ts</t>
        </is>
      </c>
      <c r="D117" s="3" t="n">
        <v>146</v>
      </c>
      <c r="E117" s="3" t="inlineStr">
        <is>
          <t>3 · DEPENDENT</t>
        </is>
      </c>
      <c r="F117" s="3" t="inlineStr">
        <is>
          <t>Earliest dated lot — the day this holding became YOUR money.</t>
        </is>
      </c>
      <c r="G117" s="3" t="inlineStr">
        <is>
          <t>p: Position</t>
        </is>
      </c>
      <c r="H117" s="3" t="inlineStr">
        <is>
          <t>string | null</t>
        </is>
      </c>
      <c r="I117" s="3" t="inlineStr">
        <is>
          <t>—</t>
        </is>
      </c>
      <c r="J117" s="3" t="inlineStr">
        <is>
          <t>· Leaves some rows out of the answer — check which.</t>
        </is>
      </c>
      <c r="K117" s="3" t="inlineStr">
        <is>
          <t>Yes</t>
        </is>
      </c>
      <c r="L117" s="3" t="inlineStr">
        <is>
          <t>—</t>
        </is>
      </c>
      <c r="M117" s="3" t="n">
        <v>0</v>
      </c>
      <c r="N117" s="3" t="inlineStr">
        <is>
          <t>None — no dependent function stands behind it</t>
        </is>
      </c>
      <c r="O117" s="3" t="inlineStr">
        <is>
          <t>No dependent function — it reads its inputs and answers</t>
        </is>
      </c>
      <c r="P117" s="3" t="inlineStr">
        <is>
          <t>—</t>
        </is>
      </c>
      <c r="Q117" s="3" t="inlineStr">
        <is>
          <t>HOLDING_FIRST_BOUGHT</t>
        </is>
      </c>
    </row>
    <row r="118">
      <c r="A118" s="3" t="inlineStr">
        <is>
          <t>MK-NW-F-030</t>
        </is>
      </c>
      <c r="B118" s="3" t="inlineStr">
        <is>
          <t>earmarkDefault</t>
        </is>
      </c>
      <c r="C118" s="3" t="inlineStr">
        <is>
          <t>src/domain/assets/index.ts</t>
        </is>
      </c>
      <c r="D118" s="3" t="n">
        <v>528</v>
      </c>
      <c r="E118" s="3" t="inlineStr">
        <is>
          <t>2 · DISPLAYED</t>
        </is>
      </c>
      <c r="F118" s="3" t="inlineStr">
        <is>
          <t>Default % of an account that's earmarked for retirement (rest funds other goals).</t>
        </is>
      </c>
      <c r="G118" s="3" t="inlineStr">
        <is>
          <t>a: AssetAccount · primaryCarId?: string</t>
        </is>
      </c>
      <c r="H118" s="3" t="inlineStr">
        <is>
          <t>number</t>
        </is>
      </c>
      <c r="I118" s="3" t="inlineStr">
        <is>
          <t>"Test retiring earlier, saving more, market ups &amp; downs." — on the Retirement cockpit screen · "WHAT COUNTS TOWARD RETIREMENT" — on a card used on more than one screen (PlanInputs), under "WHAT COUNTS TOWARD RETIREMENT" · "What counts toward retirement?" — on the Retirement cockpit screen</t>
        </is>
      </c>
      <c r="J118" s="3" t="inlineStr">
        <is>
          <t>None found in this function — anything it assumes comes from the functions it depends on.</t>
        </is>
      </c>
      <c r="K118" s="3" t="inlineStr">
        <is>
          <t>Yes</t>
        </is>
      </c>
      <c r="L118" s="3" t="inlineStr">
        <is>
          <t>MK-NW-F-011 assetClassOf · MK-NW-F-013 realEstateUseOf</t>
        </is>
      </c>
      <c r="M118" s="3" t="n">
        <v>4</v>
      </c>
      <c r="N118" s="3" t="inlineStr">
        <is>
          <t>MK-NW-F-011 assetClassOf · MK-NW-F-013 realEstateUseOf · MK-NW-F-008 incomeBearingClassOf · MK-ST-F-010 nameEvidence</t>
        </is>
      </c>
      <c r="O118" s="3" t="inlineStr">
        <is>
          <t>MK-ST-F-010 nameEvidence → MK-NW-F-008 incomeBearingClassOf → MK-NW-F-011 assetClassOf → MK-NW-F-030 earmarkDefault
MK-NW-F-013 realEstateUseOf → MK-NW-F-030 earmarkDefault</t>
        </is>
      </c>
      <c r="P118" s="3" t="inlineStr">
        <is>
          <t>—</t>
        </is>
      </c>
      <c r="Q118" s="3" t="inlineStr">
        <is>
          <t>RETIREMENT_SHARE_DEFAULT</t>
        </is>
      </c>
    </row>
    <row r="119">
      <c r="A119" s="3" t="inlineStr">
        <is>
          <t>MK-NW-F-032</t>
        </is>
      </c>
      <c r="B119" s="3" t="inlineStr">
        <is>
          <t>earmarkedAmount</t>
        </is>
      </c>
      <c r="C119" s="3" t="inlineStr">
        <is>
          <t>src/domain/assets/index.ts</t>
        </is>
      </c>
      <c r="D119" s="3" t="n">
        <v>543</v>
      </c>
      <c r="E119" s="3" t="inlineStr">
        <is>
          <t>2 · DISPLAYED</t>
        </is>
      </c>
      <c r="F119" s="3" t="inlineStr">
        <is>
          <t>The retirement-earmarked $ for one account (uses the saved % or the smart default).</t>
        </is>
      </c>
      <c r="G119" s="3" t="inlineStr">
        <is>
          <t>a: AssetAccount · primaryCarId?: string</t>
        </is>
      </c>
      <c r="H119" s="3" t="inlineStr">
        <is>
          <t>number</t>
        </is>
      </c>
      <c r="I119" s="3" t="inlineStr">
        <is>
          <t>"WHAT COUNTS TOWARD RETIREMENT" — on a card used on more than one screen (PlanInputs), under "WHAT COUNTS TOWARD RETIREMENT"</t>
        </is>
      </c>
      <c r="J119" s="3" t="inlineStr">
        <is>
          <t>· If balance is missing it counts as zero, so nothing recorded and a real zero look the same.</t>
        </is>
      </c>
      <c r="K119" s="3" t="inlineStr">
        <is>
          <t>Yes</t>
        </is>
      </c>
      <c r="L119" s="3" t="inlineStr">
        <is>
          <t>MK-NW-F-030 earmarkDefault · MK-ST-F-055 round2</t>
        </is>
      </c>
      <c r="M119" s="3" t="n">
        <v>6</v>
      </c>
      <c r="N119" s="3" t="inlineStr">
        <is>
          <t>MK-NW-F-030 earmarkDefault · MK-ST-F-055 round2 · MK-NW-F-011 assetClassOf · MK-NW-F-013 realEstateUseOf · MK-NW-F-008 incomeBearingClassOf · MK-ST-F-010 nameEvidence</t>
        </is>
      </c>
      <c r="O119" s="3" t="inlineStr">
        <is>
          <t>MK-ST-F-010 nameEvidence → MK-NW-F-008 incomeBearingClassOf → MK-NW-F-011 assetClassOf → MK-NW-F-030 earmarkDefault → MK-NW-F-032 earmarkedAmount
MK-NW-F-013 realEstateUseOf → MK-NW-F-030 earmarkDefault → MK-NW-F-032 earmarkedAmount
MK-ST-F-055 round2 → MK-NW-F-032 earmarkedAmount</t>
        </is>
      </c>
      <c r="P119" s="3" t="inlineStr">
        <is>
          <t>—</t>
        </is>
      </c>
      <c r="Q119" s="3" t="inlineStr">
        <is>
          <t>RETIREMENT_SHARE_AMOUNT</t>
        </is>
      </c>
    </row>
    <row r="120">
      <c r="A120" s="3" t="inlineStr">
        <is>
          <t>MK-NW-F-038</t>
        </is>
      </c>
      <c r="B120" s="3" t="inlineStr">
        <is>
          <t>earmarkedKinds</t>
        </is>
      </c>
      <c r="C120" s="3" t="inlineStr">
        <is>
          <t>src/domain/assets/index.ts</t>
        </is>
      </c>
      <c r="D120" s="3" t="n">
        <v>647</v>
      </c>
      <c r="E120" s="3" t="inlineStr">
        <is>
          <t>3 · DEPENDENT (feeds an action only)</t>
        </is>
      </c>
      <c r="F120" s="3" t="inlineStr">
        <is>
          <t>Distinct investment kinds present in the earmarked nest egg (for the benchmark editor).</t>
        </is>
      </c>
      <c r="G120" s="3" t="inlineStr">
        <is>
          <t>accounts: AssetAccount[]</t>
        </is>
      </c>
      <c r="H120" s="3" t="inlineStr">
        <is>
          <t>string[]</t>
        </is>
      </c>
      <c r="I120" s="3" t="inlineStr">
        <is>
          <t>—</t>
        </is>
      </c>
      <c r="J120" s="3" t="inlineStr">
        <is>
          <t>· Uses a built-in d e f a u l t r e t u r n of 7%.
· Leaves some rows out of the answer — check which.</t>
        </is>
      </c>
      <c r="K120" s="3" t="inlineStr">
        <is>
          <t>No</t>
        </is>
      </c>
      <c r="L120" s="3" t="inlineStr">
        <is>
          <t>MK-NW-F-032 earmarkedAmount</t>
        </is>
      </c>
      <c r="M120" s="3" t="n">
        <v>7</v>
      </c>
      <c r="N120" s="3" t="inlineStr">
        <is>
          <t>MK-NW-F-032 earmarkedAmount · MK-NW-F-030 earmarkDefault · MK-ST-F-055 round2 · MK-NW-F-011 assetClassOf · MK-NW-F-013 realEstateUseOf · MK-NW-F-008 incomeBearingClassOf · MK-ST-F-010 nameEvidence</t>
        </is>
      </c>
      <c r="O120" s="3" t="inlineStr">
        <is>
          <t>MK-ST-F-010 nameEvidence → MK-NW-F-008 incomeBearingClassOf → MK-NW-F-011 assetClassOf → MK-NW-F-030 earmarkDefault → MK-NW-F-032 earmarkedAmount → MK-NW-F-038 earmarkedKinds
MK-NW-F-013 realEstateUseOf → MK-NW-F-030 earmarkDefault → MK-NW-F-032 earmarkedAmount → MK-NW-F-038 earmarkedKinds
MK-ST-F-055 round2 → MK-NW-F-032 earmarkedAmount → MK-NW-F-038 earmarkedKinds</t>
        </is>
      </c>
      <c r="P120" s="3" t="inlineStr">
        <is>
          <t>—</t>
        </is>
      </c>
      <c r="Q120" s="3" t="inlineStr">
        <is>
          <t>—</t>
        </is>
      </c>
    </row>
    <row r="121">
      <c r="A121" s="3" t="inlineStr">
        <is>
          <t>MK-PL-F-033</t>
        </is>
      </c>
      <c r="B121" s="3" t="inlineStr">
        <is>
          <t>educationPlan</t>
        </is>
      </c>
      <c r="C121" s="3" t="inlineStr">
        <is>
          <t>src/domain/planning/index.ts</t>
        </is>
      </c>
      <c r="D121" s="3" t="n">
        <v>105</v>
      </c>
      <c r="E121" s="3" t="inlineStr">
        <is>
          <t>2 · DISPLAYED</t>
        </is>
      </c>
      <c r="F121" s="3" t="inlineStr">
        <is>
          <t>NOT DETERMINED — the code carries no note saying what this is for, and it has no row in the old inventory. Needs reading.</t>
        </is>
      </c>
      <c r="G121" s="3" t="inlineStr">
        <is>
          <t>inp: EduPlanInput</t>
        </is>
      </c>
      <c r="H121" s="3" t="inlineStr">
        <is>
          <t>EduPlan</t>
        </is>
      </c>
      <c r="I121" s="3" t="inlineStr">
        <is>
          <t>"Projected total cost" — on the College costs screen</t>
        </is>
      </c>
      <c r="J121" s="3" t="inlineStr">
        <is>
          <t>· Uses a built-in future total cost of 0.
· Uses a built-in y of 0.
· Treats a year as twelve equal months.
· Turns a monthly figure into a year by multiplying by twelve.
· Multiplies by 100 — a percentage, or an option contract treated as 100 shares. Worth checking which.
· Rounds the answer to a whole number.</t>
        </is>
      </c>
      <c r="K121" s="3" t="inlineStr">
        <is>
          <t>Yes</t>
        </is>
      </c>
      <c r="L121" s="3" t="inlineStr">
        <is>
          <t>MK-ST-F-055 round2</t>
        </is>
      </c>
      <c r="M121" s="3" t="n">
        <v>1</v>
      </c>
      <c r="N121" s="3" t="inlineStr">
        <is>
          <t>MK-ST-F-055 round2</t>
        </is>
      </c>
      <c r="O121" s="3" t="inlineStr">
        <is>
          <t>MK-ST-F-055 round2 → MK-PL-F-033 educationPlan</t>
        </is>
      </c>
      <c r="P121" s="3" t="inlineStr">
        <is>
          <t>—</t>
        </is>
      </c>
      <c r="Q121" s="3" t="inlineStr">
        <is>
          <t>—</t>
        </is>
      </c>
    </row>
    <row r="122">
      <c r="A122" s="3" t="inlineStr">
        <is>
          <t>MK-XS-F-030</t>
        </is>
      </c>
      <c r="B122" s="3" t="inlineStr">
        <is>
          <t>effectiveAnnualContribution</t>
        </is>
      </c>
      <c r="C122" s="3" t="inlineStr">
        <is>
          <t>src/domain/snapshot.ts</t>
        </is>
      </c>
      <c r="D122" s="3" t="n">
        <v>35</v>
      </c>
      <c r="E122" s="3" t="inlineStr">
        <is>
          <t>3 · DEPENDENT</t>
        </is>
      </c>
      <c r="F122" s="3" t="inlineStr">
        <is>
          <t>NEGATIVE CASH FLOW DRAINS WEALTH — committed contributions don't create money.</t>
        </is>
      </c>
      <c r="G122" s="3" t="inlineStr">
        <is>
          <t>op: Record&lt;string, any&gt; | null</t>
        </is>
      </c>
      <c r="H122" s="3" t="inlineStr">
        <is>
          <t>number</t>
        </is>
      </c>
      <c r="I122" s="3" t="inlineStr">
        <is>
          <t>—</t>
        </is>
      </c>
      <c r="J122" s="3" t="inlineStr">
        <is>
          <t>· Turns a monthly figure into a year by multiplying by twelve.</t>
        </is>
      </c>
      <c r="K122" s="3" t="inlineStr">
        <is>
          <t>Yes</t>
        </is>
      </c>
      <c r="L122" s="3" t="inlineStr">
        <is>
          <t>MK-NW-F-041 monthlyContributionsFromOnboarding · MK-CF-F-011 savingsByMonth · MK-ST-F-052 toNum</t>
        </is>
      </c>
      <c r="M122" s="3" t="n">
        <v>41</v>
      </c>
      <c r="N122" s="3" t="inlineStr">
        <is>
          <t>MK-NW-F-041 monthlyContributionsFromOnboarding · MK-CF-F-011 savingsByMonth · MK-ST-F-052 toNum · MK-CF-F-078 employerMatchMonthly · MK-CF-F-092 incomeMonthlyGrid · MK-ST-F-055 round2 · MK-CF-F-008 spendByMonth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MK-CF-F-004 spendBuckets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MK-CF-F-003 categoryMonthly · MK-CF-F-102 effectiveRateOnGrossFor · MK-CF-F-084 taxableAnnual · MK-CF-F-101 taxOwedFor · MK-CF-F-100 taxableIncomeFor · MK-CF-F-095 taxOwed · MK-CF-F-082 salaryAnnual · MK-CF-F-074 tipsAnnual · MK-CF-F-099 deductionFor · MK-CF-F-093 taxableIncome · MK-CF-F-081 salaryActiveMonths</t>
        </is>
      </c>
      <c r="O122" s="3" t="inlineStr">
        <is>
          <t>MK-ST-F-052 toNum → MK-CF-F-078 employerMatchMonthly → MK-NW-F-041 monthlyContributionsFromOnboarding → MK-XS-F-030 effectiveAnnualContribution
MK-ST-F-052 toNum → MK-NW-F-041 monthlyContributionsFromOnboarding → MK-XS-F-030 effectiveAnnualContribution
MK-CF-F-069 benefitActiveMonths → MK-CF-F-092 incomeMonthlyGrid → MK-CF-F-011 savingsByMonth → MK-XS-F-030 effectiveAnnualContribution
MK-ST-F-052 toNum → MK-CF-F-075 retirementIncomeMonthly → MK-CF-F-072 currentRetirementIncomeMonthly → MK-CF-F-092 incomeMonthlyGrid → MK-CF-F-011 savingsByMonth → MK-XS-F-030 effectiveAnnualContribution
MK-ST-F-052 toNum → MK-CF-F-062 equityRowValue → MK-CF-F-065 equityVestWeights → MK-CF-F-092 incomeMonthlyGrid → MK-CF-F-011 savingsByMonth → MK-XS-F-030 effectiveAnnualContribution
MK-CF-F-069 benefitActiveMonths → MK-CF-F-070 benefitAnnual → MK-CF-F-071 extraIncome → MK-CF-F-092 incomeMonthlyGrid → MK-CF-F-011 savingsByMonth → MK-XS-F-030 effectiveAnnualContribution
MK-ST-F-052 toNum → MK-CF-F-070 benefitAnnual → MK-CF-F-071 extraIncome → MK-CF-F-092 incomeMonthlyGrid → MK-CF-F-011 savingsByMonth → MK-XS-F-030 effectiveAnnualContribution
MK-ST-F-055 round2 → MK-CF-F-071 extraIncome → MK-CF-F-092 incomeMonthlyGrid → MK-CF-F-011 savingsByMonth → MK-XS-F-030 effectiveAnnualContribution
… and 37 more paths</t>
        </is>
      </c>
      <c r="P122" s="3" t="inlineStr">
        <is>
          <t>—</t>
        </is>
      </c>
      <c r="Q122" s="3" t="inlineStr">
        <is>
          <t>—</t>
        </is>
      </c>
    </row>
    <row r="123">
      <c r="A123" s="3" t="inlineStr">
        <is>
          <t>MK-CF-F-090</t>
        </is>
      </c>
      <c r="B123" s="3" t="inlineStr">
        <is>
          <t>effectiveRate</t>
        </is>
      </c>
      <c r="C123" s="3" t="inlineStr">
        <is>
          <t>src/domain/income/onboarding.ts</t>
        </is>
      </c>
      <c r="D123" s="3" t="n">
        <v>411</v>
      </c>
      <c r="E123" s="3" t="inlineStr">
        <is>
          <t>3 · DEPENDENT</t>
        </is>
      </c>
      <c r="F123" s="3" t="inlineStr">
        <is>
          <t>NOT DETERMINED — the code carries no note saying what this is for, and it has no row in the old inventory. Needs reading.</t>
        </is>
      </c>
      <c r="G123" s="3" t="inlineStr">
        <is>
          <t>op: OnboardingProfile | null</t>
        </is>
      </c>
      <c r="H123" s="3" t="inlineStr">
        <is>
          <t>number</t>
        </is>
      </c>
      <c r="I123" s="3" t="inlineStr">
        <is>
          <t>—</t>
        </is>
      </c>
      <c r="J123" s="3" t="inlineStr">
        <is>
          <t>None found in this function — anything it assumes comes from the functions it depends on.</t>
        </is>
      </c>
      <c r="K123" s="3" t="inlineStr">
        <is>
          <t>Yes</t>
        </is>
      </c>
      <c r="L123" s="3" t="inlineStr">
        <is>
          <t>MK-CF-F-102 effectiveRateOnGrossFor · MK-CF-F-085 filingStatusOf · MK-CF-F-089 over65CountOf · MK-CF-F-086 stateRateOf · MK-CF-F-084 taxableAnnual · MK-ST-F-052 toNum</t>
        </is>
      </c>
      <c r="M123" s="3" t="n">
        <v>27</v>
      </c>
      <c r="N123" s="3" t="inlineStr">
        <is>
          <t>MK-CF-F-102 effectiveRateOnGrossFor · MK-CF-F-085 filingStatusOf · MK-CF-F-089 over65CountOf · MK-CF-F-086 stateRateOf · MK-CF-F-084 taxableAnnual · MK-ST-F-052 toNum · MK-CF-F-101 taxOwedFor · MK-CF-F-072 currentRetirementIncomeMonthly · MK-CF-F-071 extraIncome · MK-CF-F-068 rentalNetAnnual · MK-CF-F-066 rsuAnnual · MK-CF-F-082 salaryAnnual · MK-CF-F-074 tipsAnnual · MK-CF-F-100 taxableIncomeFor · MK-CF-F-075 retirementIncomeMonthly · MK-CF-F-070 benefitAnnual · MK-ST-F-055 round2 · MK-CF-F-067 rentalList · MK-CF-F-062 equityRowValue · MK-CF-F-063 rowVestYear · MK-CF-F-060 salaryGrossByMonth · MK-CF-F-081 salaryActiveMonths · MK-CF-F-099 deductionFor · MK-CF-F-069 benefitActiveMonths · MK-CF-F-097 grossFromNet · MK-CF-F-095 taxOwed · MK-CF-F-093 taxableIncome</t>
        </is>
      </c>
      <c r="O123" s="3" t="inlineStr">
        <is>
          <t>MK-CF-F-099 deductionFor → MK-CF-F-100 taxableIncomeFor → MK-CF-F-101 taxOwedFor → MK-CF-F-102 effectiveRateOnGrossFor → MK-CF-F-090 effectiveRate
MK-CF-F-085 filingStatusOf → MK-CF-F-090 effectiveRate
MK-ST-F-052 toNum → MK-CF-F-089 over65CountOf → MK-CF-F-090 effectiveRate
MK-ST-F-052 toNum → MK-CF-F-086 stateRateOf → MK-CF-F-090 effectiveRate
MK-ST-F-052 toNum → MK-CF-F-075 retirementIncomeMonthly → MK-CF-F-072 currentRetirementIncomeMonthly → MK-CF-F-084 taxableAnnual → MK-CF-F-090 effectiveRate
MK-CF-F-069 benefitActiveMonths → MK-CF-F-070 benefitAnnual → MK-CF-F-071 extraIncome → MK-CF-F-084 taxableAnnual → MK-CF-F-090 effectiveRate
MK-ST-F-052 toNum → MK-CF-F-070 benefitAnnual → MK-CF-F-071 extraIncome → MK-CF-F-084 taxableAnnual → MK-CF-F-090 effectiveRate
MK-ST-F-055 round2 → MK-CF-F-071 extraIncome → MK-CF-F-084 taxableAnnual → MK-CF-F-090 effectiveRate
… and 14 more paths</t>
        </is>
      </c>
      <c r="P123" s="3" t="inlineStr">
        <is>
          <t>—</t>
        </is>
      </c>
      <c r="Q123" s="3" t="inlineStr">
        <is>
          <t>—</t>
        </is>
      </c>
    </row>
    <row r="124">
      <c r="A124" s="3" t="inlineStr">
        <is>
          <t>MK-CF-F-096</t>
        </is>
      </c>
      <c r="B124" s="3" t="inlineStr">
        <is>
          <t>effectiveRateOnGross</t>
        </is>
      </c>
      <c r="C124" s="3" t="inlineStr">
        <is>
          <t>src/domain/income/tax.ts</t>
        </is>
      </c>
      <c r="D124" s="3" t="n">
        <v>42</v>
      </c>
      <c r="E124" s="3" t="inlineStr">
        <is>
          <t>3 · DEPENDENT</t>
        </is>
      </c>
      <c r="F124" s="3" t="inlineStr">
        <is>
          <t>Blended effective rate (total tax / gross).</t>
        </is>
      </c>
      <c r="G124" s="3" t="inlineStr">
        <is>
          <t>gross: number</t>
        </is>
      </c>
      <c r="H124" s="3" t="inlineStr">
        <is>
          <t>number</t>
        </is>
      </c>
      <c r="I124" s="3" t="inlineStr">
        <is>
          <t>—</t>
        </is>
      </c>
      <c r="J124" s="3" t="inlineStr">
        <is>
          <t>None found in this function — anything it assumes comes from the functions it depends on.</t>
        </is>
      </c>
      <c r="K124" s="3" t="inlineStr">
        <is>
          <t>Yes</t>
        </is>
      </c>
      <c r="L124" s="3" t="inlineStr">
        <is>
          <t>MK-CF-F-095 taxOwed</t>
        </is>
      </c>
      <c r="M124" s="3" t="n">
        <v>2</v>
      </c>
      <c r="N124" s="3" t="inlineStr">
        <is>
          <t>MK-CF-F-095 taxOwed · MK-CF-F-093 taxableIncome</t>
        </is>
      </c>
      <c r="O124" s="3" t="inlineStr">
        <is>
          <t>MK-CF-F-093 taxableIncome → MK-CF-F-095 taxOwed → MK-CF-F-096 effectiveRateOnGross</t>
        </is>
      </c>
      <c r="P124" s="3" t="inlineStr">
        <is>
          <t>—</t>
        </is>
      </c>
      <c r="Q124" s="3" t="inlineStr">
        <is>
          <t>—</t>
        </is>
      </c>
    </row>
    <row r="125">
      <c r="A125" s="3" t="inlineStr">
        <is>
          <t>MK-CF-F-102</t>
        </is>
      </c>
      <c r="B125" s="3" t="inlineStr">
        <is>
          <t>effectiveRateOnGrossFor</t>
        </is>
      </c>
      <c r="C125" s="3" t="inlineStr">
        <is>
          <t>src/domain/income/tax.ts</t>
        </is>
      </c>
      <c r="D125" s="3" t="n">
        <v>130</v>
      </c>
      <c r="E125" s="3" t="inlineStr">
        <is>
          <t>3 · DEPENDENT</t>
        </is>
      </c>
      <c r="F125" s="3" t="inlineStr">
        <is>
          <t>What share of my income actually goes in tax?</t>
        </is>
      </c>
      <c r="G125" s="3" t="inlineStr">
        <is>
          <t>gross: number · status: FilingStatus = 'single' · stateRate = 0 · over65 = 0</t>
        </is>
      </c>
      <c r="H125" s="3" t="inlineStr">
        <is>
          <t>number</t>
        </is>
      </c>
      <c r="I125" s="3" t="inlineStr">
        <is>
          <t>—</t>
        </is>
      </c>
      <c r="J125" s="3" t="inlineStr">
        <is>
          <t>None found in this function — anything it assumes comes from the functions it depends on.</t>
        </is>
      </c>
      <c r="K125" s="3" t="inlineStr">
        <is>
          <t>Yes</t>
        </is>
      </c>
      <c r="L125" s="3" t="inlineStr">
        <is>
          <t>MK-CF-F-101 taxOwedFor</t>
        </is>
      </c>
      <c r="M125" s="3" t="n">
        <v>3</v>
      </c>
      <c r="N125" s="3" t="inlineStr">
        <is>
          <t>MK-CF-F-101 taxOwedFor · MK-CF-F-100 taxableIncomeFor · MK-CF-F-099 deductionFor</t>
        </is>
      </c>
      <c r="O125" s="3" t="inlineStr">
        <is>
          <t>MK-CF-F-099 deductionFor → MK-CF-F-100 taxableIncomeFor → MK-CF-F-101 taxOwedFor → MK-CF-F-102 effectiveRateOnGrossFor</t>
        </is>
      </c>
      <c r="P125" s="3" t="inlineStr">
        <is>
          <t>—</t>
        </is>
      </c>
      <c r="Q125" s="3" t="inlineStr">
        <is>
          <t>EFFECTIVE_TAX_RATE</t>
        </is>
      </c>
    </row>
    <row r="126">
      <c r="A126" s="3" t="inlineStr">
        <is>
          <t>MK-CF-F-048</t>
        </is>
      </c>
      <c r="B126" s="3" t="inlineStr">
        <is>
          <t>effectiveTaxRate</t>
        </is>
      </c>
      <c r="C126" s="3" t="inlineStr">
        <is>
          <t>src/domain/income/calc.ts</t>
        </is>
      </c>
      <c r="D126" s="3" t="n">
        <v>34</v>
      </c>
      <c r="E126" s="3" t="inlineStr">
        <is>
          <t>3 · DEPENDENT</t>
        </is>
      </c>
      <c r="F126" s="3" t="inlineStr">
        <is>
          <t>NOT DETERMINED — the code carries no note saying what this is for, and it has no row in the old inventory. Needs reading.</t>
        </is>
      </c>
      <c r="G126" s="3" t="inlineStr">
        <is>
          <t>grossAnnual: number · tax: TaxProfile</t>
        </is>
      </c>
      <c r="H126" s="3" t="inlineStr">
        <is>
          <t>number</t>
        </is>
      </c>
      <c r="I126" s="3" t="inlineStr">
        <is>
          <t>—</t>
        </is>
      </c>
      <c r="J126" s="3" t="inlineStr">
        <is>
          <t>· If landing month is missing it uses 12.
· If landing month is missing it uses 1.
· If operating expenses is missing it counts as zero, so nothing recorded and a real zero look the same.
· Uses a built-in i of 0.
· Treats a year as twelve equal months.
· Never lets manual effective tax rate fall below 0.</t>
        </is>
      </c>
      <c r="K126" s="3" t="inlineStr">
        <is>
          <t>Yes</t>
        </is>
      </c>
      <c r="L126" s="3" t="inlineStr">
        <is>
          <t>MK-CF-F-047 estimateEffectiveTaxRate</t>
        </is>
      </c>
      <c r="M126" s="3" t="n">
        <v>4</v>
      </c>
      <c r="N126" s="3" t="inlineStr">
        <is>
          <t>MK-CF-F-047 estimateEffectiveTaxRate · MK-CF-F-096 effectiveRateOnGross · MK-CF-F-095 taxOwed · MK-CF-F-093 taxableIncome</t>
        </is>
      </c>
      <c r="O126" s="3" t="inlineStr">
        <is>
          <t>MK-CF-F-093 taxableIncome → MK-CF-F-095 taxOwed → MK-CF-F-096 effectiveRateOnGross → MK-CF-F-047 estimateEffectiveTaxRate → MK-CF-F-048 effectiveTaxRate</t>
        </is>
      </c>
      <c r="P126" s="3" t="inlineStr">
        <is>
          <t>—</t>
        </is>
      </c>
      <c r="Q126" s="3" t="inlineStr">
        <is>
          <t>—</t>
        </is>
      </c>
    </row>
    <row r="127">
      <c r="A127" s="3" t="inlineStr">
        <is>
          <t>MK-CF-F-010</t>
        </is>
      </c>
      <c r="B127" s="3" t="inlineStr">
        <is>
          <t>emergencyTest</t>
        </is>
      </c>
      <c r="C127" s="3" t="inlineStr">
        <is>
          <t>src/domain/budget/index.ts</t>
        </is>
      </c>
      <c r="D127" s="3" t="n">
        <v>188</v>
      </c>
      <c r="E127" s="3" t="inlineStr">
        <is>
          <t>2 · DISPLAYED</t>
        </is>
      </c>
      <c r="F127" s="3" t="inlineStr">
        <is>
          <t>"What if a $X emergency hit right now?" — can your cash absorb it, and how long would you last.</t>
        </is>
      </c>
      <c r="G127" s="3" t="inlineStr">
        <is>
          <t>op: OnboardingProfile | null · cash: number · shock: number</t>
        </is>
      </c>
      <c r="H127" s="3" t="inlineStr">
        <is>
          <t>ShockResult</t>
        </is>
      </c>
      <c r="I127" s="3" t="inlineStr">
        <is>
          <t>"If you lost your income" — on the Stress test screen · "Your emergency fund" — on the Stress test screen</t>
        </is>
      </c>
      <c r="J127" s="3" t="inlineStr">
        <is>
          <t>None found in this function — anything it assumes comes from the functions it depends on.</t>
        </is>
      </c>
      <c r="K127" s="3" t="inlineStr">
        <is>
          <t>Yes</t>
        </is>
      </c>
      <c r="L127" s="3" t="inlineStr">
        <is>
          <t>MK-CF-F-009 monthlyEssentials · MK-ST-F-055 round2</t>
        </is>
      </c>
      <c r="M127" s="3" t="n">
        <v>39</v>
      </c>
      <c r="N127" s="3" t="inlineStr">
        <is>
          <t>MK-CF-F-009 monthlyEssentials · MK-ST-F-055 round2 · MK-CF-F-002 plannedMonthlySpend · MK-CF-F-004 spendBuckets · MK-ST-F-052 toNum · MK-CF-F-092 incomeMonthlyGrid · MK-CF-F-003 categoryMonthly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O127" s="3" t="inlineStr">
        <is>
          <t>MK-CF-F-069 benefitActiveMonths → MK-CF-F-092 incomeMonthlyGrid → MK-CF-F-002 plannedMonthlySpend → MK-CF-F-009 monthlyEssentials → MK-CF-F-010 emergencyTest
MK-CF-F-075 retirementIncomeMonthly → MK-CF-F-072 currentRetirementIncomeMonthly → MK-CF-F-092 incomeMonthlyGrid → MK-CF-F-002 plannedMonthlySpend → MK-CF-F-009 monthlyEssentials → MK-CF-F-010 emergencyTest
MK-CF-F-062 equityRowValue → MK-CF-F-065 equityVestWeights → MK-CF-F-092 incomeMonthlyGrid → MK-CF-F-002 plannedMonthlySpend → MK-CF-F-009 monthlyEssentials → MK-CF-F-010 emergencyTest
MK-CF-F-070 benefitAnnual → MK-CF-F-071 extraIncome → MK-CF-F-092 incomeMonthlyGrid → MK-CF-F-002 plannedMonthlySpend → MK-CF-F-009 monthlyEssentials → MK-CF-F-010 emergencyTest
MK-ST-F-055 round2 → MK-CF-F-071 extraIncome → MK-CF-F-092 incomeMonthlyGrid → MK-CF-F-002 plannedMonthlySpend → MK-CF-F-009 monthlyEssentials → MK-CF-F-010 emergencyTest
MK-ST-F-052 toNum → MK-CF-F-071 extraIncome → MK-CF-F-092 incomeMonthlyGrid → MK-CF-F-002 plannedMonthlySpend → MK-CF-F-009 monthlyEssentials → MK-CF-F-010 emergencyTest
MK-CF-F-090 effectiveRate → MK-CF-F-087 monthlyTaxRates → MK-CF-F-092 incomeMonthlyGrid → MK-CF-F-002 plannedMonthlySpend → MK-CF-F-009 monthlyEssentials → MK-CF-F-010 emergencyTest
MK-CF-F-085 filingStatusOf → MK-CF-F-087 monthlyTaxRates → MK-CF-F-092 incomeMonthlyGrid → MK-CF-F-002 plannedMonthlySpend → MK-CF-F-009 monthlyEssentials → MK-CF-F-010 emergencyTest
… and 25 more paths</t>
        </is>
      </c>
      <c r="P127" s="3" t="inlineStr">
        <is>
          <t>—</t>
        </is>
      </c>
      <c r="Q127" s="3" t="inlineStr">
        <is>
          <t>—</t>
        </is>
      </c>
    </row>
    <row r="128">
      <c r="A128" s="3" t="inlineStr">
        <is>
          <t>MK-ST-F-040</t>
        </is>
      </c>
      <c r="B128" s="3" t="inlineStr">
        <is>
          <t>emit</t>
        </is>
      </c>
      <c r="C128" s="3" t="inlineStr">
        <is>
          <t>src/domain/_shared/eventBus.ts</t>
        </is>
      </c>
      <c r="D128" s="3" t="n">
        <v>13</v>
      </c>
      <c r="E128" s="3" t="inlineStr">
        <is>
          <t>1 · ACTION</t>
        </is>
      </c>
      <c r="F128" s="3" t="inlineStr">
        <is>
          <t>NOT DETERMINED — the code carries no note saying what this is for, and it has no row in the old inventory. Needs reading.</t>
        </is>
      </c>
      <c r="G128" s="3" t="inlineStr">
        <is>
          <t>eventType: string · payload: T</t>
        </is>
      </c>
      <c r="H128" s="3" t="inlineStr">
        <is>
          <t>void</t>
        </is>
      </c>
      <c r="I128" s="3" t="inlineStr">
        <is>
          <t>—</t>
        </is>
      </c>
      <c r="J128" s="3" t="inlineStr">
        <is>
          <t>None found in this function — anything it assumes comes from the functions it depends on.</t>
        </is>
      </c>
      <c r="K128" s="3" t="inlineStr">
        <is>
          <t>Yes</t>
        </is>
      </c>
      <c r="L128" s="3" t="inlineStr">
        <is>
          <t>—</t>
        </is>
      </c>
      <c r="M128" s="3" t="n">
        <v>0</v>
      </c>
      <c r="N128" s="3" t="inlineStr">
        <is>
          <t>None — no dependent function stands behind it</t>
        </is>
      </c>
      <c r="O128" s="3" t="inlineStr">
        <is>
          <t>No dependent function — it reads its inputs and answers</t>
        </is>
      </c>
      <c r="P128" s="3" t="inlineStr">
        <is>
          <t>—</t>
        </is>
      </c>
      <c r="Q128" s="3" t="inlineStr">
        <is>
          <t>—</t>
        </is>
      </c>
    </row>
    <row r="129">
      <c r="A129" s="3" t="inlineStr">
        <is>
          <t>MK-CF-F-046</t>
        </is>
      </c>
      <c r="B129" s="3" t="inlineStr">
        <is>
          <t>employerMatchAnnual</t>
        </is>
      </c>
      <c r="C129" s="3" t="inlineStr">
        <is>
          <t>src/domain/income/calc.ts</t>
        </is>
      </c>
      <c r="D129" s="3" t="n">
        <v>21</v>
      </c>
      <c r="E129" s="3" t="inlineStr">
        <is>
          <t>3 · DEPENDENT</t>
        </is>
      </c>
      <c r="F129" s="3" t="inlineStr">
        <is>
          <t>NOT DETERMINED — the code carries no note saying what this is for, and it has no row in the old inventory. Needs reading.</t>
        </is>
      </c>
      <c r="G129" s="3" t="inlineStr">
        <is>
          <t>sources: IncomeSource[]</t>
        </is>
      </c>
      <c r="H129" s="3" t="inlineStr">
        <is>
          <t>number</t>
        </is>
      </c>
      <c r="I129" s="3" t="inlineStr">
        <is>
          <t>—</t>
        </is>
      </c>
      <c r="J129" s="3" t="inlineStr">
        <is>
          <t>· If employer match amount is missing it counts as zero, so nothing recorded and a real zero look the same.</t>
        </is>
      </c>
      <c r="K129" s="3" t="inlineStr">
        <is>
          <t>Yes</t>
        </is>
      </c>
      <c r="L129" s="3" t="inlineStr">
        <is>
          <t>—</t>
        </is>
      </c>
      <c r="M129" s="3" t="n">
        <v>0</v>
      </c>
      <c r="N129" s="3" t="inlineStr">
        <is>
          <t>None — no dependent function stands behind it</t>
        </is>
      </c>
      <c r="O129" s="3" t="inlineStr">
        <is>
          <t>No dependent function — it reads its inputs and answers</t>
        </is>
      </c>
      <c r="P129" s="3" t="inlineStr">
        <is>
          <t>—</t>
        </is>
      </c>
      <c r="Q129" s="3" t="inlineStr">
        <is>
          <t>—</t>
        </is>
      </c>
    </row>
    <row r="130">
      <c r="A130" s="3" t="inlineStr">
        <is>
          <t>MK-CF-F-078</t>
        </is>
      </c>
      <c r="B130" s="3" t="inlineStr">
        <is>
          <t>employerMatchMonthly</t>
        </is>
      </c>
      <c r="C130" s="3" t="inlineStr">
        <is>
          <t>src/domain/income/onboarding.ts</t>
        </is>
      </c>
      <c r="D130" s="3" t="n">
        <v>263</v>
      </c>
      <c r="E130" s="3" t="inlineStr">
        <is>
          <t>2 · DISPLAYED</t>
        </is>
      </c>
      <c r="F130" s="3" t="inlineStr">
        <is>
          <t>Employer match resolved to $/month.</t>
        </is>
      </c>
      <c r="G130" s="3" t="inlineStr">
        <is>
          <t>op: OnboardingProfile | null</t>
        </is>
      </c>
      <c r="H130" s="3" t="inlineStr">
        <is>
          <t>number</t>
        </is>
      </c>
      <c r="I130" s="3" t="inlineStr">
        <is>
          <t>NOT FOUND — a screen calls it, but the words printed beside its answer could not be traced automatically. Needs reading.</t>
        </is>
      </c>
      <c r="J130" s="3" t="inlineStr">
        <is>
          <t>None found in this function — anything it assumes comes from the functions it depends on.</t>
        </is>
      </c>
      <c r="K130" s="3" t="inlineStr">
        <is>
          <t>Yes</t>
        </is>
      </c>
      <c r="L130" s="3" t="inlineStr">
        <is>
          <t>MK-ST-F-052 toNum</t>
        </is>
      </c>
      <c r="M130" s="3" t="n">
        <v>1</v>
      </c>
      <c r="N130" s="3" t="inlineStr">
        <is>
          <t>MK-ST-F-052 toNum</t>
        </is>
      </c>
      <c r="O130" s="3" t="inlineStr">
        <is>
          <t>MK-ST-F-052 toNum → MK-CF-F-078 employerMatchMonthly</t>
        </is>
      </c>
      <c r="P130" s="3" t="inlineStr">
        <is>
          <t>MK-MN-M-014</t>
        </is>
      </c>
      <c r="Q130" s="3" t="inlineStr">
        <is>
          <t>EMPLOYER_MATCH</t>
        </is>
      </c>
    </row>
    <row r="131">
      <c r="A131" s="3" t="inlineStr">
        <is>
          <t>MK-XS-F-054</t>
        </is>
      </c>
      <c r="B131" s="3" t="inlineStr">
        <is>
          <t>encryptForSync</t>
        </is>
      </c>
      <c r="C131" s="3" t="inlineStr">
        <is>
          <t>src/services/dataCrypto.ts</t>
        </is>
      </c>
      <c r="D131" s="3" t="n">
        <v>123</v>
      </c>
      <c r="E131" s="3" t="inlineStr">
        <is>
          <t>3 · DEPENDENT</t>
        </is>
      </c>
      <c r="F131" s="3" t="inlineStr">
        <is>
          <t>── The sync layer's interface (operates on the cached DEK) ─────────── Encrypt a payload with the cached DEK.</t>
        </is>
      </c>
      <c r="G131" s="3" t="inlineStr">
        <is>
          <t>obj: unknown</t>
        </is>
      </c>
      <c r="H131" s="3" t="inlineStr">
        <is>
          <t>Promise&lt;string | null&gt;</t>
        </is>
      </c>
      <c r="I131" s="3" t="inlineStr">
        <is>
          <t>—</t>
        </is>
      </c>
      <c r="J131" s="3" t="inlineStr">
        <is>
          <t>None found in this function — anything it assumes comes from the functions it depends on.</t>
        </is>
      </c>
      <c r="K131" s="3" t="inlineStr">
        <is>
          <t>Yes</t>
        </is>
      </c>
      <c r="L131" s="3" t="inlineStr">
        <is>
          <t>MK-XS-F-052 encryptWithKey · MK-XS-F-042 getDataKey</t>
        </is>
      </c>
      <c r="M131" s="3" t="n">
        <v>2</v>
      </c>
      <c r="N131" s="3" t="inlineStr">
        <is>
          <t>MK-XS-F-052 encryptWithKey · MK-XS-F-042 getDataKey</t>
        </is>
      </c>
      <c r="O131" s="3" t="inlineStr">
        <is>
          <t>MK-XS-F-052 encryptWithKey → MK-XS-F-054 encryptForSync
MK-XS-F-042 getDataKey → MK-XS-F-054 encryptForSync</t>
        </is>
      </c>
      <c r="P131" s="3" t="inlineStr">
        <is>
          <t>—</t>
        </is>
      </c>
      <c r="Q131" s="3" t="inlineStr">
        <is>
          <t>—</t>
        </is>
      </c>
    </row>
    <row r="132">
      <c r="A132" s="3" t="inlineStr">
        <is>
          <t>MK-XS-F-052</t>
        </is>
      </c>
      <c r="B132" s="3" t="inlineStr">
        <is>
          <t>encryptWithKey</t>
        </is>
      </c>
      <c r="C132" s="3" t="inlineStr">
        <is>
          <t>src/services/dataCrypto.ts</t>
        </is>
      </c>
      <c r="D132" s="3" t="n">
        <v>106</v>
      </c>
      <c r="E132" s="3" t="inlineStr">
        <is>
          <t>3 · DEPENDENT</t>
        </is>
      </c>
      <c r="F132" s="3" t="inlineStr">
        <is>
          <t>NOT DETERMINED — the code carries no note saying what this is for, and it has no row in the old inventory. Needs reading.</t>
        </is>
      </c>
      <c r="G132" s="3" t="inlineStr">
        <is>
          <t>obj: unknown · keyHex: string</t>
        </is>
      </c>
      <c r="H132" s="3" t="inlineStr">
        <is>
          <t>string</t>
        </is>
      </c>
      <c r="I132" s="3" t="inlineStr">
        <is>
          <t>—</t>
        </is>
      </c>
      <c r="J132" s="3" t="inlineStr">
        <is>
          <t>None found in this function — anything it assumes comes from the functions it depends on.</t>
        </is>
      </c>
      <c r="K132" s="3" t="inlineStr">
        <is>
          <t>Yes</t>
        </is>
      </c>
      <c r="L132" s="3" t="inlineStr">
        <is>
          <t>—</t>
        </is>
      </c>
      <c r="M132" s="3" t="n">
        <v>0</v>
      </c>
      <c r="N132" s="3" t="inlineStr">
        <is>
          <t>None — no dependent function stands behind it</t>
        </is>
      </c>
      <c r="O132" s="3" t="inlineStr">
        <is>
          <t>No dependent function — it reads its inputs and answers</t>
        </is>
      </c>
      <c r="P132" s="3" t="inlineStr">
        <is>
          <t>—</t>
        </is>
      </c>
      <c r="Q132" s="3" t="inlineStr">
        <is>
          <t>—</t>
        </is>
      </c>
    </row>
    <row r="133">
      <c r="A133" s="3" t="inlineStr">
        <is>
          <t>MK-NW-F-017</t>
        </is>
      </c>
      <c r="B133" s="3" t="inlineStr">
        <is>
          <t>equitiesTotal</t>
        </is>
      </c>
      <c r="C133" s="3" t="inlineStr">
        <is>
          <t>src/domain/assets/index.ts</t>
        </is>
      </c>
      <c r="D133" s="3" t="n">
        <v>277</v>
      </c>
      <c r="E133" s="3" t="inlineStr">
        <is>
          <t>3 · DEPENDENT (feeds an action only)</t>
        </is>
      </c>
      <c r="F133" s="3" t="inlineStr">
        <is>
          <t>NOT DETERMINED — the code carries no note saying what this is for, and it has no row in the old inventory. Needs reading.</t>
        </is>
      </c>
      <c r="G133" s="3" t="inlineStr">
        <is>
          <t>accounts: AssetAccount[]</t>
        </is>
      </c>
      <c r="H133" s="3" t="inlineStr">
        <is>
          <t>number</t>
        </is>
      </c>
      <c r="I133" s="3" t="inlineStr">
        <is>
          <t>—</t>
        </is>
      </c>
      <c r="J133" s="3" t="inlineStr">
        <is>
          <t>None found in this function — anything it assumes comes from the functions it depends on.</t>
        </is>
      </c>
      <c r="K133" s="3" t="inlineStr">
        <is>
          <t>No</t>
        </is>
      </c>
      <c r="L133" s="3" t="inlineStr">
        <is>
          <t>MK-NW-F-011 assetClassOf</t>
        </is>
      </c>
      <c r="M133" s="3" t="n">
        <v>3</v>
      </c>
      <c r="N133" s="3" t="inlineStr">
        <is>
          <t>MK-NW-F-011 assetClassOf · MK-NW-F-008 incomeBearingClassOf · MK-ST-F-010 nameEvidence</t>
        </is>
      </c>
      <c r="O133" s="3" t="inlineStr">
        <is>
          <t>MK-ST-F-010 nameEvidence → MK-NW-F-008 incomeBearingClassOf → MK-NW-F-011 assetClassOf → MK-NW-F-017 equitiesTotal</t>
        </is>
      </c>
      <c r="P133" s="3" t="inlineStr">
        <is>
          <t>—</t>
        </is>
      </c>
      <c r="Q133" s="3" t="inlineStr">
        <is>
          <t>—</t>
        </is>
      </c>
    </row>
    <row r="134">
      <c r="A134" s="3" t="inlineStr">
        <is>
          <t>MK-CF-F-018</t>
        </is>
      </c>
      <c r="B134" s="3" t="inlineStr">
        <is>
          <t>equityByMonth</t>
        </is>
      </c>
      <c r="C134" s="3" t="inlineStr">
        <is>
          <t>src/domain/cashflow/index.ts</t>
        </is>
      </c>
      <c r="D134" s="3" t="n">
        <v>18</v>
      </c>
      <c r="E134" s="3" t="inlineStr">
        <is>
          <t>3 · DEPENDENT</t>
        </is>
      </c>
      <c r="F134" s="3" t="inlineStr">
        <is>
          <t>Level annual equity spread across the months it vests (0 for most students).</t>
        </is>
      </c>
      <c r="G134" s="3" t="inlineStr">
        <is>
          <t>op: Record&lt;string, any&gt;</t>
        </is>
      </c>
      <c r="H134" s="3" t="inlineStr">
        <is>
          <t>number[]</t>
        </is>
      </c>
      <c r="I134" s="3" t="inlineStr">
        <is>
          <t>—</t>
        </is>
      </c>
      <c r="J134" s="3" t="inlineStr">
        <is>
          <t>· Uses a built-in total of 0.
· Uses a built-in i of 0.
· Uses a built-in d a y m s of 86400000.
· Rounds the answer to a whole number.</t>
        </is>
      </c>
      <c r="K134" s="3" t="inlineStr">
        <is>
          <t>Yes</t>
        </is>
      </c>
      <c r="L134" s="3" t="inlineStr">
        <is>
          <t>MK-CF-F-062 equityRowValue · MK-CF-F-066 rsuAnnual</t>
        </is>
      </c>
      <c r="M134" s="3" t="n">
        <v>4</v>
      </c>
      <c r="N134" s="3" t="inlineStr">
        <is>
          <t>MK-CF-F-062 equityRowValue · MK-CF-F-066 rsuAnnual · MK-ST-F-052 toNum · MK-CF-F-063 rowVestYear</t>
        </is>
      </c>
      <c r="O134" s="3" t="inlineStr">
        <is>
          <t>MK-ST-F-052 toNum → MK-CF-F-062 equityRowValue → MK-CF-F-018 equityByMonth
MK-ST-F-052 toNum → MK-CF-F-062 equityRowValue → MK-CF-F-066 rsuAnnual → MK-CF-F-018 equityByMonth
MK-CF-F-063 rowVestYear → MK-CF-F-066 rsuAnnual → MK-CF-F-018 equityByMonth
MK-ST-F-052 toNum → MK-CF-F-066 rsuAnnual → MK-CF-F-018 equityByMonth</t>
        </is>
      </c>
      <c r="P134" s="3" t="inlineStr">
        <is>
          <t>—</t>
        </is>
      </c>
      <c r="Q134" s="3" t="inlineStr">
        <is>
          <t>—</t>
        </is>
      </c>
    </row>
    <row r="135">
      <c r="A135" s="3" t="inlineStr">
        <is>
          <t>MK-CF-F-064</t>
        </is>
      </c>
      <c r="B135" s="3" t="inlineStr">
        <is>
          <t>equityCashFlow</t>
        </is>
      </c>
      <c r="C135" s="3" t="inlineStr">
        <is>
          <t>src/domain/income/onboarding.ts</t>
        </is>
      </c>
      <c r="D135" s="3" t="n">
        <v>80</v>
      </c>
      <c r="E135" s="3" t="inlineStr">
        <is>
          <t>2 · DISPLAYED</t>
        </is>
      </c>
      <c r="F135" s="3" t="inlineStr">
        <is>
          <t>Per-calendar-year vesting cash flow across all schedule rows — drives the chart &amp; table.</t>
        </is>
      </c>
      <c r="G135" s="3" t="inlineStr">
        <is>
          <t>op: OnboardingProfile | null</t>
        </is>
      </c>
      <c r="H135" s="3" t="inlineStr">
        <is>
          <t>NOT DECLARED — the code does not say what it gives back</t>
        </is>
      </c>
      <c r="I135" s="3" t="inlineStr">
        <is>
          <t>"Annual vesting cash flow" — on the setup questions, which appear on more than one screen · "Monthly (retirement)" — on the setup questions, which appear on more than one screen · "Monthly cash flow" — on the setup questions, which appear on more than one screen</t>
        </is>
      </c>
      <c r="J135" s="3" t="inlineStr">
        <is>
          <t>None found in this function — anything it assumes comes from the functions it depends on.</t>
        </is>
      </c>
      <c r="K135" s="3" t="inlineStr">
        <is>
          <t>Yes</t>
        </is>
      </c>
      <c r="L135" s="3" t="inlineStr">
        <is>
          <t>MK-CF-F-062 equityRowValue · MK-CF-F-063 rowVestYear</t>
        </is>
      </c>
      <c r="M135" s="3" t="n">
        <v>3</v>
      </c>
      <c r="N135" s="3" t="inlineStr">
        <is>
          <t>MK-CF-F-062 equityRowValue · MK-CF-F-063 rowVestYear · MK-ST-F-052 toNum</t>
        </is>
      </c>
      <c r="O135" s="3" t="inlineStr">
        <is>
          <t>MK-ST-F-052 toNum → MK-CF-F-062 equityRowValue → MK-CF-F-064 equityCashFlow
MK-CF-F-063 rowVestYear → MK-CF-F-064 equityCashFlow</t>
        </is>
      </c>
      <c r="P135" s="3" t="inlineStr">
        <is>
          <t>—</t>
        </is>
      </c>
      <c r="Q135" s="3" t="inlineStr">
        <is>
          <t>—</t>
        </is>
      </c>
    </row>
    <row r="136">
      <c r="A136" s="3" t="inlineStr">
        <is>
          <t>MK-CF-F-062</t>
        </is>
      </c>
      <c r="B136" s="3" t="inlineStr">
        <is>
          <t>equityRowValue</t>
        </is>
      </c>
      <c r="C136" s="3" t="inlineStr">
        <is>
          <t>src/domain/income/onboarding.ts</t>
        </is>
      </c>
      <c r="D136" s="3" t="n">
        <v>68</v>
      </c>
      <c r="E136" s="3" t="inlineStr">
        <is>
          <t>3 · DEPENDENT</t>
        </is>
      </c>
      <c r="F136" s="3" t="inlineStr">
        <is>
          <t>Value of one vesting-schedule row.</t>
        </is>
      </c>
      <c r="G136" s="3" t="inlineStr">
        <is>
          <t>row: any · type: string · strike?: any · market?: any</t>
        </is>
      </c>
      <c r="H136" s="3" t="inlineStr">
        <is>
          <t>number</t>
        </is>
      </c>
      <c r="I136" s="3" t="inlineStr">
        <is>
          <t>—</t>
        </is>
      </c>
      <c r="J136" s="3" t="inlineStr">
        <is>
          <t>None found in this function — anything it assumes comes from the functions it depends on.</t>
        </is>
      </c>
      <c r="K136" s="3" t="inlineStr">
        <is>
          <t>Yes</t>
        </is>
      </c>
      <c r="L136" s="3" t="inlineStr">
        <is>
          <t>MK-ST-F-052 toNum</t>
        </is>
      </c>
      <c r="M136" s="3" t="n">
        <v>1</v>
      </c>
      <c r="N136" s="3" t="inlineStr">
        <is>
          <t>MK-ST-F-052 toNum</t>
        </is>
      </c>
      <c r="O136" s="3" t="inlineStr">
        <is>
          <t>MK-ST-F-052 toNum → MK-CF-F-062 equityRowValue</t>
        </is>
      </c>
      <c r="P136" s="3" t="inlineStr">
        <is>
          <t>—</t>
        </is>
      </c>
      <c r="Q136" s="3" t="inlineStr">
        <is>
          <t>EQUITY_ROW_VALUE</t>
        </is>
      </c>
    </row>
    <row r="137">
      <c r="A137" s="3" t="inlineStr">
        <is>
          <t>MK-CF-F-065</t>
        </is>
      </c>
      <c r="B137" s="3" t="inlineStr">
        <is>
          <t>equityVestWeights</t>
        </is>
      </c>
      <c r="C137" s="3" t="inlineStr">
        <is>
          <t>src/domain/income/onboarding.ts</t>
        </is>
      </c>
      <c r="D137" s="3" t="n">
        <v>96</v>
      </c>
      <c r="E137" s="3" t="inlineStr">
        <is>
          <t>3 · DEPENDENT</t>
        </is>
      </c>
      <c r="F137" s="3" t="inlineStr">
        <is>
          <t>Vest-month weights (Jan→Dec, summing to 1) from the equity grant rows — THE one placement rule.</t>
        </is>
      </c>
      <c r="G137" s="3" t="inlineStr">
        <is>
          <t>op: OnboardingProfile | null</t>
        </is>
      </c>
      <c r="H137" s="3" t="inlineStr">
        <is>
          <t>number[] | null</t>
        </is>
      </c>
      <c r="I137" s="3" t="inlineStr">
        <is>
          <t>—</t>
        </is>
      </c>
      <c r="J137" s="3" t="inlineStr">
        <is>
          <t>· Uses a built-in total v of 0.</t>
        </is>
      </c>
      <c r="K137" s="3" t="inlineStr">
        <is>
          <t>Yes</t>
        </is>
      </c>
      <c r="L137" s="3" t="inlineStr">
        <is>
          <t>MK-CF-F-062 equityRowValue</t>
        </is>
      </c>
      <c r="M137" s="3" t="n">
        <v>2</v>
      </c>
      <c r="N137" s="3" t="inlineStr">
        <is>
          <t>MK-CF-F-062 equityRowValue · MK-ST-F-052 toNum</t>
        </is>
      </c>
      <c r="O137" s="3" t="inlineStr">
        <is>
          <t>MK-ST-F-052 toNum → MK-CF-F-062 equityRowValue → MK-CF-F-065 equityVestWeights</t>
        </is>
      </c>
      <c r="P137" s="3" t="inlineStr">
        <is>
          <t>—</t>
        </is>
      </c>
      <c r="Q137" s="3" t="inlineStr">
        <is>
          <t>—</t>
        </is>
      </c>
    </row>
    <row r="138">
      <c r="A138" s="3" t="inlineStr">
        <is>
          <t>MK-CF-F-047</t>
        </is>
      </c>
      <c r="B138" s="3" t="inlineStr">
        <is>
          <t>estimateEffectiveTaxRate</t>
        </is>
      </c>
      <c r="C138" s="3" t="inlineStr">
        <is>
          <t>src/domain/income/calc.ts</t>
        </is>
      </c>
      <c r="D138" s="3" t="n">
        <v>30</v>
      </c>
      <c r="E138" s="3" t="inlineStr">
        <is>
          <t>2 · DISPLAYED</t>
        </is>
      </c>
      <c r="F138" s="3" t="inlineStr">
        <is>
          <t>NOT DETERMINED — the code carries no note saying what this is for, and it has no row in the old inventory. Needs reading.</t>
        </is>
      </c>
      <c r="G138" s="3" t="inlineStr">
        <is>
          <t>grossAnnual: number</t>
        </is>
      </c>
      <c r="H138" s="3" t="inlineStr">
        <is>
          <t>number</t>
        </is>
      </c>
      <c r="I138" s="3" t="inlineStr">
        <is>
          <t>NOT FOUND — a screen calls it, but the words printed beside its answer could not be traced automatically. Needs reading.</t>
        </is>
      </c>
      <c r="J138" s="3" t="inlineStr">
        <is>
          <t>None found in this function — anything it assumes comes from the functions it depends on.</t>
        </is>
      </c>
      <c r="K138" s="3" t="inlineStr">
        <is>
          <t>Yes</t>
        </is>
      </c>
      <c r="L138" s="3" t="inlineStr">
        <is>
          <t>MK-CF-F-096 effectiveRateOnGross</t>
        </is>
      </c>
      <c r="M138" s="3" t="n">
        <v>3</v>
      </c>
      <c r="N138" s="3" t="inlineStr">
        <is>
          <t>MK-CF-F-096 effectiveRateOnGross · MK-CF-F-095 taxOwed · MK-CF-F-093 taxableIncome</t>
        </is>
      </c>
      <c r="O138" s="3" t="inlineStr">
        <is>
          <t>MK-CF-F-093 taxableIncome → MK-CF-F-095 taxOwed → MK-CF-F-096 effectiveRateOnGross → MK-CF-F-047 estimateEffectiveTaxRate</t>
        </is>
      </c>
      <c r="P138" s="3" t="inlineStr">
        <is>
          <t>—</t>
        </is>
      </c>
      <c r="Q138" s="3" t="inlineStr">
        <is>
          <t>—</t>
        </is>
      </c>
    </row>
    <row r="139">
      <c r="A139" s="3" t="inlineStr">
        <is>
          <t>MK-CF-F-071</t>
        </is>
      </c>
      <c r="B139" s="3" t="inlineStr">
        <is>
          <t>extraIncome</t>
        </is>
      </c>
      <c r="C139" s="3" t="inlineStr">
        <is>
          <t>src/domain/income/onboarding.ts</t>
        </is>
      </c>
      <c r="D139" s="3" t="n">
        <v>161</v>
      </c>
      <c r="E139" s="3" t="inlineStr">
        <is>
          <t>2 · DISPLAYED</t>
        </is>
      </c>
      <c r="F139" s="3" t="inlineStr">
        <is>
          <t>Extra income sources beyond salary/rental/equity (self-employment, investment, benefits, support, scholarship, other), split into taxable vs non-taxable steady monthly amounts + a one-time Jan amount.</t>
        </is>
      </c>
      <c r="G139" s="3" t="inlineStr">
        <is>
          <t>op: OnboardingProfile | null</t>
        </is>
      </c>
      <c r="H139" s="3" t="inlineStr">
        <is>
          <t>NOT DECLARED — the code does not say what it gives back</t>
        </is>
      </c>
      <c r="I139" s="3" t="inlineStr">
        <is>
          <t>NOT FOUND — a screen calls it, but the words printed beside its answer could not be traced automatically. Needs reading.</t>
        </is>
      </c>
      <c r="J139" s="3" t="inlineStr">
        <is>
          <t>· Treats a year as twelve equal months.</t>
        </is>
      </c>
      <c r="K139" s="3" t="inlineStr">
        <is>
          <t>Yes</t>
        </is>
      </c>
      <c r="L139" s="3" t="inlineStr">
        <is>
          <t>MK-CF-F-070 benefitAnnual · MK-ST-F-055 round2 · MK-ST-F-052 toNum</t>
        </is>
      </c>
      <c r="M139" s="3" t="n">
        <v>4</v>
      </c>
      <c r="N139" s="3" t="inlineStr">
        <is>
          <t>MK-CF-F-070 benefitAnnual · MK-ST-F-055 round2 · MK-ST-F-052 toNum · MK-CF-F-069 benefitActiveMonths</t>
        </is>
      </c>
      <c r="O139" s="3" t="inlineStr">
        <is>
          <t>MK-CF-F-069 benefitActiveMonths → MK-CF-F-070 benefitAnnual → MK-CF-F-071 extraIncome
MK-ST-F-052 toNum → MK-CF-F-070 benefitAnnual → MK-CF-F-071 extraIncome
MK-ST-F-055 round2 → MK-CF-F-071 extraIncome
MK-ST-F-052 toNum → MK-CF-F-071 extraIncome</t>
        </is>
      </c>
      <c r="P139" s="3" t="inlineStr">
        <is>
          <t>—</t>
        </is>
      </c>
      <c r="Q139" s="3" t="inlineStr">
        <is>
          <t>OTHER_INCOME</t>
        </is>
      </c>
    </row>
    <row r="140">
      <c r="A140" s="3" t="inlineStr">
        <is>
          <t>MK-PF-F-022</t>
        </is>
      </c>
      <c r="B140" s="3" t="inlineStr">
        <is>
          <t>factorOverMonths</t>
        </is>
      </c>
      <c r="C140" s="3" t="inlineStr">
        <is>
          <t>src/domain/performance/lookBack.ts</t>
        </is>
      </c>
      <c r="D140" s="3" t="n">
        <v>19</v>
      </c>
      <c r="E140" s="3" t="inlineStr">
        <is>
          <t>3 · DEPENDENT</t>
        </is>
      </c>
      <c r="F140" s="3" t="inlineStr">
        <is>
          <t>Price factor over the trailing window: last close ÷ the close at (now − months).</t>
        </is>
      </c>
      <c r="G140" s="3" t="inlineStr">
        <is>
          <t>series: PriceSeries | null | undefined · months: number · now: Date = new Date()</t>
        </is>
      </c>
      <c r="H140" s="3" t="inlineStr">
        <is>
          <t>number | null</t>
        </is>
      </c>
      <c r="I140" s="3" t="inlineStr">
        <is>
          <t>—</t>
        </is>
      </c>
      <c r="J140" s="3" t="inlineStr">
        <is>
          <t>· Uses today's date from the device clock, so the answer changes by itself overnight.</t>
        </is>
      </c>
      <c r="K140" s="3" t="inlineStr">
        <is>
          <t>Yes</t>
        </is>
      </c>
      <c r="L140" s="3" t="inlineStr">
        <is>
          <t>—</t>
        </is>
      </c>
      <c r="M140" s="3" t="n">
        <v>0</v>
      </c>
      <c r="N140" s="3" t="inlineStr">
        <is>
          <t>None — no dependent function stands behind it</t>
        </is>
      </c>
      <c r="O140" s="3" t="inlineStr">
        <is>
          <t>No dependent function — it reads its inputs and answers</t>
        </is>
      </c>
      <c r="P140" s="3" t="inlineStr">
        <is>
          <t>—</t>
        </is>
      </c>
      <c r="Q140" s="3" t="inlineStr">
        <is>
          <t>PRICE_FACTOR_OVER_WINDOW</t>
        </is>
      </c>
    </row>
    <row r="141">
      <c r="A141" s="3" t="inlineStr">
        <is>
          <t>MK-XS-F-056</t>
        </is>
      </c>
      <c r="B141" s="3" t="inlineStr">
        <is>
          <t>fetchEconomicData</t>
        </is>
      </c>
      <c r="C141" s="3" t="inlineStr">
        <is>
          <t>src/services/economicData.ts</t>
        </is>
      </c>
      <c r="D141" s="3" t="n">
        <v>47</v>
      </c>
      <c r="E141" s="3" t="inlineStr">
        <is>
          <t>4 · BRINGS DATA IN</t>
        </is>
      </c>
      <c r="F141" s="3" t="inlineStr">
        <is>
          <t>What are inflation and the 10-year Treasury yield?</t>
        </is>
      </c>
      <c r="G141" s="3" t="inlineStr">
        <is>
          <t>Nothing is handed to it</t>
        </is>
      </c>
      <c r="H141" s="3" t="inlineStr">
        <is>
          <t>Promise&lt;EconomicData&gt;</t>
        </is>
      </c>
      <c r="I141" s="3" t="inlineStr">
        <is>
          <t>—</t>
        </is>
      </c>
      <c r="J141" s="3" t="inlineStr">
        <is>
          <t>· Uses today's date from the device clock, so the answer changes by itself overnight.
· Multiplies by 100 — a percentage, or an option contract treated as 100 shares. Worth checking which.
· Rounds the answer to a whole number.</t>
        </is>
      </c>
      <c r="K141" s="3" t="inlineStr">
        <is>
          <t>No</t>
        </is>
      </c>
      <c r="L141" s="3" t="inlineStr">
        <is>
          <t>—</t>
        </is>
      </c>
      <c r="M141" s="3" t="n">
        <v>0</v>
      </c>
      <c r="N141" s="3" t="inlineStr">
        <is>
          <t>None — no dependent function stands behind it</t>
        </is>
      </c>
      <c r="O141" s="3" t="inlineStr">
        <is>
          <t>No dependent function — it reads its inputs and answers</t>
        </is>
      </c>
      <c r="P141" s="3" t="inlineStr">
        <is>
          <t>—</t>
        </is>
      </c>
      <c r="Q141" s="3" t="inlineStr">
        <is>
          <t>ECONOMIC_FIGURES</t>
        </is>
      </c>
    </row>
    <row r="142">
      <c r="A142" s="3" t="inlineStr">
        <is>
          <t>MK-XS-F-083</t>
        </is>
      </c>
      <c r="B142" s="3" t="inlineStr">
        <is>
          <t>fetchPriceSeries</t>
        </is>
      </c>
      <c r="C142" s="3" t="inlineStr">
        <is>
          <t>src/services/marketData.ts</t>
        </is>
      </c>
      <c r="D142" s="3" t="n">
        <v>71</v>
      </c>
      <c r="E142" s="3" t="inlineStr">
        <is>
          <t>3 · DEPENDENT (feeds an action only)</t>
        </is>
      </c>
      <c r="F142" s="3" t="inlineStr">
        <is>
          <t>Fetch many tickers in parallel; returns only the ones that resolved.</t>
        </is>
      </c>
      <c r="G142" s="3" t="inlineStr">
        <is>
          <t>Nothing is handed to it</t>
        </is>
      </c>
      <c r="H142" s="3" t="inlineStr">
        <is>
          <t>NOT DECLARED — the code does not say what it gives back</t>
        </is>
      </c>
      <c r="I142" s="3" t="inlineStr">
        <is>
          <t>—</t>
        </is>
      </c>
      <c r="J142" s="3" t="inlineStr">
        <is>
          <t>· Leaves some rows out of the answer — check which.</t>
        </is>
      </c>
      <c r="K142" s="3" t="inlineStr">
        <is>
          <t>No</t>
        </is>
      </c>
      <c r="L142" s="3" t="inlineStr">
        <is>
          <t>—</t>
        </is>
      </c>
      <c r="M142" s="3" t="n">
        <v>0</v>
      </c>
      <c r="N142" s="3" t="inlineStr">
        <is>
          <t>None — no dependent function stands behind it</t>
        </is>
      </c>
      <c r="O142" s="3" t="inlineStr">
        <is>
          <t>No dependent function — it reads its inputs and answers</t>
        </is>
      </c>
      <c r="P142" s="3" t="inlineStr">
        <is>
          <t>—</t>
        </is>
      </c>
      <c r="Q142" s="3" t="inlineStr">
        <is>
          <t>FETCH_PRICES</t>
        </is>
      </c>
    </row>
    <row r="143">
      <c r="A143" s="3" t="inlineStr">
        <is>
          <t>MK-CF-F-085</t>
        </is>
      </c>
      <c r="B143" s="3" t="inlineStr">
        <is>
          <t>filingStatusOf</t>
        </is>
      </c>
      <c r="C143" s="3" t="inlineStr">
        <is>
          <t>src/domain/income/onboarding.ts</t>
        </is>
      </c>
      <c r="D143" s="3" t="n">
        <v>354</v>
      </c>
      <c r="E143" s="3" t="inlineStr">
        <is>
          <t>2 · DISPLAYED</t>
        </is>
      </c>
      <c r="F143" s="3" t="inlineStr">
        <is>
          <t>Effective tax rate in use: the user's manual rate, else the IRS-schedule estimate on taxable income.</t>
        </is>
      </c>
      <c r="G143" s="3" t="inlineStr">
        <is>
          <t>op: OnboardingProfile | null</t>
        </is>
      </c>
      <c r="H143" s="3" t="inlineStr">
        <is>
          <t>import('./tax').FilingStatus</t>
        </is>
      </c>
      <c r="I143" s="3" t="inlineStr">
        <is>
          <t>NOT FOUND — a screen calls it, but the words printed beside its answer could not be traced automatically. Needs reading.</t>
        </is>
      </c>
      <c r="J143" s="3" t="inlineStr">
        <is>
          <t>None found in this function — anything it assumes comes from the functions it depends on.</t>
        </is>
      </c>
      <c r="K143" s="3" t="inlineStr">
        <is>
          <t>Yes</t>
        </is>
      </c>
      <c r="L143" s="3" t="inlineStr">
        <is>
          <t>—</t>
        </is>
      </c>
      <c r="M143" s="3" t="n">
        <v>0</v>
      </c>
      <c r="N143" s="3" t="inlineStr">
        <is>
          <t>None — no dependent function stands behind it</t>
        </is>
      </c>
      <c r="O143" s="3" t="inlineStr">
        <is>
          <t>No dependent function — it reads its inputs and answers</t>
        </is>
      </c>
      <c r="P143" s="3" t="inlineStr">
        <is>
          <t>—</t>
        </is>
      </c>
      <c r="Q143" s="3" t="inlineStr">
        <is>
          <t>FILING_STATUS</t>
        </is>
      </c>
    </row>
    <row r="144">
      <c r="A144" s="3" t="inlineStr">
        <is>
          <t>MK-ST-F-034</t>
        </is>
      </c>
      <c r="B144" s="3" t="inlineStr">
        <is>
          <t>firstDate</t>
        </is>
      </c>
      <c r="C144" s="3" t="inlineStr">
        <is>
          <t>Calculation Module code/engines/snapshots.ts</t>
        </is>
      </c>
      <c r="D144" s="3" t="n">
        <v>192</v>
      </c>
      <c r="E144" s="3" t="inlineStr">
        <is>
          <t>3 · DEPENDENT</t>
        </is>
      </c>
      <c r="F144" s="3" t="inlineStr">
        <is>
          <t>The first date the record covers — so a change figure can say what it is measured FROM, rather than presenting a figure measured from install day as though it covered the year.</t>
        </is>
      </c>
      <c r="G144" s="3" t="inlineStr">
        <is>
          <t>days: SnapshotDay[]</t>
        </is>
      </c>
      <c r="H144" s="3" t="inlineStr">
        <is>
          <t>string | null</t>
        </is>
      </c>
      <c r="I144" s="3" t="inlineStr">
        <is>
          <t>—</t>
        </is>
      </c>
      <c r="J144" s="3" t="inlineStr">
        <is>
          <t>None found in this function — anything it assumes comes from the functions it depends on.</t>
        </is>
      </c>
      <c r="K144" s="3" t="inlineStr">
        <is>
          <t>Yes</t>
        </is>
      </c>
      <c r="L144" s="3" t="inlineStr">
        <is>
          <t>—</t>
        </is>
      </c>
      <c r="M144" s="3" t="n">
        <v>0</v>
      </c>
      <c r="N144" s="3" t="inlineStr">
        <is>
          <t>None — no dependent function stands behind it</t>
        </is>
      </c>
      <c r="O144" s="3" t="inlineStr">
        <is>
          <t>No dependent function — it reads its inputs and answers</t>
        </is>
      </c>
      <c r="P144" s="3" t="inlineStr">
        <is>
          <t>—</t>
        </is>
      </c>
      <c r="Q144" s="3" t="inlineStr">
        <is>
          <t>—</t>
        </is>
      </c>
    </row>
    <row r="145">
      <c r="A145" s="3" t="inlineStr">
        <is>
          <t>MK-NW-F-018</t>
        </is>
      </c>
      <c r="B145" s="3" t="inlineStr">
        <is>
          <t>fixedIncomeTotal</t>
        </is>
      </c>
      <c r="C145" s="3" t="inlineStr">
        <is>
          <t>src/domain/assets/index.ts</t>
        </is>
      </c>
      <c r="D145" s="3" t="n">
        <v>280</v>
      </c>
      <c r="E145" s="3" t="inlineStr">
        <is>
          <t>3 · DEPENDENT (feeds an action only)</t>
        </is>
      </c>
      <c r="F145" s="3" t="inlineStr">
        <is>
          <t>NOT DETERMINED — the code carries no note saying what this is for, and it has no row in the old inventory. Needs reading.</t>
        </is>
      </c>
      <c r="G145" s="3" t="inlineStr">
        <is>
          <t>accounts: AssetAccount[]</t>
        </is>
      </c>
      <c r="H145" s="3" t="inlineStr">
        <is>
          <t>number</t>
        </is>
      </c>
      <c r="I145" s="3" t="inlineStr">
        <is>
          <t>—</t>
        </is>
      </c>
      <c r="J145" s="3" t="inlineStr">
        <is>
          <t>None found in this function — anything it assumes comes from the functions it depends on.</t>
        </is>
      </c>
      <c r="K145" s="3" t="inlineStr">
        <is>
          <t>No</t>
        </is>
      </c>
      <c r="L145" s="3" t="inlineStr">
        <is>
          <t>MK-NW-F-011 assetClassOf</t>
        </is>
      </c>
      <c r="M145" s="3" t="n">
        <v>3</v>
      </c>
      <c r="N145" s="3" t="inlineStr">
        <is>
          <t>MK-NW-F-011 assetClassOf · MK-NW-F-008 incomeBearingClassOf · MK-ST-F-010 nameEvidence</t>
        </is>
      </c>
      <c r="O145" s="3" t="inlineStr">
        <is>
          <t>MK-ST-F-010 nameEvidence → MK-NW-F-008 incomeBearingClassOf → MK-NW-F-011 assetClassOf → MK-NW-F-018 fixedIncomeTotal</t>
        </is>
      </c>
      <c r="P145" s="3" t="inlineStr">
        <is>
          <t>—</t>
        </is>
      </c>
      <c r="Q145" s="3" t="inlineStr">
        <is>
          <t>—</t>
        </is>
      </c>
    </row>
    <row r="146">
      <c r="A146" s="3" t="inlineStr">
        <is>
          <t>MK-CF-F-110</t>
        </is>
      </c>
      <c r="B146" s="3" t="inlineStr">
        <is>
          <t>flagComparisonText</t>
        </is>
      </c>
      <c r="C146" s="3" t="inlineStr">
        <is>
          <t>src/domain/transactions/flags.ts</t>
        </is>
      </c>
      <c r="D146" s="3" t="n">
        <v>170</v>
      </c>
      <c r="E146" s="3" t="inlineStr">
        <is>
          <t>2 · DISPLAYED</t>
        </is>
      </c>
      <c r="F146" s="3" t="inlineStr">
        <is>
          <t>The plain-English comparison sentence for the detail view — fixed, human-reviewed templates.</t>
        </is>
      </c>
      <c r="G146" s="3" t="inlineStr">
        <is>
          <t>f: TxnFlag</t>
        </is>
      </c>
      <c r="H146" s="3" t="inlineStr">
        <is>
          <t>string</t>
        </is>
      </c>
      <c r="I146" s="3" t="inlineStr">
        <is>
          <t>"WHY WE'RE SHOWING THIS" — on the Worth a look screen</t>
        </is>
      </c>
      <c r="J146" s="3" t="inlineStr">
        <is>
          <t>· Rounds the answer to a whole number.</t>
        </is>
      </c>
      <c r="K146" s="3" t="inlineStr">
        <is>
          <t>Yes</t>
        </is>
      </c>
      <c r="L146" s="3" t="inlineStr">
        <is>
          <t>—</t>
        </is>
      </c>
      <c r="M146" s="3" t="n">
        <v>0</v>
      </c>
      <c r="N146" s="3" t="inlineStr">
        <is>
          <t>None — no dependent function stands behind it</t>
        </is>
      </c>
      <c r="O146" s="3" t="inlineStr">
        <is>
          <t>No dependent function — it reads its inputs and answers</t>
        </is>
      </c>
      <c r="P146" s="3" t="inlineStr">
        <is>
          <t>—</t>
        </is>
      </c>
      <c r="Q146" s="3" t="inlineStr">
        <is>
          <t>—</t>
        </is>
      </c>
    </row>
    <row r="147">
      <c r="A147" s="3" t="inlineStr">
        <is>
          <t>MK-ST-F-049</t>
        </is>
      </c>
      <c r="B147" s="3" t="inlineStr">
        <is>
          <t>formatMoney</t>
        </is>
      </c>
      <c r="C147" s="3" t="inlineStr">
        <is>
          <t>src/domain/_shared/money.ts</t>
        </is>
      </c>
      <c r="D147" s="3" t="n">
        <v>58</v>
      </c>
      <c r="E147" s="3" t="inlineStr">
        <is>
          <t>2 · DISPLAYED</t>
        </is>
      </c>
      <c r="F147" s="3" t="inlineStr">
        <is>
          <t>Full amount, no minor units (matches the app's whole-number money style), locale-grouped.</t>
        </is>
      </c>
      <c r="G147" s="3" t="inlineStr">
        <is>
          <t>n: number</t>
        </is>
      </c>
      <c r="H147" s="3" t="inlineStr">
        <is>
          <t>string</t>
        </is>
      </c>
      <c r="I147" s="3" t="inlineStr">
        <is>
          <t>"Annual vesting cash flow" — on the setup questions, which appear on more than one screen · "Annuity / other" — on the setup questions, which appear on more than one screen · "Available / yr" — on the setup questions, which appear on more than one screen · "Capital needed" — on the setup questions, which appear on more than one screen · "Count money you receive to live on. We won't tax this." — on the setup questions, which appear on more than one screen · "Critical" — on the setup questions, which appear on more than one screen</t>
        </is>
      </c>
      <c r="J147" s="3" t="inlineStr">
        <is>
          <t>· Rounds the answer to a whole number.</t>
        </is>
      </c>
      <c r="K147" s="3" t="inlineStr">
        <is>
          <t>Yes</t>
        </is>
      </c>
      <c r="L147" s="3" t="inlineStr">
        <is>
          <t>MK-ST-F-048 currencySymbol</t>
        </is>
      </c>
      <c r="M147" s="3" t="n">
        <v>2</v>
      </c>
      <c r="N147" s="3" t="inlineStr">
        <is>
          <t>MK-ST-F-048 currencySymbol · MK-ST-F-047 activeCurrency</t>
        </is>
      </c>
      <c r="O147" s="3" t="inlineStr">
        <is>
          <t>MK-ST-F-047 activeCurrency → MK-ST-F-048 currencySymbol → MK-ST-F-049 formatMoney</t>
        </is>
      </c>
      <c r="P147" s="3" t="inlineStr">
        <is>
          <t>—</t>
        </is>
      </c>
      <c r="Q147" s="3" t="inlineStr">
        <is>
          <t>MONEY_IN_WORDS</t>
        </is>
      </c>
    </row>
    <row r="148">
      <c r="A148" s="3" t="inlineStr">
        <is>
          <t>MK-ST-F-050</t>
        </is>
      </c>
      <c r="B148" s="3" t="inlineStr">
        <is>
          <t>formatMoneyCents</t>
        </is>
      </c>
      <c r="C148" s="3" t="inlineStr">
        <is>
          <t>src/domain/_shared/money.ts</t>
        </is>
      </c>
      <c r="D148" s="3" t="n">
        <v>74</v>
      </c>
      <c r="E148" s="3" t="inlineStr">
        <is>
          <t>3 · DEPENDENT</t>
        </is>
      </c>
      <c r="F148" s="3" t="inlineStr">
        <is>
          <t>Same as formatMoney but keeps 2 decimal places — for precise amounts (transactions, holdings, recurring lines).</t>
        </is>
      </c>
      <c r="G148" s="3" t="inlineStr">
        <is>
          <t>n: number</t>
        </is>
      </c>
      <c r="H148" s="3" t="inlineStr">
        <is>
          <t>string</t>
        </is>
      </c>
      <c r="I148" s="3" t="inlineStr">
        <is>
          <t>—</t>
        </is>
      </c>
      <c r="J148" s="3" t="inlineStr">
        <is>
          <t>None found in this function — anything it assumes comes from the functions it depends on.</t>
        </is>
      </c>
      <c r="K148" s="3" t="inlineStr">
        <is>
          <t>Yes</t>
        </is>
      </c>
      <c r="L148" s="3" t="inlineStr">
        <is>
          <t>MK-ST-F-048 currencySymbol</t>
        </is>
      </c>
      <c r="M148" s="3" t="n">
        <v>2</v>
      </c>
      <c r="N148" s="3" t="inlineStr">
        <is>
          <t>MK-ST-F-048 currencySymbol · MK-ST-F-047 activeCurrency</t>
        </is>
      </c>
      <c r="O148" s="3" t="inlineStr">
        <is>
          <t>MK-ST-F-047 activeCurrency → MK-ST-F-048 currencySymbol → MK-ST-F-050 formatMoneyCents</t>
        </is>
      </c>
      <c r="P148" s="3" t="inlineStr">
        <is>
          <t>—</t>
        </is>
      </c>
      <c r="Q148" s="3" t="inlineStr">
        <is>
          <t>MONEY_IN_WORDS_WITH_CENTS</t>
        </is>
      </c>
    </row>
    <row r="149">
      <c r="A149" s="3" t="inlineStr">
        <is>
          <t>MK-PL-F-063</t>
        </is>
      </c>
      <c r="B149" s="3" t="inlineStr">
        <is>
          <t>fraLabel</t>
        </is>
      </c>
      <c r="C149" s="3" t="inlineStr">
        <is>
          <t>src/domain/retirement/ssTiming.ts</t>
        </is>
      </c>
      <c r="D149" s="3" t="n">
        <v>69</v>
      </c>
      <c r="E149" s="3" t="inlineStr">
        <is>
          <t>2 · DISPLAYED</t>
        </is>
      </c>
      <c r="F149" s="3" t="inlineStr">
        <is>
          <t>The FRA as words a person recognises — "67", or "66 and 4 months".</t>
        </is>
      </c>
      <c r="G149" s="3" t="inlineStr">
        <is>
          <t>birthYear?: number | null</t>
        </is>
      </c>
      <c r="H149" s="3" t="inlineStr">
        <is>
          <t>string</t>
        </is>
      </c>
      <c r="I149" s="3" t="inlineStr">
        <is>
          <t>"We lay it out. You decide." — on the Social Security timing screen</t>
        </is>
      </c>
      <c r="J149" s="3" t="inlineStr">
        <is>
          <t>· Turns a monthly figure into a year by multiplying by twelve.
· Rounds the answer to a whole number.</t>
        </is>
      </c>
      <c r="K149" s="3" t="inlineStr">
        <is>
          <t>Yes</t>
        </is>
      </c>
      <c r="L149" s="3" t="inlineStr">
        <is>
          <t>MK-PL-F-057 fullRetirementAge</t>
        </is>
      </c>
      <c r="M149" s="3" t="n">
        <v>1</v>
      </c>
      <c r="N149" s="3" t="inlineStr">
        <is>
          <t>MK-PL-F-057 fullRetirementAge</t>
        </is>
      </c>
      <c r="O149" s="3" t="inlineStr">
        <is>
          <t>MK-PL-F-057 fullRetirementAge → MK-PL-F-063 fraLabel</t>
        </is>
      </c>
      <c r="P149" s="3" t="inlineStr">
        <is>
          <t>—</t>
        </is>
      </c>
      <c r="Q149" s="3" t="inlineStr">
        <is>
          <t>—</t>
        </is>
      </c>
    </row>
    <row r="150">
      <c r="A150" s="3" t="inlineStr">
        <is>
          <t>MK-PL-F-057</t>
        </is>
      </c>
      <c r="B150" s="3" t="inlineStr">
        <is>
          <t>fullRetirementAge</t>
        </is>
      </c>
      <c r="C150" s="3" t="inlineStr">
        <is>
          <t>src/domain/retirement/ssTiming.ts</t>
        </is>
      </c>
      <c r="D150" s="3" t="n">
        <v>23</v>
      </c>
      <c r="E150" s="3" t="inlineStr">
        <is>
          <t>3 · DEPENDENT</t>
        </is>
      </c>
      <c r="F150" s="3" t="inlineStr">
        <is>
          <t>Full retirement age in YEARS (fractional — 66y4m = 66.333…), from the birth year.</t>
        </is>
      </c>
      <c r="G150" s="3" t="inlineStr">
        <is>
          <t>birthYear?: number | null</t>
        </is>
      </c>
      <c r="H150" s="3" t="inlineStr">
        <is>
          <t>number</t>
        </is>
      </c>
      <c r="I150" s="3" t="inlineStr">
        <is>
          <t>—</t>
        </is>
      </c>
      <c r="J150" s="3" t="inlineStr">
        <is>
          <t>· Treats a year as twelve equal months.</t>
        </is>
      </c>
      <c r="K150" s="3" t="inlineStr">
        <is>
          <t>Yes</t>
        </is>
      </c>
      <c r="L150" s="3" t="inlineStr">
        <is>
          <t>—</t>
        </is>
      </c>
      <c r="M150" s="3" t="n">
        <v>0</v>
      </c>
      <c r="N150" s="3" t="inlineStr">
        <is>
          <t>None — no dependent function stands behind it</t>
        </is>
      </c>
      <c r="O150" s="3" t="inlineStr">
        <is>
          <t>No dependent function — it reads its inputs and answers</t>
        </is>
      </c>
      <c r="P150" s="3" t="inlineStr">
        <is>
          <t>—</t>
        </is>
      </c>
      <c r="Q150" s="3" t="inlineStr">
        <is>
          <t>SS_FULL_RETIREMENT_AGE</t>
        </is>
      </c>
    </row>
    <row r="151">
      <c r="A151" s="3" t="inlineStr">
        <is>
          <t>MK-XS-F-003</t>
        </is>
      </c>
      <c r="B151" s="3" t="inlineStr">
        <is>
          <t>gapsHeadline</t>
        </is>
      </c>
      <c r="C151" s="3" t="inlineStr">
        <is>
          <t>src/domain/gaps/index.ts</t>
        </is>
      </c>
      <c r="D151" s="3" t="n">
        <v>153</v>
      </c>
      <c r="E151" s="3" t="inlineStr">
        <is>
          <t>2 · DISPLAYED (presentation only)</t>
        </is>
      </c>
      <c r="F151" s="3" t="inlineStr">
        <is>
          <t>The banner sentence — plural-correct, and absent (null) when nothing is missing.</t>
        </is>
      </c>
      <c r="G151" s="3" t="inlineStr">
        <is>
          <t>gaps: DataGap[]</t>
        </is>
      </c>
      <c r="H151" s="3" t="inlineStr">
        <is>
          <t>string | null</t>
        </is>
      </c>
      <c r="I151" s="3" t="inlineStr">
        <is>
          <t>NOT FOUND — a screen calls it, but the words printed beside its answer could not be traced automatically. Needs reading.</t>
        </is>
      </c>
      <c r="J151" s="3" t="inlineStr">
        <is>
          <t>None found in this function — anything it assumes comes from the functions it depends on.</t>
        </is>
      </c>
      <c r="K151" s="3" t="inlineStr">
        <is>
          <t>Yes</t>
        </is>
      </c>
      <c r="L151" s="3" t="inlineStr">
        <is>
          <t>—</t>
        </is>
      </c>
      <c r="M151" s="3" t="n">
        <v>0</v>
      </c>
      <c r="N151" s="3" t="inlineStr">
        <is>
          <t>None — no dependent function stands behind it</t>
        </is>
      </c>
      <c r="O151" s="3" t="inlineStr">
        <is>
          <t>No dependent function — it reads its inputs and answers</t>
        </is>
      </c>
      <c r="P151" s="3" t="inlineStr">
        <is>
          <t>—</t>
        </is>
      </c>
      <c r="Q151" s="3" t="inlineStr">
        <is>
          <t>—</t>
        </is>
      </c>
    </row>
    <row r="152">
      <c r="A152" s="3" t="inlineStr">
        <is>
          <t>MK-XS-F-044</t>
        </is>
      </c>
      <c r="B152" s="3" t="inlineStr">
        <is>
          <t>generateDataKey</t>
        </is>
      </c>
      <c r="C152" s="3" t="inlineStr">
        <is>
          <t>src/services/dataCrypto.ts</t>
        </is>
      </c>
      <c r="D152" s="3" t="n">
        <v>59</v>
      </c>
      <c r="E152" s="3" t="inlineStr">
        <is>
          <t>3 · DEPENDENT</t>
        </is>
      </c>
      <c r="F152" s="3" t="inlineStr">
        <is>
          <t>── Key generation ─────────────────────────────────────────────────── A fresh random 256-bit data key (hex).</t>
        </is>
      </c>
      <c r="G152" s="3" t="inlineStr">
        <is>
          <t>Nothing is handed to it</t>
        </is>
      </c>
      <c r="H152" s="3" t="inlineStr">
        <is>
          <t>string</t>
        </is>
      </c>
      <c r="I152" s="3" t="inlineStr">
        <is>
          <t>—</t>
        </is>
      </c>
      <c r="J152" s="3" t="inlineStr">
        <is>
          <t>None found in this function — anything it assumes comes from the functions it depends on.</t>
        </is>
      </c>
      <c r="K152" s="3" t="inlineStr">
        <is>
          <t>Yes</t>
        </is>
      </c>
      <c r="L152" s="3" t="inlineStr">
        <is>
          <t>—</t>
        </is>
      </c>
      <c r="M152" s="3" t="n">
        <v>0</v>
      </c>
      <c r="N152" s="3" t="inlineStr">
        <is>
          <t>None — no dependent function stands behind it</t>
        </is>
      </c>
      <c r="O152" s="3" t="inlineStr">
        <is>
          <t>No dependent function — it reads its inputs and answers</t>
        </is>
      </c>
      <c r="P152" s="3" t="inlineStr">
        <is>
          <t>—</t>
        </is>
      </c>
      <c r="Q152" s="3" t="inlineStr">
        <is>
          <t>—</t>
        </is>
      </c>
    </row>
    <row r="153">
      <c r="A153" s="3" t="inlineStr">
        <is>
          <t>MK-XS-F-045</t>
        </is>
      </c>
      <c r="B153" s="3" t="inlineStr">
        <is>
          <t>generateRecoveryCode</t>
        </is>
      </c>
      <c r="C153" s="3" t="inlineStr">
        <is>
          <t>src/services/dataCrypto.ts</t>
        </is>
      </c>
      <c r="D153" s="3" t="n">
        <v>63</v>
      </c>
      <c r="E153" s="3" t="inlineStr">
        <is>
          <t>3 · DEPENDENT</t>
        </is>
      </c>
      <c r="F153" s="3" t="inlineStr">
        <is>
          <t>A human-friendly recovery code, e.g.</t>
        </is>
      </c>
      <c r="G153" s="3" t="inlineStr">
        <is>
          <t>Nothing is handed to it</t>
        </is>
      </c>
      <c r="H153" s="3" t="inlineStr">
        <is>
          <t>string</t>
        </is>
      </c>
      <c r="I153" s="3" t="inlineStr">
        <is>
          <t>—</t>
        </is>
      </c>
      <c r="J153" s="3" t="inlineStr">
        <is>
          <t>· Uses a built-in i of 0.</t>
        </is>
      </c>
      <c r="K153" s="3" t="inlineStr">
        <is>
          <t>Yes</t>
        </is>
      </c>
      <c r="L153" s="3" t="inlineStr">
        <is>
          <t>MK-XS-F-052 encryptWithKey</t>
        </is>
      </c>
      <c r="M153" s="3" t="n">
        <v>1</v>
      </c>
      <c r="N153" s="3" t="inlineStr">
        <is>
          <t>MK-XS-F-052 encryptWithKey</t>
        </is>
      </c>
      <c r="O153" s="3" t="inlineStr">
        <is>
          <t>MK-XS-F-052 encryptWithKey → MK-XS-F-045 generateRecoveryCode</t>
        </is>
      </c>
      <c r="P153" s="3" t="inlineStr">
        <is>
          <t>—</t>
        </is>
      </c>
      <c r="Q153" s="3" t="inlineStr">
        <is>
          <t>—</t>
        </is>
      </c>
    </row>
    <row r="154">
      <c r="A154" s="3" t="inlineStr">
        <is>
          <t>MK-NW-F-044</t>
        </is>
      </c>
      <c r="B154" s="3" t="inlineStr">
        <is>
          <t>getAssetsState</t>
        </is>
      </c>
      <c r="C154" s="3" t="inlineStr">
        <is>
          <t>src/domain/assets/index.ts</t>
        </is>
      </c>
      <c r="D154" s="3" t="n">
        <v>704</v>
      </c>
      <c r="E154" s="3" t="inlineStr">
        <is>
          <t>3 · DEPENDENT (feeds an action only)</t>
        </is>
      </c>
      <c r="F154" s="3" t="inlineStr">
        <is>
          <t>NOT DETERMINED — the code carries no note saying what this is for, and it has no row in the old inventory. Needs reading.</t>
        </is>
      </c>
      <c r="G154" s="3" t="inlineStr">
        <is>
          <t>uid: UserId</t>
        </is>
      </c>
      <c r="H154" s="3" t="inlineStr">
        <is>
          <t>NOT DECLARED — the code does not say what it gives back</t>
        </is>
      </c>
      <c r="I154" s="3" t="inlineStr">
        <is>
          <t>—</t>
        </is>
      </c>
      <c r="J154" s="3" t="inlineStr">
        <is>
          <t>None found in this function — anything it assumes comes from the functions it depends on.</t>
        </is>
      </c>
      <c r="K154" s="3" t="inlineStr">
        <is>
          <t>No</t>
        </is>
      </c>
      <c r="L154" s="3" t="inlineStr">
        <is>
          <t>MK-NW-F-039 buildAssetsState · MK-NW-F-042 loadAssets</t>
        </is>
      </c>
      <c r="M154" s="3" t="n">
        <v>3</v>
      </c>
      <c r="N154" s="3" t="inlineStr">
        <is>
          <t>MK-NW-F-039 buildAssetsState · MK-NW-F-042 loadAssets · MK-ST-F-055 round2</t>
        </is>
      </c>
      <c r="O154" s="3" t="inlineStr">
        <is>
          <t>MK-ST-F-055 round2 → MK-NW-F-039 buildAssetsState → MK-NW-F-044 getAssetsState
MK-NW-F-042 loadAssets → MK-NW-F-044 getAssetsState</t>
        </is>
      </c>
      <c r="P154" s="3" t="inlineStr">
        <is>
          <t>—</t>
        </is>
      </c>
      <c r="Q154" s="3" t="inlineStr">
        <is>
          <t>—</t>
        </is>
      </c>
    </row>
    <row r="155">
      <c r="A155" s="3" t="inlineStr">
        <is>
          <t>MK-XS-F-042</t>
        </is>
      </c>
      <c r="B155" s="3" t="inlineStr">
        <is>
          <t>getDataKey</t>
        </is>
      </c>
      <c r="C155" s="3" t="inlineStr">
        <is>
          <t>src/services/dataCrypto.ts</t>
        </is>
      </c>
      <c r="D155" s="3" t="n">
        <v>46</v>
      </c>
      <c r="E155" s="3" t="inlineStr">
        <is>
          <t>3 · DEPENDENT</t>
        </is>
      </c>
      <c r="F155" s="3" t="inlineStr">
        <is>
          <t>The cached DEK (memory → keychain), or null if it hasn't been unwrapped on this install yet.</t>
        </is>
      </c>
      <c r="G155" s="3" t="inlineStr">
        <is>
          <t>Nothing is handed to it</t>
        </is>
      </c>
      <c r="H155" s="3" t="inlineStr">
        <is>
          <t>Promise&lt;string | null&gt;</t>
        </is>
      </c>
      <c r="I155" s="3" t="inlineStr">
        <is>
          <t>—</t>
        </is>
      </c>
      <c r="J155" s="3" t="inlineStr">
        <is>
          <t>None found in this function — anything it assumes comes from the functions it depends on.</t>
        </is>
      </c>
      <c r="K155" s="3" t="inlineStr">
        <is>
          <t>Yes</t>
        </is>
      </c>
      <c r="L155" s="3" t="inlineStr">
        <is>
          <t>—</t>
        </is>
      </c>
      <c r="M155" s="3" t="n">
        <v>0</v>
      </c>
      <c r="N155" s="3" t="inlineStr">
        <is>
          <t>None — no dependent function stands behind it</t>
        </is>
      </c>
      <c r="O155" s="3" t="inlineStr">
        <is>
          <t>No dependent function — it reads its inputs and answers</t>
        </is>
      </c>
      <c r="P155" s="3" t="inlineStr">
        <is>
          <t>—</t>
        </is>
      </c>
      <c r="Q155" s="3" t="inlineStr">
        <is>
          <t>—</t>
        </is>
      </c>
    </row>
    <row r="156">
      <c r="A156" s="3" t="inlineStr">
        <is>
          <t>MK-CF-F-041</t>
        </is>
      </c>
      <c r="B156" s="3" t="inlineStr">
        <is>
          <t>getDebtState</t>
        </is>
      </c>
      <c r="C156" s="3" t="inlineStr">
        <is>
          <t>src/domain/debt/index.ts</t>
        </is>
      </c>
      <c r="D156" s="3" t="n">
        <v>259</v>
      </c>
      <c r="E156" s="3" t="inlineStr">
        <is>
          <t>3 · DEPENDENT (feeds an action only)</t>
        </is>
      </c>
      <c r="F156" s="3" t="inlineStr">
        <is>
          <t>NOT DETERMINED — the code carries no note saying what this is for, and it has no row in the old inventory. Needs reading.</t>
        </is>
      </c>
      <c r="G156" s="3" t="inlineStr">
        <is>
          <t>uid: UserId</t>
        </is>
      </c>
      <c r="H156" s="3" t="inlineStr">
        <is>
          <t>NOT DECLARED — the code does not say what it gives back</t>
        </is>
      </c>
      <c r="I156" s="3" t="inlineStr">
        <is>
          <t>—</t>
        </is>
      </c>
      <c r="J156" s="3" t="inlineStr">
        <is>
          <t>None found in this function — anything it assumes comes from the functions it depends on.</t>
        </is>
      </c>
      <c r="K156" s="3" t="inlineStr">
        <is>
          <t>No</t>
        </is>
      </c>
      <c r="L156" s="3" t="inlineStr">
        <is>
          <t>MK-CF-F-036 buildDebtState · MK-CF-F-039 loadDebt</t>
        </is>
      </c>
      <c r="M156" s="3" t="n">
        <v>9</v>
      </c>
      <c r="N156" s="3" t="inlineStr">
        <is>
          <t>MK-CF-F-036 buildDebtState · MK-CF-F-039 loadDebt · MK-CF-F-026 actualDebtPayment · MK-CF-F-025 minimumDebtService · MK-ST-F-055 round2 · MK-CF-F-024 totalDebtMonthly · MK-CF-F-022 paymentShape · MK-CF-F-023 requiredPayment · MK-CF-F-021 defaultPaymentType</t>
        </is>
      </c>
      <c r="O156" s="3" t="inlineStr">
        <is>
          <t>MK-ST-F-055 round2 → MK-CF-F-026 actualDebtPayment → MK-CF-F-036 buildDebtState → MK-CF-F-041 getDebtState
MK-CF-F-022 paymentShape → MK-CF-F-023 requiredPayment → MK-CF-F-024 totalDebtMonthly → MK-CF-F-026 actualDebtPayment → MK-CF-F-036 buildDebtState → MK-CF-F-041 getDebtState
MK-CF-F-021 defaultPaymentType → MK-CF-F-022 paymentShape → MK-CF-F-025 minimumDebtService → MK-CF-F-036 buildDebtState → MK-CF-F-041 getDebtState
MK-ST-F-055 round2 → MK-CF-F-025 minimumDebtService → MK-CF-F-036 buildDebtState → MK-CF-F-041 getDebtState
MK-ST-F-055 round2 → MK-CF-F-036 buildDebtState → MK-CF-F-041 getDebtState
MK-CF-F-039 loadDebt → MK-CF-F-041 getDebtState</t>
        </is>
      </c>
      <c r="P156" s="3" t="inlineStr">
        <is>
          <t>—</t>
        </is>
      </c>
      <c r="Q156" s="3" t="inlineStr">
        <is>
          <t>—</t>
        </is>
      </c>
    </row>
    <row r="157">
      <c r="A157" s="3" t="inlineStr">
        <is>
          <t>MK-CF-F-052</t>
        </is>
      </c>
      <c r="B157" s="3" t="inlineStr">
        <is>
          <t>getIncomeState</t>
        </is>
      </c>
      <c r="C157" s="3" t="inlineStr">
        <is>
          <t>src/domain/income/index.ts</t>
        </is>
      </c>
      <c r="D157" s="3" t="n">
        <v>29</v>
      </c>
      <c r="E157" s="3" t="inlineStr">
        <is>
          <t>3 · DEPENDENT (feeds an action only)</t>
        </is>
      </c>
      <c r="F157" s="3" t="inlineStr">
        <is>
          <t>The public read-model (spec IncomeState): totals, effective rate, monthly grid.</t>
        </is>
      </c>
      <c r="G157" s="3" t="inlineStr">
        <is>
          <t>uid: UserId</t>
        </is>
      </c>
      <c r="H157" s="3" t="inlineStr">
        <is>
          <t>Promise&lt;IncomeState | null&gt;</t>
        </is>
      </c>
      <c r="I157" s="3" t="inlineStr">
        <is>
          <t>—</t>
        </is>
      </c>
      <c r="J157" s="3" t="inlineStr">
        <is>
          <t>None found in this function — anything it assumes comes from the functions it depends on.</t>
        </is>
      </c>
      <c r="K157" s="3" t="inlineStr">
        <is>
          <t>No</t>
        </is>
      </c>
      <c r="L157" s="3" t="inlineStr">
        <is>
          <t>MK-CF-F-049 buildIncomeState · MK-CF-F-050 loadIncome</t>
        </is>
      </c>
      <c r="M157" s="3" t="n">
        <v>15</v>
      </c>
      <c r="N157" s="3" t="inlineStr">
        <is>
          <t>MK-CF-F-049 buildIncomeState · MK-CF-F-050 loadIncome · MK-CF-F-048 effectiveTaxRate · MK-CF-F-046 employerMatchAnnual · MK-CF-F-045 grossAnnualBaseline · MK-CF-F-098 progressiveMonthlyTax · MK-ST-F-055 round2 · MK-CF-F-047 estimateEffectiveTaxRate · MK-CF-F-044 annualNet · MK-CF-F-101 taxOwedFor · MK-CF-F-100 taxableIncomeFor · MK-CF-F-096 effectiveRateOnGross · MK-CF-F-099 deductionFor · MK-CF-F-095 taxOwed · MK-CF-F-093 taxableIncome</t>
        </is>
      </c>
      <c r="O157" s="3" t="inlineStr">
        <is>
          <t>MK-CF-F-095 taxOwed → MK-CF-F-096 effectiveRateOnGross → MK-CF-F-047 estimateEffectiveTaxRate → MK-CF-F-048 effectiveTaxRate → MK-CF-F-049 buildIncomeState → MK-CF-F-052 getIncomeState
MK-CF-F-046 employerMatchAnnual → MK-CF-F-049 buildIncomeState → MK-CF-F-052 getIncomeState
MK-CF-F-044 annualNet → MK-CF-F-045 grossAnnualBaseline → MK-CF-F-049 buildIncomeState → MK-CF-F-052 getIncomeState
MK-CF-F-099 deductionFor → MK-CF-F-100 taxableIncomeFor → MK-CF-F-101 taxOwedFor → MK-CF-F-098 progressiveMonthlyTax → MK-CF-F-049 buildIncomeState → MK-CF-F-052 getIncomeState
MK-CF-F-099 deductionFor → MK-CF-F-100 taxableIncomeFor → MK-CF-F-098 progressiveMonthlyTax → MK-CF-F-049 buildIncomeState → MK-CF-F-052 getIncomeState
MK-ST-F-055 round2 → MK-CF-F-049 buildIncomeState → MK-CF-F-052 getIncomeState
MK-CF-F-050 loadIncome → MK-CF-F-052 getIncomeState</t>
        </is>
      </c>
      <c r="P157" s="3" t="inlineStr">
        <is>
          <t>—</t>
        </is>
      </c>
      <c r="Q157" s="3" t="inlineStr">
        <is>
          <t>—</t>
        </is>
      </c>
    </row>
    <row r="158">
      <c r="A158" s="3" t="inlineStr">
        <is>
          <t>MK-XS-F-023</t>
        </is>
      </c>
      <c r="B158" s="3" t="inlineStr">
        <is>
          <t>getProfileReadModel</t>
        </is>
      </c>
      <c r="C158" s="3" t="inlineStr">
        <is>
          <t>src/domain/profile/index.ts</t>
        </is>
      </c>
      <c r="D158" s="3" t="n">
        <v>27</v>
      </c>
      <c r="E158" s="3" t="inlineStr">
        <is>
          <t>3 · DEPENDENT (feeds an action only)</t>
        </is>
      </c>
      <c r="F158" s="3" t="inlineStr">
        <is>
          <t>Profile + derived planning values (current age, years to retirement, horizon).</t>
        </is>
      </c>
      <c r="G158" s="3" t="inlineStr">
        <is>
          <t>uid: UserId</t>
        </is>
      </c>
      <c r="H158" s="3" t="inlineStr">
        <is>
          <t>Promise&lt;ProfileReadModel | null&gt;</t>
        </is>
      </c>
      <c r="I158" s="3" t="inlineStr">
        <is>
          <t>—</t>
        </is>
      </c>
      <c r="J158" s="3" t="inlineStr">
        <is>
          <t>None found in this function — anything it assumes comes from the functions it depends on.</t>
        </is>
      </c>
      <c r="K158" s="3" t="inlineStr">
        <is>
          <t>No</t>
        </is>
      </c>
      <c r="L158" s="3" t="inlineStr">
        <is>
          <t>MK-XS-F-021 loadProfile · MK-XS-F-020 toReadModel</t>
        </is>
      </c>
      <c r="M158" s="3" t="n">
        <v>5</v>
      </c>
      <c r="N158" s="3" t="inlineStr">
        <is>
          <t>MK-XS-F-021 loadProfile · MK-XS-F-020 toReadModel · MK-XS-F-017 currentAge · MK-XS-F-019 retirementHorizonYears · MK-XS-F-018 yearsToRetirement</t>
        </is>
      </c>
      <c r="O158" s="3" t="inlineStr">
        <is>
          <t>MK-XS-F-021 loadProfile → MK-XS-F-023 getProfileReadModel
MK-XS-F-017 currentAge → MK-XS-F-020 toReadModel → MK-XS-F-023 getProfileReadModel
MK-XS-F-019 retirementHorizonYears → MK-XS-F-020 toReadModel → MK-XS-F-023 getProfileReadModel
MK-XS-F-018 yearsToRetirement → MK-XS-F-020 toReadModel → MK-XS-F-023 getProfileReadModel</t>
        </is>
      </c>
      <c r="P158" s="3" t="inlineStr">
        <is>
          <t>—</t>
        </is>
      </c>
      <c r="Q158" s="3" t="inlineStr">
        <is>
          <t>—</t>
        </is>
      </c>
    </row>
    <row r="159">
      <c r="A159" s="3" t="inlineStr">
        <is>
          <t>MK-ST-F-041</t>
        </is>
      </c>
      <c r="B159" s="3" t="inlineStr">
        <is>
          <t>getUserDoc</t>
        </is>
      </c>
      <c r="C159" s="3" t="inlineStr">
        <is>
          <t>src/domain/_shared/firestore.ts</t>
        </is>
      </c>
      <c r="D159" s="3" t="n">
        <v>9</v>
      </c>
      <c r="E159" s="3" t="inlineStr">
        <is>
          <t>4 · BRINGS DATA IN</t>
        </is>
      </c>
      <c r="F159" s="3" t="inlineStr">
        <is>
          <t>Read a single-document-per-user collection (e.g.</t>
        </is>
      </c>
      <c r="G159" s="3" t="inlineStr">
        <is>
          <t>collectionName: string · uid: UserId</t>
        </is>
      </c>
      <c r="H159" s="3" t="inlineStr">
        <is>
          <t>Promise&lt;T | null&gt;</t>
        </is>
      </c>
      <c r="I159" s="3" t="inlineStr">
        <is>
          <t>—</t>
        </is>
      </c>
      <c r="J159" s="3" t="inlineStr">
        <is>
          <t>None found in this function — anything it assumes comes from the functions it depends on.</t>
        </is>
      </c>
      <c r="K159" s="3" t="inlineStr">
        <is>
          <t>No</t>
        </is>
      </c>
      <c r="L159" s="3" t="inlineStr">
        <is>
          <t>—</t>
        </is>
      </c>
      <c r="M159" s="3" t="n">
        <v>0</v>
      </c>
      <c r="N159" s="3" t="inlineStr">
        <is>
          <t>None — no dependent function stands behind it</t>
        </is>
      </c>
      <c r="O159" s="3" t="inlineStr">
        <is>
          <t>No dependent function — it reads its inputs and answers</t>
        </is>
      </c>
      <c r="P159" s="3" t="inlineStr">
        <is>
          <t>—</t>
        </is>
      </c>
      <c r="Q159" s="3" t="inlineStr">
        <is>
          <t>—</t>
        </is>
      </c>
    </row>
    <row r="160">
      <c r="A160" s="3" t="inlineStr">
        <is>
          <t>MK-PL-F-019</t>
        </is>
      </c>
      <c r="B160" s="3" t="inlineStr">
        <is>
          <t>goalMonthsRemaining</t>
        </is>
      </c>
      <c r="C160" s="3" t="inlineStr">
        <is>
          <t>src/domain/goals/index.ts</t>
        </is>
      </c>
      <c r="D160" s="3" t="n">
        <v>100</v>
      </c>
      <c r="E160" s="3" t="inlineStr">
        <is>
          <t>3 · DEPENDENT</t>
        </is>
      </c>
      <c r="F160" s="3" t="inlineStr">
        <is>
          <t>Months remaining: from the target date if set, else the goal's `duration` (months).</t>
        </is>
      </c>
      <c r="G160" s="3" t="inlineStr">
        <is>
          <t>g: GoalLike · now: Date = new Date()</t>
        </is>
      </c>
      <c r="H160" s="3" t="inlineStr">
        <is>
          <t>number | null</t>
        </is>
      </c>
      <c r="I160" s="3" t="inlineStr">
        <is>
          <t>—</t>
        </is>
      </c>
      <c r="J160" s="3" t="inlineStr">
        <is>
          <t>· Uses today's date from the device clock, so the answer changes by itself overnight.</t>
        </is>
      </c>
      <c r="K160" s="3" t="inlineStr">
        <is>
          <t>Yes</t>
        </is>
      </c>
      <c r="L160" s="3" t="inlineStr">
        <is>
          <t>MK-PL-F-018 monthsUntil</t>
        </is>
      </c>
      <c r="M160" s="3" t="n">
        <v>1</v>
      </c>
      <c r="N160" s="3" t="inlineStr">
        <is>
          <t>MK-PL-F-018 monthsUntil</t>
        </is>
      </c>
      <c r="O160" s="3" t="inlineStr">
        <is>
          <t>MK-PL-F-018 monthsUntil → MK-PL-F-019 goalMonthsRemaining</t>
        </is>
      </c>
      <c r="P160" s="3" t="inlineStr">
        <is>
          <t>—</t>
        </is>
      </c>
      <c r="Q160" s="3" t="inlineStr">
        <is>
          <t>—</t>
        </is>
      </c>
    </row>
    <row r="161">
      <c r="A161" s="3" t="inlineStr">
        <is>
          <t>MK-PL-F-022</t>
        </is>
      </c>
      <c r="B161" s="3" t="inlineStr">
        <is>
          <t>goalProgressPct</t>
        </is>
      </c>
      <c r="C161" s="3" t="inlineStr">
        <is>
          <t>src/domain/goals/index.ts</t>
        </is>
      </c>
      <c r="D161" s="3" t="n">
        <v>123</v>
      </c>
      <c r="E161" s="3" t="inlineStr">
        <is>
          <t>3 · DEPENDENT (feeds an action only)</t>
        </is>
      </c>
      <c r="F161" s="3" t="inlineStr">
        <is>
          <t>Funded %, clamped 0–100.</t>
        </is>
      </c>
      <c r="G161" s="3" t="inlineStr">
        <is>
          <t>g: GoalLike</t>
        </is>
      </c>
      <c r="H161" s="3" t="inlineStr">
        <is>
          <t>number</t>
        </is>
      </c>
      <c r="I161" s="3" t="inlineStr">
        <is>
          <t>—</t>
        </is>
      </c>
      <c r="J161" s="3" t="inlineStr">
        <is>
          <t>· If target is missing it counts as zero, so nothing recorded and a real zero look the same.
· If saved is missing it counts as zero, so nothing recorded and a real zero look the same.
· Multiplies by 100 — a percentage, or an option contract treated as 100 shares. Worth checking which.
· Rounds the answer to a whole number.</t>
        </is>
      </c>
      <c r="K161" s="3" t="inlineStr">
        <is>
          <t>No</t>
        </is>
      </c>
      <c r="L161" s="3" t="inlineStr">
        <is>
          <t>—</t>
        </is>
      </c>
      <c r="M161" s="3" t="n">
        <v>0</v>
      </c>
      <c r="N161" s="3" t="inlineStr">
        <is>
          <t>None — no dependent function stands behind it</t>
        </is>
      </c>
      <c r="O161" s="3" t="inlineStr">
        <is>
          <t>No dependent function — it reads its inputs and answers</t>
        </is>
      </c>
      <c r="P161" s="3" t="inlineStr">
        <is>
          <t>—</t>
        </is>
      </c>
      <c r="Q161" s="3" t="inlineStr">
        <is>
          <t>—</t>
        </is>
      </c>
    </row>
    <row r="162">
      <c r="A162" s="3" t="inlineStr">
        <is>
          <t>MK-PL-F-023</t>
        </is>
      </c>
      <c r="B162" s="3" t="inlineStr">
        <is>
          <t>goalStatus</t>
        </is>
      </c>
      <c r="C162" s="3" t="inlineStr">
        <is>
          <t>src/domain/goals/index.ts</t>
        </is>
      </c>
      <c r="D162" s="3" t="n">
        <v>136</v>
      </c>
      <c r="E162" s="3" t="inlineStr">
        <is>
          <t>2 · DISPLAYED</t>
        </is>
      </c>
      <c r="F162" s="3" t="inlineStr">
        <is>
          <t>NOT DETERMINED — the code carries no note saying what this is for, and it has no row in the old inventory. Needs reading.</t>
        </is>
      </c>
      <c r="G162" s="3" t="inlineStr">
        <is>
          <t>g: GoalLike · fundedThisMonth: number | null | undefined · now: Date = new Date()</t>
        </is>
      </c>
      <c r="H162" s="3" t="inlineStr">
        <is>
          <t>GoalStatus</t>
        </is>
      </c>
      <c r="I162" s="3" t="inlineStr">
        <is>
          <t>"Complete! 🎉" — on the rewards screen</t>
        </is>
      </c>
      <c r="J162" s="3" t="inlineStr">
        <is>
          <t>· If saved is missing it counts as zero, so nothing recorded and a real zero look the same.
· If target is missing it counts as zero, so nothing recorded and a real zero look the same.
· If funded this month is missing it counts as zero, so nothing recorded and a real zero look the same.
· Uses today's date from the device clock, so the answer changes by itself overnight.</t>
        </is>
      </c>
      <c r="K162" s="3" t="inlineStr">
        <is>
          <t>Yes</t>
        </is>
      </c>
      <c r="L162" s="3" t="inlineStr">
        <is>
          <t>MK-PL-F-020 requiredMonthly</t>
        </is>
      </c>
      <c r="M162" s="3" t="n">
        <v>4</v>
      </c>
      <c r="N162" s="3" t="inlineStr">
        <is>
          <t>MK-PL-F-020 requiredMonthly · MK-PL-F-019 goalMonthsRemaining · MK-ST-F-055 round2 · MK-PL-F-018 monthsUntil</t>
        </is>
      </c>
      <c r="O162" s="3" t="inlineStr">
        <is>
          <t>MK-PL-F-018 monthsUntil → MK-PL-F-019 goalMonthsRemaining → MK-PL-F-020 requiredMonthly → MK-PL-F-023 goalStatus
MK-ST-F-055 round2 → MK-PL-F-020 requiredMonthly → MK-PL-F-023 goalStatus</t>
        </is>
      </c>
      <c r="P162" s="3" t="inlineStr">
        <is>
          <t>—</t>
        </is>
      </c>
      <c r="Q162" s="3" t="inlineStr">
        <is>
          <t>—</t>
        </is>
      </c>
    </row>
    <row r="163">
      <c r="A163" s="3" t="inlineStr">
        <is>
          <t>MK-PL-F-013</t>
        </is>
      </c>
      <c r="B163" s="3" t="inlineStr">
        <is>
          <t>goalsFromOnboarding</t>
        </is>
      </c>
      <c r="C163" s="3" t="inlineStr">
        <is>
          <t>src/domain/goals/index.ts</t>
        </is>
      </c>
      <c r="D163" s="3" t="n">
        <v>51</v>
      </c>
      <c r="E163" s="3" t="inlineStr">
        <is>
          <t>3 · DEPENDENT</t>
        </is>
      </c>
      <c r="F163" s="3" t="inlineStr">
        <is>
          <t>NOT DETERMINED — the code carries no note saying what this is for, and it has no row in the old inventory. Needs reading.</t>
        </is>
      </c>
      <c r="G163" s="3" t="inlineStr">
        <is>
          <t>uid: UserId · op: Record&lt;string, any&gt; | null</t>
        </is>
      </c>
      <c r="H163" s="3" t="inlineStr">
        <is>
          <t>GoalsDoc</t>
        </is>
      </c>
      <c r="I163" s="3" t="inlineStr">
        <is>
          <t>—</t>
        </is>
      </c>
      <c r="J163" s="3" t="inlineStr">
        <is>
          <t>· Leaves some rows out of the answer — check which.</t>
        </is>
      </c>
      <c r="K163" s="3" t="inlineStr">
        <is>
          <t>Yes</t>
        </is>
      </c>
      <c r="L163" s="3" t="inlineStr">
        <is>
          <t>MK-ST-F-043 newEntityId · MK-ST-F-052 toNum</t>
        </is>
      </c>
      <c r="M163" s="3" t="n">
        <v>2</v>
      </c>
      <c r="N163" s="3" t="inlineStr">
        <is>
          <t>MK-ST-F-043 newEntityId · MK-ST-F-052 toNum</t>
        </is>
      </c>
      <c r="O163" s="3" t="inlineStr">
        <is>
          <t>MK-ST-F-043 newEntityId → MK-PL-F-013 goalsFromOnboarding
MK-ST-F-052 toNum → MK-PL-F-013 goalsFromOnboarding</t>
        </is>
      </c>
      <c r="P163" s="3" t="inlineStr">
        <is>
          <t>—</t>
        </is>
      </c>
      <c r="Q163" s="3" t="inlineStr">
        <is>
          <t>—</t>
        </is>
      </c>
    </row>
    <row r="164">
      <c r="A164" s="3" t="inlineStr">
        <is>
          <t>MK-CF-F-045</t>
        </is>
      </c>
      <c r="B164" s="3" t="inlineStr">
        <is>
          <t>grossAnnualBaseline</t>
        </is>
      </c>
      <c r="C164" s="3" t="inlineStr">
        <is>
          <t>src/domain/income/calc.ts</t>
        </is>
      </c>
      <c r="D164" s="3" t="n">
        <v>17</v>
      </c>
      <c r="E164" s="3" t="inlineStr">
        <is>
          <t>3 · DEPENDENT</t>
        </is>
      </c>
      <c r="F164" s="3" t="inlineStr">
        <is>
          <t>Gross annual baseline = jobs (gross) + rentals (gross − expenses), all annualized.</t>
        </is>
      </c>
      <c r="G164" s="3" t="inlineStr">
        <is>
          <t>sources: IncomeSource[]</t>
        </is>
      </c>
      <c r="H164" s="3" t="inlineStr">
        <is>
          <t>number</t>
        </is>
      </c>
      <c r="I164" s="3" t="inlineStr">
        <is>
          <t>—</t>
        </is>
      </c>
      <c r="J164" s="3" t="inlineStr">
        <is>
          <t>None found in this function — anything it assumes comes from the functions it depends on.</t>
        </is>
      </c>
      <c r="K164" s="3" t="inlineStr">
        <is>
          <t>Yes</t>
        </is>
      </c>
      <c r="L164" s="3" t="inlineStr">
        <is>
          <t>MK-CF-F-044 annualNet</t>
        </is>
      </c>
      <c r="M164" s="3" t="n">
        <v>1</v>
      </c>
      <c r="N164" s="3" t="inlineStr">
        <is>
          <t>MK-CF-F-044 annualNet</t>
        </is>
      </c>
      <c r="O164" s="3" t="inlineStr">
        <is>
          <t>MK-CF-F-044 annualNet → MK-CF-F-045 grossAnnualBaseline</t>
        </is>
      </c>
      <c r="P164" s="3" t="inlineStr">
        <is>
          <t>—</t>
        </is>
      </c>
      <c r="Q164" s="3" t="inlineStr">
        <is>
          <t>—</t>
        </is>
      </c>
    </row>
    <row r="165">
      <c r="A165" s="3" t="inlineStr">
        <is>
          <t>MK-CF-F-097</t>
        </is>
      </c>
      <c r="B165" s="3" t="inlineStr">
        <is>
          <t>grossFromNet</t>
        </is>
      </c>
      <c r="C165" s="3" t="inlineStr">
        <is>
          <t>src/domain/income/tax.ts</t>
        </is>
      </c>
      <c r="D165" s="3" t="n">
        <v>47</v>
      </c>
      <c r="E165" s="3" t="inlineStr">
        <is>
          <t>3 · DEPENDENT</t>
        </is>
      </c>
      <c r="F165" s="3" t="inlineStr">
        <is>
          <t>Invert the schedule: the gross income whose take-home equals `net` (bisection).</t>
        </is>
      </c>
      <c r="G165" s="3" t="inlineStr">
        <is>
          <t>net: number</t>
        </is>
      </c>
      <c r="H165" s="3" t="inlineStr">
        <is>
          <t>number</t>
        </is>
      </c>
      <c r="I165" s="3" t="inlineStr">
        <is>
          <t>—</t>
        </is>
      </c>
      <c r="J165" s="3" t="inlineStr">
        <is>
          <t>· Uses a built-in i of 0.
· Rounds the answer to a whole number.</t>
        </is>
      </c>
      <c r="K165" s="3" t="inlineStr">
        <is>
          <t>Yes</t>
        </is>
      </c>
      <c r="L165" s="3" t="inlineStr">
        <is>
          <t>MK-CF-F-095 taxOwed</t>
        </is>
      </c>
      <c r="M165" s="3" t="n">
        <v>2</v>
      </c>
      <c r="N165" s="3" t="inlineStr">
        <is>
          <t>MK-CF-F-095 taxOwed · MK-CF-F-093 taxableIncome</t>
        </is>
      </c>
      <c r="O165" s="3" t="inlineStr">
        <is>
          <t>MK-CF-F-093 taxableIncome → MK-CF-F-095 taxOwed → MK-CF-F-097 grossFromNet</t>
        </is>
      </c>
      <c r="P165" s="3" t="inlineStr">
        <is>
          <t>—</t>
        </is>
      </c>
      <c r="Q165" s="3" t="inlineStr">
        <is>
          <t>GROSS_FROM_TAKE_HOME</t>
        </is>
      </c>
    </row>
    <row r="166">
      <c r="A166" s="3" t="inlineStr">
        <is>
          <t>MK-CF-F-061</t>
        </is>
      </c>
      <c r="B166" s="3" t="inlineStr">
        <is>
          <t>grossSalaryMonthly</t>
        </is>
      </c>
      <c r="C166" s="3" t="inlineStr">
        <is>
          <t>src/domain/income/onboarding.ts</t>
        </is>
      </c>
      <c r="D166" s="3" t="n">
        <v>60</v>
      </c>
      <c r="E166" s="3" t="inlineStr">
        <is>
          <t>3 · DEPENDENT</t>
        </is>
      </c>
      <c r="F166" s="3" t="inlineStr">
        <is>
          <t>A representative full-month GROSS salary (the highest month — undiluted by $0 gap months).</t>
        </is>
      </c>
      <c r="G166" s="3" t="inlineStr">
        <is>
          <t>op: OnboardingProfile | null</t>
        </is>
      </c>
      <c r="H166" s="3" t="inlineStr">
        <is>
          <t>number</t>
        </is>
      </c>
      <c r="I166" s="3" t="inlineStr">
        <is>
          <t>—</t>
        </is>
      </c>
      <c r="J166" s="3" t="inlineStr">
        <is>
          <t>None found in this function — anything it assumes comes from the functions it depends on.</t>
        </is>
      </c>
      <c r="K166" s="3" t="inlineStr">
        <is>
          <t>Yes</t>
        </is>
      </c>
      <c r="L166" s="3" t="inlineStr">
        <is>
          <t>MK-CF-F-060 salaryGrossByMonth</t>
        </is>
      </c>
      <c r="M166" s="3" t="n">
        <v>6</v>
      </c>
      <c r="N166" s="3" t="inlineStr">
        <is>
          <t>MK-CF-F-060 salaryGrossByMonth · MK-CF-F-097 grossFromNet · MK-ST-F-055 round2 · MK-ST-F-052 toNum · MK-CF-F-095 taxOwed · MK-CF-F-093 taxableIncome</t>
        </is>
      </c>
      <c r="O166" s="3" t="inlineStr">
        <is>
          <t>MK-CF-F-093 taxableIncome → MK-CF-F-095 taxOwed → MK-CF-F-097 grossFromNet → MK-CF-F-060 salaryGrossByMonth → MK-CF-F-061 grossSalaryMonthly
MK-ST-F-055 round2 → MK-CF-F-060 salaryGrossByMonth → MK-CF-F-061 grossSalaryMonthly
MK-ST-F-052 toNum → MK-CF-F-060 salaryGrossByMonth → MK-CF-F-061 grossSalaryMonthly</t>
        </is>
      </c>
      <c r="P166" s="3" t="inlineStr">
        <is>
          <t>—</t>
        </is>
      </c>
      <c r="Q166" s="3" t="inlineStr">
        <is>
          <t>—</t>
        </is>
      </c>
    </row>
    <row r="167">
      <c r="A167" s="3" t="inlineStr">
        <is>
          <t>MK-PL-F-054</t>
        </is>
      </c>
      <c r="B167" s="3" t="inlineStr">
        <is>
          <t>growOneYear</t>
        </is>
      </c>
      <c r="C167" s="3" t="inlineStr">
        <is>
          <t>src/domain/retirement/index.ts</t>
        </is>
      </c>
      <c r="D167" s="3" t="n">
        <v>314</v>
      </c>
      <c r="E167" s="3" t="inlineStr">
        <is>
          <t>3 · DEPENDENT</t>
        </is>
      </c>
      <c r="F167" s="3" t="inlineStr">
        <is>
          <t>── Deterministic projection (instant — drives the live sliders; no RNG) ────────────── Assumes the average return every year (no market swings).</t>
        </is>
      </c>
      <c r="G167" s="3" t="inlineStr">
        <is>
          <t>balance: number · rate: number</t>
        </is>
      </c>
      <c r="H167" s="3" t="inlineStr">
        <is>
          <t>number</t>
        </is>
      </c>
      <c r="I167" s="3" t="inlineStr">
        <is>
          <t>—</t>
        </is>
      </c>
      <c r="J167" s="3" t="inlineStr">
        <is>
          <t>· If rate is missing it counts as zero, so nothing recorded and a real zero look the same.</t>
        </is>
      </c>
      <c r="K167" s="3" t="inlineStr">
        <is>
          <t>Yes</t>
        </is>
      </c>
      <c r="L167" s="3" t="inlineStr">
        <is>
          <t>—</t>
        </is>
      </c>
      <c r="M167" s="3" t="n">
        <v>0</v>
      </c>
      <c r="N167" s="3" t="inlineStr">
        <is>
          <t>None — no dependent function stands behind it</t>
        </is>
      </c>
      <c r="O167" s="3" t="inlineStr">
        <is>
          <t>No dependent function — it reads its inputs and answers</t>
        </is>
      </c>
      <c r="P167" s="3" t="inlineStr">
        <is>
          <t>—</t>
        </is>
      </c>
      <c r="Q167" s="3" t="inlineStr">
        <is>
          <t>—</t>
        </is>
      </c>
    </row>
    <row r="168">
      <c r="A168" s="3" t="inlineStr">
        <is>
          <t>MK-CF-F-076</t>
        </is>
      </c>
      <c r="B168" s="3" t="inlineStr">
        <is>
          <t>guaranteedOutsideStreams</t>
        </is>
      </c>
      <c r="C168" s="3" t="inlineStr">
        <is>
          <t>src/domain/income/onboarding.ts</t>
        </is>
      </c>
      <c r="D168" s="3" t="n">
        <v>227</v>
      </c>
      <c r="E168" s="3" t="inlineStr">
        <is>
          <t>2 · DISPLAYED</t>
        </is>
      </c>
      <c r="F168" s="3" t="inlineStr">
        <is>
          <t>The plan's guaranteed-income input as separate streams of OUTSIDE money only. Answers: zer</t>
        </is>
      </c>
      <c r="G168" s="3" t="inlineStr">
        <is>
          <t>op: OnboardingProfile | null</t>
        </is>
      </c>
      <c r="H168" s="3" t="inlineStr">
        <is>
          <t>GuaranteedStream[]</t>
        </is>
      </c>
      <c r="I168" s="3" t="inlineStr">
        <is>
          <t>NOT FOUND — a screen calls it, but the words printed beside its answer could not be traced automatically. Needs reading.</t>
        </is>
      </c>
      <c r="J168" s="3" t="inlineStr">
        <is>
          <t>· Leaves some rows out of the answer — check which.</t>
        </is>
      </c>
      <c r="K168" s="3" t="inlineStr">
        <is>
          <t>Yes</t>
        </is>
      </c>
      <c r="L168" s="3" t="inlineStr">
        <is>
          <t>MK-ST-F-052 toNum</t>
        </is>
      </c>
      <c r="M168" s="3" t="n">
        <v>1</v>
      </c>
      <c r="N168" s="3" t="inlineStr">
        <is>
          <t>MK-ST-F-052 toNum</t>
        </is>
      </c>
      <c r="O168" s="3" t="inlineStr">
        <is>
          <t>MK-ST-F-052 toNum → MK-CF-F-076 guaranteedOutsideStreams</t>
        </is>
      </c>
      <c r="P168" s="3" t="inlineStr">
        <is>
          <t>—</t>
        </is>
      </c>
      <c r="Q168" s="3" t="inlineStr">
        <is>
          <t>GUARANTEED_OUTSIDE_STREAMS</t>
        </is>
      </c>
    </row>
    <row r="169">
      <c r="A169" s="3" t="inlineStr">
        <is>
          <t>MK-CF-F-105</t>
        </is>
      </c>
      <c r="B169" s="3" t="inlineStr">
        <is>
          <t>guaranteedRows</t>
        </is>
      </c>
      <c r="C169" s="3" t="inlineStr">
        <is>
          <t>src/domain/paycheck/index.ts</t>
        </is>
      </c>
      <c r="D169" s="3" t="n">
        <v>74</v>
      </c>
      <c r="E169" s="3" t="inlineStr">
        <is>
          <t>3 · DEPENDENT</t>
        </is>
      </c>
      <c r="F169" s="3" t="inlineStr">
        <is>
          <t>The dated guaranteed-income rows for the next 12 months (the F2 grid seam).</t>
        </is>
      </c>
      <c r="G169" s="3" t="inlineStr">
        <is>
          <t>op: OnboardingProfile | null · now: Date = new Date()</t>
        </is>
      </c>
      <c r="H169" s="3" t="inlineStr">
        <is>
          <t>GuaranteedRow[]</t>
        </is>
      </c>
      <c r="I169" s="3" t="inlineStr">
        <is>
          <t>—</t>
        </is>
      </c>
      <c r="J169" s="3" t="inlineStr">
        <is>
          <t>· Uses a built-in q of 0.
· Uses a built-in s of 0.
· Treats a year as twelve equal months.
· Uses today's date from the device clock, so the answer changes by itself overnight.</t>
        </is>
      </c>
      <c r="K169" s="3" t="inlineStr">
        <is>
          <t>Yes</t>
        </is>
      </c>
      <c r="L169" s="3" t="inlineStr">
        <is>
          <t>MK-ST-F-052 toNum</t>
        </is>
      </c>
      <c r="M169" s="3" t="n">
        <v>1</v>
      </c>
      <c r="N169" s="3" t="inlineStr">
        <is>
          <t>MK-ST-F-052 toNum</t>
        </is>
      </c>
      <c r="O169" s="3" t="inlineStr">
        <is>
          <t>MK-ST-F-052 toNum → MK-CF-F-105 guaranteedRows</t>
        </is>
      </c>
      <c r="P169" s="3" t="inlineStr">
        <is>
          <t>—</t>
        </is>
      </c>
      <c r="Q169" s="3" t="inlineStr">
        <is>
          <t>—</t>
        </is>
      </c>
    </row>
    <row r="170">
      <c r="A170" s="3" t="inlineStr">
        <is>
          <t>MK-NW-F-046</t>
        </is>
      </c>
      <c r="B170" s="3" t="inlineStr">
        <is>
          <t>historyCoverage</t>
        </is>
      </c>
      <c r="C170" s="3" t="inlineStr">
        <is>
          <t>src/domain/assets/index.ts</t>
        </is>
      </c>
      <c r="D170" s="3" t="n">
        <v>729</v>
      </c>
      <c r="E170" s="3" t="inlineStr">
        <is>
          <t>2 · DISPLAYED</t>
        </is>
      </c>
      <c r="F170" s="3" t="inlineStr">
        <is>
          <t>NOT DETERMINED — the code carries no note saying what this is for, and it has no row in the old inventory. Needs reading.</t>
        </is>
      </c>
      <c r="G170" s="3" t="inlineStr">
        <is>
          <t>Nothing is handed to it</t>
        </is>
      </c>
      <c r="H170" s="3" t="inlineStr">
        <is>
          <t>NOT DECLARED — the code does not say what it gives back</t>
        </is>
      </c>
      <c r="I170" s="3" t="inlineStr">
        <is>
          <t>NOT FOUND — a screen calls it, but the words printed beside its answer could not be traced automatically. Needs reading.</t>
        </is>
      </c>
      <c r="J170" s="3" t="inlineStr">
        <is>
          <t>· Treats a year as twelve equal months.
· Turns a monthly figure into a year by multiplying by twelve.
· Treats a month as 30 days.
· Uses today's date from the device clock, so the answer changes by itself overnight.
· Rounds the answer to a whole number.</t>
        </is>
      </c>
      <c r="K170" s="3" t="inlineStr">
        <is>
          <t>Yes</t>
        </is>
      </c>
      <c r="L170" s="3" t="inlineStr">
        <is>
          <t>—</t>
        </is>
      </c>
      <c r="M170" s="3" t="n">
        <v>0</v>
      </c>
      <c r="N170" s="3" t="inlineStr">
        <is>
          <t>None — no dependent function stands behind it</t>
        </is>
      </c>
      <c r="O170" s="3" t="inlineStr">
        <is>
          <t>No dependent function — it reads its inputs and answers</t>
        </is>
      </c>
      <c r="P170" s="3" t="inlineStr">
        <is>
          <t>—</t>
        </is>
      </c>
      <c r="Q170" s="3" t="inlineStr">
        <is>
          <t>—</t>
        </is>
      </c>
    </row>
    <row r="171">
      <c r="A171" s="3" t="inlineStr">
        <is>
          <t>MK-PF-F-025</t>
        </is>
      </c>
      <c r="B171" s="3" t="inlineStr">
        <is>
          <t>historyIsComplete</t>
        </is>
      </c>
      <c r="C171" s="3" t="inlineStr">
        <is>
          <t>src/domain/performance/moneyWeighted.ts</t>
        </is>
      </c>
      <c r="D171" s="3" t="n">
        <v>60</v>
      </c>
      <c r="E171" s="3" t="inlineStr">
        <is>
          <t>3 · DEPENDENT</t>
        </is>
      </c>
      <c r="F171" s="3" t="inlineStr">
        <is>
          <t>True iff every measured account's story begins IN the ledger (openable honestly).</t>
        </is>
      </c>
      <c r="G171" s="3" t="inlineStr">
        <is>
          <t>transactions: Transaction[] · accounts: AssetAccount[] · accountIds: Set&lt;string&gt;</t>
        </is>
      </c>
      <c r="H171" s="3" t="inlineStr">
        <is>
          <t>boolean</t>
        </is>
      </c>
      <c r="I171" s="3" t="inlineStr">
        <is>
          <t>—</t>
        </is>
      </c>
      <c r="J171" s="3" t="inlineStr">
        <is>
          <t>· Uses a built-in v of 0.
· Treats a year as 365 days.
· Leaves some rows out of the answer — check which.</t>
        </is>
      </c>
      <c r="K171" s="3" t="inlineStr">
        <is>
          <t>Yes</t>
        </is>
      </c>
      <c r="L171" s="3" t="inlineStr">
        <is>
          <t>—</t>
        </is>
      </c>
      <c r="M171" s="3" t="n">
        <v>0</v>
      </c>
      <c r="N171" s="3" t="inlineStr">
        <is>
          <t>None — no dependent function stands behind it</t>
        </is>
      </c>
      <c r="O171" s="3" t="inlineStr">
        <is>
          <t>No dependent function — it reads its inputs and answers</t>
        </is>
      </c>
      <c r="P171" s="3" t="inlineStr">
        <is>
          <t>—</t>
        </is>
      </c>
      <c r="Q171" s="3" t="inlineStr">
        <is>
          <t>PERSONAL_RETURN_POSSIBLE</t>
        </is>
      </c>
    </row>
    <row r="172">
      <c r="A172" s="3" t="inlineStr">
        <is>
          <t>MK-ST-F-026</t>
        </is>
      </c>
      <c r="B172" s="3" t="inlineStr">
        <is>
          <t>holdingId</t>
        </is>
      </c>
      <c r="C172" s="3" t="inlineStr">
        <is>
          <t>Calculation Module code/engines/snapshots.ts</t>
        </is>
      </c>
      <c r="D172" s="3" t="n">
        <v>66</v>
      </c>
      <c r="E172" s="3" t="inlineStr">
        <is>
          <t>1 · ACTION</t>
        </is>
      </c>
      <c r="F172" s="3" t="inlineStr">
        <is>
          <t>NOT DETERMINED — the code carries no note saying what this is for, and it has no row in the old inventory. Needs reading.</t>
        </is>
      </c>
      <c r="G172" s="3" t="inlineStr">
        <is>
          <t>s: Pick&lt;HoldingSnapshot, 'date' | 'accountId' | 'securityKey'&gt;</t>
        </is>
      </c>
      <c r="H172" s="3" t="inlineStr">
        <is>
          <t>string</t>
        </is>
      </c>
      <c r="I172" s="3" t="inlineStr">
        <is>
          <t>—</t>
        </is>
      </c>
      <c r="J172" s="3" t="inlineStr">
        <is>
          <t>None found in this function — anything it assumes comes from the functions it depends on.</t>
        </is>
      </c>
      <c r="K172" s="3" t="inlineStr">
        <is>
          <t>No</t>
        </is>
      </c>
      <c r="L172" s="3" t="inlineStr">
        <is>
          <t>—</t>
        </is>
      </c>
      <c r="M172" s="3" t="n">
        <v>0</v>
      </c>
      <c r="N172" s="3" t="inlineStr">
        <is>
          <t>None — no dependent function stands behind it</t>
        </is>
      </c>
      <c r="O172" s="3" t="inlineStr">
        <is>
          <t>No dependent function — it reads its inputs and answers</t>
        </is>
      </c>
      <c r="P172" s="3" t="inlineStr">
        <is>
          <t>—</t>
        </is>
      </c>
      <c r="Q172" s="3" t="inlineStr">
        <is>
          <t>—</t>
        </is>
      </c>
    </row>
    <row r="173">
      <c r="A173" s="3" t="inlineStr">
        <is>
          <t>MK-PL-F-043</t>
        </is>
      </c>
      <c r="B173" s="3" t="inlineStr">
        <is>
          <t>howTheGapCloses</t>
        </is>
      </c>
      <c r="C173" s="3" t="inlineStr">
        <is>
          <t>src/domain/planning/target.ts</t>
        </is>
      </c>
      <c r="D173" s="3" t="n">
        <v>103</v>
      </c>
      <c r="E173" s="3" t="inlineStr">
        <is>
          <t>2 · DISPLAYED</t>
        </is>
      </c>
      <c r="F173" s="3" t="inlineStr">
        <is>
          <t>Where the money to close the gap actually comes from — the breakdown that stops a person subtracting and concluding the app cannot add up (founder, 2026-08-14).</t>
        </is>
      </c>
      <c r="G173" s="3" t="inlineStr">
        <is>
          <t>base: RetirementInputs · totalAnnualSaving: number</t>
        </is>
      </c>
      <c r="H173" s="3" t="inlineStr">
        <is>
          <t>NOT DECLARED — the code does not say what it gives back</t>
        </is>
      </c>
      <c r="I173" s="3" t="inlineStr">
        <is>
          <t>NOT FOUND — a screen calls it, but the words printed beside its answer could not be traced automatically. Needs reading.</t>
        </is>
      </c>
      <c r="J173" s="3" t="inlineStr">
        <is>
          <t>· Rounds the answer to a whole number.</t>
        </is>
      </c>
      <c r="K173" s="3" t="inlineStr">
        <is>
          <t>Yes</t>
        </is>
      </c>
      <c r="L173" s="3" t="inlineStr">
        <is>
          <t>MK-PL-F-050 simulate</t>
        </is>
      </c>
      <c r="M173" s="3" t="n">
        <v>4</v>
      </c>
      <c r="N173" s="3" t="inlineStr">
        <is>
          <t>MK-PL-F-050 simulate · MK-ST-F-025 rmdStartAgeFromAge · MK-ST-F-055 round2 · MK-ST-F-024 rmdStartAge</t>
        </is>
      </c>
      <c r="O173" s="3" t="inlineStr">
        <is>
          <t>MK-ST-F-024 rmdStartAge → MK-ST-F-025 rmdStartAgeFromAge → MK-PL-F-050 simulate → MK-PL-F-043 howTheGapCloses
MK-ST-F-055 round2 → MK-PL-F-050 simulate → MK-PL-F-043 howTheGapCloses</t>
        </is>
      </c>
      <c r="P173" s="3" t="inlineStr">
        <is>
          <t>—</t>
        </is>
      </c>
      <c r="Q173" s="3" t="inlineStr">
        <is>
          <t>—</t>
        </is>
      </c>
    </row>
    <row r="174">
      <c r="A174" s="3" t="inlineStr">
        <is>
          <t>MK-XS-F-015</t>
        </is>
      </c>
      <c r="B174" s="3" t="inlineStr">
        <is>
          <t>importHoldings</t>
        </is>
      </c>
      <c r="C174" s="3" t="inlineStr">
        <is>
          <t>src/domain/import/holdingsImport.ts</t>
        </is>
      </c>
      <c r="D174" s="3" t="n">
        <v>153</v>
      </c>
      <c r="E174" s="3" t="inlineStr">
        <is>
          <t>2 · DISPLAYED</t>
        </is>
      </c>
      <c r="F174" s="3" t="inlineStr">
        <is>
          <t>What holdings are in this file?</t>
        </is>
      </c>
      <c r="G174" s="3" t="inlineStr">
        <is>
          <t>text: string</t>
        </is>
      </c>
      <c r="H174" s="3" t="inlineStr">
        <is>
          <t>ImportResult</t>
        </is>
      </c>
      <c r="I174" s="3" t="inlineStr">
        <is>
          <t>NOT FOUND — a screen calls it, but the words printed beside its answer could not be traced automatically. Needs reading.</t>
        </is>
      </c>
      <c r="J174" s="3" t="inlineStr">
        <is>
          <t>· Uses a built-in skipped of 0.</t>
        </is>
      </c>
      <c r="K174" s="3" t="inlineStr">
        <is>
          <t>Yes</t>
        </is>
      </c>
      <c r="L174" s="3" t="inlineStr">
        <is>
          <t>MK-XS-F-014 classifyHolding · MK-XS-F-013 parseCsv</t>
        </is>
      </c>
      <c r="M174" s="3" t="n">
        <v>4</v>
      </c>
      <c r="N174" s="3" t="inlineStr">
        <is>
          <t>MK-XS-F-014 classifyHolding · MK-XS-F-013 parseCsv · MK-ST-F-011 classifyHoldingClass · MK-ST-F-010 nameEvidence</t>
        </is>
      </c>
      <c r="O174" s="3" t="inlineStr">
        <is>
          <t>MK-ST-F-010 nameEvidence → MK-ST-F-011 classifyHoldingClass → MK-XS-F-014 classifyHolding → MK-XS-F-015 importHoldings
MK-XS-F-013 parseCsv → MK-XS-F-015 importHoldings</t>
        </is>
      </c>
      <c r="P174" s="3" t="inlineStr">
        <is>
          <t>—</t>
        </is>
      </c>
      <c r="Q174" s="3" t="inlineStr">
        <is>
          <t>FILE_IMPORT</t>
        </is>
      </c>
    </row>
    <row r="175">
      <c r="A175" s="3" t="inlineStr">
        <is>
          <t>MK-ST-F-014</t>
        </is>
      </c>
      <c r="B175" s="3" t="inlineStr">
        <is>
          <t>importKey</t>
        </is>
      </c>
      <c r="C175" s="3" t="inlineStr">
        <is>
          <t>Calculation Module code/engines/ledger.ts</t>
        </is>
      </c>
      <c r="D175" s="3" t="n">
        <v>210</v>
      </c>
      <c r="E175" s="3" t="inlineStr">
        <is>
          <t>3 · DEPENDENT (feeds an action only)</t>
        </is>
      </c>
      <c r="F175" s="3" t="inlineStr">
        <is>
          <t>NOT DETERMINED — the code carries no note saying what this is for, and it has no row in the old inventory. Needs reading.</t>
        </is>
      </c>
      <c r="G175" s="3" t="inlineStr">
        <is>
          <t>id: ImportIdentity</t>
        </is>
      </c>
      <c r="H175" s="3" t="inlineStr">
        <is>
          <t>string</t>
        </is>
      </c>
      <c r="I175" s="3" t="inlineStr">
        <is>
          <t>—</t>
        </is>
      </c>
      <c r="J175" s="3" t="inlineStr">
        <is>
          <t>None found in this function — anything it assumes comes from the functions it depends on.</t>
        </is>
      </c>
      <c r="K175" s="3" t="inlineStr">
        <is>
          <t>No</t>
        </is>
      </c>
      <c r="L175" s="3" t="inlineStr">
        <is>
          <t>—</t>
        </is>
      </c>
      <c r="M175" s="3" t="n">
        <v>0</v>
      </c>
      <c r="N175" s="3" t="inlineStr">
        <is>
          <t>None — no dependent function stands behind it</t>
        </is>
      </c>
      <c r="O175" s="3" t="inlineStr">
        <is>
          <t>No dependent function — it reads its inputs and answers</t>
        </is>
      </c>
      <c r="P175" s="3" t="inlineStr">
        <is>
          <t>—</t>
        </is>
      </c>
      <c r="Q175" s="3" t="inlineStr">
        <is>
          <t>—</t>
        </is>
      </c>
    </row>
    <row r="176">
      <c r="A176" s="3" t="inlineStr">
        <is>
          <t>MK-NW-F-008</t>
        </is>
      </c>
      <c r="B176" s="3" t="inlineStr">
        <is>
          <t>incomeBearingClassOf</t>
        </is>
      </c>
      <c r="C176" s="3" t="inlineStr">
        <is>
          <t>src/domain/assets/index.ts</t>
        </is>
      </c>
      <c r="D176" s="3" t="n">
        <v>193</v>
      </c>
      <c r="E176" s="3" t="inlineStr">
        <is>
          <t>3 · DEPENDENT</t>
        </is>
      </c>
      <c r="F176" s="3" t="inlineStr">
        <is>
          <t>FOUNDER RULE 2026-08-04 (supersedes the money-market=cash rule and the 12-month CD split): CASH means cash only — a sweep/settlement balance.</t>
        </is>
      </c>
      <c r="G176" s="3" t="inlineStr">
        <is>
          <t>label?: string</t>
        </is>
      </c>
      <c r="H176" s="3" t="inlineStr">
        <is>
          <t>AssetClass | null</t>
        </is>
      </c>
      <c r="I176" s="3" t="inlineStr">
        <is>
          <t>—</t>
        </is>
      </c>
      <c r="J176" s="3" t="inlineStr">
        <is>
          <t>None found in this function — anything it assumes comes from the functions it depends on.</t>
        </is>
      </c>
      <c r="K176" s="3" t="inlineStr">
        <is>
          <t>Yes</t>
        </is>
      </c>
      <c r="L176" s="3" t="inlineStr">
        <is>
          <t>MK-ST-F-010 nameEvidence</t>
        </is>
      </c>
      <c r="M176" s="3" t="n">
        <v>1</v>
      </c>
      <c r="N176" s="3" t="inlineStr">
        <is>
          <t>MK-ST-F-010 nameEvidence</t>
        </is>
      </c>
      <c r="O176" s="3" t="inlineStr">
        <is>
          <t>MK-ST-F-010 nameEvidence → MK-NW-F-008 incomeBearingClassOf</t>
        </is>
      </c>
      <c r="P176" s="3" t="inlineStr">
        <is>
          <t>—</t>
        </is>
      </c>
      <c r="Q176" s="3" t="inlineStr">
        <is>
          <t>CLASS_FROM_NAME_TEXT</t>
        </is>
      </c>
    </row>
    <row r="177">
      <c r="A177" s="3" t="inlineStr">
        <is>
          <t>MK-CF-F-079</t>
        </is>
      </c>
      <c r="B177" s="3" t="inlineStr">
        <is>
          <t>incomeFromOnboarding</t>
        </is>
      </c>
      <c r="C177" s="3" t="inlineStr">
        <is>
          <t>src/domain/income/onboarding.ts</t>
        </is>
      </c>
      <c r="D177" s="3" t="n">
        <v>269</v>
      </c>
      <c r="E177" s="3" t="inlineStr">
        <is>
          <t>2 · DISPLAYED</t>
        </is>
      </c>
      <c r="F177" s="3" t="inlineStr">
        <is>
          <t>NOT DETERMINED — the code carries no note saying what this is for, and it has no row in the old inventory. Needs reading.</t>
        </is>
      </c>
      <c r="G177" s="3" t="inlineStr">
        <is>
          <t>uid: UserId · op: OnboardingProfile | null</t>
        </is>
      </c>
      <c r="H177" s="3" t="inlineStr">
        <is>
          <t>IncomeDoc</t>
        </is>
      </c>
      <c r="I177" s="3" t="inlineStr">
        <is>
          <t>NOT FOUND — a screen calls it, but the words printed beside its answer could not be traced automatically. Needs reading.</t>
        </is>
      </c>
      <c r="J177" s="3" t="inlineStr">
        <is>
          <t>· Treats a year as twelve equal months.
· Leaves some rows out of the answer — check which.</t>
        </is>
      </c>
      <c r="K177" s="3" t="inlineStr">
        <is>
          <t>Yes</t>
        </is>
      </c>
      <c r="L177" s="3" t="inlineStr">
        <is>
          <t>MK-CF-F-070 benefitAnnual · MK-CF-F-072 currentRetirementIncomeMonthly · MK-CF-F-078 employerMatchMonthly · MK-CF-F-065 equityVestWeights · MK-ST-F-043 newEntityId · MK-CF-F-067 rentalList · MK-CF-F-066 rsuAnnual · MK-CF-F-082 salaryAnnual · MK-CF-F-074 tipsAnnual · MK-ST-F-052 toNum</t>
        </is>
      </c>
      <c r="M177" s="3" t="n">
        <v>20</v>
      </c>
      <c r="N177" s="3" t="inlineStr">
        <is>
          <t>MK-CF-F-070 benefitAnnual · MK-CF-F-072 currentRetirementIncomeMonthly · MK-CF-F-078 employerMatchMonthly · MK-CF-F-065 equityVestWeights · MK-ST-F-043 newEntityId · MK-CF-F-067 rentalList · MK-CF-F-066 rsuAnnual · MK-CF-F-082 salaryAnnual · MK-CF-F-074 tipsAnnual · MK-ST-F-052 toNum · MK-CF-F-069 benefitActiveMonths · MK-CF-F-075 retirementIncomeMonthly · MK-CF-F-062 equityRowValue · MK-CF-F-063 rowVestYear · MK-CF-F-060 salaryGrossByMonth · MK-CF-F-081 salaryActiveMonths · MK-CF-F-097 grossFromNet · MK-ST-F-055 round2 · MK-CF-F-095 taxOwed · MK-CF-F-093 taxableIncome</t>
        </is>
      </c>
      <c r="O177" s="3" t="inlineStr">
        <is>
          <t>MK-CF-F-069 benefitActiveMonths → MK-CF-F-070 benefitAnnual → MK-CF-F-079 incomeFromOnboarding
MK-ST-F-052 toNum → MK-CF-F-070 benefitAnnual → MK-CF-F-079 incomeFromOnboarding
MK-ST-F-052 toNum → MK-CF-F-075 retirementIncomeMonthly → MK-CF-F-072 currentRetirementIncomeMonthly → MK-CF-F-079 incomeFromOnboarding
MK-ST-F-052 toNum → MK-CF-F-078 employerMatchMonthly → MK-CF-F-079 incomeFromOnboarding
MK-ST-F-052 toNum → MK-CF-F-062 equityRowValue → MK-CF-F-065 equityVestWeights → MK-CF-F-079 incomeFromOnboarding
MK-ST-F-043 newEntityId → MK-CF-F-079 incomeFromOnboarding
MK-ST-F-052 toNum → MK-CF-F-067 rentalList → MK-CF-F-079 incomeFromOnboarding
MK-ST-F-052 toNum → MK-CF-F-062 equityRowValue → MK-CF-F-066 rsuAnnual → MK-CF-F-079 incomeFromOnboarding
… and 10 more paths</t>
        </is>
      </c>
      <c r="P177" s="3" t="inlineStr">
        <is>
          <t>—</t>
        </is>
      </c>
      <c r="Q177" s="3" t="inlineStr">
        <is>
          <t>—</t>
        </is>
      </c>
    </row>
    <row r="178">
      <c r="A178" s="3" t="inlineStr">
        <is>
          <t>MK-CF-F-092</t>
        </is>
      </c>
      <c r="B178" s="3" t="inlineStr">
        <is>
          <t>incomeMonthlyGrid</t>
        </is>
      </c>
      <c r="C178" s="3" t="inlineStr">
        <is>
          <t>src/domain/income/onboarding.ts</t>
        </is>
      </c>
      <c r="D178" s="3" t="n">
        <v>434</v>
      </c>
      <c r="E178" s="3" t="inlineStr">
        <is>
          <t>2 · DISPLAYED</t>
        </is>
      </c>
      <c r="F178"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178" s="3" t="inlineStr">
        <is>
          <t>op: OnboardingProfile | null · mode: 'gross' | 'net' | 'available' = 'available' · now: Date = new Date()</t>
        </is>
      </c>
      <c r="H178" s="3" t="inlineStr">
        <is>
          <t>NOT DECLARED — the code does not say what it gives back</t>
        </is>
      </c>
      <c r="I178" s="3" t="inlineStr">
        <is>
          <t>NOT FOUND — a screen calls it, but the words printed beside its answer could not be traced automatically. Needs reading.</t>
        </is>
      </c>
      <c r="J178" s="3" t="inlineStr">
        <is>
          <t>· Treats a year as twelve equal months.
· Uses today's date from the device clock, so the answer changes by itself overnight.</t>
        </is>
      </c>
      <c r="K178" s="3" t="inlineStr">
        <is>
          <t>Yes</t>
        </is>
      </c>
      <c r="L178" s="3" t="inlineStr">
        <is>
          <t>MK-CF-F-069 benefitActiveMonths · MK-CF-F-072 currentRetirementIncomeMonthly · MK-CF-F-065 equityVestWeights · MK-CF-F-071 extraIncome · MK-CF-F-087 monthlyTaxRates · MK-CF-F-073 otherIncomeMonth · MK-CF-F-068 rentalNetAnnual · MK-ST-F-055 round2 · MK-CF-F-066 rsuAnnual · MK-CF-F-060 salaryGrossByMonth · MK-CF-F-077 scholarshipByCalendarMonth · MK-ST-F-052 toNum</t>
        </is>
      </c>
      <c r="M178" s="3" t="n">
        <v>34</v>
      </c>
      <c r="N178" s="3" t="inlineStr">
        <is>
          <t>MK-CF-F-069 benefitActiveMonths · MK-CF-F-072 currentRetirementIncomeMonthly · MK-CF-F-065 equityVestWeights · MK-CF-F-071 extraIncome · MK-CF-F-087 monthlyTaxRates · MK-CF-F-073 otherIncomeMonth · MK-CF-F-068 rentalNetAnnual · MK-ST-F-055 round2 · MK-CF-F-066 rsuAnnual · MK-CF-F-060 salaryGrossByMonth · MK-CF-F-077 scholarshipByCalendarMonth · MK-ST-F-052 toNum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O178" s="3" t="inlineStr">
        <is>
          <t>MK-CF-F-069 benefitActiveMonths → MK-CF-F-092 incomeMonthlyGrid
MK-ST-F-052 toNum → MK-CF-F-075 retirementIncomeMonthly → MK-CF-F-072 currentRetirementIncomeMonthly → MK-CF-F-092 incomeMonthlyGrid
MK-ST-F-052 toNum → MK-CF-F-062 equityRowValue → MK-CF-F-065 equityVestWeights → MK-CF-F-092 incomeMonthlyGrid
MK-CF-F-069 benefitActiveMonths → MK-CF-F-070 benefitAnnual → MK-CF-F-071 extraIncome → MK-CF-F-092 incomeMonthlyGrid
MK-ST-F-052 toNum → MK-CF-F-070 benefitAnnual → MK-CF-F-071 extraIncome → MK-CF-F-092 incomeMonthlyGrid
MK-ST-F-055 round2 → MK-CF-F-071 extraIncome → MK-CF-F-092 incomeMonthlyGrid
MK-ST-F-052 toNum → MK-CF-F-071 extraIncome → MK-CF-F-092 incomeMonthlyGrid
MK-CF-F-100 taxableIncomeFor → MK-CF-F-101 taxOwedFor → MK-CF-F-102 effectiveRateOnGrossFor → MK-CF-F-090 effectiveRate → MK-CF-F-087 monthlyTaxRates → MK-CF-F-092 incomeMonthlyGrid
… and 47 more paths</t>
        </is>
      </c>
      <c r="P178" s="3" t="inlineStr">
        <is>
          <t>—</t>
        </is>
      </c>
      <c r="Q178" s="3" t="inlineStr">
        <is>
          <t>—</t>
        </is>
      </c>
    </row>
    <row r="179">
      <c r="A179" s="3" t="inlineStr">
        <is>
          <t>MK-CF-F-037</t>
        </is>
      </c>
      <c r="B179" s="3" t="inlineStr">
        <is>
          <t>inferDebtType</t>
        </is>
      </c>
      <c r="C179" s="3" t="inlineStr">
        <is>
          <t>src/domain/debt/index.ts</t>
        </is>
      </c>
      <c r="D179" s="3" t="n">
        <v>228</v>
      </c>
      <c r="E179" s="3" t="inlineStr">
        <is>
          <t>3 · DEPENDENT</t>
        </is>
      </c>
      <c r="F179" s="3" t="inlineStr">
        <is>
          <t>B-30: infer the debt type from its name so a "Mortgage" is treated as a mortgage (homeowner DTI guideline), not lumped into OTHER (renter guideline).</t>
        </is>
      </c>
      <c r="G179" s="3" t="inlineStr">
        <is>
          <t>label: string | undefined</t>
        </is>
      </c>
      <c r="H179" s="3" t="inlineStr">
        <is>
          <t>DebtType</t>
        </is>
      </c>
      <c r="I179" s="3" t="inlineStr">
        <is>
          <t>—</t>
        </is>
      </c>
      <c r="J179" s="3" t="inlineStr">
        <is>
          <t>None found in this function — anything it assumes comes from the functions it depends on.</t>
        </is>
      </c>
      <c r="K179" s="3" t="inlineStr">
        <is>
          <t>Yes</t>
        </is>
      </c>
      <c r="L179" s="3" t="inlineStr">
        <is>
          <t>—</t>
        </is>
      </c>
      <c r="M179" s="3" t="n">
        <v>0</v>
      </c>
      <c r="N179" s="3" t="inlineStr">
        <is>
          <t>None — no dependent function stands behind it</t>
        </is>
      </c>
      <c r="O179" s="3" t="inlineStr">
        <is>
          <t>No dependent function — it reads its inputs and answers</t>
        </is>
      </c>
      <c r="P179" s="3" t="inlineStr">
        <is>
          <t>—</t>
        </is>
      </c>
      <c r="Q179" s="3" t="inlineStr">
        <is>
          <t>DEBT_TYPE_FROM_NAME</t>
        </is>
      </c>
    </row>
    <row r="180">
      <c r="A180" s="3" t="inlineStr">
        <is>
          <t>MK-XS-F-102</t>
        </is>
      </c>
      <c r="B180" s="3" t="inlineStr">
        <is>
          <t>ingestSync</t>
        </is>
      </c>
      <c r="C180" s="3" t="inlineStr">
        <is>
          <t>src/services/sync/ingest.ts</t>
        </is>
      </c>
      <c r="D180" s="3" t="n">
        <v>38</v>
      </c>
      <c r="E180" s="3" t="inlineStr">
        <is>
          <t>3 · DEPENDENT (feeds an action only)</t>
        </is>
      </c>
      <c r="F180" s="3" t="inlineStr">
        <is>
          <t>A broker just sent us data — what changes?</t>
        </is>
      </c>
      <c r="G180" s="3" t="inlineStr">
        <is>
          <t>Nothing is handed to it</t>
        </is>
      </c>
      <c r="H180" s="3" t="inlineStr">
        <is>
          <t>NOT DECLARED — the code does not say what it gives back</t>
        </is>
      </c>
      <c r="I180" s="3" t="inlineStr">
        <is>
          <t>—</t>
        </is>
      </c>
      <c r="J180" s="3" t="inlineStr">
        <is>
          <t>· If cost per share is missing it uses 0.
· If target return is missing it uses 8%.
· If balance is missing it uses 0.
· If shares is missing it counts as zero, so nothing recorded and a real zero look the same.
· If cost per share is missing it counts as zero, so nothing recorded and a real zero look the same.
· If value is missing it counts as zero, so nothing recorded and a real zero look the same.
· Uses today's date from the device clock, so the answer changes by itself overnight.
· Multiplies by 100 — a percentage, or an option contract treated as 100 shares. Worth checking which.
· Rounds the answer to a whole number.
· Leaves some rows out of the answer — check which.</t>
        </is>
      </c>
      <c r="K180" s="3" t="inlineStr">
        <is>
          <t>No</t>
        </is>
      </c>
      <c r="L180" s="3" t="inlineStr">
        <is>
          <t>MK-XS-F-108 activityKey · MK-ST-F-011 classifyHoldingClass · MK-XS-F-104 mapAccountType · MK-XS-F-106 mapOptionHolding · MK-XS-F-111 mergeHistoryFrom · MK-XS-F-110 netCashSleeve · MK-ST-F-043 newEntityId · MK-ST-F-022 reconcileAccountTotal · MK-XS-F-101 stAssetId · MK-ST-F-012 toLedgerRow · MK-ST-F-021 toNumber</t>
        </is>
      </c>
      <c r="M180" s="3" t="n">
        <v>16</v>
      </c>
      <c r="N180" s="3" t="inlineStr">
        <is>
          <t>MK-XS-F-108 activityKey · MK-ST-F-011 classifyHoldingClass · MK-XS-F-104 mapAccountType · MK-XS-F-106 mapOptionHolding · MK-XS-F-111 mergeHistoryFrom · MK-XS-F-110 netCashSleeve · MK-ST-F-043 newEntityId · MK-ST-F-022 reconcileAccountTotal · MK-XS-F-101 stAssetId · MK-ST-F-012 toLedgerRow · MK-ST-F-021 toNumber · MK-ST-F-014 importKey · MK-ST-F-010 nameEvidence · MK-ST-F-007 classifyEvent · MK-ST-F-018 readMoney · MK-ST-F-019 signed</t>
        </is>
      </c>
      <c r="O180" s="3" t="inlineStr">
        <is>
          <t>MK-ST-F-014 importKey → MK-XS-F-108 activityKey → MK-XS-F-102 ingestSync
MK-ST-F-010 nameEvidence → MK-ST-F-011 classifyHoldingClass → MK-XS-F-102 ingestSync
MK-XS-F-104 mapAccountType → MK-XS-F-102 ingestSync
MK-XS-F-106 mapOptionHolding → MK-XS-F-102 ingestSync
MK-XS-F-111 mergeHistoryFrom → MK-XS-F-102 ingestSync
MK-XS-F-110 netCashSleeve → MK-XS-F-102 ingestSync
MK-ST-F-043 newEntityId → MK-XS-F-102 ingestSync
MK-ST-F-022 reconcileAccountTotal → MK-XS-F-102 ingestSync
… and 6 more paths</t>
        </is>
      </c>
      <c r="P180" s="3" t="inlineStr">
        <is>
          <t>—</t>
        </is>
      </c>
      <c r="Q180" s="3" t="inlineStr">
        <is>
          <t>SYNC_ONE_ACCOUNT</t>
        </is>
      </c>
    </row>
    <row r="181">
      <c r="A181" s="3" t="inlineStr">
        <is>
          <t>MK-XS-F-036</t>
        </is>
      </c>
      <c r="B181" s="3" t="inlineStr">
        <is>
          <t>initCrashReporting</t>
        </is>
      </c>
      <c r="C181" s="3" t="inlineStr">
        <is>
          <t>src/services/crashReporter.ts</t>
        </is>
      </c>
      <c r="D181" s="3" t="n">
        <v>23</v>
      </c>
      <c r="E181" s="3" t="inlineStr">
        <is>
          <t>1 · ACTION</t>
        </is>
      </c>
      <c r="F181" s="3" t="inlineStr">
        <is>
          <t>Initialise crash reporting once, at app start.</t>
        </is>
      </c>
      <c r="G181" s="3" t="inlineStr">
        <is>
          <t>Nothing is handed to it</t>
        </is>
      </c>
      <c r="H181" s="3" t="inlineStr">
        <is>
          <t>void</t>
        </is>
      </c>
      <c r="I181" s="3" t="inlineStr">
        <is>
          <t>—</t>
        </is>
      </c>
      <c r="J181" s="3" t="inlineStr">
        <is>
          <t>None found in this function — anything it assumes comes from the functions it depends on.</t>
        </is>
      </c>
      <c r="K181" s="3" t="inlineStr">
        <is>
          <t>Yes</t>
        </is>
      </c>
      <c r="L181" s="3" t="inlineStr">
        <is>
          <t>MK-XS-F-037 captureException</t>
        </is>
      </c>
      <c r="M181" s="3" t="n">
        <v>1</v>
      </c>
      <c r="N181" s="3" t="inlineStr">
        <is>
          <t>MK-XS-F-037 captureException</t>
        </is>
      </c>
      <c r="O181" s="3" t="inlineStr">
        <is>
          <t>MK-XS-F-037 captureException → MK-XS-F-036 initCrashReporting</t>
        </is>
      </c>
      <c r="P181" s="3" t="inlineStr">
        <is>
          <t>—</t>
        </is>
      </c>
      <c r="Q181" s="3" t="inlineStr">
        <is>
          <t>—</t>
        </is>
      </c>
    </row>
    <row r="182">
      <c r="A182" s="3" t="inlineStr">
        <is>
          <t>MK-NW-F-063</t>
        </is>
      </c>
      <c r="B182" s="3" t="inlineStr">
        <is>
          <t>interestIncomeAnnual</t>
        </is>
      </c>
      <c r="C182" s="3" t="inlineStr">
        <is>
          <t>src/domain/bonds/index.ts</t>
        </is>
      </c>
      <c r="D182" s="3" t="n">
        <v>62</v>
      </c>
      <c r="E182" s="3" t="inlineStr">
        <is>
          <t>2 · DISPLAYED</t>
        </is>
      </c>
      <c r="F182" s="3" t="inlineStr">
        <is>
          <t>Canonical annual INTEREST income across all interest-bearing holdings (Term #6).</t>
        </is>
      </c>
      <c r="G182" s="3" t="inlineStr">
        <is>
          <t>accounts: AssetAccount[]</t>
        </is>
      </c>
      <c r="H182" s="3" t="inlineStr">
        <is>
          <t>number</t>
        </is>
      </c>
      <c r="I182" s="3" t="inlineStr">
        <is>
          <t>"Dividends, interest &amp; coupons" — on the Income manager screen, under "INVESTMENT INCOME"</t>
        </is>
      </c>
      <c r="J182" s="3" t="inlineStr">
        <is>
          <t>· If coupon rate is missing it counts as zero, so nothing recorded and a real zero look the same.
· If face value is missing it counts as zero, so nothing recorded and a real zero look the same.
· If balance is missing it counts as zero, so nothing recorded and a real zero look the same.
· Uses a built-in pv of 0.
· Uses a built-in t of 1.
· Rounds the answer to a whole number.</t>
        </is>
      </c>
      <c r="K182" s="3" t="inlineStr">
        <is>
          <t>Yes</t>
        </is>
      </c>
      <c r="L182" s="3" t="inlineStr">
        <is>
          <t>MK-NW-F-057 annualCoupon · MK-NW-F-011 assetClassOf · MK-ST-F-055 round2 · MK-NW-F-058 yearsToMaturity</t>
        </is>
      </c>
      <c r="M182" s="3" t="n">
        <v>6</v>
      </c>
      <c r="N182" s="3" t="inlineStr">
        <is>
          <t>MK-NW-F-057 annualCoupon · MK-NW-F-011 assetClassOf · MK-ST-F-055 round2 · MK-NW-F-058 yearsToMaturity · MK-NW-F-008 incomeBearingClassOf · MK-ST-F-010 nameEvidence</t>
        </is>
      </c>
      <c r="O182" s="3" t="inlineStr">
        <is>
          <t>MK-ST-F-055 round2 → MK-NW-F-057 annualCoupon → MK-NW-F-063 interestIncomeAnnual
MK-ST-F-010 nameEvidence → MK-NW-F-008 incomeBearingClassOf → MK-NW-F-011 assetClassOf → MK-NW-F-063 interestIncomeAnnual
MK-ST-F-055 round2 → MK-NW-F-063 interestIncomeAnnual
MK-NW-F-058 yearsToMaturity → MK-NW-F-063 interestIncomeAnnual</t>
        </is>
      </c>
      <c r="P182" s="3" t="inlineStr">
        <is>
          <t>—</t>
        </is>
      </c>
      <c r="Q182" s="3" t="inlineStr">
        <is>
          <t>—</t>
        </is>
      </c>
    </row>
    <row r="183">
      <c r="A183" s="3" t="inlineStr">
        <is>
          <t>MK-CF-F-116</t>
        </is>
      </c>
      <c r="B183" s="3" t="inlineStr">
        <is>
          <t>inverseOf</t>
        </is>
      </c>
      <c r="C183" s="3" t="inlineStr">
        <is>
          <t>src/domain/transactions/index.ts</t>
        </is>
      </c>
      <c r="D183" s="3" t="n">
        <v>199</v>
      </c>
      <c r="E183" s="3" t="inlineStr">
        <is>
          <t>3 · DEPENDENT (feeds an action only)</t>
        </is>
      </c>
      <c r="F183" s="3" t="inlineStr">
        <is>
          <t>Legacy fallback for rows recorded before undo_prev: a synthetic opposite transaction.</t>
        </is>
      </c>
      <c r="G183" s="3" t="inlineStr">
        <is>
          <t>t: Transaction</t>
        </is>
      </c>
      <c r="H183" s="3" t="inlineStr">
        <is>
          <t>Transaction | null</t>
        </is>
      </c>
      <c r="I183" s="3" t="inlineStr">
        <is>
          <t>—</t>
        </is>
      </c>
      <c r="J183" s="3" t="inlineStr">
        <is>
          <t>None found in this function — anything it assumes comes from the functions it depends on.</t>
        </is>
      </c>
      <c r="K183" s="3" t="inlineStr">
        <is>
          <t>No</t>
        </is>
      </c>
      <c r="L183" s="3" t="inlineStr">
        <is>
          <t>MK-ST-F-043 newEntityId</t>
        </is>
      </c>
      <c r="M183" s="3" t="n">
        <v>1</v>
      </c>
      <c r="N183" s="3" t="inlineStr">
        <is>
          <t>MK-ST-F-043 newEntityId</t>
        </is>
      </c>
      <c r="O183" s="3" t="inlineStr">
        <is>
          <t>MK-ST-F-043 newEntityId → MK-CF-F-116 inverseOf</t>
        </is>
      </c>
      <c r="P183" s="3" t="inlineStr">
        <is>
          <t>—</t>
        </is>
      </c>
      <c r="Q183" s="3" t="inlineStr">
        <is>
          <t>—</t>
        </is>
      </c>
    </row>
    <row r="184">
      <c r="A184" s="3" t="inlineStr">
        <is>
          <t>MK-NW-F-022</t>
        </is>
      </c>
      <c r="B184" s="3" t="inlineStr">
        <is>
          <t>investableAssets</t>
        </is>
      </c>
      <c r="C184" s="3" t="inlineStr">
        <is>
          <t>src/domain/assets/index.ts</t>
        </is>
      </c>
      <c r="D184" s="3" t="n">
        <v>296</v>
      </c>
      <c r="E184" s="3" t="inlineStr">
        <is>
          <t>2 · DISPLAYED</t>
        </is>
      </c>
      <c r="F184" s="3" t="inlineStr">
        <is>
          <t>Investable assets (Term #4) = all financial assets (cash + investments + retirement balances), EXCLUDING real estate + personal property.</t>
        </is>
      </c>
      <c r="G184" s="3" t="inlineStr">
        <is>
          <t>accounts: AssetAccount[]</t>
        </is>
      </c>
      <c r="H184" s="3" t="inlineStr">
        <is>
          <t>number</t>
        </is>
      </c>
      <c r="I184" s="3" t="inlineStr">
        <is>
          <t>NOT FOUND — a screen calls it, but the words printed beside its answer could not be traced automatically. Needs reading.</t>
        </is>
      </c>
      <c r="J184" s="3" t="inlineStr">
        <is>
          <t>None found in this function — anything it assumes comes from the functions it depends on.</t>
        </is>
      </c>
      <c r="K184" s="3" t="inlineStr">
        <is>
          <t>Yes</t>
        </is>
      </c>
      <c r="L184" s="3" t="inlineStr">
        <is>
          <t>MK-NW-F-014 isRealAsset · MK-NW-F-015 totalAssets</t>
        </is>
      </c>
      <c r="M184" s="3" t="n">
        <v>6</v>
      </c>
      <c r="N184" s="3" t="inlineStr">
        <is>
          <t>MK-NW-F-014 isRealAsset · MK-NW-F-015 totalAssets · MK-NW-F-011 assetClassOf · MK-ST-F-055 round2 · MK-NW-F-008 incomeBearingClassOf · MK-ST-F-010 nameEvidence</t>
        </is>
      </c>
      <c r="O184" s="3" t="inlineStr">
        <is>
          <t>MK-ST-F-010 nameEvidence → MK-NW-F-008 incomeBearingClassOf → MK-NW-F-011 assetClassOf → MK-NW-F-014 isRealAsset → MK-NW-F-022 investableAssets
MK-ST-F-055 round2 → MK-NW-F-014 isRealAsset → MK-NW-F-022 investableAssets
MK-ST-F-055 round2 → MK-NW-F-015 totalAssets → MK-NW-F-022 investableAssets</t>
        </is>
      </c>
      <c r="P184" s="3" t="inlineStr">
        <is>
          <t>—</t>
        </is>
      </c>
      <c r="Q184" s="3" t="inlineStr">
        <is>
          <t>TOTAL_INVESTABLE</t>
        </is>
      </c>
    </row>
    <row r="185">
      <c r="A185" s="3" t="inlineStr">
        <is>
          <t>MK-XS-F-010</t>
        </is>
      </c>
      <c r="B185" s="3" t="inlineStr">
        <is>
          <t>investableChangePct</t>
        </is>
      </c>
      <c r="C185" s="3" t="inlineStr">
        <is>
          <t>src/domain/history.ts</t>
        </is>
      </c>
      <c r="D185" s="3" t="n">
        <v>118</v>
      </c>
      <c r="E185" s="3" t="inlineStr">
        <is>
          <t>2 · DISPLAYED</t>
        </is>
      </c>
      <c r="F185" s="3" t="inlineStr">
        <is>
          <t>FOUNDER RULE 2026-08-04: the NW change PERCENT is measured on cash + investments only — property values move only when someone retypes them, so a total-net-worth percent is noise.</t>
        </is>
      </c>
      <c r="G185" s="3" t="inlineStr">
        <is>
          <t>Nothing is handed to it</t>
        </is>
      </c>
      <c r="H185" s="3" t="inlineStr">
        <is>
          <t>NOT DECLARED — the code does not say what it gives back</t>
        </is>
      </c>
      <c r="I185" s="3" t="inlineStr">
        <is>
          <t>NOT FOUND — a screen calls it, but the words printed beside its answer could not be traced automatically. Needs reading.</t>
        </is>
      </c>
      <c r="J185" s="3" t="inlineStr">
        <is>
          <t>· Rounds the answer to a whole number.
· Leaves some rows out of the answer — check which.</t>
        </is>
      </c>
      <c r="K185" s="3" t="inlineStr">
        <is>
          <t>Yes</t>
        </is>
      </c>
      <c r="L185" s="3" t="inlineStr">
        <is>
          <t>—</t>
        </is>
      </c>
      <c r="M185" s="3" t="n">
        <v>0</v>
      </c>
      <c r="N185" s="3" t="inlineStr">
        <is>
          <t>None — no dependent function stands behind it</t>
        </is>
      </c>
      <c r="O185" s="3" t="inlineStr">
        <is>
          <t>No dependent function — it reads its inputs and answers</t>
        </is>
      </c>
      <c r="P185" s="3" t="inlineStr">
        <is>
          <t>MK-NW-M-002</t>
        </is>
      </c>
      <c r="Q185" s="3" t="inlineStr">
        <is>
          <t>NW_CHANGE_PCT</t>
        </is>
      </c>
    </row>
    <row r="186">
      <c r="A186" s="3" t="inlineStr">
        <is>
          <t>MK-CF-F-119</t>
        </is>
      </c>
      <c r="B186" s="3" t="inlineStr">
        <is>
          <t>investmentIncomeAnnual</t>
        </is>
      </c>
      <c r="C186" s="3" t="inlineStr">
        <is>
          <t>src/domain/transactions/index.ts</t>
        </is>
      </c>
      <c r="D186" s="3" t="n">
        <v>240</v>
      </c>
      <c r="E186" s="3" t="inlineStr">
        <is>
          <t>2 · DISPLAYED</t>
        </is>
      </c>
      <c r="F186" s="3" t="inlineStr">
        <is>
          <t>Investment income (cash dividends/interest/coupons, not reinvested) over the trailing window — feeds the Income module.</t>
        </is>
      </c>
      <c r="G186" s="3" t="inlineStr">
        <is>
          <t>txns: Transaction[] · now: Date = new Date()</t>
        </is>
      </c>
      <c r="H186" s="3" t="inlineStr">
        <is>
          <t>number</t>
        </is>
      </c>
      <c r="I186" s="3" t="inlineStr">
        <is>
          <t>"Dividends, interest &amp; coupons" — on the Income manager screen, under "INVESTMENT INCOME"</t>
        </is>
      </c>
      <c r="J186" s="3" t="inlineStr">
        <is>
          <t>· If amount is missing it counts as zero, so nothing recorded and a real zero look the same.
· Uses today's date from the device clock, so the answer changes by itself overnight.
· Leaves some rows out of the answer — check which.</t>
        </is>
      </c>
      <c r="K186" s="3" t="inlineStr">
        <is>
          <t>Yes</t>
        </is>
      </c>
      <c r="L186" s="3" t="inlineStr">
        <is>
          <t>MK-ST-F-055 round2</t>
        </is>
      </c>
      <c r="M186" s="3" t="n">
        <v>1</v>
      </c>
      <c r="N186" s="3" t="inlineStr">
        <is>
          <t>MK-ST-F-055 round2</t>
        </is>
      </c>
      <c r="O186" s="3" t="inlineStr">
        <is>
          <t>MK-ST-F-055 round2 → MK-CF-F-119 investmentIncomeAnnual</t>
        </is>
      </c>
      <c r="P186" s="3" t="inlineStr">
        <is>
          <t>—</t>
        </is>
      </c>
      <c r="Q186" s="3" t="inlineStr">
        <is>
          <t>—</t>
        </is>
      </c>
    </row>
    <row r="187">
      <c r="A187" s="3" t="inlineStr">
        <is>
          <t>MK-NW-F-021</t>
        </is>
      </c>
      <c r="B187" s="3" t="inlineStr">
        <is>
          <t>investmentsTotal</t>
        </is>
      </c>
      <c r="C187" s="3" t="inlineStr">
        <is>
          <t>src/domain/assets/index.ts</t>
        </is>
      </c>
      <c r="D187" s="3" t="n">
        <v>291</v>
      </c>
      <c r="E187" s="3" t="inlineStr">
        <is>
          <t>2 · DISPLAYED</t>
        </is>
      </c>
      <c r="F187" s="3" t="inlineStr">
        <is>
          <t>Investments / holdings (allocation view, Term #4) = equities + fixed income + alternatives, ACROSS all wrappers (so a 401(k)'s stocks count).</t>
        </is>
      </c>
      <c r="G187" s="3" t="inlineStr">
        <is>
          <t>accounts: AssetAccount[]</t>
        </is>
      </c>
      <c r="H187" s="3" t="inlineStr">
        <is>
          <t>number</t>
        </is>
      </c>
      <c r="I187" s="3" t="inlineStr">
        <is>
          <t>"YOUR INVESTMENTS" — on the Home screen, under "WHAT YOU" · "YOUR INVESTMENTS" — on the Performance screen, under "acct?.institution?.trim() || acct?.label ||"</t>
        </is>
      </c>
      <c r="J187" s="3" t="inlineStr">
        <is>
          <t>None found in this function — anything it assumes comes from the functions it depends on.</t>
        </is>
      </c>
      <c r="K187" s="3" t="inlineStr">
        <is>
          <t>Yes</t>
        </is>
      </c>
      <c r="L187" s="3" t="inlineStr">
        <is>
          <t>MK-NW-F-011 assetClassOf</t>
        </is>
      </c>
      <c r="M187" s="3" t="n">
        <v>3</v>
      </c>
      <c r="N187" s="3" t="inlineStr">
        <is>
          <t>MK-NW-F-011 assetClassOf · MK-NW-F-008 incomeBearingClassOf · MK-ST-F-010 nameEvidence</t>
        </is>
      </c>
      <c r="O187" s="3" t="inlineStr">
        <is>
          <t>MK-ST-F-010 nameEvidence → MK-NW-F-008 incomeBearingClassOf → MK-NW-F-011 assetClassOf → MK-NW-F-021 investmentsTotal</t>
        </is>
      </c>
      <c r="P187" s="3" t="inlineStr">
        <is>
          <t>MK-XS-M-003</t>
        </is>
      </c>
      <c r="Q187" s="3" t="inlineStr">
        <is>
          <t>TOTAL_INVESTMENTS</t>
        </is>
      </c>
    </row>
    <row r="188">
      <c r="A188" s="3" t="inlineStr">
        <is>
          <t>MK-NW-F-001</t>
        </is>
      </c>
      <c r="B188" s="3" t="inlineStr">
        <is>
          <t>isAlternative</t>
        </is>
      </c>
      <c r="C188" s="3" t="inlineStr">
        <is>
          <t>src/domain/alternatives/index.ts</t>
        </is>
      </c>
      <c r="D188" s="3" t="n">
        <v>15</v>
      </c>
      <c r="E188" s="3" t="inlineStr">
        <is>
          <t>2 · DISPLAYED</t>
        </is>
      </c>
      <c r="F188" s="3" t="inlineStr">
        <is>
          <t>Is this account an "other investment" — an alternative held at a manual value (not a bond, not cash/property)?</t>
        </is>
      </c>
      <c r="G188" s="3" t="inlineStr">
        <is>
          <t>a: AssetAccount</t>
        </is>
      </c>
      <c r="H188" s="3" t="inlineStr">
        <is>
          <t>boolean</t>
        </is>
      </c>
      <c r="I188" s="3" t="inlineStr">
        <is>
          <t>NOT FOUND — a screen calls it, but the words printed beside its answer could not be traced automatically. Needs reading.</t>
        </is>
      </c>
      <c r="J188" s="3" t="inlineStr">
        <is>
          <t>None found in this function — anything it assumes comes from the functions it depends on.</t>
        </is>
      </c>
      <c r="K188" s="3" t="inlineStr">
        <is>
          <t>Yes</t>
        </is>
      </c>
      <c r="L188" s="3" t="inlineStr">
        <is>
          <t>—</t>
        </is>
      </c>
      <c r="M188" s="3" t="n">
        <v>0</v>
      </c>
      <c r="N188" s="3" t="inlineStr">
        <is>
          <t>None — no dependent function stands behind it</t>
        </is>
      </c>
      <c r="O188" s="3" t="inlineStr">
        <is>
          <t>No dependent function — it reads its inputs and answers</t>
        </is>
      </c>
      <c r="P188" s="3" t="inlineStr">
        <is>
          <t>—</t>
        </is>
      </c>
      <c r="Q188" s="3" t="inlineStr">
        <is>
          <t>IS_ALTERNATIVE</t>
        </is>
      </c>
    </row>
    <row r="189">
      <c r="A189" s="3" t="inlineStr">
        <is>
          <t>MK-NW-F-055</t>
        </is>
      </c>
      <c r="B189" s="3" t="inlineStr">
        <is>
          <t>isBond</t>
        </is>
      </c>
      <c r="C189" s="3" t="inlineStr">
        <is>
          <t>src/domain/bonds/index.ts</t>
        </is>
      </c>
      <c r="D189" s="3" t="n">
        <v>13</v>
      </c>
      <c r="E189" s="3" t="inlineStr">
        <is>
          <t>2 · DISPLAYED</t>
        </is>
      </c>
      <c r="F189" s="3" t="inlineStr">
        <is>
          <t>An AssetAccount is a bond if its ASSET CLASS is bonds (spec §2: "detected by assetClass, NOT maturity date").</t>
        </is>
      </c>
      <c r="G189" s="3" t="inlineStr">
        <is>
          <t>a: AssetAccount</t>
        </is>
      </c>
      <c r="H189" s="3" t="inlineStr">
        <is>
          <t>boolean</t>
        </is>
      </c>
      <c r="I189" s="3" t="inlineStr">
        <is>
          <t>NOT FOUND — a screen calls it, but the words printed beside its answer could not be traced automatically. Needs reading.</t>
        </is>
      </c>
      <c r="J189" s="3" t="inlineStr">
        <is>
          <t>None found in this function — anything it assumes comes from the functions it depends on.</t>
        </is>
      </c>
      <c r="K189" s="3" t="inlineStr">
        <is>
          <t>Yes</t>
        </is>
      </c>
      <c r="L189" s="3" t="inlineStr">
        <is>
          <t>MK-NW-F-011 assetClassOf</t>
        </is>
      </c>
      <c r="M189" s="3" t="n">
        <v>3</v>
      </c>
      <c r="N189" s="3" t="inlineStr">
        <is>
          <t>MK-NW-F-011 assetClassOf · MK-NW-F-008 incomeBearingClassOf · MK-ST-F-010 nameEvidence</t>
        </is>
      </c>
      <c r="O189" s="3" t="inlineStr">
        <is>
          <t>MK-ST-F-010 nameEvidence → MK-NW-F-008 incomeBearingClassOf → MK-NW-F-011 assetClassOf → MK-NW-F-055 isBond</t>
        </is>
      </c>
      <c r="P189" s="3" t="inlineStr">
        <is>
          <t>—</t>
        </is>
      </c>
      <c r="Q189" s="3" t="inlineStr">
        <is>
          <t>IS_BOND</t>
        </is>
      </c>
    </row>
    <row r="190">
      <c r="A190" s="3" t="inlineStr">
        <is>
          <t>MK-NW-F-006</t>
        </is>
      </c>
      <c r="B190" s="3" t="inlineStr">
        <is>
          <t>isCashKind</t>
        </is>
      </c>
      <c r="C190" s="3" t="inlineStr">
        <is>
          <t>src/domain/assets/index.ts</t>
        </is>
      </c>
      <c r="D190" s="3" t="n">
        <v>166</v>
      </c>
      <c r="E190" s="3" t="inlineStr">
        <is>
          <t>1 · ACTION</t>
        </is>
      </c>
      <c r="F190" s="3" t="inlineStr">
        <is>
          <t>Does this account type sit under the Cash heading on screen?</t>
        </is>
      </c>
      <c r="G190" s="3" t="inlineStr">
        <is>
          <t>kind?: string</t>
        </is>
      </c>
      <c r="H190" s="3" t="inlineStr">
        <is>
          <t>NOT DECLARED — the code does not say what it gives back</t>
        </is>
      </c>
      <c r="I190" s="3" t="inlineStr">
        <is>
          <t>—</t>
        </is>
      </c>
      <c r="J190" s="3" t="inlineStr">
        <is>
          <t>None found in this function — anything it assumes comes from the functions it depends on.</t>
        </is>
      </c>
      <c r="K190" s="3" t="inlineStr">
        <is>
          <t>No</t>
        </is>
      </c>
      <c r="L190" s="3" t="inlineStr">
        <is>
          <t>MK-NW-F-007 assetKind</t>
        </is>
      </c>
      <c r="M190" s="3" t="n">
        <v>4</v>
      </c>
      <c r="N190" s="3" t="inlineStr">
        <is>
          <t>MK-NW-F-007 assetKind · MK-NW-F-011 assetClassOf · MK-NW-F-008 incomeBearingClassOf · MK-ST-F-010 nameEvidence</t>
        </is>
      </c>
      <c r="O190" s="3" t="inlineStr">
        <is>
          <t>MK-ST-F-010 nameEvidence → MK-NW-F-008 incomeBearingClassOf → MK-NW-F-011 assetClassOf → MK-NW-F-007 assetKind → MK-NW-F-006 isCashKind</t>
        </is>
      </c>
      <c r="P190" s="3" t="inlineStr">
        <is>
          <t>—</t>
        </is>
      </c>
      <c r="Q190" s="3" t="inlineStr">
        <is>
          <t>KIND_IS_CASH</t>
        </is>
      </c>
    </row>
    <row r="191">
      <c r="A191" s="3" t="inlineStr">
        <is>
          <t>MK-XS-F-063</t>
        </is>
      </c>
      <c r="B191" s="3" t="inlineStr">
        <is>
          <t>isEmailVerified</t>
        </is>
      </c>
      <c r="C191" s="3" t="inlineStr">
        <is>
          <t>src/services/firebase.ts</t>
        </is>
      </c>
      <c r="D191" s="3" t="n">
        <v>100</v>
      </c>
      <c r="E191" s="3" t="inlineStr">
        <is>
          <t>2 · DISPLAYED</t>
        </is>
      </c>
      <c r="F191" s="3" t="inlineStr">
        <is>
          <t>NOT DETERMINED — the code carries no note saying what this is for, and it has no row in the old inventory. Needs reading.</t>
        </is>
      </c>
      <c r="G191" s="3" t="inlineStr">
        <is>
          <t>Nothing is handed to it</t>
        </is>
      </c>
      <c r="H191" s="3" t="inlineStr">
        <is>
          <t>boolean</t>
        </is>
      </c>
      <c r="I191" s="3" t="inlineStr">
        <is>
          <t>NOT FOUND — a screen calls it, but the words printed beside its answer could not be traced automatically. Needs reading.</t>
        </is>
      </c>
      <c r="J191" s="3" t="inlineStr">
        <is>
          <t>None found in this function — anything it assumes comes from the functions it depends on.</t>
        </is>
      </c>
      <c r="K191" s="3" t="inlineStr">
        <is>
          <t>Yes</t>
        </is>
      </c>
      <c r="L191" s="3" t="inlineStr">
        <is>
          <t>—</t>
        </is>
      </c>
      <c r="M191" s="3" t="n">
        <v>0</v>
      </c>
      <c r="N191" s="3" t="inlineStr">
        <is>
          <t>None — no dependent function stands behind it</t>
        </is>
      </c>
      <c r="O191" s="3" t="inlineStr">
        <is>
          <t>No dependent function — it reads its inputs and answers</t>
        </is>
      </c>
      <c r="P191" s="3" t="inlineStr">
        <is>
          <t>—</t>
        </is>
      </c>
      <c r="Q191" s="3" t="inlineStr">
        <is>
          <t>—</t>
        </is>
      </c>
    </row>
    <row r="192">
      <c r="A192" s="3" t="inlineStr">
        <is>
          <t>MK-XS-F-051</t>
        </is>
      </c>
      <c r="B192" s="3" t="inlineStr">
        <is>
          <t>isEncrypted</t>
        </is>
      </c>
      <c r="C192" s="3" t="inlineStr">
        <is>
          <t>src/services/dataCrypto.ts</t>
        </is>
      </c>
      <c r="D192" s="3" t="n">
        <v>103</v>
      </c>
      <c r="E192" s="3" t="inlineStr">
        <is>
          <t>3 · DEPENDENT</t>
        </is>
      </c>
      <c r="F192" s="3" t="inlineStr">
        <is>
          <t>── Low-level AES helpers (also used to wrap the DEK) ─────────────────</t>
        </is>
      </c>
      <c r="G192" s="3" t="inlineStr">
        <is>
          <t>v: unknown</t>
        </is>
      </c>
      <c r="H192" s="3" t="inlineStr">
        <is>
          <t>boolean</t>
        </is>
      </c>
      <c r="I192" s="3" t="inlineStr">
        <is>
          <t>—</t>
        </is>
      </c>
      <c r="J192" s="3" t="inlineStr">
        <is>
          <t>None found in this function — anything it assumes comes from the functions it depends on.</t>
        </is>
      </c>
      <c r="K192" s="3" t="inlineStr">
        <is>
          <t>Yes</t>
        </is>
      </c>
      <c r="L192" s="3" t="inlineStr">
        <is>
          <t>—</t>
        </is>
      </c>
      <c r="M192" s="3" t="n">
        <v>0</v>
      </c>
      <c r="N192" s="3" t="inlineStr">
        <is>
          <t>None — no dependent function stands behind it</t>
        </is>
      </c>
      <c r="O192" s="3" t="inlineStr">
        <is>
          <t>No dependent function — it reads its inputs and answers</t>
        </is>
      </c>
      <c r="P192" s="3" t="inlineStr">
        <is>
          <t>—</t>
        </is>
      </c>
      <c r="Q192" s="3" t="inlineStr">
        <is>
          <t>—</t>
        </is>
      </c>
    </row>
    <row r="193">
      <c r="A193" s="3" t="inlineStr">
        <is>
          <t>MK-XS-F-034</t>
        </is>
      </c>
      <c r="B193" s="3" t="inlineStr">
        <is>
          <t>isLockAvailable</t>
        </is>
      </c>
      <c r="C193" s="3" t="inlineStr">
        <is>
          <t>src/services/appLock.ts</t>
        </is>
      </c>
      <c r="D193" s="3" t="n">
        <v>17</v>
      </c>
      <c r="E193" s="3" t="inlineStr">
        <is>
          <t>2 · DISPLAYED</t>
        </is>
      </c>
      <c r="F193" s="3" t="inlineStr">
        <is>
          <t>True only when the device has biometric hardware AND the user has enrolled a biometric/passcode.</t>
        </is>
      </c>
      <c r="G193" s="3" t="inlineStr">
        <is>
          <t>Nothing is handed to it</t>
        </is>
      </c>
      <c r="H193" s="3" t="inlineStr">
        <is>
          <t>Promise&lt;boolean&gt;</t>
        </is>
      </c>
      <c r="I193" s="3" t="inlineStr">
        <is>
          <t>NOT FOUND — a screen calls it, but the words printed beside its answer could not be traced automatically. Needs reading.</t>
        </is>
      </c>
      <c r="J193" s="3" t="inlineStr">
        <is>
          <t>None found in this function — anything it assumes comes from the functions it depends on.</t>
        </is>
      </c>
      <c r="K193" s="3" t="inlineStr">
        <is>
          <t>Yes</t>
        </is>
      </c>
      <c r="L193" s="3" t="inlineStr">
        <is>
          <t>—</t>
        </is>
      </c>
      <c r="M193" s="3" t="n">
        <v>0</v>
      </c>
      <c r="N193" s="3" t="inlineStr">
        <is>
          <t>None — no dependent function stands behind it</t>
        </is>
      </c>
      <c r="O193" s="3" t="inlineStr">
        <is>
          <t>No dependent function — it reads its inputs and answers</t>
        </is>
      </c>
      <c r="P193" s="3" t="inlineStr">
        <is>
          <t>—</t>
        </is>
      </c>
      <c r="Q193" s="3" t="inlineStr">
        <is>
          <t>—</t>
        </is>
      </c>
    </row>
    <row r="194">
      <c r="A194" s="3" t="inlineStr">
        <is>
          <t>MK-CF-F-108</t>
        </is>
      </c>
      <c r="B194" s="3" t="inlineStr">
        <is>
          <t>isMoneyOut</t>
        </is>
      </c>
      <c r="C194" s="3" t="inlineStr">
        <is>
          <t>src/domain/transactions/flags.ts</t>
        </is>
      </c>
      <c r="D194" s="3" t="n">
        <v>29</v>
      </c>
      <c r="E194" s="3" t="inlineStr">
        <is>
          <t>3 · DEPENDENT (feeds an action only)</t>
        </is>
      </c>
      <c r="F194" s="3" t="inlineStr">
        <is>
          <t>Money leaves the account: withdrawals, fees, and transfers with no recognized counter-account.</t>
        </is>
      </c>
      <c r="G194" s="3" t="inlineStr">
        <is>
          <t>t: Transaction</t>
        </is>
      </c>
      <c r="H194" s="3" t="inlineStr">
        <is>
          <t>boolean</t>
        </is>
      </c>
      <c r="I194" s="3" t="inlineStr">
        <is>
          <t>—</t>
        </is>
      </c>
      <c r="J194" s="3" t="inlineStr">
        <is>
          <t>· Uses a built-in l a r g e m u l t i p l e of 3.
· Uses a built-in l a r g e f l o o r of 500.
· Uses a built-in l a r g e c o l d s t a r t of 1000.
· Uses a built-in m i n h i s t o r y of 5.
· Uses a built-in p a y e e f l o o r of 250.
· Uses a built-in p a t t e r n c o u n t of 3.
· Uses a built-in p a t t e r n t o t a l of 1000.
· Uses a built-in h i s t o r y d a y s of 90.</t>
        </is>
      </c>
      <c r="K194" s="3" t="inlineStr">
        <is>
          <t>No</t>
        </is>
      </c>
      <c r="L194" s="3" t="inlineStr">
        <is>
          <t>—</t>
        </is>
      </c>
      <c r="M194" s="3" t="n">
        <v>0</v>
      </c>
      <c r="N194" s="3" t="inlineStr">
        <is>
          <t>None — no dependent function stands behind it</t>
        </is>
      </c>
      <c r="O194" s="3" t="inlineStr">
        <is>
          <t>No dependent function — it reads its inputs and answers</t>
        </is>
      </c>
      <c r="P194" s="3" t="inlineStr">
        <is>
          <t>—</t>
        </is>
      </c>
      <c r="Q194" s="3" t="inlineStr">
        <is>
          <t>—</t>
        </is>
      </c>
    </row>
    <row r="195">
      <c r="A195" s="3" t="inlineStr">
        <is>
          <t>MK-PF-F-027</t>
        </is>
      </c>
      <c r="B195" s="3" t="inlineStr">
        <is>
          <t>isMoneyWeighted</t>
        </is>
      </c>
      <c r="C195" s="3" t="inlineStr">
        <is>
          <t>src/domain/performance/moneyWeighted.ts</t>
        </is>
      </c>
      <c r="D195" s="3" t="n">
        <v>110</v>
      </c>
      <c r="E195" s="3" t="inlineStr">
        <is>
          <t>2 · DISPLAYED</t>
        </is>
      </c>
      <c r="F195" s="3" t="inlineStr">
        <is>
          <t>Did the personal return produce a number, or a reason it could not?</t>
        </is>
      </c>
      <c r="G195" s="3" t="inlineStr">
        <is>
          <t>r: MoneyWeighted | MoneyWeightedMiss</t>
        </is>
      </c>
      <c r="H195" s="3" t="inlineStr">
        <is>
          <t>r is MoneyWeighted</t>
        </is>
      </c>
      <c r="I195" s="3" t="inlineStr">
        <is>
          <t>NOT FOUND — a screen calls it, but the words printed beside its answer could not be traced automatically. Needs reading.</t>
        </is>
      </c>
      <c r="J195" s="3" t="inlineStr">
        <is>
          <t>None found in this function — anything it assumes comes from the functions it depends on.</t>
        </is>
      </c>
      <c r="K195" s="3" t="inlineStr">
        <is>
          <t>Yes</t>
        </is>
      </c>
      <c r="L195" s="3" t="inlineStr">
        <is>
          <t>—</t>
        </is>
      </c>
      <c r="M195" s="3" t="n">
        <v>0</v>
      </c>
      <c r="N195" s="3" t="inlineStr">
        <is>
          <t>None — no dependent function stands behind it</t>
        </is>
      </c>
      <c r="O195" s="3" t="inlineStr">
        <is>
          <t>No dependent function — it reads its inputs and answers</t>
        </is>
      </c>
      <c r="P195" s="3" t="inlineStr">
        <is>
          <t>—</t>
        </is>
      </c>
      <c r="Q195" s="3" t="inlineStr">
        <is>
          <t>PERSONAL_RETURN_ANSWERED</t>
        </is>
      </c>
    </row>
    <row r="196">
      <c r="A196" s="3" t="inlineStr">
        <is>
          <t>MK-XS-F-081</t>
        </is>
      </c>
      <c r="B196" s="3" t="inlineStr">
        <is>
          <t>isPlausibleTicker</t>
        </is>
      </c>
      <c r="C196" s="3" t="inlineStr">
        <is>
          <t>src/services/marketData.ts</t>
        </is>
      </c>
      <c r="D196" s="3" t="n">
        <v>53</v>
      </c>
      <c r="E196" s="3" t="inlineStr">
        <is>
          <t>2 · DISPLAYED</t>
        </is>
      </c>
      <c r="F196" s="3" t="inlineStr">
        <is>
          <t>Is a ticker plausibly valid before we spend a network call?</t>
        </is>
      </c>
      <c r="G196" s="3" t="inlineStr">
        <is>
          <t>ticker: string</t>
        </is>
      </c>
      <c r="H196" s="3" t="inlineStr">
        <is>
          <t>boolean</t>
        </is>
      </c>
      <c r="I196" s="3" t="inlineStr">
        <is>
          <t>NOT FOUND — a screen calls it, but the words printed beside its answer could not be traced automatically. Needs reading.</t>
        </is>
      </c>
      <c r="J196" s="3" t="inlineStr">
        <is>
          <t>None found in this function — anything it assumes comes from the functions it depends on.</t>
        </is>
      </c>
      <c r="K196" s="3" t="inlineStr">
        <is>
          <t>Yes</t>
        </is>
      </c>
      <c r="L196" s="3" t="inlineStr">
        <is>
          <t>—</t>
        </is>
      </c>
      <c r="M196" s="3" t="n">
        <v>0</v>
      </c>
      <c r="N196" s="3" t="inlineStr">
        <is>
          <t>None — no dependent function stands behind it</t>
        </is>
      </c>
      <c r="O196" s="3" t="inlineStr">
        <is>
          <t>No dependent function — it reads its inputs and answers</t>
        </is>
      </c>
      <c r="P196" s="3" t="inlineStr">
        <is>
          <t>—</t>
        </is>
      </c>
      <c r="Q196" s="3" t="inlineStr">
        <is>
          <t>TICKER_PLAUSIBLE</t>
        </is>
      </c>
    </row>
    <row r="197">
      <c r="A197" s="3" t="inlineStr">
        <is>
          <t>MK-NW-F-014</t>
        </is>
      </c>
      <c r="B197" s="3" t="inlineStr">
        <is>
          <t>isRealAsset</t>
        </is>
      </c>
      <c r="C197" s="3" t="inlineStr">
        <is>
          <t>src/domain/assets/index.ts</t>
        </is>
      </c>
      <c r="D197" s="3" t="n">
        <v>253</v>
      </c>
      <c r="E197" s="3" t="inlineStr">
        <is>
          <t>3 · DEPENDENT</t>
        </is>
      </c>
      <c r="F197" s="3" t="inlineStr">
        <is>
          <t>True when the asset is a real/physical asset (real estate or personal property) — excluded from investable assets and the nest egg (Term #4/#7).</t>
        </is>
      </c>
      <c r="G197" s="3" t="inlineStr">
        <is>
          <t>a: AssetAccount</t>
        </is>
      </c>
      <c r="H197" s="3" t="inlineStr">
        <is>
          <t>boolean</t>
        </is>
      </c>
      <c r="I197" s="3" t="inlineStr">
        <is>
          <t>—</t>
        </is>
      </c>
      <c r="J197" s="3" t="inlineStr">
        <is>
          <t>· If balance is missing it counts as zero, so nothing recorded and a real zero look the same.
· Leaves some rows out of the answer — check which.</t>
        </is>
      </c>
      <c r="K197" s="3" t="inlineStr">
        <is>
          <t>Yes</t>
        </is>
      </c>
      <c r="L197" s="3" t="inlineStr">
        <is>
          <t>MK-NW-F-011 assetClassOf · MK-ST-F-055 round2</t>
        </is>
      </c>
      <c r="M197" s="3" t="n">
        <v>4</v>
      </c>
      <c r="N197" s="3" t="inlineStr">
        <is>
          <t>MK-NW-F-011 assetClassOf · MK-ST-F-055 round2 · MK-NW-F-008 incomeBearingClassOf · MK-ST-F-010 nameEvidence</t>
        </is>
      </c>
      <c r="O197" s="3" t="inlineStr">
        <is>
          <t>MK-ST-F-010 nameEvidence → MK-NW-F-008 incomeBearingClassOf → MK-NW-F-011 assetClassOf → MK-NW-F-014 isRealAsset
MK-ST-F-055 round2 → MK-NW-F-014 isRealAsset</t>
        </is>
      </c>
      <c r="P197" s="3" t="inlineStr">
        <is>
          <t>—</t>
        </is>
      </c>
      <c r="Q197" s="3" t="inlineStr">
        <is>
          <t>IS_PHYSICAL_ASSET</t>
        </is>
      </c>
    </row>
    <row r="198">
      <c r="A198" s="3" t="inlineStr">
        <is>
          <t>MK-NW-F-050</t>
        </is>
      </c>
      <c r="B198" s="3" t="inlineStr">
        <is>
          <t>itemizeRemainder</t>
        </is>
      </c>
      <c r="C198" s="3" t="inlineStr">
        <is>
          <t>src/domain/assets/itemize.ts</t>
        </is>
      </c>
      <c r="D198" s="3" t="n">
        <v>32</v>
      </c>
      <c r="E198" s="3" t="inlineStr">
        <is>
          <t>1 · ACTION</t>
        </is>
      </c>
      <c r="F198" s="3" t="inlineStr">
        <is>
          <t>Lump balance − Σ holdings.</t>
        </is>
      </c>
      <c r="G198" s="3" t="inlineStr">
        <is>
          <t>lumpBalance: number · items: ItemHolding[]</t>
        </is>
      </c>
      <c r="H198" s="3" t="inlineStr">
        <is>
          <t>number</t>
        </is>
      </c>
      <c r="I198" s="3" t="inlineStr">
        <is>
          <t>"Unallocated" — on the Itemise an account screen</t>
        </is>
      </c>
      <c r="J198" s="3" t="inlineStr">
        <is>
          <t>· If lump balance is missing it counts as zero, so nothing recorded and a real zero look the same.</t>
        </is>
      </c>
      <c r="K198" s="3" t="inlineStr">
        <is>
          <t>Yes</t>
        </is>
      </c>
      <c r="L198" s="3" t="inlineStr">
        <is>
          <t>MK-NW-F-049 itemizedTotal · MK-ST-F-055 round2</t>
        </is>
      </c>
      <c r="M198" s="3" t="n">
        <v>2</v>
      </c>
      <c r="N198" s="3" t="inlineStr">
        <is>
          <t>MK-NW-F-049 itemizedTotal · MK-ST-F-055 round2</t>
        </is>
      </c>
      <c r="O198" s="3" t="inlineStr">
        <is>
          <t>MK-ST-F-055 round2 → MK-NW-F-049 itemizedTotal → MK-NW-F-050 itemizeRemainder
MK-ST-F-055 round2 → MK-NW-F-050 itemizeRemainder</t>
        </is>
      </c>
      <c r="P198" s="3" t="inlineStr">
        <is>
          <t>—</t>
        </is>
      </c>
      <c r="Q198" s="3" t="inlineStr">
        <is>
          <t>ITEMISED_REMAINDER</t>
        </is>
      </c>
    </row>
    <row r="199">
      <c r="A199" s="3" t="inlineStr">
        <is>
          <t>MK-NW-F-051</t>
        </is>
      </c>
      <c r="B199" s="3" t="inlineStr">
        <is>
          <t>itemizedResultTotal</t>
        </is>
      </c>
      <c r="C199" s="3" t="inlineStr">
        <is>
          <t>src/domain/assets/itemize.ts</t>
        </is>
      </c>
      <c r="D199" s="3" t="n">
        <v>37</v>
      </c>
      <c r="E199" s="3" t="inlineStr">
        <is>
          <t>2 · DISPLAYED</t>
        </is>
      </c>
      <c r="F199" s="3" t="inlineStr">
        <is>
          <t>The account total AFTER itemizing.</t>
        </is>
      </c>
      <c r="G199" s="3" t="inlineStr">
        <is>
          <t>Nothing is handed to it</t>
        </is>
      </c>
      <c r="H199" s="3" t="inlineStr">
        <is>
          <t>NOT DECLARED — the code does not say what it gives back</t>
        </is>
      </c>
      <c r="I199" s="3" t="inlineStr">
        <is>
          <t>NOT FOUND — a screen calls it, but the words printed beside its answer could not be traced automatically. Needs reading.</t>
        </is>
      </c>
      <c r="J199" s="3" t="inlineStr">
        <is>
          <t>None found in this function — anything it assumes comes from the functions it depends on.</t>
        </is>
      </c>
      <c r="K199" s="3" t="inlineStr">
        <is>
          <t>Yes</t>
        </is>
      </c>
      <c r="L199" s="3" t="inlineStr">
        <is>
          <t>MK-NW-F-050 itemizeRemainder · MK-NW-F-049 itemizedTotal · MK-ST-F-055 round2</t>
        </is>
      </c>
      <c r="M199" s="3" t="n">
        <v>3</v>
      </c>
      <c r="N199" s="3" t="inlineStr">
        <is>
          <t>MK-NW-F-050 itemizeRemainder · MK-NW-F-049 itemizedTotal · MK-ST-F-055 round2</t>
        </is>
      </c>
      <c r="O199" s="3" t="inlineStr">
        <is>
          <t>MK-ST-F-055 round2 → MK-NW-F-049 itemizedTotal → MK-NW-F-050 itemizeRemainder → MK-NW-F-051 itemizedResultTotal
MK-ST-F-055 round2 → MK-NW-F-050 itemizeRemainder → MK-NW-F-051 itemizedResultTotal
MK-ST-F-055 round2 → MK-NW-F-049 itemizedTotal → MK-NW-F-051 itemizedResultTotal
MK-ST-F-055 round2 → MK-NW-F-051 itemizedResultTotal</t>
        </is>
      </c>
      <c r="P199" s="3" t="inlineStr">
        <is>
          <t>—</t>
        </is>
      </c>
      <c r="Q199" s="3" t="inlineStr">
        <is>
          <t>—</t>
        </is>
      </c>
    </row>
    <row r="200">
      <c r="A200" s="3" t="inlineStr">
        <is>
          <t>MK-NW-F-049</t>
        </is>
      </c>
      <c r="B200" s="3" t="inlineStr">
        <is>
          <t>itemizedTotal</t>
        </is>
      </c>
      <c r="C200" s="3" t="inlineStr">
        <is>
          <t>src/domain/assets/itemize.ts</t>
        </is>
      </c>
      <c r="D200" s="3" t="n">
        <v>28</v>
      </c>
      <c r="E200" s="3" t="inlineStr">
        <is>
          <t>1 · ACTION</t>
        </is>
      </c>
      <c r="F200" s="3" t="inlineStr">
        <is>
          <t>Σ of the itemized holding values.</t>
        </is>
      </c>
      <c r="G200" s="3" t="inlineStr">
        <is>
          <t>items: ItemHolding[]</t>
        </is>
      </c>
      <c r="H200" s="3" t="inlineStr">
        <is>
          <t>number</t>
        </is>
      </c>
      <c r="I200" s="3" t="inlineStr">
        <is>
          <t>"Unallocated" — on the Itemise an account screen</t>
        </is>
      </c>
      <c r="J200" s="3" t="inlineStr">
        <is>
          <t>· If value is missing it counts as zero, so nothing recorded and a real zero look the same.</t>
        </is>
      </c>
      <c r="K200" s="3" t="inlineStr">
        <is>
          <t>Yes</t>
        </is>
      </c>
      <c r="L200" s="3" t="inlineStr">
        <is>
          <t>MK-ST-F-055 round2</t>
        </is>
      </c>
      <c r="M200" s="3" t="n">
        <v>1</v>
      </c>
      <c r="N200" s="3" t="inlineStr">
        <is>
          <t>MK-ST-F-055 round2</t>
        </is>
      </c>
      <c r="O200" s="3" t="inlineStr">
        <is>
          <t>MK-ST-F-055 round2 → MK-NW-F-049 itemizedTotal</t>
        </is>
      </c>
      <c r="P200" s="3" t="inlineStr">
        <is>
          <t>—</t>
        </is>
      </c>
      <c r="Q200" s="3" t="inlineStr">
        <is>
          <t>ITEMISED_TOTAL</t>
        </is>
      </c>
    </row>
    <row r="201">
      <c r="A201" s="3" t="inlineStr">
        <is>
          <t>MK-CF-F-080</t>
        </is>
      </c>
      <c r="B201" s="3" t="inlineStr">
        <is>
          <t>jobActiveMonth</t>
        </is>
      </c>
      <c r="C201" s="3" t="inlineStr">
        <is>
          <t>src/domain/income/onboarding.ts</t>
        </is>
      </c>
      <c r="D201" s="3" t="n">
        <v>323</v>
      </c>
      <c r="E201" s="3" t="inlineStr">
        <is>
          <t>3 · DEPENDENT (feeds an action only)</t>
        </is>
      </c>
      <c r="F201" s="3" t="inlineStr">
        <is>
          <t>Is base salary present in calendar month i (0-11)?</t>
        </is>
      </c>
      <c r="G201" s="3" t="inlineStr">
        <is>
          <t>op: OnboardingProfile | null · i: number · _now: Date = new Date()</t>
        </is>
      </c>
      <c r="H201" s="3" t="inlineStr">
        <is>
          <t>boolean</t>
        </is>
      </c>
      <c r="I201" s="3" t="inlineStr">
        <is>
          <t>—</t>
        </is>
      </c>
      <c r="J201" s="3" t="inlineStr">
        <is>
          <t>· Uses today's date from the device clock, so the answer changes by itself overnight.</t>
        </is>
      </c>
      <c r="K201" s="3" t="inlineStr">
        <is>
          <t>No</t>
        </is>
      </c>
      <c r="L201" s="3" t="inlineStr">
        <is>
          <t>MK-CF-F-060 salaryGrossByMonth</t>
        </is>
      </c>
      <c r="M201" s="3" t="n">
        <v>6</v>
      </c>
      <c r="N201" s="3" t="inlineStr">
        <is>
          <t>MK-CF-F-060 salaryGrossByMonth · MK-CF-F-097 grossFromNet · MK-ST-F-055 round2 · MK-ST-F-052 toNum · MK-CF-F-095 taxOwed · MK-CF-F-093 taxableIncome</t>
        </is>
      </c>
      <c r="O201" s="3" t="inlineStr">
        <is>
          <t>MK-CF-F-093 taxableIncome → MK-CF-F-095 taxOwed → MK-CF-F-097 grossFromNet → MK-CF-F-060 salaryGrossByMonth → MK-CF-F-080 jobActiveMonth
MK-ST-F-055 round2 → MK-CF-F-060 salaryGrossByMonth → MK-CF-F-080 jobActiveMonth
MK-ST-F-052 toNum → MK-CF-F-060 salaryGrossByMonth → MK-CF-F-080 jobActiveMonth</t>
        </is>
      </c>
      <c r="P201" s="3" t="inlineStr">
        <is>
          <t>—</t>
        </is>
      </c>
      <c r="Q201" s="3" t="inlineStr">
        <is>
          <t>—</t>
        </is>
      </c>
    </row>
    <row r="202">
      <c r="A202" s="3" t="inlineStr">
        <is>
          <t>MK-XS-F-078</t>
        </is>
      </c>
      <c r="B202" s="3" t="inlineStr">
        <is>
          <t>joinHouseholdMembership</t>
        </is>
      </c>
      <c r="C202" s="3" t="inlineStr">
        <is>
          <t>src/services/firebase.ts</t>
        </is>
      </c>
      <c r="D202" s="3" t="n">
        <v>273</v>
      </c>
      <c r="E202" s="3" t="inlineStr">
        <is>
          <t>1 · ACTION</t>
        </is>
      </c>
      <c r="F202" s="3" t="inlineStr">
        <is>
          <t>Claim membership in {householdId} by writing the member doc the security rules gate access on.</t>
        </is>
      </c>
      <c r="G202" s="3" t="inlineStr">
        <is>
          <t>uid: string · householdId: string · code: string</t>
        </is>
      </c>
      <c r="H202" s="3" t="inlineStr">
        <is>
          <t>Promise&lt;void&gt;</t>
        </is>
      </c>
      <c r="I202" s="3" t="inlineStr">
        <is>
          <t>—</t>
        </is>
      </c>
      <c r="J202" s="3" t="inlineStr">
        <is>
          <t>None found in this function — anything it assumes comes from the functions it depends on.</t>
        </is>
      </c>
      <c r="K202" s="3" t="inlineStr">
        <is>
          <t>Yes</t>
        </is>
      </c>
      <c r="L202" s="3" t="inlineStr">
        <is>
          <t>—</t>
        </is>
      </c>
      <c r="M202" s="3" t="n">
        <v>0</v>
      </c>
      <c r="N202" s="3" t="inlineStr">
        <is>
          <t>None — no dependent function stands behind it</t>
        </is>
      </c>
      <c r="O202" s="3" t="inlineStr">
        <is>
          <t>No dependent function — it reads its inputs and answers</t>
        </is>
      </c>
      <c r="P202" s="3" t="inlineStr">
        <is>
          <t>—</t>
        </is>
      </c>
      <c r="Q202" s="3" t="inlineStr">
        <is>
          <t>—</t>
        </is>
      </c>
    </row>
    <row r="203">
      <c r="A203" s="3" t="inlineStr">
        <is>
          <t>MK-CF-F-056</t>
        </is>
      </c>
      <c r="B203" s="3" t="inlineStr">
        <is>
          <t>k401Headroom</t>
        </is>
      </c>
      <c r="C203" s="3" t="inlineStr">
        <is>
          <t>src/domain/income/limits.ts</t>
        </is>
      </c>
      <c r="D203" s="3" t="n">
        <v>27</v>
      </c>
      <c r="E203" s="3" t="inlineStr">
        <is>
          <t>2 · DISPLAYED</t>
        </is>
      </c>
      <c r="F203" s="3" t="inlineStr">
        <is>
          <t>How much more you can still put into your 401(k) this year (incl.</t>
        </is>
      </c>
      <c r="G203" s="3" t="inlineStr">
        <is>
          <t>age: number | null · annual401kContribution: number</t>
        </is>
      </c>
      <c r="H203" s="3" t="inlineStr">
        <is>
          <t>Headroom</t>
        </is>
      </c>
      <c r="I203" s="3" t="inlineStr">
        <is>
          <t>"Tax-smart moves" — on the Retirement cockpit screen</t>
        </is>
      </c>
      <c r="J203" s="3" t="inlineStr">
        <is>
          <t>· Rounds the answer to a whole number.</t>
        </is>
      </c>
      <c r="K203" s="3" t="inlineStr">
        <is>
          <t>Yes</t>
        </is>
      </c>
      <c r="L203" s="3" t="inlineStr">
        <is>
          <t>MK-CF-F-053 annual401kLimit</t>
        </is>
      </c>
      <c r="M203" s="3" t="n">
        <v>1</v>
      </c>
      <c r="N203" s="3" t="inlineStr">
        <is>
          <t>MK-CF-F-053 annual401kLimit</t>
        </is>
      </c>
      <c r="O203" s="3" t="inlineStr">
        <is>
          <t>MK-CF-F-053 annual401kLimit → MK-CF-F-056 k401Headroom</t>
        </is>
      </c>
      <c r="P203" s="3" t="inlineStr">
        <is>
          <t>—</t>
        </is>
      </c>
      <c r="Q203" s="3" t="inlineStr">
        <is>
          <t>—</t>
        </is>
      </c>
    </row>
    <row r="204">
      <c r="A204" s="3" t="inlineStr">
        <is>
          <t>MK-PF-F-009</t>
        </is>
      </c>
      <c r="B204" s="3" t="inlineStr">
        <is>
          <t>latestClose</t>
        </is>
      </c>
      <c r="C204" s="3" t="inlineStr">
        <is>
          <t>src/domain/performance/index.ts</t>
        </is>
      </c>
      <c r="D204" s="3" t="n">
        <v>117</v>
      </c>
      <c r="E204" s="3" t="inlineStr">
        <is>
          <t>3 · DEPENDENT</t>
        </is>
      </c>
      <c r="F204" s="3" t="inlineStr">
        <is>
          <t>What is the most recent price we hold for this?</t>
        </is>
      </c>
      <c r="G204" s="3" t="inlineStr">
        <is>
          <t>series: PriceSeries | null | undefined</t>
        </is>
      </c>
      <c r="H204" s="3" t="inlineStr">
        <is>
          <t>number | null</t>
        </is>
      </c>
      <c r="I204" s="3" t="inlineStr">
        <is>
          <t>—</t>
        </is>
      </c>
      <c r="J204" s="3" t="inlineStr">
        <is>
          <t>None found in this function — anything it assumes comes from the functions it depends on.</t>
        </is>
      </c>
      <c r="K204" s="3" t="inlineStr">
        <is>
          <t>Yes</t>
        </is>
      </c>
      <c r="L204" s="3" t="inlineStr">
        <is>
          <t>—</t>
        </is>
      </c>
      <c r="M204" s="3" t="n">
        <v>0</v>
      </c>
      <c r="N204" s="3" t="inlineStr">
        <is>
          <t>None — no dependent function stands behind it</t>
        </is>
      </c>
      <c r="O204" s="3" t="inlineStr">
        <is>
          <t>No dependent function — it reads its inputs and answers</t>
        </is>
      </c>
      <c r="P204" s="3" t="inlineStr">
        <is>
          <t>—</t>
        </is>
      </c>
      <c r="Q204" s="3" t="inlineStr">
        <is>
          <t>PRICE_LATEST</t>
        </is>
      </c>
    </row>
    <row r="205">
      <c r="A205" s="3" t="inlineStr">
        <is>
          <t>MK-PL-F-046</t>
        </is>
      </c>
      <c r="B205" s="3" t="inlineStr">
        <is>
          <t>leverDeltas</t>
        </is>
      </c>
      <c r="C205" s="3" t="inlineStr">
        <is>
          <t>src/domain/planning/target.ts</t>
        </is>
      </c>
      <c r="D205" s="3" t="n">
        <v>184</v>
      </c>
      <c r="E205" s="3" t="inlineStr">
        <is>
          <t>2 · DISPLAYED</t>
        </is>
      </c>
      <c r="F205" s="3" t="inlineStr">
        <is>
          <t>NOT DETERMINED — the code carries no note saying what this is for, and it has no row in the old inventory. Needs reading.</t>
        </is>
      </c>
      <c r="G205" s="3" t="inlineStr">
        <is>
          <t>base: RetirementInputs · opts: { spendCutMonthly?: number; retireLaterYears?: number; claimAge?: number } = {}</t>
        </is>
      </c>
      <c r="H205" s="3" t="inlineStr">
        <is>
          <t>Lever[]</t>
        </is>
      </c>
      <c r="I205" s="3" t="inlineStr">
        <is>
          <t>NOT FOUND — a screen calls it, but the words printed beside its answer could not be traced automatically. Needs reading.</t>
        </is>
      </c>
      <c r="J205" s="3" t="inlineStr">
        <is>
          <t>· If retire later years is missing it uses 2.
· If spend cut monthly is missing it uses 400.
· If claim age is missing it uses 70.
· If guaranteed monthly income is missing it uses 0.
· Rounds the answer to a whole number.
· Leaves some rows out of the answer — check which.</t>
        </is>
      </c>
      <c r="K205" s="3" t="inlineStr">
        <is>
          <t>Yes</t>
        </is>
      </c>
      <c r="L205" s="3" t="inlineStr">
        <is>
          <t>MK-PL-F-051 ssStreamOf · MK-PL-F-045 ssUpliftFactor · MK-PL-F-052 withSsStream</t>
        </is>
      </c>
      <c r="M205" s="3" t="n">
        <v>3</v>
      </c>
      <c r="N205" s="3" t="inlineStr">
        <is>
          <t>MK-PL-F-051 ssStreamOf · MK-PL-F-045 ssUpliftFactor · MK-PL-F-052 withSsStream</t>
        </is>
      </c>
      <c r="O205" s="3" t="inlineStr">
        <is>
          <t>MK-PL-F-051 ssStreamOf → MK-PL-F-046 leverDeltas
MK-PL-F-045 ssUpliftFactor → MK-PL-F-046 leverDeltas
MK-PL-F-052 withSsStream → MK-PL-F-046 leverDeltas</t>
        </is>
      </c>
      <c r="P205" s="3" t="inlineStr">
        <is>
          <t>—</t>
        </is>
      </c>
      <c r="Q205" s="3" t="inlineStr">
        <is>
          <t>—</t>
        </is>
      </c>
    </row>
    <row r="206">
      <c r="A206" s="3" t="inlineStr">
        <is>
          <t>MK-PL-F-034</t>
        </is>
      </c>
      <c r="B206" s="3" t="inlineStr">
        <is>
          <t>lifeInsuranceNeed</t>
        </is>
      </c>
      <c r="C206" s="3" t="inlineStr">
        <is>
          <t>src/domain/planning/index.ts</t>
        </is>
      </c>
      <c r="D206" s="3" t="n">
        <v>142</v>
      </c>
      <c r="E206" s="3" t="inlineStr">
        <is>
          <t>2 · DISPLAYED</t>
        </is>
      </c>
      <c r="F206" s="3" t="inlineStr">
        <is>
          <t>NOT DETERMINED — the code carries no note saying what this is for, and it has no row in the old inventory. Needs reading.</t>
        </is>
      </c>
      <c r="G206" s="3" t="inlineStr">
        <is>
          <t>inp: InsuranceInput</t>
        </is>
      </c>
      <c r="H206" s="3" t="inlineStr">
        <is>
          <t>InsuranceNeed</t>
        </is>
      </c>
      <c r="I206" s="3" t="inlineStr">
        <is>
          <t>"Gap" — on the Insurance screen · "Total need" — on the Insurance screen</t>
        </is>
      </c>
      <c r="J206" s="3" t="inlineStr">
        <is>
          <t>None found in this function — anything it assumes comes from the functions it depends on.</t>
        </is>
      </c>
      <c r="K206" s="3" t="inlineStr">
        <is>
          <t>Yes</t>
        </is>
      </c>
      <c r="L206" s="3" t="inlineStr">
        <is>
          <t>MK-ST-F-055 round2</t>
        </is>
      </c>
      <c r="M206" s="3" t="n">
        <v>1</v>
      </c>
      <c r="N206" s="3" t="inlineStr">
        <is>
          <t>MK-ST-F-055 round2</t>
        </is>
      </c>
      <c r="O206" s="3" t="inlineStr">
        <is>
          <t>MK-ST-F-055 round2 → MK-PL-F-034 lifeInsuranceNeed</t>
        </is>
      </c>
      <c r="P206" s="3" t="inlineStr">
        <is>
          <t>—</t>
        </is>
      </c>
      <c r="Q206" s="3" t="inlineStr">
        <is>
          <t>—</t>
        </is>
      </c>
    </row>
    <row r="207">
      <c r="A207" s="3" t="inlineStr">
        <is>
          <t>MK-NW-F-042</t>
        </is>
      </c>
      <c r="B207" s="3" t="inlineStr">
        <is>
          <t>loadAssets</t>
        </is>
      </c>
      <c r="C207" s="3" t="inlineStr">
        <is>
          <t>src/domain/assets/index.ts</t>
        </is>
      </c>
      <c r="D207" s="3" t="n">
        <v>702</v>
      </c>
      <c r="E207" s="3" t="inlineStr">
        <is>
          <t>3 · DEPENDENT (feeds an action only)</t>
        </is>
      </c>
      <c r="F207" s="3" t="inlineStr">
        <is>
          <t>NOT DETERMINED — the code carries no note saying what this is for, and it has no row in the old inventory. Needs reading.</t>
        </is>
      </c>
      <c r="G207" s="3" t="inlineStr">
        <is>
          <t>uid: UserId</t>
        </is>
      </c>
      <c r="H207" s="3" t="inlineStr">
        <is>
          <t>NOT DECLARED — the code does not say what it gives back</t>
        </is>
      </c>
      <c r="I207" s="3" t="inlineStr">
        <is>
          <t>—</t>
        </is>
      </c>
      <c r="J207" s="3" t="inlineStr">
        <is>
          <t>None found in this function — anything it assumes comes from the functions it depends on.</t>
        </is>
      </c>
      <c r="K207" s="3" t="inlineStr">
        <is>
          <t>No</t>
        </is>
      </c>
      <c r="L207" s="3" t="inlineStr">
        <is>
          <t>—</t>
        </is>
      </c>
      <c r="M207" s="3" t="n">
        <v>0</v>
      </c>
      <c r="N207" s="3" t="inlineStr">
        <is>
          <t>None — no dependent function stands behind it</t>
        </is>
      </c>
      <c r="O207" s="3" t="inlineStr">
        <is>
          <t>No dependent function — it reads its inputs and answers</t>
        </is>
      </c>
      <c r="P207" s="3" t="inlineStr">
        <is>
          <t>—</t>
        </is>
      </c>
      <c r="Q207" s="3" t="inlineStr">
        <is>
          <t>—</t>
        </is>
      </c>
    </row>
    <row r="208">
      <c r="A208" s="3" t="inlineStr">
        <is>
          <t>MK-CF-F-015</t>
        </is>
      </c>
      <c r="B208" s="3" t="inlineStr">
        <is>
          <t>loadBudget</t>
        </is>
      </c>
      <c r="C208" s="3" t="inlineStr">
        <is>
          <t>src/domain/budget/index.ts</t>
        </is>
      </c>
      <c r="D208" s="3" t="n">
        <v>284</v>
      </c>
      <c r="E208" s="3" t="inlineStr">
        <is>
          <t>3 · DEPENDENT (feeds an action only)</t>
        </is>
      </c>
      <c r="F208" s="3" t="inlineStr">
        <is>
          <t>NOT DETERMINED — the code carries no note saying what this is for, and it has no row in the old inventory. Needs reading.</t>
        </is>
      </c>
      <c r="G208" s="3" t="inlineStr">
        <is>
          <t>uid: UserId</t>
        </is>
      </c>
      <c r="H208" s="3" t="inlineStr">
        <is>
          <t>NOT DECLARED — the code does not say what it gives back</t>
        </is>
      </c>
      <c r="I208" s="3" t="inlineStr">
        <is>
          <t>—</t>
        </is>
      </c>
      <c r="J208" s="3" t="inlineStr">
        <is>
          <t>None found in this function — anything it assumes comes from the functions it depends on.</t>
        </is>
      </c>
      <c r="K208" s="3" t="inlineStr">
        <is>
          <t>No</t>
        </is>
      </c>
      <c r="L208" s="3" t="inlineStr">
        <is>
          <t>—</t>
        </is>
      </c>
      <c r="M208" s="3" t="n">
        <v>0</v>
      </c>
      <c r="N208" s="3" t="inlineStr">
        <is>
          <t>None — no dependent function stands behind it</t>
        </is>
      </c>
      <c r="O208" s="3" t="inlineStr">
        <is>
          <t>No dependent function — it reads its inputs and answers</t>
        </is>
      </c>
      <c r="P208" s="3" t="inlineStr">
        <is>
          <t>—</t>
        </is>
      </c>
      <c r="Q208" s="3" t="inlineStr">
        <is>
          <t>—</t>
        </is>
      </c>
    </row>
    <row r="209">
      <c r="A209" s="3" t="inlineStr">
        <is>
          <t>MK-CF-F-039</t>
        </is>
      </c>
      <c r="B209" s="3" t="inlineStr">
        <is>
          <t>loadDebt</t>
        </is>
      </c>
      <c r="C209" s="3" t="inlineStr">
        <is>
          <t>src/domain/debt/index.ts</t>
        </is>
      </c>
      <c r="D209" s="3" t="n">
        <v>257</v>
      </c>
      <c r="E209" s="3" t="inlineStr">
        <is>
          <t>3 · DEPENDENT (feeds an action only)</t>
        </is>
      </c>
      <c r="F209" s="3" t="inlineStr">
        <is>
          <t>NOT DETERMINED — the code carries no note saying what this is for, and it has no row in the old inventory. Needs reading.</t>
        </is>
      </c>
      <c r="G209" s="3" t="inlineStr">
        <is>
          <t>uid: UserId</t>
        </is>
      </c>
      <c r="H209" s="3" t="inlineStr">
        <is>
          <t>NOT DECLARED — the code does not say what it gives back</t>
        </is>
      </c>
      <c r="I209" s="3" t="inlineStr">
        <is>
          <t>—</t>
        </is>
      </c>
      <c r="J209" s="3" t="inlineStr">
        <is>
          <t>None found in this function — anything it assumes comes from the functions it depends on.</t>
        </is>
      </c>
      <c r="K209" s="3" t="inlineStr">
        <is>
          <t>No</t>
        </is>
      </c>
      <c r="L209" s="3" t="inlineStr">
        <is>
          <t>—</t>
        </is>
      </c>
      <c r="M209" s="3" t="n">
        <v>0</v>
      </c>
      <c r="N209" s="3" t="inlineStr">
        <is>
          <t>None — no dependent function stands behind it</t>
        </is>
      </c>
      <c r="O209" s="3" t="inlineStr">
        <is>
          <t>No dependent function — it reads its inputs and answers</t>
        </is>
      </c>
      <c r="P209" s="3" t="inlineStr">
        <is>
          <t>—</t>
        </is>
      </c>
      <c r="Q209" s="3" t="inlineStr">
        <is>
          <t>—</t>
        </is>
      </c>
    </row>
    <row r="210">
      <c r="A210" s="3" t="inlineStr">
        <is>
          <t>MK-PL-F-014</t>
        </is>
      </c>
      <c r="B210" s="3" t="inlineStr">
        <is>
          <t>loadGoals</t>
        </is>
      </c>
      <c r="C210" s="3" t="inlineStr">
        <is>
          <t>src/domain/goals/index.ts</t>
        </is>
      </c>
      <c r="D210" s="3" t="n">
        <v>64</v>
      </c>
      <c r="E210" s="3" t="inlineStr">
        <is>
          <t>3 · DEPENDENT (feeds an action only)</t>
        </is>
      </c>
      <c r="F210" s="3" t="inlineStr">
        <is>
          <t>NOT DETERMINED — the code carries no note saying what this is for, and it has no row in the old inventory. Needs reading.</t>
        </is>
      </c>
      <c r="G210" s="3" t="inlineStr">
        <is>
          <t>uid: UserId</t>
        </is>
      </c>
      <c r="H210" s="3" t="inlineStr">
        <is>
          <t>NOT DECLARED — the code does not say what it gives back</t>
        </is>
      </c>
      <c r="I210" s="3" t="inlineStr">
        <is>
          <t>—</t>
        </is>
      </c>
      <c r="J210" s="3" t="inlineStr">
        <is>
          <t>None found in this function — anything it assumes comes from the functions it depends on.</t>
        </is>
      </c>
      <c r="K210" s="3" t="inlineStr">
        <is>
          <t>No</t>
        </is>
      </c>
      <c r="L210" s="3" t="inlineStr">
        <is>
          <t>—</t>
        </is>
      </c>
      <c r="M210" s="3" t="n">
        <v>0</v>
      </c>
      <c r="N210" s="3" t="inlineStr">
        <is>
          <t>None — no dependent function stands behind it</t>
        </is>
      </c>
      <c r="O210" s="3" t="inlineStr">
        <is>
          <t>No dependent function — it reads its inputs and answers</t>
        </is>
      </c>
      <c r="P210" s="3" t="inlineStr">
        <is>
          <t>—</t>
        </is>
      </c>
      <c r="Q210" s="3" t="inlineStr">
        <is>
          <t>—</t>
        </is>
      </c>
    </row>
    <row r="211">
      <c r="A211" s="3" t="inlineStr">
        <is>
          <t>MK-CF-F-050</t>
        </is>
      </c>
      <c r="B211" s="3" t="inlineStr">
        <is>
          <t>loadIncome</t>
        </is>
      </c>
      <c r="C211" s="3" t="inlineStr">
        <is>
          <t>src/domain/income/index.ts</t>
        </is>
      </c>
      <c r="D211" s="3" t="n">
        <v>19</v>
      </c>
      <c r="E211" s="3" t="inlineStr">
        <is>
          <t>3 · DEPENDENT (feeds an action only)</t>
        </is>
      </c>
      <c r="F211" s="3" t="inlineStr">
        <is>
          <t>NOT DETERMINED — the code carries no note saying what this is for, and it has no row in the old inventory. Needs reading.</t>
        </is>
      </c>
      <c r="G211" s="3" t="inlineStr">
        <is>
          <t>uid: UserId</t>
        </is>
      </c>
      <c r="H211" s="3" t="inlineStr">
        <is>
          <t>Promise&lt;IncomeDoc | null&gt;</t>
        </is>
      </c>
      <c r="I211" s="3" t="inlineStr">
        <is>
          <t>—</t>
        </is>
      </c>
      <c r="J211" s="3" t="inlineStr">
        <is>
          <t>None found in this function — anything it assumes comes from the functions it depends on.</t>
        </is>
      </c>
      <c r="K211" s="3" t="inlineStr">
        <is>
          <t>No</t>
        </is>
      </c>
      <c r="L211" s="3" t="inlineStr">
        <is>
          <t>—</t>
        </is>
      </c>
      <c r="M211" s="3" t="n">
        <v>0</v>
      </c>
      <c r="N211" s="3" t="inlineStr">
        <is>
          <t>None — no dependent function stands behind it</t>
        </is>
      </c>
      <c r="O211" s="3" t="inlineStr">
        <is>
          <t>No dependent function — it reads its inputs and answers</t>
        </is>
      </c>
      <c r="P211" s="3" t="inlineStr">
        <is>
          <t>—</t>
        </is>
      </c>
      <c r="Q211" s="3" t="inlineStr">
        <is>
          <t>—</t>
        </is>
      </c>
    </row>
    <row r="212">
      <c r="A212" s="3" t="inlineStr">
        <is>
          <t>MK-XS-F-021</t>
        </is>
      </c>
      <c r="B212" s="3" t="inlineStr">
        <is>
          <t>loadProfile</t>
        </is>
      </c>
      <c r="C212" s="3" t="inlineStr">
        <is>
          <t>src/domain/profile/index.ts</t>
        </is>
      </c>
      <c r="D212" s="3" t="n">
        <v>17</v>
      </c>
      <c r="E212" s="3" t="inlineStr">
        <is>
          <t>3 · DEPENDENT (feeds an action only)</t>
        </is>
      </c>
      <c r="F212" s="3" t="inlineStr">
        <is>
          <t>NOT DETERMINED — the code carries no note saying what this is for, and it has no row in the old inventory. Needs reading.</t>
        </is>
      </c>
      <c r="G212" s="3" t="inlineStr">
        <is>
          <t>uid: UserId</t>
        </is>
      </c>
      <c r="H212" s="3" t="inlineStr">
        <is>
          <t>Promise&lt;Profile | null&gt;</t>
        </is>
      </c>
      <c r="I212" s="3" t="inlineStr">
        <is>
          <t>—</t>
        </is>
      </c>
      <c r="J212" s="3" t="inlineStr">
        <is>
          <t>None found in this function — anything it assumes comes from the functions it depends on.</t>
        </is>
      </c>
      <c r="K212" s="3" t="inlineStr">
        <is>
          <t>No</t>
        </is>
      </c>
      <c r="L212" s="3" t="inlineStr">
        <is>
          <t>—</t>
        </is>
      </c>
      <c r="M212" s="3" t="n">
        <v>0</v>
      </c>
      <c r="N212" s="3" t="inlineStr">
        <is>
          <t>None — no dependent function stands behind it</t>
        </is>
      </c>
      <c r="O212" s="3" t="inlineStr">
        <is>
          <t>No dependent function — it reads its inputs and answers</t>
        </is>
      </c>
      <c r="P212" s="3" t="inlineStr">
        <is>
          <t>—</t>
        </is>
      </c>
      <c r="Q212" s="3" t="inlineStr">
        <is>
          <t>—</t>
        </is>
      </c>
    </row>
    <row r="213">
      <c r="A213" s="3" t="inlineStr">
        <is>
          <t>MK-XS-F-074</t>
        </is>
      </c>
      <c r="B213" s="3" t="inlineStr">
        <is>
          <t>loadUserData</t>
        </is>
      </c>
      <c r="C213" s="3" t="inlineStr">
        <is>
          <t>src/services/firebase.ts</t>
        </is>
      </c>
      <c r="D213" s="3" t="n">
        <v>224</v>
      </c>
      <c r="E213" s="3" t="inlineStr">
        <is>
          <t>4 · BRINGS DATA IN</t>
        </is>
      </c>
      <c r="F213" s="3" t="inlineStr">
        <is>
          <t>NOT DETERMINED — the code carries no note saying what this is for, and it has no row in the old inventory. Needs reading.</t>
        </is>
      </c>
      <c r="G213" s="3" t="inlineStr">
        <is>
          <t>uid: string</t>
        </is>
      </c>
      <c r="H213" s="3" t="inlineStr">
        <is>
          <t>Promise&lt;Record&lt;string, any&gt; | null&gt;</t>
        </is>
      </c>
      <c r="I213" s="3" t="inlineStr">
        <is>
          <t>"Restore your data" — on the auth screen</t>
        </is>
      </c>
      <c r="J213" s="3" t="inlineStr">
        <is>
          <t>None found in this function — anything it assumes comes from the functions it depends on.</t>
        </is>
      </c>
      <c r="K213" s="3" t="inlineStr">
        <is>
          <t>Yes</t>
        </is>
      </c>
      <c r="L213" s="3" t="inlineStr">
        <is>
          <t>MK-XS-F-055 decryptFromSync</t>
        </is>
      </c>
      <c r="M213" s="3" t="n">
        <v>4</v>
      </c>
      <c r="N213" s="3" t="inlineStr">
        <is>
          <t>MK-XS-F-055 decryptFromSync · MK-XS-F-053 decryptWithKey · MK-XS-F-042 getDataKey · MK-XS-F-051 isEncrypted</t>
        </is>
      </c>
      <c r="O213" s="3" t="inlineStr">
        <is>
          <t>MK-XS-F-051 isEncrypted → MK-XS-F-053 decryptWithKey → MK-XS-F-055 decryptFromSync → MK-XS-F-074 loadUserData
MK-XS-F-042 getDataKey → MK-XS-F-055 decryptFromSync → MK-XS-F-074 loadUserData
MK-XS-F-051 isEncrypted → MK-XS-F-055 decryptFromSync → MK-XS-F-074 loadUserData</t>
        </is>
      </c>
      <c r="P213" s="3" t="inlineStr">
        <is>
          <t>—</t>
        </is>
      </c>
      <c r="Q213" s="3" t="inlineStr">
        <is>
          <t>—</t>
        </is>
      </c>
    </row>
    <row r="214">
      <c r="A214" s="3" t="inlineStr">
        <is>
          <t>MK-XS-F-079</t>
        </is>
      </c>
      <c r="B214" s="3" t="inlineStr">
        <is>
          <t>loadUserRoot</t>
        </is>
      </c>
      <c r="C214" s="3" t="inlineStr">
        <is>
          <t>src/services/firebase.ts</t>
        </is>
      </c>
      <c r="D214" s="3" t="n">
        <v>281</v>
      </c>
      <c r="E214" s="3" t="inlineStr">
        <is>
          <t>4 · BRINGS DATA IN</t>
        </is>
      </c>
      <c r="F214" s="3" t="inlineStr">
        <is>
          <t>The member's own top-level doc fields (householdId + decrypted appState) in one read.</t>
        </is>
      </c>
      <c r="G214" s="3" t="inlineStr">
        <is>
          <t>uid: string</t>
        </is>
      </c>
      <c r="H214" s="3" t="inlineStr">
        <is>
          <t>Promise&lt;</t>
        </is>
      </c>
      <c r="I214" s="3" t="inlineStr">
        <is>
          <t>—</t>
        </is>
      </c>
      <c r="J214" s="3" t="inlineStr">
        <is>
          <t>None found in this function — anything it assumes comes from the functions it depends on.</t>
        </is>
      </c>
      <c r="K214" s="3" t="inlineStr">
        <is>
          <t>Yes</t>
        </is>
      </c>
      <c r="L214" s="3" t="inlineStr">
        <is>
          <t>MK-XS-F-055 decryptFromSync</t>
        </is>
      </c>
      <c r="M214" s="3" t="n">
        <v>4</v>
      </c>
      <c r="N214" s="3" t="inlineStr">
        <is>
          <t>MK-XS-F-055 decryptFromSync · MK-XS-F-053 decryptWithKey · MK-XS-F-042 getDataKey · MK-XS-F-051 isEncrypted</t>
        </is>
      </c>
      <c r="O214" s="3" t="inlineStr">
        <is>
          <t>MK-XS-F-051 isEncrypted → MK-XS-F-053 decryptWithKey → MK-XS-F-055 decryptFromSync → MK-XS-F-079 loadUserRoot
MK-XS-F-042 getDataKey → MK-XS-F-055 decryptFromSync → MK-XS-F-079 loadUserRoot
MK-XS-F-051 isEncrypted → MK-XS-F-055 decryptFromSync → MK-XS-F-079 loadUserRoot</t>
        </is>
      </c>
      <c r="P214" s="3" t="inlineStr">
        <is>
          <t>—</t>
        </is>
      </c>
      <c r="Q214" s="3" t="inlineStr">
        <is>
          <t>—</t>
        </is>
      </c>
    </row>
    <row r="215">
      <c r="A215" s="3" t="inlineStr">
        <is>
          <t>MK-CF-F-028</t>
        </is>
      </c>
      <c r="B215" s="3" t="inlineStr">
        <is>
          <t>loanPayment</t>
        </is>
      </c>
      <c r="C215" s="3" t="inlineStr">
        <is>
          <t>src/domain/debt/index.ts</t>
        </is>
      </c>
      <c r="D215" s="3" t="n">
        <v>74</v>
      </c>
      <c r="E215" s="3" t="inlineStr">
        <is>
          <t>2 · DISPLAYED</t>
        </is>
      </c>
      <c r="F215" s="3" t="inlineStr">
        <is>
          <t>UNIT LANDMINE (P0): `aprPct` is a PERCENT (7 = 7%), unlike Debt.interest_rate_apr which is a DECIMAL (0.07).</t>
        </is>
      </c>
      <c r="G215" s="3" t="inlineStr">
        <is>
          <t>principal: number · aprPct: number · termYears: number</t>
        </is>
      </c>
      <c r="H215" s="3" t="inlineStr">
        <is>
          <t>LoanPlan</t>
        </is>
      </c>
      <c r="I215" s="3" t="inlineStr">
        <is>
          <t>"Pay off over (years)" — on the setup questions, which appear on more than one screen</t>
        </is>
      </c>
      <c r="J215" s="3" t="inlineStr">
        <is>
          <t>· Treats a year as twelve equal months.
· Turns a monthly figure into a year by multiplying by twelve.
· Rounds the answer to a whole number.</t>
        </is>
      </c>
      <c r="K215" s="3" t="inlineStr">
        <is>
          <t>Yes</t>
        </is>
      </c>
      <c r="L215" s="3" t="inlineStr">
        <is>
          <t>MK-ST-F-055 round2</t>
        </is>
      </c>
      <c r="M215" s="3" t="n">
        <v>1</v>
      </c>
      <c r="N215" s="3" t="inlineStr">
        <is>
          <t>MK-ST-F-055 round2</t>
        </is>
      </c>
      <c r="O215" s="3" t="inlineStr">
        <is>
          <t>MK-ST-F-055 round2 → MK-CF-F-028 loanPayment</t>
        </is>
      </c>
      <c r="P215" s="3" t="inlineStr">
        <is>
          <t>—</t>
        </is>
      </c>
      <c r="Q215" s="3" t="inlineStr">
        <is>
          <t>—</t>
        </is>
      </c>
    </row>
    <row r="216">
      <c r="A216" s="3" t="inlineStr">
        <is>
          <t>MK-XS-F-066</t>
        </is>
      </c>
      <c r="B216" s="3" t="inlineStr">
        <is>
          <t>loginUser</t>
        </is>
      </c>
      <c r="C216" s="3" t="inlineStr">
        <is>
          <t>src/services/firebase.ts</t>
        </is>
      </c>
      <c r="D216" s="3" t="n">
        <v>118</v>
      </c>
      <c r="E216" s="3" t="inlineStr">
        <is>
          <t>4 · BRINGS DATA IN</t>
        </is>
      </c>
      <c r="F216" s="3" t="inlineStr">
        <is>
          <t>Returns the user plus the unlock status: • needsRecovery=true → the password can't open the data (it was reset); prompt for the recovery code.</t>
        </is>
      </c>
      <c r="G216" s="3" t="inlineStr">
        <is>
          <t>email: string · password: string · onCodeReady?: (code: string) =&gt; void</t>
        </is>
      </c>
      <c r="H216" s="3" t="inlineStr">
        <is>
          <t>Promise&lt;</t>
        </is>
      </c>
      <c r="I216" s="3" t="inlineStr">
        <is>
          <t>—</t>
        </is>
      </c>
      <c r="J216" s="3" t="inlineStr">
        <is>
          <t>None found in this function — anything it assumes comes from the functions it depends on.</t>
        </is>
      </c>
      <c r="K216" s="3" t="inlineStr">
        <is>
          <t>Yes</t>
        </is>
      </c>
      <c r="L216" s="3" t="inlineStr">
        <is>
          <t>MK-XS-F-041 cacheDataKey · MK-XS-F-044 generateDataKey · MK-XS-F-045 generateRecoveryCode · MK-XS-F-046 makeEnvelope · MK-XS-F-047 unwrapWithPassword</t>
        </is>
      </c>
      <c r="M216" s="3" t="n">
        <v>8</v>
      </c>
      <c r="N216" s="3" t="inlineStr">
        <is>
          <t>MK-XS-F-041 cacheDataKey · MK-XS-F-044 generateDataKey · MK-XS-F-045 generateRecoveryCode · MK-XS-F-046 makeEnvelope · MK-XS-F-047 unwrapWithPassword · MK-XS-F-052 encryptWithKey · MK-XS-F-053 decryptWithKey · MK-XS-F-051 isEncrypted</t>
        </is>
      </c>
      <c r="O216" s="3" t="inlineStr">
        <is>
          <t>MK-XS-F-041 cacheDataKey → MK-XS-F-066 loginUser
MK-XS-F-044 generateDataKey → MK-XS-F-066 loginUser
MK-XS-F-052 encryptWithKey → MK-XS-F-045 generateRecoveryCode → MK-XS-F-066 loginUser
MK-XS-F-046 makeEnvelope → MK-XS-F-066 loginUser
MK-XS-F-051 isEncrypted → MK-XS-F-053 decryptWithKey → MK-XS-F-047 unwrapWithPassword → MK-XS-F-066 loginUser</t>
        </is>
      </c>
      <c r="P216" s="3" t="inlineStr">
        <is>
          <t>—</t>
        </is>
      </c>
      <c r="Q216" s="3" t="inlineStr">
        <is>
          <t>—</t>
        </is>
      </c>
    </row>
    <row r="217">
      <c r="A217" s="3" t="inlineStr">
        <is>
          <t>MK-XS-F-069</t>
        </is>
      </c>
      <c r="B217" s="3" t="inlineStr">
        <is>
          <t>logoutUser</t>
        </is>
      </c>
      <c r="C217" s="3" t="inlineStr">
        <is>
          <t>src/services/firebase.ts</t>
        </is>
      </c>
      <c r="D217" s="3" t="n">
        <v>173</v>
      </c>
      <c r="E217" s="3" t="inlineStr">
        <is>
          <t>1 · ACTION</t>
        </is>
      </c>
      <c r="F217" s="3" t="inlineStr">
        <is>
          <t>NOT DETERMINED — the code carries no note saying what this is for, and it has no row in the old inventory. Needs reading.</t>
        </is>
      </c>
      <c r="G217" s="3" t="inlineStr">
        <is>
          <t>Nothing is handed to it</t>
        </is>
      </c>
      <c r="H217" s="3" t="inlineStr">
        <is>
          <t>NOT DECLARED — the code does not say what it gives back</t>
        </is>
      </c>
      <c r="I217" s="3" t="inlineStr">
        <is>
          <t>—</t>
        </is>
      </c>
      <c r="J217" s="3" t="inlineStr">
        <is>
          <t>None found in this function — anything it assumes comes from the functions it depends on.</t>
        </is>
      </c>
      <c r="K217" s="3" t="inlineStr">
        <is>
          <t>Yes</t>
        </is>
      </c>
      <c r="L217" s="3" t="inlineStr">
        <is>
          <t>MK-XS-F-043 clearDataKey</t>
        </is>
      </c>
      <c r="M217" s="3" t="n">
        <v>1</v>
      </c>
      <c r="N217" s="3" t="inlineStr">
        <is>
          <t>MK-XS-F-043 clearDataKey</t>
        </is>
      </c>
      <c r="O217" s="3" t="inlineStr">
        <is>
          <t>MK-XS-F-043 clearDataKey → MK-XS-F-069 logoutUser</t>
        </is>
      </c>
      <c r="P217" s="3" t="inlineStr">
        <is>
          <t>—</t>
        </is>
      </c>
      <c r="Q217" s="3" t="inlineStr">
        <is>
          <t>—</t>
        </is>
      </c>
    </row>
    <row r="218">
      <c r="A218" s="3" t="inlineStr">
        <is>
          <t>MK-PF-F-023</t>
        </is>
      </c>
      <c r="B218" s="3" t="inlineStr">
        <is>
          <t>lookBack</t>
        </is>
      </c>
      <c r="C218" s="3" t="inlineStr">
        <is>
          <t>src/domain/performance/lookBack.ts</t>
        </is>
      </c>
      <c r="D218" s="3" t="n">
        <v>32</v>
      </c>
      <c r="E218" s="3" t="inlineStr">
        <is>
          <t>2 · DISPLAYED</t>
        </is>
      </c>
      <c r="F218" s="3" t="inlineStr">
        <is>
          <t>What if I had moved this money?</t>
        </is>
      </c>
      <c r="G218" s="3" t="inlineStr">
        <is>
          <t>amount: number · fromSeries: PriceSeries | null | undefined · toSeries: PriceSeries | null | undefined · months: number · now: Date = new Date()</t>
        </is>
      </c>
      <c r="H218" s="3" t="inlineStr">
        <is>
          <t>LookBackResult | null</t>
        </is>
      </c>
      <c r="I218" s="3" t="inlineStr">
        <is>
          <t>NOT FOUND — a screen calls it, but the words printed beside its answer could not be traced automatically. Needs reading.</t>
        </is>
      </c>
      <c r="J218" s="3" t="inlineStr">
        <is>
          <t>· Uses today's date from the device clock, so the answer changes by itself overnight.
· Rounds the answer to a whole number.</t>
        </is>
      </c>
      <c r="K218" s="3" t="inlineStr">
        <is>
          <t>Yes</t>
        </is>
      </c>
      <c r="L218" s="3" t="inlineStr">
        <is>
          <t>MK-PF-F-022 factorOverMonths · MK-ST-F-055 round2</t>
        </is>
      </c>
      <c r="M218" s="3" t="n">
        <v>2</v>
      </c>
      <c r="N218" s="3" t="inlineStr">
        <is>
          <t>MK-PF-F-022 factorOverMonths · MK-ST-F-055 round2</t>
        </is>
      </c>
      <c r="O218" s="3" t="inlineStr">
        <is>
          <t>MK-PF-F-022 factorOverMonths → MK-PF-F-023 lookBack
MK-ST-F-055 round2 → MK-PF-F-023 lookBack</t>
        </is>
      </c>
      <c r="P218" s="3" t="inlineStr">
        <is>
          <t>MK-PF-M-010 · MK-PF-M-011 · MK-PF-M-012</t>
        </is>
      </c>
      <c r="Q218" s="3" t="inlineStr">
        <is>
          <t>LOOK_BACK</t>
        </is>
      </c>
    </row>
    <row r="219">
      <c r="A219" s="3" t="inlineStr">
        <is>
          <t>MK-ST-F-001</t>
        </is>
      </c>
      <c r="B219" s="3" t="inlineStr">
        <is>
          <t>looksFixedIncome</t>
        </is>
      </c>
      <c r="C219" s="3" t="inlineStr">
        <is>
          <t>Calculation Module code/engines/classify.ts</t>
        </is>
      </c>
      <c r="D219" s="3" t="n">
        <v>175</v>
      </c>
      <c r="E219" s="3" t="inlineStr">
        <is>
          <t>3 · DEPENDENT (feeds an action only)</t>
        </is>
      </c>
      <c r="F219" s="3" t="inlineStr">
        <is>
          <t>Fixed income by its words.</t>
        </is>
      </c>
      <c r="G219" s="3" t="inlineStr">
        <is>
          <t>text: string</t>
        </is>
      </c>
      <c r="H219" s="3" t="inlineStr">
        <is>
          <t>boolean</t>
        </is>
      </c>
      <c r="I219" s="3" t="inlineStr">
        <is>
          <t>—</t>
        </is>
      </c>
      <c r="J219" s="3" t="inlineStr">
        <is>
          <t>None found in this function — anything it assumes comes from the functions it depends on.</t>
        </is>
      </c>
      <c r="K219" s="3" t="inlineStr">
        <is>
          <t>No</t>
        </is>
      </c>
      <c r="L219" s="3" t="inlineStr">
        <is>
          <t>—</t>
        </is>
      </c>
      <c r="M219" s="3" t="n">
        <v>0</v>
      </c>
      <c r="N219" s="3" t="inlineStr">
        <is>
          <t>None — no dependent function stands behind it</t>
        </is>
      </c>
      <c r="O219" s="3" t="inlineStr">
        <is>
          <t>No dependent function — it reads its inputs and answers</t>
        </is>
      </c>
      <c r="P219" s="3" t="inlineStr">
        <is>
          <t>—</t>
        </is>
      </c>
      <c r="Q219" s="3" t="inlineStr">
        <is>
          <t>—</t>
        </is>
      </c>
    </row>
    <row r="220">
      <c r="A220" s="3" t="inlineStr">
        <is>
          <t>MK-XS-F-076</t>
        </is>
      </c>
      <c r="B220" s="3" t="inlineStr">
        <is>
          <t>lookupInvite</t>
        </is>
      </c>
      <c r="C220" s="3" t="inlineStr">
        <is>
          <t>src/services/firebase.ts</t>
        </is>
      </c>
      <c r="D220" s="3" t="n">
        <v>255</v>
      </c>
      <c r="E220" s="3" t="inlineStr">
        <is>
          <t>4 · BRINGS DATA IN</t>
        </is>
      </c>
      <c r="F220" s="3" t="inlineStr">
        <is>
          <t>NOT DETERMINED — the code carries no note saying what this is for, and it has no row in the old inventory. Needs reading.</t>
        </is>
      </c>
      <c r="G220" s="3" t="inlineStr">
        <is>
          <t>code: string</t>
        </is>
      </c>
      <c r="H220" s="3" t="inlineStr">
        <is>
          <t>Promise&lt;</t>
        </is>
      </c>
      <c r="I220" s="3" t="inlineStr">
        <is>
          <t>—</t>
        </is>
      </c>
      <c r="J220" s="3" t="inlineStr">
        <is>
          <t>None found in this function — anything it assumes comes from the functions it depends on.</t>
        </is>
      </c>
      <c r="K220" s="3" t="inlineStr">
        <is>
          <t>Yes</t>
        </is>
      </c>
      <c r="L220" s="3" t="inlineStr">
        <is>
          <t>—</t>
        </is>
      </c>
      <c r="M220" s="3" t="n">
        <v>0</v>
      </c>
      <c r="N220" s="3" t="inlineStr">
        <is>
          <t>None — no dependent function stands behind it</t>
        </is>
      </c>
      <c r="O220" s="3" t="inlineStr">
        <is>
          <t>No dependent function — it reads its inputs and answers</t>
        </is>
      </c>
      <c r="P220" s="3" t="inlineStr">
        <is>
          <t>—</t>
        </is>
      </c>
      <c r="Q220" s="3" t="inlineStr">
        <is>
          <t>—</t>
        </is>
      </c>
    </row>
    <row r="221">
      <c r="A221" s="3" t="inlineStr">
        <is>
          <t>MK-CF-F-104</t>
        </is>
      </c>
      <c r="B221" s="3" t="inlineStr">
        <is>
          <t>ltcgRateFor</t>
        </is>
      </c>
      <c r="C221" s="3" t="inlineStr">
        <is>
          <t>src/domain/income/tax.ts</t>
        </is>
      </c>
      <c r="D221" s="3" t="n">
        <v>147</v>
      </c>
      <c r="E221" s="3" t="inlineStr">
        <is>
          <t>3 · DEPENDENT (feeds an action only)</t>
        </is>
      </c>
      <c r="F221" s="3" t="inlineStr">
        <is>
          <t>The user's own long-term capital-gains rate, from their income + filing status (federal).</t>
        </is>
      </c>
      <c r="G221" s="3" t="inlineStr">
        <is>
          <t>gross: number · status: FilingStatus = 'single' · over65 = 0</t>
        </is>
      </c>
      <c r="H221" s="3" t="inlineStr">
        <is>
          <t>number</t>
        </is>
      </c>
      <c r="I221" s="3" t="inlineStr">
        <is>
          <t>—</t>
        </is>
      </c>
      <c r="J221" s="3" t="inlineStr">
        <is>
          <t>None found in this function — anything it assumes comes from the functions it depends on.</t>
        </is>
      </c>
      <c r="K221" s="3" t="inlineStr">
        <is>
          <t>No</t>
        </is>
      </c>
      <c r="L221" s="3" t="inlineStr">
        <is>
          <t>MK-CF-F-100 taxableIncomeFor</t>
        </is>
      </c>
      <c r="M221" s="3" t="n">
        <v>2</v>
      </c>
      <c r="N221" s="3" t="inlineStr">
        <is>
          <t>MK-CF-F-100 taxableIncomeFor · MK-CF-F-099 deductionFor</t>
        </is>
      </c>
      <c r="O221" s="3" t="inlineStr">
        <is>
          <t>MK-CF-F-099 deductionFor → MK-CF-F-100 taxableIncomeFor → MK-CF-F-104 ltcgRateFor</t>
        </is>
      </c>
      <c r="P221" s="3" t="inlineStr">
        <is>
          <t>—</t>
        </is>
      </c>
      <c r="Q221" s="3" t="inlineStr">
        <is>
          <t>—</t>
        </is>
      </c>
    </row>
    <row r="222">
      <c r="A222" s="3" t="inlineStr">
        <is>
          <t>MK-XS-F-046</t>
        </is>
      </c>
      <c r="B222" s="3" t="inlineStr">
        <is>
          <t>makeEnvelope</t>
        </is>
      </c>
      <c r="C222" s="3" t="inlineStr">
        <is>
          <t>src/services/dataCrypto.ts</t>
        </is>
      </c>
      <c r="D222" s="3" t="n">
        <v>82</v>
      </c>
      <c r="E222" s="3" t="inlineStr">
        <is>
          <t>3 · DEPENDENT</t>
        </is>
      </c>
      <c r="F222" s="3" t="inlineStr">
        <is>
          <t>Build the stored envelope: the DEK locked by both the password and the recovery code.</t>
        </is>
      </c>
      <c r="G222" s="3" t="inlineStr">
        <is>
          <t>dek: string · uid: string · password: string · recoveryCode: string</t>
        </is>
      </c>
      <c r="H222" s="3" t="inlineStr">
        <is>
          <t>KeyEnvelope</t>
        </is>
      </c>
      <c r="I222" s="3" t="inlineStr">
        <is>
          <t>—</t>
        </is>
      </c>
      <c r="J222" s="3" t="inlineStr">
        <is>
          <t>None found in this function — anything it assumes comes from the functions it depends on.</t>
        </is>
      </c>
      <c r="K222" s="3" t="inlineStr">
        <is>
          <t>Yes</t>
        </is>
      </c>
      <c r="L222" s="3" t="inlineStr">
        <is>
          <t>—</t>
        </is>
      </c>
      <c r="M222" s="3" t="n">
        <v>0</v>
      </c>
      <c r="N222" s="3" t="inlineStr">
        <is>
          <t>None — no dependent function stands behind it</t>
        </is>
      </c>
      <c r="O222" s="3" t="inlineStr">
        <is>
          <t>No dependent function — it reads its inputs and answers</t>
        </is>
      </c>
      <c r="P222" s="3" t="inlineStr">
        <is>
          <t>—</t>
        </is>
      </c>
      <c r="Q222" s="3" t="inlineStr">
        <is>
          <t>—</t>
        </is>
      </c>
    </row>
    <row r="223">
      <c r="A223" s="3" t="inlineStr">
        <is>
          <t>MK-XS-F-007</t>
        </is>
      </c>
      <c r="B223" s="3" t="inlineStr">
        <is>
          <t>makeMonthlySnapshot</t>
        </is>
      </c>
      <c r="C223" s="3" t="inlineStr">
        <is>
          <t>src/domain/history.ts</t>
        </is>
      </c>
      <c r="D223" s="3" t="n">
        <v>66</v>
      </c>
      <c r="E223" s="3" t="inlineStr">
        <is>
          <t>2 · DISPLAYED</t>
        </is>
      </c>
      <c r="F223" s="3" t="inlineStr">
        <is>
          <t>The ONE writer — stamps the version and keeps the arithmetic identity by construction.</t>
        </is>
      </c>
      <c r="G223" s="3" t="inlineStr">
        <is>
          <t>i: Omit&lt;MonthlySnapshot, 'v' | 'net_worth'&gt; &amp; { net_worth?: number }</t>
        </is>
      </c>
      <c r="H223" s="3" t="inlineStr">
        <is>
          <t>MonthlySnapshot</t>
        </is>
      </c>
      <c r="I223" s="3" t="inlineStr">
        <is>
          <t>NOT FOUND — a screen calls it, but the words printed beside its answer could not be traced automatically. Needs reading.</t>
        </is>
      </c>
      <c r="J223" s="3" t="inlineStr">
        <is>
          <t>None found in this function — anything it assumes comes from the functions it depends on.</t>
        </is>
      </c>
      <c r="K223" s="3" t="inlineStr">
        <is>
          <t>Yes</t>
        </is>
      </c>
      <c r="L223" s="3" t="inlineStr">
        <is>
          <t>MK-ST-F-055 round2</t>
        </is>
      </c>
      <c r="M223" s="3" t="n">
        <v>1</v>
      </c>
      <c r="N223" s="3" t="inlineStr">
        <is>
          <t>MK-ST-F-055 round2</t>
        </is>
      </c>
      <c r="O223" s="3" t="inlineStr">
        <is>
          <t>MK-ST-F-055 round2 → MK-XS-F-007 makeMonthlySnapshot</t>
        </is>
      </c>
      <c r="P223" s="3" t="inlineStr">
        <is>
          <t>—</t>
        </is>
      </c>
      <c r="Q223" s="3" t="inlineStr">
        <is>
          <t>—</t>
        </is>
      </c>
    </row>
    <row r="224">
      <c r="A224" s="3" t="inlineStr">
        <is>
          <t>MK-CF-F-112</t>
        </is>
      </c>
      <c r="B224" s="3" t="inlineStr">
        <is>
          <t>makeTransaction</t>
        </is>
      </c>
      <c r="C224" s="3" t="inlineStr">
        <is>
          <t>src/domain/transactions/index.ts</t>
        </is>
      </c>
      <c r="D224" s="3" t="n">
        <v>169</v>
      </c>
      <c r="E224" s="3" t="inlineStr">
        <is>
          <t>3 · DEPENDENT (feeds an action only)</t>
        </is>
      </c>
      <c r="F224" s="3" t="inlineStr">
        <is>
          <t>Build a full transaction (id + created_at) from a partial.</t>
        </is>
      </c>
      <c r="G224" s="3" t="inlineStr">
        <is>
          <t>p: Omit&lt;Transaction, 'id' | 'created_at'&gt;</t>
        </is>
      </c>
      <c r="H224" s="3" t="inlineStr">
        <is>
          <t>Transaction</t>
        </is>
      </c>
      <c r="I224" s="3" t="inlineStr">
        <is>
          <t>—</t>
        </is>
      </c>
      <c r="J224" s="3" t="inlineStr">
        <is>
          <t>· Uses today's date from the device clock, so the answer changes by itself overnight.</t>
        </is>
      </c>
      <c r="K224" s="3" t="inlineStr">
        <is>
          <t>No</t>
        </is>
      </c>
      <c r="L224" s="3" t="inlineStr">
        <is>
          <t>MK-ST-F-043 newEntityId</t>
        </is>
      </c>
      <c r="M224" s="3" t="n">
        <v>1</v>
      </c>
      <c r="N224" s="3" t="inlineStr">
        <is>
          <t>MK-ST-F-043 newEntityId</t>
        </is>
      </c>
      <c r="O224" s="3" t="inlineStr">
        <is>
          <t>MK-ST-F-043 newEntityId → MK-CF-F-112 makeTransaction</t>
        </is>
      </c>
      <c r="P224" s="3" t="inlineStr">
        <is>
          <t>—</t>
        </is>
      </c>
      <c r="Q224" s="3" t="inlineStr">
        <is>
          <t>—</t>
        </is>
      </c>
    </row>
    <row r="225">
      <c r="A225" s="3" t="inlineStr">
        <is>
          <t>MK-XS-F-104</t>
        </is>
      </c>
      <c r="B225" s="3" t="inlineStr">
        <is>
          <t>mapAccountType</t>
        </is>
      </c>
      <c r="C225" s="3" t="inlineStr">
        <is>
          <t>src/services/sync/snaptrade.ts</t>
        </is>
      </c>
      <c r="D225" s="3" t="n">
        <v>73</v>
      </c>
      <c r="E225" s="3" t="inlineStr">
        <is>
          <t>3 · DEPENDENT (feeds an action only)</t>
        </is>
      </c>
      <c r="F225" s="3" t="inlineStr">
        <is>
          <t>What kind of account is this, and how is it taxed?</t>
        </is>
      </c>
      <c r="G225" s="3" t="inlineStr">
        <is>
          <t>rawType: string | null | undefined · category?: string | null</t>
        </is>
      </c>
      <c r="H225" s="3" t="inlineStr">
        <is>
          <t>WrapperGuess</t>
        </is>
      </c>
      <c r="I225" s="3" t="inlineStr">
        <is>
          <t>—</t>
        </is>
      </c>
      <c r="J225" s="3" t="inlineStr">
        <is>
          <t>None found in this function — anything it assumes comes from the functions it depends on.</t>
        </is>
      </c>
      <c r="K225" s="3" t="inlineStr">
        <is>
          <t>No</t>
        </is>
      </c>
      <c r="L225" s="3" t="inlineStr">
        <is>
          <t>—</t>
        </is>
      </c>
      <c r="M225" s="3" t="n">
        <v>0</v>
      </c>
      <c r="N225" s="3" t="inlineStr">
        <is>
          <t>None — no dependent function stands behind it</t>
        </is>
      </c>
      <c r="O225" s="3" t="inlineStr">
        <is>
          <t>No dependent function — it reads its inputs and answers</t>
        </is>
      </c>
      <c r="P225" s="3" t="inlineStr">
        <is>
          <t>—</t>
        </is>
      </c>
      <c r="Q225" s="3" t="inlineStr">
        <is>
          <t>ACCOUNT_TAX_TYPE_GUESS</t>
        </is>
      </c>
    </row>
    <row r="226">
      <c r="A226" s="3" t="inlineStr">
        <is>
          <t>MK-XS-F-107</t>
        </is>
      </c>
      <c r="B226" s="3" t="inlineStr">
        <is>
          <t>mapActivityType</t>
        </is>
      </c>
      <c r="C226" s="3" t="inlineStr">
        <is>
          <t>src/services/sync/snaptrade.ts</t>
        </is>
      </c>
      <c r="D226" s="3" t="n">
        <v>183</v>
      </c>
      <c r="E226" s="3" t="inlineStr">
        <is>
          <t>3 · DEPENDENT (feeds an action only)</t>
        </is>
      </c>
      <c r="F226" s="3" t="inlineStr">
        <is>
          <t>A line arrived from the broker. Is this money you paid IN, money you took OUT, or something that happened inside the account?</t>
        </is>
      </c>
      <c r="G226" s="3" t="inlineStr">
        <is>
          <t>a: StActivity</t>
        </is>
      </c>
      <c r="H226" s="3" t="inlineStr">
        <is>
          <t>MappedActivity</t>
        </is>
      </c>
      <c r="I226" s="3" t="inlineStr">
        <is>
          <t>—</t>
        </is>
      </c>
      <c r="J226" s="3" t="inlineStr">
        <is>
          <t>· If amount is missing it uses 0.</t>
        </is>
      </c>
      <c r="K226" s="3" t="inlineStr">
        <is>
          <t>No</t>
        </is>
      </c>
      <c r="L226" s="3" t="inlineStr">
        <is>
          <t>—</t>
        </is>
      </c>
      <c r="M226" s="3" t="n">
        <v>0</v>
      </c>
      <c r="N226" s="3" t="inlineStr">
        <is>
          <t>None — no dependent function stands behind it</t>
        </is>
      </c>
      <c r="O226" s="3" t="inlineStr">
        <is>
          <t>No dependent function — it reads its inputs and answers</t>
        </is>
      </c>
      <c r="P226" s="3" t="inlineStr">
        <is>
          <t>—</t>
        </is>
      </c>
      <c r="Q226" s="3" t="inlineStr">
        <is>
          <t>TRANSLATE_BROKER_WORD</t>
        </is>
      </c>
    </row>
    <row r="227">
      <c r="A227" s="3" t="inlineStr">
        <is>
          <t>MK-XS-F-106</t>
        </is>
      </c>
      <c r="B227" s="3" t="inlineStr">
        <is>
          <t>mapOptionHolding</t>
        </is>
      </c>
      <c r="C227" s="3" t="inlineStr">
        <is>
          <t>src/services/sync/snaptrade.ts</t>
        </is>
      </c>
      <c r="D227" s="3" t="n">
        <v>152</v>
      </c>
      <c r="E227" s="3" t="inlineStr">
        <is>
          <t>3 · DEPENDENT (feeds an action only)</t>
        </is>
      </c>
      <c r="F227" s="3" t="inlineStr">
        <is>
          <t>What is this option position worth, and what do we call it?</t>
        </is>
      </c>
      <c r="G227" s="3" t="inlineStr">
        <is>
          <t>o: StOptionHolding · multiplier = 100</t>
        </is>
      </c>
      <c r="H227" s="3" t="inlineStr">
        <is>
          <t>MappedOption | null</t>
        </is>
      </c>
      <c r="I227" s="3" t="inlineStr">
        <is>
          <t>—</t>
        </is>
      </c>
      <c r="J227" s="3" t="inlineStr">
        <is>
          <t>· If units is missing it uses 0.
· If price is missing it uses 0.
· Multiplies by 100 — a percentage, or an option contract treated as 100 shares. Worth checking which.
· Rounds the answer to a whole number.</t>
        </is>
      </c>
      <c r="K227" s="3" t="inlineStr">
        <is>
          <t>No</t>
        </is>
      </c>
      <c r="L227" s="3" t="inlineStr">
        <is>
          <t>—</t>
        </is>
      </c>
      <c r="M227" s="3" t="n">
        <v>0</v>
      </c>
      <c r="N227" s="3" t="inlineStr">
        <is>
          <t>None — no dependent function stands behind it</t>
        </is>
      </c>
      <c r="O227" s="3" t="inlineStr">
        <is>
          <t>No dependent function — it reads its inputs and answers</t>
        </is>
      </c>
      <c r="P227" s="3" t="inlineStr">
        <is>
          <t>—</t>
        </is>
      </c>
      <c r="Q227" s="3" t="inlineStr">
        <is>
          <t>OPTION_HOLDING</t>
        </is>
      </c>
    </row>
    <row r="228">
      <c r="A228" s="3" t="inlineStr">
        <is>
          <t>MK-XS-F-105</t>
        </is>
      </c>
      <c r="B228" s="3" t="inlineStr">
        <is>
          <t>mapPosition</t>
        </is>
      </c>
      <c r="C228" s="3" t="inlineStr">
        <is>
          <t>src/services/sync/snaptrade.ts</t>
        </is>
      </c>
      <c r="D228" s="3" t="n">
        <v>116</v>
      </c>
      <c r="E228" s="3" t="inlineStr">
        <is>
          <t>3 · DEPENDENT (feeds an action only)</t>
        </is>
      </c>
      <c r="F228" s="3" t="inlineStr">
        <is>
          <t>B7 (founder brief 2026-08-20): classification lives in the ONE engine — name first, broker tag as fallback only.</t>
        </is>
      </c>
      <c r="G228" s="3" t="inlineStr">
        <is>
          <t>p: StPosition</t>
        </is>
      </c>
      <c r="H228" s="3" t="inlineStr">
        <is>
          <t>MappedPosition | null</t>
        </is>
      </c>
      <c r="I228" s="3" t="inlineStr">
        <is>
          <t>—</t>
        </is>
      </c>
      <c r="J228" s="3" t="inlineStr">
        <is>
          <t>· If units is missing it uses 0.
· If quantity is missing it uses 0.
· Leaves some rows out of the answer — check which.</t>
        </is>
      </c>
      <c r="K228" s="3" t="inlineStr">
        <is>
          <t>No</t>
        </is>
      </c>
      <c r="L228" s="3" t="inlineStr">
        <is>
          <t>MK-ST-F-011 classifyHoldingClass</t>
        </is>
      </c>
      <c r="M228" s="3" t="n">
        <v>2</v>
      </c>
      <c r="N228" s="3" t="inlineStr">
        <is>
          <t>MK-ST-F-011 classifyHoldingClass · MK-ST-F-010 nameEvidence</t>
        </is>
      </c>
      <c r="O228" s="3" t="inlineStr">
        <is>
          <t>MK-ST-F-010 nameEvidence → MK-ST-F-011 classifyHoldingClass → MK-XS-F-105 mapPosition</t>
        </is>
      </c>
      <c r="P228" s="3" t="inlineStr">
        <is>
          <t>—</t>
        </is>
      </c>
      <c r="Q228" s="3" t="inlineStr">
        <is>
          <t>CLASS_FROM_BROKER</t>
        </is>
      </c>
    </row>
    <row r="229">
      <c r="A229" s="3" t="inlineStr">
        <is>
          <t>MK-CF-F-094</t>
        </is>
      </c>
      <c r="B229" s="3" t="inlineStr">
        <is>
          <t>marginalBracket</t>
        </is>
      </c>
      <c r="C229" s="3" t="inlineStr">
        <is>
          <t>src/domain/income/tax.ts</t>
        </is>
      </c>
      <c r="D229" s="3" t="n">
        <v>22</v>
      </c>
      <c r="E229" s="3" t="inlineStr">
        <is>
          <t>2 · DISPLAYED</t>
        </is>
      </c>
      <c r="F229" s="3" t="inlineStr">
        <is>
          <t>The marginal bracket rate (decimal) for an income (on taxable income, after deduction).</t>
        </is>
      </c>
      <c r="G229" s="3" t="inlineStr">
        <is>
          <t>gross: number</t>
        </is>
      </c>
      <c r="H229" s="3" t="inlineStr">
        <is>
          <t>number</t>
        </is>
      </c>
      <c r="I229" s="3" t="inlineStr">
        <is>
          <t>NOT FOUND — a screen calls it, but the words printed beside its answer could not be traced automatically. Needs reading.</t>
        </is>
      </c>
      <c r="J229" s="3" t="inlineStr">
        <is>
          <t>None found in this function — anything it assumes comes from the functions it depends on.</t>
        </is>
      </c>
      <c r="K229" s="3" t="inlineStr">
        <is>
          <t>Yes</t>
        </is>
      </c>
      <c r="L229" s="3" t="inlineStr">
        <is>
          <t>MK-CF-F-093 taxableIncome</t>
        </is>
      </c>
      <c r="M229" s="3" t="n">
        <v>1</v>
      </c>
      <c r="N229" s="3" t="inlineStr">
        <is>
          <t>MK-CF-F-093 taxableIncome</t>
        </is>
      </c>
      <c r="O229" s="3" t="inlineStr">
        <is>
          <t>MK-CF-F-093 taxableIncome → MK-CF-F-094 marginalBracket</t>
        </is>
      </c>
      <c r="P229" s="3" t="inlineStr">
        <is>
          <t>—</t>
        </is>
      </c>
      <c r="Q229" s="3" t="inlineStr">
        <is>
          <t>—</t>
        </is>
      </c>
    </row>
    <row r="230">
      <c r="A230" s="3" t="inlineStr">
        <is>
          <t>MK-CF-F-103</t>
        </is>
      </c>
      <c r="B230" s="3" t="inlineStr">
        <is>
          <t>marginalBracketFor</t>
        </is>
      </c>
      <c r="C230" s="3" t="inlineStr">
        <is>
          <t>src/domain/income/tax.ts</t>
        </is>
      </c>
      <c r="D230" s="3" t="n">
        <v>134</v>
      </c>
      <c r="E230" s="3" t="inlineStr">
        <is>
          <t>3 · DEPENDENT (feeds an action only)</t>
        </is>
      </c>
      <c r="F230" s="3" t="inlineStr">
        <is>
          <t>NOT DETERMINED — the code carries no note saying what this is for, and it has no row in the old inventory. Needs reading.</t>
        </is>
      </c>
      <c r="G230" s="3" t="inlineStr">
        <is>
          <t>gross: number · status: FilingStatus = 'single' · over65 = 0</t>
        </is>
      </c>
      <c r="H230" s="3" t="inlineStr">
        <is>
          <t>number</t>
        </is>
      </c>
      <c r="I230" s="3" t="inlineStr">
        <is>
          <t>—</t>
        </is>
      </c>
      <c r="J230" s="3" t="inlineStr">
        <is>
          <t>None found in this function — anything it assumes comes from the functions it depends on.</t>
        </is>
      </c>
      <c r="K230" s="3" t="inlineStr">
        <is>
          <t>No</t>
        </is>
      </c>
      <c r="L230" s="3" t="inlineStr">
        <is>
          <t>MK-CF-F-100 taxableIncomeFor</t>
        </is>
      </c>
      <c r="M230" s="3" t="n">
        <v>2</v>
      </c>
      <c r="N230" s="3" t="inlineStr">
        <is>
          <t>MK-CF-F-100 taxableIncomeFor · MK-CF-F-099 deductionFor</t>
        </is>
      </c>
      <c r="O230" s="3" t="inlineStr">
        <is>
          <t>MK-CF-F-099 deductionFor → MK-CF-F-100 taxableIncomeFor → MK-CF-F-103 marginalBracketFor</t>
        </is>
      </c>
      <c r="P230" s="3" t="inlineStr">
        <is>
          <t>—</t>
        </is>
      </c>
      <c r="Q230" s="3" t="inlineStr">
        <is>
          <t>—</t>
        </is>
      </c>
    </row>
    <row r="231">
      <c r="A231" s="3" t="inlineStr">
        <is>
          <t>MK-PF-F-004</t>
        </is>
      </c>
      <c r="B231" s="3" t="inlineStr">
        <is>
          <t>marketValue</t>
        </is>
      </c>
      <c r="C231" s="3" t="inlineStr">
        <is>
          <t>src/domain/performance/index.ts</t>
        </is>
      </c>
      <c r="D231" s="3" t="n">
        <v>47</v>
      </c>
      <c r="E231" s="3" t="inlineStr">
        <is>
          <t>3 · DEPENDENT</t>
        </is>
      </c>
      <c r="F231" s="3" t="inlineStr">
        <is>
          <t>What is this holding worth right now?</t>
        </is>
      </c>
      <c r="G231" s="3" t="inlineStr">
        <is>
          <t>p: Position · price: number | null | undefined</t>
        </is>
      </c>
      <c r="H231" s="3" t="inlineStr">
        <is>
          <t>number</t>
        </is>
      </c>
      <c r="I231" s="3" t="inlineStr">
        <is>
          <t>—</t>
        </is>
      </c>
      <c r="J231" s="3" t="inlineStr">
        <is>
          <t>None found in this function — anything it assumes comes from the functions it depends on.</t>
        </is>
      </c>
      <c r="K231" s="3" t="inlineStr">
        <is>
          <t>Yes</t>
        </is>
      </c>
      <c r="L231" s="3" t="inlineStr">
        <is>
          <t>MK-ST-F-055 round2 · MK-PF-F-001 totalShares</t>
        </is>
      </c>
      <c r="M231" s="3" t="n">
        <v>2</v>
      </c>
      <c r="N231" s="3" t="inlineStr">
        <is>
          <t>MK-ST-F-055 round2 · MK-PF-F-001 totalShares</t>
        </is>
      </c>
      <c r="O231" s="3" t="inlineStr">
        <is>
          <t>MK-ST-F-055 round2 → MK-PF-F-004 marketValue
MK-PF-F-001 totalShares → MK-PF-F-004 marketValue</t>
        </is>
      </c>
      <c r="P231" s="3" t="inlineStr">
        <is>
          <t>MK-NW-M-030 · MK-NW-M-040</t>
        </is>
      </c>
      <c r="Q231" s="3" t="inlineStr">
        <is>
          <t>HOLDING_MARKET_VALUE</t>
        </is>
      </c>
    </row>
    <row r="232">
      <c r="A232" s="3" t="inlineStr">
        <is>
          <t>MK-XS-F-016</t>
        </is>
      </c>
      <c r="B232" s="3" t="inlineStr">
        <is>
          <t>matchImportAccount</t>
        </is>
      </c>
      <c r="C232" s="3" t="inlineStr">
        <is>
          <t>src/domain/import/holdingsImport.ts</t>
        </is>
      </c>
      <c r="D232" s="3" t="n">
        <v>224</v>
      </c>
      <c r="E232" s="3" t="inlineStr">
        <is>
          <t>2 · DISPLAYED</t>
        </is>
      </c>
      <c r="F232" s="3" t="inlineStr">
        <is>
          <t>The existing account a fresh import from `institution` should offer to update (or null).</t>
        </is>
      </c>
      <c r="G232" s="3" t="inlineStr">
        <is>
          <t>accounts: AssetAccount[] · institution: string</t>
        </is>
      </c>
      <c r="H232" s="3" t="inlineStr">
        <is>
          <t>AssetAccount | null</t>
        </is>
      </c>
      <c r="I232" s="3" t="inlineStr">
        <is>
          <t>"Account name" — on the Import holdings screen, under "REVIEW YOUR HOLDINGS"</t>
        </is>
      </c>
      <c r="J232" s="3" t="inlineStr">
        <is>
          <t>· If balance is missing it counts as zero, so nothing recorded and a real zero look the same.
· Leaves some rows out of the answer — check which.</t>
        </is>
      </c>
      <c r="K232" s="3" t="inlineStr">
        <is>
          <t>Yes</t>
        </is>
      </c>
      <c r="L232" s="3" t="inlineStr">
        <is>
          <t>—</t>
        </is>
      </c>
      <c r="M232" s="3" t="n">
        <v>0</v>
      </c>
      <c r="N232" s="3" t="inlineStr">
        <is>
          <t>None — no dependent function stands behind it</t>
        </is>
      </c>
      <c r="O232" s="3" t="inlineStr">
        <is>
          <t>No dependent function — it reads its inputs and answers</t>
        </is>
      </c>
      <c r="P232" s="3" t="inlineStr">
        <is>
          <t>—</t>
        </is>
      </c>
      <c r="Q232" s="3" t="inlineStr">
        <is>
          <t>IMPORT_ACCOUNT_MATCH</t>
        </is>
      </c>
    </row>
    <row r="233">
      <c r="A233" s="3" t="inlineStr">
        <is>
          <t>MK-NW-F-009</t>
        </is>
      </c>
      <c r="B233" s="3" t="inlineStr">
        <is>
          <t>maturityClass</t>
        </is>
      </c>
      <c r="C233" s="3" t="inlineStr">
        <is>
          <t>src/domain/assets/index.ts</t>
        </is>
      </c>
      <c r="D233" s="3" t="n">
        <v>200</v>
      </c>
      <c r="E233" s="3" t="inlineStr">
        <is>
          <t>2 · DISPLAYED</t>
        </is>
      </c>
      <c r="F233" s="3" t="inlineStr">
        <is>
          <t>FOUNDER RULE 2026-08-04 (supersedes build-34 #8's 12-month split): ANY maturity-dated instrument is a BOND — it pays interest, so it must sit in the measured bucket regardless of how soon it matures.</t>
        </is>
      </c>
      <c r="G233" s="3" t="inlineStr">
        <is>
          <t>maturityDate?: string | null</t>
        </is>
      </c>
      <c r="H233" s="3" t="inlineStr">
        <is>
          <t>'cash' | 'bonds'</t>
        </is>
      </c>
      <c r="I233" s="3" t="inlineStr">
        <is>
          <t>NOT FOUND — a screen calls it, but the words printed beside its answer could not be traced automatically. Needs reading.</t>
        </is>
      </c>
      <c r="J233" s="3" t="inlineStr">
        <is>
          <t>None found in this function — anything it assumes comes from the functions it depends on.</t>
        </is>
      </c>
      <c r="K233" s="3" t="inlineStr">
        <is>
          <t>Yes</t>
        </is>
      </c>
      <c r="L233" s="3" t="inlineStr">
        <is>
          <t>—</t>
        </is>
      </c>
      <c r="M233" s="3" t="n">
        <v>0</v>
      </c>
      <c r="N233" s="3" t="inlineStr">
        <is>
          <t>None — no dependent function stands behind it</t>
        </is>
      </c>
      <c r="O233" s="3" t="inlineStr">
        <is>
          <t>No dependent function — it reads its inputs and answers</t>
        </is>
      </c>
      <c r="P233" s="3" t="inlineStr">
        <is>
          <t>—</t>
        </is>
      </c>
      <c r="Q233" s="3" t="inlineStr">
        <is>
          <t>MATURITY_MEANS_BOND</t>
        </is>
      </c>
    </row>
    <row r="234">
      <c r="A234" s="3" t="inlineStr">
        <is>
          <t>MK-ST-F-005</t>
        </is>
      </c>
      <c r="B234" s="3" t="inlineStr">
        <is>
          <t>measuredFromLabel</t>
        </is>
      </c>
      <c r="C234" s="3" t="inlineStr">
        <is>
          <t>Calculation Module code/engines/coverage.ts</t>
        </is>
      </c>
      <c r="D234" s="3" t="n">
        <v>90</v>
      </c>
      <c r="E234" s="3" t="inlineStr">
        <is>
          <t>2 · DISPLAYED</t>
        </is>
      </c>
      <c r="F234" s="3" t="inlineStr">
        <is>
          <t>The short label that rides beside a change figure, always — whether the window is covered or not.</t>
        </is>
      </c>
      <c r="G234" s="3" t="inlineStr">
        <is>
          <t>days: Dated[] · from: string</t>
        </is>
      </c>
      <c r="H234" s="3" t="inlineStr">
        <is>
          <t>string</t>
        </is>
      </c>
      <c r="I234" s="3" t="inlineStr">
        <is>
          <t>NOT FOUND — a screen calls it, but the words printed beside its answer could not be traced automatically. Needs reading.</t>
        </is>
      </c>
      <c r="J234" s="3" t="inlineStr">
        <is>
          <t>None found in this function — anything it assumes comes from the functions it depends on.</t>
        </is>
      </c>
      <c r="K234" s="3" t="inlineStr">
        <is>
          <t>Yes</t>
        </is>
      </c>
      <c r="L234" s="3" t="inlineStr">
        <is>
          <t>MK-ST-F-003 dayWords · MK-ST-F-034 firstDate</t>
        </is>
      </c>
      <c r="M234" s="3" t="n">
        <v>3</v>
      </c>
      <c r="N234" s="3" t="inlineStr">
        <is>
          <t>MK-ST-F-003 dayWords · MK-ST-F-034 firstDate · MK-ST-F-002 monthWords</t>
        </is>
      </c>
      <c r="O234" s="3" t="inlineStr">
        <is>
          <t>MK-ST-F-002 monthWords → MK-ST-F-003 dayWords → MK-ST-F-005 measuredFromLabel
MK-ST-F-034 firstDate → MK-ST-F-005 measuredFromLabel</t>
        </is>
      </c>
      <c r="P234" s="3" t="inlineStr">
        <is>
          <t>—</t>
        </is>
      </c>
      <c r="Q234" s="3" t="inlineStr">
        <is>
          <t>—</t>
        </is>
      </c>
    </row>
    <row r="235">
      <c r="A235" s="3" t="inlineStr">
        <is>
          <t>MK-XS-F-111</t>
        </is>
      </c>
      <c r="B235" s="3" t="inlineStr">
        <is>
          <t>mergeHistoryFrom</t>
        </is>
      </c>
      <c r="C235" s="3" t="inlineStr">
        <is>
          <t>src/services/sync/snaptrade.ts</t>
        </is>
      </c>
      <c r="D235" s="3" t="n">
        <v>284</v>
      </c>
      <c r="E235" s="3" t="inlineStr">
        <is>
          <t>3 · DEPENDENT (feeds an action only)</t>
        </is>
      </c>
      <c r="F235" s="3" t="inlineStr">
        <is>
          <t>FOUNDER RULE 2026-08-04: record how far back the broker's OWN activity feed reaches, so a "past year" income figure can label itself honestly.</t>
        </is>
      </c>
      <c r="G235" s="3" t="inlineStr">
        <is>
          <t>existing: string | undefined · activityDates: (string | null | undefined)[]</t>
        </is>
      </c>
      <c r="H235" s="3" t="inlineStr">
        <is>
          <t>string | undefined</t>
        </is>
      </c>
      <c r="I235" s="3" t="inlineStr">
        <is>
          <t>—</t>
        </is>
      </c>
      <c r="J235" s="3" t="inlineStr">
        <is>
          <t>· Leaves some rows out of the answer — check which.</t>
        </is>
      </c>
      <c r="K235" s="3" t="inlineStr">
        <is>
          <t>No</t>
        </is>
      </c>
      <c r="L235" s="3" t="inlineStr">
        <is>
          <t>—</t>
        </is>
      </c>
      <c r="M235" s="3" t="n">
        <v>0</v>
      </c>
      <c r="N235" s="3" t="inlineStr">
        <is>
          <t>None — no dependent function stands behind it</t>
        </is>
      </c>
      <c r="O235" s="3" t="inlineStr">
        <is>
          <t>No dependent function — it reads its inputs and answers</t>
        </is>
      </c>
      <c r="P235" s="3" t="inlineStr">
        <is>
          <t>MK-NW-M-022</t>
        </is>
      </c>
      <c r="Q235" s="3" t="inlineStr">
        <is>
          <t>HISTORY_DEPTH</t>
        </is>
      </c>
    </row>
    <row r="236">
      <c r="A236" s="3" t="inlineStr">
        <is>
          <t>MK-HM-F-004</t>
        </is>
      </c>
      <c r="B236" s="3" t="inlineStr">
        <is>
          <t>milestoneCrossed</t>
        </is>
      </c>
      <c r="C236" s="3" t="inlineStr">
        <is>
          <t>src/domain/milestones.ts</t>
        </is>
      </c>
      <c r="D236" s="3" t="n">
        <v>34</v>
      </c>
      <c r="E236" s="3" t="inlineStr">
        <is>
          <t>2 · DISPLAYED</t>
        </is>
      </c>
      <c r="F236" s="3" t="inlineStr">
        <is>
          <t>The one decision rule.</t>
        </is>
      </c>
      <c r="G236" s="3" t="inlineStr">
        <is>
          <t>netWorth: number · highSeen: number | null</t>
        </is>
      </c>
      <c r="H236" s="3" t="inlineStr">
        <is>
          <t>number | null</t>
        </is>
      </c>
      <c r="I236" s="3" t="inlineStr">
        <is>
          <t>NOT FOUND — a screen calls it, but the words printed beside its answer could not be traced automatically. Needs reading.</t>
        </is>
      </c>
      <c r="J236" s="3" t="inlineStr">
        <is>
          <t>None found in this function — anything it assumes comes from the functions it depends on.</t>
        </is>
      </c>
      <c r="K236" s="3" t="inlineStr">
        <is>
          <t>Yes</t>
        </is>
      </c>
      <c r="L236" s="3" t="inlineStr">
        <is>
          <t>MK-HM-F-003 milestoneFloor</t>
        </is>
      </c>
      <c r="M236" s="3" t="n">
        <v>1</v>
      </c>
      <c r="N236" s="3" t="inlineStr">
        <is>
          <t>MK-HM-F-003 milestoneFloor</t>
        </is>
      </c>
      <c r="O236" s="3" t="inlineStr">
        <is>
          <t>MK-HM-F-003 milestoneFloor → MK-HM-F-004 milestoneCrossed</t>
        </is>
      </c>
      <c r="P236" s="3" t="inlineStr">
        <is>
          <t>—</t>
        </is>
      </c>
      <c r="Q236" s="3" t="inlineStr">
        <is>
          <t>—</t>
        </is>
      </c>
    </row>
    <row r="237">
      <c r="A237" s="3" t="inlineStr">
        <is>
          <t>MK-HM-F-003</t>
        </is>
      </c>
      <c r="B237" s="3" t="inlineStr">
        <is>
          <t>milestoneFloor</t>
        </is>
      </c>
      <c r="C237" s="3" t="inlineStr">
        <is>
          <t>src/domain/milestones.ts</t>
        </is>
      </c>
      <c r="D237" s="3" t="n">
        <v>23</v>
      </c>
      <c r="E237" s="3" t="inlineStr">
        <is>
          <t>2 · DISPLAYED</t>
        </is>
      </c>
      <c r="F237" s="3" t="inlineStr">
        <is>
          <t>The highest ladder rung at or below `netWorth` (0 when below the first rung).</t>
        </is>
      </c>
      <c r="G237" s="3" t="inlineStr">
        <is>
          <t>netWorth: number</t>
        </is>
      </c>
      <c r="H237" s="3" t="inlineStr">
        <is>
          <t>number</t>
        </is>
      </c>
      <c r="I237" s="3" t="inlineStr">
        <is>
          <t>NOT FOUND — a screen calls it, but the words printed beside its answer could not be traced automatically. Needs reading.</t>
        </is>
      </c>
      <c r="J237" s="3" t="inlineStr">
        <is>
          <t>· Uses a built-in floor of 0.</t>
        </is>
      </c>
      <c r="K237" s="3" t="inlineStr">
        <is>
          <t>Yes</t>
        </is>
      </c>
      <c r="L237" s="3" t="inlineStr">
        <is>
          <t>—</t>
        </is>
      </c>
      <c r="M237" s="3" t="n">
        <v>0</v>
      </c>
      <c r="N237" s="3" t="inlineStr">
        <is>
          <t>None — no dependent function stands behind it</t>
        </is>
      </c>
      <c r="O237" s="3" t="inlineStr">
        <is>
          <t>No dependent function — it reads its inputs and answers</t>
        </is>
      </c>
      <c r="P237" s="3" t="inlineStr">
        <is>
          <t>—</t>
        </is>
      </c>
      <c r="Q237" s="3" t="inlineStr">
        <is>
          <t>—</t>
        </is>
      </c>
    </row>
    <row r="238">
      <c r="A238" s="3" t="inlineStr">
        <is>
          <t>MK-HM-F-002</t>
        </is>
      </c>
      <c r="B238" s="3" t="inlineStr">
        <is>
          <t>milestoneLabel</t>
        </is>
      </c>
      <c r="C238" s="3" t="inlineStr">
        <is>
          <t>src/domain/milestones.ts</t>
        </is>
      </c>
      <c r="D238" s="3" t="n">
        <v>14</v>
      </c>
      <c r="E238" s="3" t="inlineStr">
        <is>
          <t>2 · DISPLAYED</t>
        </is>
      </c>
      <c r="F238" s="3" t="inlineStr">
        <is>
          <t>'$500k' / '$1M' — the label the celebration line uses.</t>
        </is>
      </c>
      <c r="G238" s="3" t="inlineStr">
        <is>
          <t>threshold: number</t>
        </is>
      </c>
      <c r="H238" s="3" t="inlineStr">
        <is>
          <t>string</t>
        </is>
      </c>
      <c r="I238" s="3" t="inlineStr">
        <is>
          <t>NOT FOUND — a screen calls it, but the words printed beside its answer could not be traced automatically. Needs reading.</t>
        </is>
      </c>
      <c r="J238" s="3" t="inlineStr">
        <is>
          <t>· Rounds the answer to a whole number.
· Shows 1 decimal place.</t>
        </is>
      </c>
      <c r="K238" s="3" t="inlineStr">
        <is>
          <t>Yes</t>
        </is>
      </c>
      <c r="L238" s="3" t="inlineStr">
        <is>
          <t>—</t>
        </is>
      </c>
      <c r="M238" s="3" t="n">
        <v>0</v>
      </c>
      <c r="N238" s="3" t="inlineStr">
        <is>
          <t>None — no dependent function stands behind it</t>
        </is>
      </c>
      <c r="O238" s="3" t="inlineStr">
        <is>
          <t>No dependent function — it reads its inputs and answers</t>
        </is>
      </c>
      <c r="P238" s="3" t="inlineStr">
        <is>
          <t>—</t>
        </is>
      </c>
      <c r="Q238" s="3" t="inlineStr">
        <is>
          <t>—</t>
        </is>
      </c>
    </row>
    <row r="239">
      <c r="A239" s="3" t="inlineStr">
        <is>
          <t>MK-CF-F-025</t>
        </is>
      </c>
      <c r="B239" s="3" t="inlineStr">
        <is>
          <t>minimumDebtService</t>
        </is>
      </c>
      <c r="C239" s="3" t="inlineStr">
        <is>
          <t>src/domain/debt/index.ts</t>
        </is>
      </c>
      <c r="D239" s="3" t="n">
        <v>55</v>
      </c>
      <c r="E239" s="3" t="inlineStr">
        <is>
          <t>2 · DISPLAYED</t>
        </is>
      </c>
      <c r="F239" s="3" t="inlineStr">
        <is>
          <t>Term #9 — TWO clearly-named monthly-debt numbers (they're different concepts, not a bug to pick one): Σ MINIMUM required payments — the contractual obligation.</t>
        </is>
      </c>
      <c r="G239" s="3" t="inlineStr">
        <is>
          <t>debts: Debt[]</t>
        </is>
      </c>
      <c r="H239" s="3" t="inlineStr">
        <is>
          <t>number</t>
        </is>
      </c>
      <c r="I239" s="3" t="inlineStr">
        <is>
          <t>"Total debt" — on the budget screen</t>
        </is>
      </c>
      <c r="J239" s="3" t="inlineStr">
        <is>
          <t>· If minimum monthly payment is missing it counts as zero, so nothing recorded and a real zero look the same.</t>
        </is>
      </c>
      <c r="K239" s="3" t="inlineStr">
        <is>
          <t>Yes</t>
        </is>
      </c>
      <c r="L239" s="3" t="inlineStr">
        <is>
          <t>MK-CF-F-022 paymentShape · MK-ST-F-055 round2</t>
        </is>
      </c>
      <c r="M239" s="3" t="n">
        <v>3</v>
      </c>
      <c r="N239" s="3" t="inlineStr">
        <is>
          <t>MK-CF-F-022 paymentShape · MK-ST-F-055 round2 · MK-CF-F-021 defaultPaymentType</t>
        </is>
      </c>
      <c r="O239" s="3" t="inlineStr">
        <is>
          <t>MK-CF-F-021 defaultPaymentType → MK-CF-F-022 paymentShape → MK-CF-F-025 minimumDebtService
MK-ST-F-055 round2 → MK-CF-F-025 minimumDebtService</t>
        </is>
      </c>
      <c r="P239" s="3" t="inlineStr">
        <is>
          <t>—</t>
        </is>
      </c>
      <c r="Q239" s="3" t="inlineStr">
        <is>
          <t>DEBT_MINIMUM_TOTAL</t>
        </is>
      </c>
    </row>
    <row r="240">
      <c r="A240" s="3" t="inlineStr">
        <is>
          <t>MK-ST-F-053</t>
        </is>
      </c>
      <c r="B240" s="3" t="inlineStr">
        <is>
          <t>money</t>
        </is>
      </c>
      <c r="C240" s="3" t="inlineStr">
        <is>
          <t>src/domain/_shared/num.ts</t>
        </is>
      </c>
      <c r="D240" s="3" t="n">
        <v>9</v>
      </c>
      <c r="E240" s="3" t="inlineStr">
        <is>
          <t>1 · ACTION</t>
        </is>
      </c>
      <c r="F240" s="3" t="inlineStr">
        <is>
          <t>Currency/locale-aware (delegates to the active money format; defaults to USD/en-US).</t>
        </is>
      </c>
      <c r="G240" s="3" t="inlineStr">
        <is>
          <t>n: number</t>
        </is>
      </c>
      <c r="H240" s="3" t="inlineStr">
        <is>
          <t>string</t>
        </is>
      </c>
      <c r="I240" s="3" t="inlineStr">
        <is>
          <t>"ACCOUNTS (year-end)" — on the Tax organiser screen, under "ACCOUNTS (year-end)" · "Allocate to this goal ›" — on the Goals screen, under "YOUR GOALS" · "Amount" — on the budget screen · "Annual vesting cash flow" — on the setup questions, which appear on more than one screen · "Annuity / other" — on the setup questions, which appear on more than one screen · "Available / yr" — on the setup questions, which appear on more than one screen</t>
        </is>
      </c>
      <c r="J240" s="3" t="inlineStr">
        <is>
          <t>None found in this function — anything it assumes comes from the functions it depends on.</t>
        </is>
      </c>
      <c r="K240" s="3" t="inlineStr">
        <is>
          <t>Yes</t>
        </is>
      </c>
      <c r="L240" s="3" t="inlineStr">
        <is>
          <t>MK-ST-F-049 formatMoney</t>
        </is>
      </c>
      <c r="M240" s="3" t="n">
        <v>3</v>
      </c>
      <c r="N240" s="3" t="inlineStr">
        <is>
          <t>MK-ST-F-049 formatMoney · MK-ST-F-048 currencySymbol · MK-ST-F-047 activeCurrency</t>
        </is>
      </c>
      <c r="O240" s="3" t="inlineStr">
        <is>
          <t>MK-ST-F-047 activeCurrency → MK-ST-F-048 currencySymbol → MK-ST-F-049 formatMoney → MK-ST-F-053 money</t>
        </is>
      </c>
      <c r="P240" s="3" t="inlineStr">
        <is>
          <t>—</t>
        </is>
      </c>
      <c r="Q240" s="3" t="inlineStr">
        <is>
          <t>—</t>
        </is>
      </c>
    </row>
    <row r="241">
      <c r="A241" s="3" t="inlineStr">
        <is>
          <t>MK-ST-F-054</t>
        </is>
      </c>
      <c r="B241" s="3" t="inlineStr">
        <is>
          <t>money2</t>
        </is>
      </c>
      <c r="C241" s="3" t="inlineStr">
        <is>
          <t>src/domain/_shared/num.ts</t>
        </is>
      </c>
      <c r="D241" s="3" t="n">
        <v>11</v>
      </c>
      <c r="E241" s="3" t="inlineStr">
        <is>
          <t>1 · ACTION</t>
        </is>
      </c>
      <c r="F241" s="3" t="inlineStr">
        <is>
          <t>Same, but keeps cents — for precise amounts (transactions, holdings).</t>
        </is>
      </c>
      <c r="G241" s="3" t="inlineStr">
        <is>
          <t>n: number</t>
        </is>
      </c>
      <c r="H241" s="3" t="inlineStr">
        <is>
          <t>string</t>
        </is>
      </c>
      <c r="I241" s="3" t="inlineStr">
        <is>
          <t>"Monthly equivalent" — on the income screen · "No transactions yet." — on the Performance screen · "Total" — on the Import holdings screen · "Value" — on the Import holdings screen, under "REVIEW YOUR HOLDINGS" · "You earned" — on the income screen</t>
        </is>
      </c>
      <c r="J241" s="3" t="inlineStr">
        <is>
          <t>None found in this function — anything it assumes comes from the functions it depends on.</t>
        </is>
      </c>
      <c r="K241" s="3" t="inlineStr">
        <is>
          <t>Yes</t>
        </is>
      </c>
      <c r="L241" s="3" t="inlineStr">
        <is>
          <t>MK-ST-F-050 formatMoneyCents</t>
        </is>
      </c>
      <c r="M241" s="3" t="n">
        <v>3</v>
      </c>
      <c r="N241" s="3" t="inlineStr">
        <is>
          <t>MK-ST-F-050 formatMoneyCents · MK-ST-F-048 currencySymbol · MK-ST-F-047 activeCurrency</t>
        </is>
      </c>
      <c r="O241" s="3" t="inlineStr">
        <is>
          <t>MK-ST-F-047 activeCurrency → MK-ST-F-048 currencySymbol → MK-ST-F-050 formatMoneyCents → MK-ST-F-054 money2</t>
        </is>
      </c>
      <c r="P241" s="3" t="inlineStr">
        <is>
          <t>—</t>
        </is>
      </c>
      <c r="Q241" s="3" t="inlineStr">
        <is>
          <t>—</t>
        </is>
      </c>
    </row>
    <row r="242">
      <c r="A242" s="3" t="inlineStr">
        <is>
          <t>MK-ST-F-051</t>
        </is>
      </c>
      <c r="B242" s="3" t="inlineStr">
        <is>
          <t>moneyCompact</t>
        </is>
      </c>
      <c r="C242" s="3" t="inlineStr">
        <is>
          <t>src/domain/_shared/money.ts</t>
        </is>
      </c>
      <c r="D242" s="3" t="n">
        <v>88</v>
      </c>
      <c r="E242" s="3" t="inlineStr">
        <is>
          <t>2 · DISPLAYED</t>
        </is>
      </c>
      <c r="F242" s="3" t="inlineStr">
        <is>
          <t>Compact form for tight spaces (chart labels, donut center).</t>
        </is>
      </c>
      <c r="G242" s="3" t="inlineStr">
        <is>
          <t>n: number · style: 'M' | 'MM' = 'MM'</t>
        </is>
      </c>
      <c r="H242" s="3" t="inlineStr">
        <is>
          <t>string</t>
        </is>
      </c>
      <c r="I242" s="3" t="inlineStr">
        <is>
          <t>"Left to spend" — on the Retirement cockpit screen, under "RETIREMENT · WHERE YOU STAND" · "NEST EGG" — on the Retirement cockpit screen · "Nest egg today" — on the Retirement cockpit screen, under "scRetired ?" · "Nest egg" — on the Retirement cockpit screen, under "RETIREMENT · WHERE YOU STAND" · "Projected nest egg" — on the Retirement cockpit screen · "Suggested withdrawal order" — on the Retirement cockpit screen</t>
        </is>
      </c>
      <c r="J242" s="3" t="inlineStr">
        <is>
          <t>· Rounds the answer to a whole number.
· Shows 2 decimal places.</t>
        </is>
      </c>
      <c r="K242" s="3" t="inlineStr">
        <is>
          <t>Yes</t>
        </is>
      </c>
      <c r="L242" s="3" t="inlineStr">
        <is>
          <t>MK-ST-F-048 currencySymbol</t>
        </is>
      </c>
      <c r="M242" s="3" t="n">
        <v>2</v>
      </c>
      <c r="N242" s="3" t="inlineStr">
        <is>
          <t>MK-ST-F-048 currencySymbol · MK-ST-F-047 activeCurrency</t>
        </is>
      </c>
      <c r="O242" s="3" t="inlineStr">
        <is>
          <t>MK-ST-F-047 activeCurrency → MK-ST-F-048 currencySymbol → MK-ST-F-051 moneyCompact</t>
        </is>
      </c>
      <c r="P242" s="3" t="inlineStr">
        <is>
          <t>—</t>
        </is>
      </c>
      <c r="Q242" s="3" t="inlineStr">
        <is>
          <t>—</t>
        </is>
      </c>
    </row>
    <row r="243">
      <c r="A243" s="3" t="inlineStr">
        <is>
          <t>MK-PF-F-026</t>
        </is>
      </c>
      <c r="B243" s="3" t="inlineStr">
        <is>
          <t>moneyWeightedReturn</t>
        </is>
      </c>
      <c r="C243" s="3" t="inlineStr">
        <is>
          <t>src/domain/performance/moneyWeighted.ts</t>
        </is>
      </c>
      <c r="D243" s="3" t="n">
        <v>80</v>
      </c>
      <c r="E243" s="3" t="inlineStr">
        <is>
          <t>2 · DISPLAYED</t>
        </is>
      </c>
      <c r="F243" s="3" t="inlineStr">
        <is>
          <t>XIRR via bisection — deterministic, no derivative games.</t>
        </is>
      </c>
      <c r="G243" s="3" t="inlineStr">
        <is>
          <t>Nothing is handed to it</t>
        </is>
      </c>
      <c r="H243" s="3" t="inlineStr">
        <is>
          <t>NOT DECLARED — the code does not say what it gives back</t>
        </is>
      </c>
      <c r="I243" s="3" t="inlineStr">
        <is>
          <t>NOT FOUND — a screen calls it, but the words printed beside its answer could not be traced automatically. Needs reading.</t>
        </is>
      </c>
      <c r="J243" s="3" t="inlineStr">
        <is>
          <t>· Uses a built-in i of 0.
· Uses today's date from the device clock, so the answer changes by itself overnight.
· Rounds the answer to a whole number.
· Leaves some rows out of the answer — check which.</t>
        </is>
      </c>
      <c r="K243" s="3" t="inlineStr">
        <is>
          <t>Yes</t>
        </is>
      </c>
      <c r="L243" s="3" t="inlineStr">
        <is>
          <t>MK-PF-F-025 historyIsComplete · MK-PF-F-024 userFlows</t>
        </is>
      </c>
      <c r="M243" s="3" t="n">
        <v>2</v>
      </c>
      <c r="N243" s="3" t="inlineStr">
        <is>
          <t>MK-PF-F-025 historyIsComplete · MK-PF-F-024 userFlows</t>
        </is>
      </c>
      <c r="O243" s="3" t="inlineStr">
        <is>
          <t>MK-PF-F-025 historyIsComplete → MK-PF-F-026 moneyWeightedReturn
MK-PF-F-024 userFlows → MK-PF-F-026 moneyWeightedReturn</t>
        </is>
      </c>
      <c r="P243" s="3" t="inlineStr">
        <is>
          <t>—</t>
        </is>
      </c>
      <c r="Q243" s="3" t="inlineStr">
        <is>
          <t>PERSONAL_RETURN</t>
        </is>
      </c>
    </row>
    <row r="244">
      <c r="A244" s="3" t="inlineStr">
        <is>
          <t>MK-ST-F-002</t>
        </is>
      </c>
      <c r="B244" s="3" t="inlineStr">
        <is>
          <t>monthWords</t>
        </is>
      </c>
      <c r="C244" s="3" t="inlineStr">
        <is>
          <t>Calculation Module code/engines/coverage.ts</t>
        </is>
      </c>
      <c r="D244" s="3" t="n">
        <v>41</v>
      </c>
      <c r="E244" s="3" t="inlineStr">
        <is>
          <t>3 · DEPENDENT</t>
        </is>
      </c>
      <c r="F244" s="3" t="inlineStr">
        <is>
          <t>"March 2022" — a month a person reads, not a date stamp.</t>
        </is>
      </c>
      <c r="G244" s="3" t="inlineStr">
        <is>
          <t>iso: string | null</t>
        </is>
      </c>
      <c r="H244" s="3" t="inlineStr">
        <is>
          <t>string</t>
        </is>
      </c>
      <c r="I244" s="3" t="inlineStr">
        <is>
          <t>—</t>
        </is>
      </c>
      <c r="J244" s="3" t="inlineStr">
        <is>
          <t>None found in this function — anything it assumes comes from the functions it depends on.</t>
        </is>
      </c>
      <c r="K244" s="3" t="inlineStr">
        <is>
          <t>Yes</t>
        </is>
      </c>
      <c r="L244" s="3" t="inlineStr">
        <is>
          <t>—</t>
        </is>
      </c>
      <c r="M244" s="3" t="n">
        <v>0</v>
      </c>
      <c r="N244" s="3" t="inlineStr">
        <is>
          <t>None — no dependent function stands behind it</t>
        </is>
      </c>
      <c r="O244" s="3" t="inlineStr">
        <is>
          <t>No dependent function — it reads its inputs and answers</t>
        </is>
      </c>
      <c r="P244" s="3" t="inlineStr">
        <is>
          <t>—</t>
        </is>
      </c>
      <c r="Q244" s="3" t="inlineStr">
        <is>
          <t>—</t>
        </is>
      </c>
    </row>
    <row r="245">
      <c r="A245" s="3" t="inlineStr">
        <is>
          <t>MK-NW-F-041</t>
        </is>
      </c>
      <c r="B245" s="3" t="inlineStr">
        <is>
          <t>monthlyContributionsFromOnboarding</t>
        </is>
      </c>
      <c r="C245" s="3" t="inlineStr">
        <is>
          <t>src/domain/assets/index.ts</t>
        </is>
      </c>
      <c r="D245" s="3" t="n">
        <v>695</v>
      </c>
      <c r="E245" s="3" t="inlineStr">
        <is>
          <t>2 · DISPLAYED</t>
        </is>
      </c>
      <c r="F245" s="3" t="inlineStr">
        <is>
          <t>Total monthly contributions across types + employer match (feeds the retirement projection).</t>
        </is>
      </c>
      <c r="G245" s="3" t="inlineStr">
        <is>
          <t>op: Record&lt;string, any&gt; | null</t>
        </is>
      </c>
      <c r="H245" s="3" t="inlineStr">
        <is>
          <t>number</t>
        </is>
      </c>
      <c r="I245" s="3" t="inlineStr">
        <is>
          <t>NOT FOUND — a screen calls it, but the words printed beside its answer could not be traced automatically. Needs reading.</t>
        </is>
      </c>
      <c r="J245" s="3" t="inlineStr">
        <is>
          <t>None found in this function — anything it assumes comes from the functions it depends on.</t>
        </is>
      </c>
      <c r="K245" s="3" t="inlineStr">
        <is>
          <t>Yes</t>
        </is>
      </c>
      <c r="L245" s="3" t="inlineStr">
        <is>
          <t>MK-CF-F-078 employerMatchMonthly · MK-ST-F-052 toNum</t>
        </is>
      </c>
      <c r="M245" s="3" t="n">
        <v>2</v>
      </c>
      <c r="N245" s="3" t="inlineStr">
        <is>
          <t>MK-CF-F-078 employerMatchMonthly · MK-ST-F-052 toNum</t>
        </is>
      </c>
      <c r="O245" s="3" t="inlineStr">
        <is>
          <t>MK-ST-F-052 toNum → MK-CF-F-078 employerMatchMonthly → MK-NW-F-041 monthlyContributionsFromOnboarding
MK-ST-F-052 toNum → MK-NW-F-041 monthlyContributionsFromOnboarding</t>
        </is>
      </c>
      <c r="P245" s="3" t="inlineStr">
        <is>
          <t>—</t>
        </is>
      </c>
      <c r="Q245" s="3" t="inlineStr">
        <is>
          <t>MONTHLY_SAVING</t>
        </is>
      </c>
    </row>
    <row r="246">
      <c r="A246" s="3" t="inlineStr">
        <is>
          <t>MK-CF-F-009</t>
        </is>
      </c>
      <c r="B246" s="3" t="inlineStr">
        <is>
          <t>monthlyEssentials</t>
        </is>
      </c>
      <c r="C246" s="3" t="inlineStr">
        <is>
          <t>src/domain/budget/index.ts</t>
        </is>
      </c>
      <c r="D246" s="3" t="n">
        <v>158</v>
      </c>
      <c r="E246" s="3" t="inlineStr">
        <is>
          <t>2 · DISPLAYED</t>
        </is>
      </c>
      <c r="F246" s="3" t="inlineStr">
        <is>
          <t>Monthly money you MUST keep paying — the recurring (non-monthly excluded) Critical + Important bills.</t>
        </is>
      </c>
      <c r="G246" s="3" t="inlineStr">
        <is>
          <t>op: OnboardingProfile | null</t>
        </is>
      </c>
      <c r="H246" s="3" t="inlineStr">
        <is>
          <t>number</t>
        </is>
      </c>
      <c r="I246" s="3" t="inlineStr">
        <is>
          <t>"If you lost your income" — on the Stress test screen</t>
        </is>
      </c>
      <c r="J246" s="3" t="inlineStr">
        <is>
          <t>· Uses a built-in ess of 0.</t>
        </is>
      </c>
      <c r="K246" s="3" t="inlineStr">
        <is>
          <t>Yes</t>
        </is>
      </c>
      <c r="L246" s="3" t="inlineStr">
        <is>
          <t>MK-CF-F-002 plannedMonthlySpend · MK-ST-F-055 round2 · MK-CF-F-004 spendBuckets · MK-ST-F-052 toNum</t>
        </is>
      </c>
      <c r="M246" s="3" t="n">
        <v>38</v>
      </c>
      <c r="N246" s="3" t="inlineStr">
        <is>
          <t>MK-CF-F-002 plannedMonthlySpend · MK-ST-F-055 round2 · MK-CF-F-004 spendBuckets · MK-ST-F-052 toNum · MK-CF-F-092 incomeMonthlyGrid · MK-CF-F-003 categoryMonthly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O246" s="3" t="inlineStr">
        <is>
          <t>MK-CF-F-069 benefitActiveMonths → MK-CF-F-092 incomeMonthlyGrid → MK-CF-F-002 plannedMonthlySpend → MK-CF-F-009 monthlyEssentials
MK-ST-F-052 toNum → MK-CF-F-075 retirementIncomeMonthly → MK-CF-F-072 currentRetirementIncomeMonthly → MK-CF-F-092 incomeMonthlyGrid → MK-CF-F-002 plannedMonthlySpend → MK-CF-F-009 monthlyEssentials
MK-ST-F-052 toNum → MK-CF-F-062 equityRowValue → MK-CF-F-065 equityVestWeights → MK-CF-F-092 incomeMonthlyGrid → MK-CF-F-002 plannedMonthlySpend → MK-CF-F-009 monthlyEssentials
MK-CF-F-069 benefitActiveMonths → MK-CF-F-070 benefitAnnual → MK-CF-F-071 extraIncome → MK-CF-F-092 incomeMonthlyGrid → MK-CF-F-002 plannedMonthlySpend → MK-CF-F-009 monthlyEssentials
MK-ST-F-052 toNum → MK-CF-F-070 benefitAnnual → MK-CF-F-071 extraIncome → MK-CF-F-092 incomeMonthlyGrid → MK-CF-F-002 plannedMonthlySpend → MK-CF-F-009 monthlyEssentials
MK-ST-F-055 round2 → MK-CF-F-071 extraIncome → MK-CF-F-092 incomeMonthlyGrid → MK-CF-F-002 plannedMonthlySpend → MK-CF-F-009 monthlyEssentials
MK-ST-F-052 toNum → MK-CF-F-071 extraIncome → MK-CF-F-092 incomeMonthlyGrid → MK-CF-F-002 plannedMonthlySpend → MK-CF-F-009 monthlyEssentials
MK-CF-F-102 effectiveRateOnGrossFor → MK-CF-F-090 effectiveRate → MK-CF-F-087 monthlyTaxRates → MK-CF-F-092 incomeMonthlyGrid → MK-CF-F-002 plannedMonthlySpend → MK-CF-F-009 monthlyEssentials
… and 38 more paths</t>
        </is>
      </c>
      <c r="P246" s="3" t="inlineStr">
        <is>
          <t>—</t>
        </is>
      </c>
      <c r="Q246" s="3" t="inlineStr">
        <is>
          <t>—</t>
        </is>
      </c>
    </row>
    <row r="247">
      <c r="A247" s="3" t="inlineStr">
        <is>
          <t>MK-XS-F-029</t>
        </is>
      </c>
      <c r="B247" s="3" t="inlineStr">
        <is>
          <t>monthlySavings</t>
        </is>
      </c>
      <c r="C247" s="3" t="inlineStr">
        <is>
          <t>src/domain/savings/index.ts</t>
        </is>
      </c>
      <c r="D247" s="3" t="n">
        <v>29</v>
      </c>
      <c r="E247" s="3" t="inlineStr">
        <is>
          <t>2 · DISPLAYED</t>
        </is>
      </c>
      <c r="F247" s="3" t="inlineStr">
        <is>
          <t>Monthly savings (the FLOW) — Build-47 walk row 7: DERIVED as the 12-month average of surplusByMonth, so the flat figure and the by-month figures can never drift apart (they used to be two parallel formulas that merely CLAIMED to reconcile).</t>
        </is>
      </c>
      <c r="G247" s="3" t="inlineStr">
        <is>
          <t>op: OnboardingProfile | null · debts: Debt[] = []</t>
        </is>
      </c>
      <c r="H247" s="3" t="inlineStr">
        <is>
          <t>number</t>
        </is>
      </c>
      <c r="I247" s="3" t="inlineStr">
        <is>
          <t>"Free to put to work each month" — on the Goals together screen, under "CAN YOU DO IT ALL?"</t>
        </is>
      </c>
      <c r="J247" s="3" t="inlineStr">
        <is>
          <t>· Treats a year as twelve equal months.</t>
        </is>
      </c>
      <c r="K247" s="3" t="inlineStr">
        <is>
          <t>Yes</t>
        </is>
      </c>
      <c r="L247" s="3" t="inlineStr">
        <is>
          <t>MK-ST-F-055 round2 · MK-XS-F-028 surplusByMonth</t>
        </is>
      </c>
      <c r="M247" s="3" t="n">
        <v>45</v>
      </c>
      <c r="N247" s="3" t="inlineStr">
        <is>
          <t>MK-ST-F-055 round2 · MK-XS-F-028 surplusByMonth · MK-CF-F-026 actualDebtPayment · MK-CF-F-011 savingsByMonth · MK-CF-F-024 totalDebtMonthly · MK-CF-F-092 incomeMonthlyGrid · MK-CF-F-008 spendByMonth · MK-CF-F-023 requiredPayment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MK-ST-F-052 toNum · MK-CF-F-004 spendBuckets · MK-CF-F-022 paymentShape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MK-CF-F-003 categoryMonthly · MK-CF-F-021 defaultPaymentType · MK-CF-F-102 effectiveRateOnGrossFor · MK-CF-F-084 taxableAnnual · MK-CF-F-101 taxOwedFor · MK-CF-F-100 taxableIncomeFor · MK-CF-F-095 taxOwed · MK-CF-F-082 salaryAnnual · MK-CF-F-074 tipsAnnual · MK-CF-F-099 deductionFor · MK-CF-F-093 taxableIncome · MK-CF-F-081 salaryActiveMonths</t>
        </is>
      </c>
      <c r="O247" s="3" t="inlineStr">
        <is>
          <t>MK-ST-F-055 round2 → MK-XS-F-029 monthlySavings
MK-ST-F-055 round2 → MK-CF-F-026 actualDebtPayment → MK-XS-F-028 surplusByMonth → MK-XS-F-029 monthlySavings
MK-CF-F-022 paymentShape → MK-CF-F-023 requiredPayment → MK-CF-F-024 totalDebtMonthly → MK-CF-F-026 actualDebtPayment → MK-XS-F-028 surplusByMonth → MK-XS-F-029 monthlySavings
MK-ST-F-055 round2 → MK-XS-F-028 surplusByMonth → MK-XS-F-029 monthlySavings
MK-CF-F-069 benefitActiveMonths → MK-CF-F-092 incomeMonthlyGrid → MK-CF-F-011 savingsByMonth → MK-XS-F-028 surplusByMonth → MK-XS-F-029 monthlySavings
MK-CF-F-075 retirementIncomeMonthly → MK-CF-F-072 currentRetirementIncomeMonthly → MK-CF-F-092 incomeMonthlyGrid → MK-CF-F-011 savingsByMonth → MK-XS-F-028 surplusByMonth → MK-XS-F-029 monthlySavings
MK-CF-F-062 equityRowValue → MK-CF-F-065 equityVestWeights → MK-CF-F-092 incomeMonthlyGrid → MK-CF-F-011 savingsByMonth → MK-XS-F-028 surplusByMonth → MK-XS-F-029 monthlySavings
MK-CF-F-070 benefitAnnual → MK-CF-F-071 extraIncome → MK-CF-F-092 incomeMonthlyGrid → MK-CF-F-011 savingsByMonth → MK-XS-F-028 surplusByMonth → MK-XS-F-029 monthlySavings
… and 24 more paths</t>
        </is>
      </c>
      <c r="P247" s="3" t="inlineStr">
        <is>
          <t>—</t>
        </is>
      </c>
      <c r="Q247" s="3" t="inlineStr">
        <is>
          <t>—</t>
        </is>
      </c>
    </row>
    <row r="248">
      <c r="A248" s="3" t="inlineStr">
        <is>
          <t>MK-CF-F-087</t>
        </is>
      </c>
      <c r="B248" s="3" t="inlineStr">
        <is>
          <t>monthlyTaxRates</t>
        </is>
      </c>
      <c r="C248" s="3" t="inlineStr">
        <is>
          <t>src/domain/income/onboarding.ts</t>
        </is>
      </c>
      <c r="D248" s="3" t="n">
        <v>367</v>
      </c>
      <c r="E248" s="3" t="inlineStr">
        <is>
          <t>2 · DISPLAYED</t>
        </is>
      </c>
      <c r="F248" s="3" t="inlineStr">
        <is>
          <t>PRD F2#11 — the ONE per-calendar-month effective tax-rate vector (Jan→Dec).</t>
        </is>
      </c>
      <c r="G248" s="3" t="inlineStr">
        <is>
          <t>op: OnboardingProfile | null · now: Date = new Date()</t>
        </is>
      </c>
      <c r="H248" s="3" t="inlineStr">
        <is>
          <t>number[]</t>
        </is>
      </c>
      <c r="I248" s="3" t="inlineStr">
        <is>
          <t>NOT FOUND — a screen calls it, but the words printed beside its answer could not be traced automatically. Needs reading.</t>
        </is>
      </c>
      <c r="J248" s="3" t="inlineStr">
        <is>
          <t>· Uses today's date from the device clock, so the answer changes by itself overnight.</t>
        </is>
      </c>
      <c r="K248" s="3" t="inlineStr">
        <is>
          <t>Yes</t>
        </is>
      </c>
      <c r="L248" s="3" t="inlineStr">
        <is>
          <t>MK-CF-F-090 effectiveRate · MK-CF-F-085 filingStatusOf · MK-CF-F-089 over65CountOf · MK-CF-F-098 progressiveMonthlyTax · MK-CF-F-086 stateRateOf · MK-CF-F-088 taxableByCalendarMonth</t>
        </is>
      </c>
      <c r="M248" s="3" t="n">
        <v>32</v>
      </c>
      <c r="N248" s="3" t="inlineStr">
        <is>
          <t>MK-CF-F-090 effectiveRate · MK-CF-F-085 filingStatusOf · MK-CF-F-089 over65CountOf · MK-CF-F-098 progressiveMonthlyTax · MK-CF-F-086 stateRateOf · MK-CF-F-088 taxableByCalendarMonth · MK-CF-F-102 effectiveRateOnGrossFor · MK-CF-F-084 taxableAnnual · MK-ST-F-052 toNum · MK-CF-F-101 taxOwedFor · MK-CF-F-100 taxableIncomeFor · MK-CF-F-072 currentRetirementIncomeMonthly · MK-CF-F-065 equityVestWeights · MK-CF-F-071 extraIncome · MK-CF-F-073 otherIncomeMonth · MK-CF-F-068 rentalNetAnnual · MK-CF-F-066 rsuAnnual · MK-CF-F-060 salaryGrossByMonth · MK-CF-F-082 salaryAnnual · MK-CF-F-074 tipsAnnual · MK-CF-F-099 deductionFor · MK-CF-F-075 retirementIncomeMonthly · MK-CF-F-062 equityRowValue · MK-CF-F-070 benefitAnnual · MK-ST-F-055 round2 · MK-CF-F-067 rentalList · MK-CF-F-063 rowVestYear · MK-CF-F-097 grossFromNet · MK-CF-F-081 salaryActiveMonths · MK-CF-F-069 benefitActiveMonths · MK-CF-F-095 taxOwed · MK-CF-F-093 taxableIncome</t>
        </is>
      </c>
      <c r="O248" s="3" t="inlineStr">
        <is>
          <t>MK-CF-F-099 deductionFor → MK-CF-F-100 taxableIncomeFor → MK-CF-F-101 taxOwedFor → MK-CF-F-102 effectiveRateOnGrossFor → MK-CF-F-090 effectiveRate → MK-CF-F-087 monthlyTaxRates
MK-CF-F-085 filingStatusOf → MK-CF-F-090 effectiveRate → MK-CF-F-087 monthlyTaxRates
MK-ST-F-052 toNum → MK-CF-F-089 over65CountOf → MK-CF-F-090 effectiveRate → MK-CF-F-087 monthlyTaxRates
MK-ST-F-052 toNum → MK-CF-F-086 stateRateOf → MK-CF-F-090 effectiveRate → MK-CF-F-087 monthlyTaxRates
MK-ST-F-052 toNum → MK-CF-F-075 retirementIncomeMonthly → MK-CF-F-072 currentRetirementIncomeMonthly → MK-CF-F-084 taxableAnnual → MK-CF-F-090 effectiveRate → MK-CF-F-087 monthlyTaxRates
MK-CF-F-069 benefitActiveMonths → MK-CF-F-070 benefitAnnual → MK-CF-F-071 extraIncome → MK-CF-F-084 taxableAnnual → MK-CF-F-090 effectiveRate → MK-CF-F-087 monthlyTaxRates
MK-ST-F-052 toNum → MK-CF-F-070 benefitAnnual → MK-CF-F-071 extraIncome → MK-CF-F-084 taxableAnnual → MK-CF-F-090 effectiveRate → MK-CF-F-087 monthlyTaxRates
MK-ST-F-055 round2 → MK-CF-F-071 extraIncome → MK-CF-F-084 taxableAnnual → MK-CF-F-090 effectiveRate → MK-CF-F-087 monthlyTaxRates
… and 32 more paths</t>
        </is>
      </c>
      <c r="P248" s="3" t="inlineStr">
        <is>
          <t>—</t>
        </is>
      </c>
      <c r="Q248" s="3" t="inlineStr">
        <is>
          <t>—</t>
        </is>
      </c>
    </row>
    <row r="249">
      <c r="A249" s="3" t="inlineStr">
        <is>
          <t>MK-CF-F-029</t>
        </is>
      </c>
      <c r="B249" s="3" t="inlineStr">
        <is>
          <t>monthsToClear</t>
        </is>
      </c>
      <c r="C249" s="3" t="inlineStr">
        <is>
          <t>src/domain/debt/index.ts</t>
        </is>
      </c>
      <c r="D249" s="3" t="n">
        <v>89</v>
      </c>
      <c r="E249" s="3" t="inlineStr">
        <is>
          <t>2 · DISPLAYED</t>
        </is>
      </c>
      <c r="F249" s="3" t="inlineStr">
        <is>
          <t>── B47 finding 11: the installment two-way math — enter the payment OR the end date, the app computes the other.</t>
        </is>
      </c>
      <c r="G249" s="3" t="inlineStr">
        <is>
          <t>principal: number · aprDecimal: number · payment: number</t>
        </is>
      </c>
      <c r="H249" s="3" t="inlineStr">
        <is>
          <t>number | null</t>
        </is>
      </c>
      <c r="I249" s="3" t="inlineStr">
        <is>
          <t>"You pay /mo" — on a card used on more than one screen (DebtEditorSheet)</t>
        </is>
      </c>
      <c r="J249" s="3" t="inlineStr">
        <is>
          <t>· Treats a year as twelve equal months.</t>
        </is>
      </c>
      <c r="K249" s="3" t="inlineStr">
        <is>
          <t>Yes</t>
        </is>
      </c>
      <c r="L249" s="3" t="inlineStr">
        <is>
          <t>—</t>
        </is>
      </c>
      <c r="M249" s="3" t="n">
        <v>0</v>
      </c>
      <c r="N249" s="3" t="inlineStr">
        <is>
          <t>None — no dependent function stands behind it</t>
        </is>
      </c>
      <c r="O249" s="3" t="inlineStr">
        <is>
          <t>No dependent function — it reads its inputs and answers</t>
        </is>
      </c>
      <c r="P249" s="3" t="inlineStr">
        <is>
          <t>—</t>
        </is>
      </c>
      <c r="Q249" s="3" t="inlineStr">
        <is>
          <t>—</t>
        </is>
      </c>
    </row>
    <row r="250">
      <c r="A250" s="3" t="inlineStr">
        <is>
          <t>MK-PL-F-021</t>
        </is>
      </c>
      <c r="B250" s="3" t="inlineStr">
        <is>
          <t>monthsToGoal</t>
        </is>
      </c>
      <c r="C250" s="3" t="inlineStr">
        <is>
          <t>src/domain/goals/index.ts</t>
        </is>
      </c>
      <c r="D250" s="3" t="n">
        <v>116</v>
      </c>
      <c r="E250" s="3" t="inlineStr">
        <is>
          <t>2 · DISPLAYED</t>
        </is>
      </c>
      <c r="F250" s="3" t="inlineStr">
        <is>
          <t>Months to reach the goal at a given monthly contribution (0 if funded; null if contribution &lt;= 0).</t>
        </is>
      </c>
      <c r="G250" s="3" t="inlineStr">
        <is>
          <t>g: GoalLike · monthlyContribution: number</t>
        </is>
      </c>
      <c r="H250" s="3" t="inlineStr">
        <is>
          <t>number | null</t>
        </is>
      </c>
      <c r="I250" s="3" t="inlineStr">
        <is>
          <t>NOT FOUND — a screen calls it, but the words printed beside its answer could not be traced automatically. Needs reading.</t>
        </is>
      </c>
      <c r="J250" s="3" t="inlineStr">
        <is>
          <t>· If target is missing it counts as zero, so nothing recorded and a real zero look the same.
· If saved is missing it counts as zero, so nothing recorded and a real zero look the same.</t>
        </is>
      </c>
      <c r="K250" s="3" t="inlineStr">
        <is>
          <t>Yes</t>
        </is>
      </c>
      <c r="L250" s="3" t="inlineStr">
        <is>
          <t>—</t>
        </is>
      </c>
      <c r="M250" s="3" t="n">
        <v>0</v>
      </c>
      <c r="N250" s="3" t="inlineStr">
        <is>
          <t>None — no dependent function stands behind it</t>
        </is>
      </c>
      <c r="O250" s="3" t="inlineStr">
        <is>
          <t>No dependent function — it reads its inputs and answers</t>
        </is>
      </c>
      <c r="P250" s="3" t="inlineStr">
        <is>
          <t>—</t>
        </is>
      </c>
      <c r="Q250" s="3" t="inlineStr">
        <is>
          <t>—</t>
        </is>
      </c>
    </row>
    <row r="251">
      <c r="A251" s="3" t="inlineStr">
        <is>
          <t>MK-PL-F-018</t>
        </is>
      </c>
      <c r="B251" s="3" t="inlineStr">
        <is>
          <t>monthsUntil</t>
        </is>
      </c>
      <c r="C251" s="3" t="inlineStr">
        <is>
          <t>src/domain/goals/index.ts</t>
        </is>
      </c>
      <c r="D251" s="3" t="n">
        <v>92</v>
      </c>
      <c r="E251" s="3" t="inlineStr">
        <is>
          <t>2 · DISPLAYED</t>
        </is>
      </c>
      <c r="F251" s="3" t="inlineStr">
        <is>
          <t>Whole months from `now` to the target month ('YYYY-MM'); &gt;=1, or null if no/!invalid date.</t>
        </is>
      </c>
      <c r="G251" s="3" t="inlineStr">
        <is>
          <t>targetDate: string | undefined · now: Date</t>
        </is>
      </c>
      <c r="H251" s="3" t="inlineStr">
        <is>
          <t>number | null</t>
        </is>
      </c>
      <c r="I251" s="3" t="inlineStr">
        <is>
          <t>NOT FOUND — a screen calls it, but the words printed beside its answer could not be traced automatically. Needs reading.</t>
        </is>
      </c>
      <c r="J251" s="3" t="inlineStr">
        <is>
          <t>· Turns a monthly figure into a year by multiplying by twelve.</t>
        </is>
      </c>
      <c r="K251" s="3" t="inlineStr">
        <is>
          <t>Yes</t>
        </is>
      </c>
      <c r="L251" s="3" t="inlineStr">
        <is>
          <t>—</t>
        </is>
      </c>
      <c r="M251" s="3" t="n">
        <v>0</v>
      </c>
      <c r="N251" s="3" t="inlineStr">
        <is>
          <t>None — no dependent function stands behind it</t>
        </is>
      </c>
      <c r="O251" s="3" t="inlineStr">
        <is>
          <t>No dependent function — it reads its inputs and answers</t>
        </is>
      </c>
      <c r="P251" s="3" t="inlineStr">
        <is>
          <t>—</t>
        </is>
      </c>
      <c r="Q251" s="3" t="inlineStr">
        <is>
          <t>—</t>
        </is>
      </c>
    </row>
    <row r="252">
      <c r="A252" s="3" t="inlineStr">
        <is>
          <t>MK-CF-F-042</t>
        </is>
      </c>
      <c r="B252" s="3" t="inlineStr">
        <is>
          <t>mortgageOddsEffect</t>
        </is>
      </c>
      <c r="C252" s="3" t="inlineStr">
        <is>
          <t>src/domain/debt/mortgageOdds.ts</t>
        </is>
      </c>
      <c r="D252" s="3" t="n">
        <v>44</v>
      </c>
      <c r="E252" s="3" t="inlineStr">
        <is>
          <t>2 · DISPLAYED</t>
        </is>
      </c>
      <c r="F252" s="3" t="inlineStr">
        <is>
          <t>Run the plan twice and report both results.</t>
        </is>
      </c>
      <c r="G252" s="3" t="inlineStr">
        <is>
          <t>Nothing is handed to it</t>
        </is>
      </c>
      <c r="H252" s="3" t="inlineStr">
        <is>
          <t>NOT DECLARED — the code does not say what it gives back</t>
        </is>
      </c>
      <c r="I252" s="3" t="inlineStr">
        <is>
          <t>NOT FOUND — a screen calls it, but the words printed beside its answer could not be traced automatically. Needs reading.</t>
        </is>
      </c>
      <c r="J252" s="3" t="inlineStr">
        <is>
          <t>· Treats a year as twelve equal months.
· Turns a monthly figure into a year by multiplying by twelve.</t>
        </is>
      </c>
      <c r="K252" s="3" t="inlineStr">
        <is>
          <t>Yes</t>
        </is>
      </c>
      <c r="L252" s="3" t="inlineStr">
        <is>
          <t>MK-CF-F-029 monthsToClear · MK-PL-F-050 simulate</t>
        </is>
      </c>
      <c r="M252" s="3" t="n">
        <v>5</v>
      </c>
      <c r="N252" s="3" t="inlineStr">
        <is>
          <t>MK-CF-F-029 monthsToClear · MK-PL-F-050 simulate · MK-ST-F-025 rmdStartAgeFromAge · MK-ST-F-055 round2 · MK-ST-F-024 rmdStartAge</t>
        </is>
      </c>
      <c r="O252" s="3" t="inlineStr">
        <is>
          <t>MK-CF-F-029 monthsToClear → MK-CF-F-042 mortgageOddsEffect
MK-ST-F-024 rmdStartAge → MK-ST-F-025 rmdStartAgeFromAge → MK-PL-F-050 simulate → MK-CF-F-042 mortgageOddsEffect
MK-ST-F-055 round2 → MK-PL-F-050 simulate → MK-CF-F-042 mortgageOddsEffect</t>
        </is>
      </c>
      <c r="P252" s="3" t="inlineStr">
        <is>
          <t>—</t>
        </is>
      </c>
      <c r="Q252" s="3" t="inlineStr">
        <is>
          <t>—</t>
        </is>
      </c>
    </row>
    <row r="253">
      <c r="A253" s="3" t="inlineStr">
        <is>
          <t>MK-ST-F-010</t>
        </is>
      </c>
      <c r="B253" s="3" t="inlineStr">
        <is>
          <t>nameEvidence</t>
        </is>
      </c>
      <c r="C253" s="3" t="inlineStr">
        <is>
          <t>Calculation Module code/engines/holding-class.ts</t>
        </is>
      </c>
      <c r="D253" s="3" t="n">
        <v>52</v>
      </c>
      <c r="E253" s="3" t="inlineStr">
        <is>
          <t>3 · DEPENDENT</t>
        </is>
      </c>
      <c r="F253" s="3" t="inlineStr">
        <is>
          <t>What the NAME (symbol + description together) says, or null when it says nothing.</t>
        </is>
      </c>
      <c r="G253" s="3" t="inlineStr">
        <is>
          <t>label?: string | null</t>
        </is>
      </c>
      <c r="H253" s="3" t="inlineStr">
        <is>
          <t>HoldingClass | null</t>
        </is>
      </c>
      <c r="I253" s="3" t="inlineStr">
        <is>
          <t>—</t>
        </is>
      </c>
      <c r="J253" s="3" t="inlineStr">
        <is>
          <t>None found in this function — anything it assumes comes from the functions it depends on.</t>
        </is>
      </c>
      <c r="K253" s="3" t="inlineStr">
        <is>
          <t>Yes</t>
        </is>
      </c>
      <c r="L253" s="3" t="inlineStr">
        <is>
          <t>—</t>
        </is>
      </c>
      <c r="M253" s="3" t="n">
        <v>0</v>
      </c>
      <c r="N253" s="3" t="inlineStr">
        <is>
          <t>None — no dependent function stands behind it</t>
        </is>
      </c>
      <c r="O253" s="3" t="inlineStr">
        <is>
          <t>No dependent function — it reads its inputs and answers</t>
        </is>
      </c>
      <c r="P253" s="3" t="inlineStr">
        <is>
          <t>—</t>
        </is>
      </c>
      <c r="Q253" s="3" t="inlineStr">
        <is>
          <t>—</t>
        </is>
      </c>
    </row>
    <row r="254">
      <c r="A254" s="3" t="inlineStr">
        <is>
          <t>MK-XS-F-110</t>
        </is>
      </c>
      <c r="B254" s="3" t="inlineStr">
        <is>
          <t>netCashSleeve</t>
        </is>
      </c>
      <c r="C254" s="3" t="inlineStr">
        <is>
          <t>src/services/sync/snaptrade.ts</t>
        </is>
      </c>
      <c r="D254" s="3" t="n">
        <v>271</v>
      </c>
      <c r="E254" s="3" t="inlineStr">
        <is>
          <t>3 · DEPENDENT (feeds an action only)</t>
        </is>
      </c>
      <c r="F254" s="3" t="inlineStr">
        <is>
          <t>── the cash sleeve, deduped ─────────────────────────────────────────────────────────────────── SnapTrade counts money-market (cash_equivalent) positions INSIDE balances.cash too.</t>
        </is>
      </c>
      <c r="G254" s="3" t="inlineStr">
        <is>
          <t>balancesCash: number | null | undefined · positions: MappedPosition[]</t>
        </is>
      </c>
      <c r="H254" s="3" t="inlineStr">
        <is>
          <t>number</t>
        </is>
      </c>
      <c r="I254" s="3" t="inlineStr">
        <is>
          <t>—</t>
        </is>
      </c>
      <c r="J254" s="3" t="inlineStr">
        <is>
          <t>· If price is missing it uses 0.
· If balances cash is missing it uses 0.
· Multiplies by 100 — a percentage, or an option contract treated as 100 shares. Worth checking which.
· Rounds the answer to a whole number.
· Leaves some rows out of the answer — check which.</t>
        </is>
      </c>
      <c r="K254" s="3" t="inlineStr">
        <is>
          <t>No</t>
        </is>
      </c>
      <c r="L254" s="3" t="inlineStr">
        <is>
          <t>—</t>
        </is>
      </c>
      <c r="M254" s="3" t="n">
        <v>0</v>
      </c>
      <c r="N254" s="3" t="inlineStr">
        <is>
          <t>None — no dependent function stands behind it</t>
        </is>
      </c>
      <c r="O254" s="3" t="inlineStr">
        <is>
          <t>No dependent function — it reads its inputs and answers</t>
        </is>
      </c>
      <c r="P254" s="3" t="inlineStr">
        <is>
          <t>—</t>
        </is>
      </c>
      <c r="Q254" s="3" t="inlineStr">
        <is>
          <t>UNINVESTED_CASH</t>
        </is>
      </c>
    </row>
    <row r="255">
      <c r="A255" s="3" t="inlineStr">
        <is>
          <t>MK-ST-F-043</t>
        </is>
      </c>
      <c r="B255" s="3" t="inlineStr">
        <is>
          <t>newEntityId</t>
        </is>
      </c>
      <c r="C255" s="3" t="inlineStr">
        <is>
          <t>src/domain/_shared/ids.ts</t>
        </is>
      </c>
      <c r="D255" s="3" t="n">
        <v>6</v>
      </c>
      <c r="E255" s="3" t="inlineStr">
        <is>
          <t>2 · DISPLAYED</t>
        </is>
      </c>
      <c r="F255" s="3" t="inlineStr">
        <is>
          <t>What do we call this new thing?</t>
        </is>
      </c>
      <c r="G255" s="3" t="inlineStr">
        <is>
          <t>prefix: string</t>
        </is>
      </c>
      <c r="H255" s="3" t="inlineStr">
        <is>
          <t>EntityId</t>
        </is>
      </c>
      <c r="I255" s="3" t="inlineStr">
        <is>
          <t>NOT FOUND — a screen calls it, but the words printed beside its answer could not be traced automatically. Needs reading.</t>
        </is>
      </c>
      <c r="J255" s="3" t="inlineStr">
        <is>
          <t>· Uses today's date from the device clock, so the answer changes by itself overnight.</t>
        </is>
      </c>
      <c r="K255" s="3" t="inlineStr">
        <is>
          <t>Yes</t>
        </is>
      </c>
      <c r="L255" s="3" t="inlineStr">
        <is>
          <t>—</t>
        </is>
      </c>
      <c r="M255" s="3" t="n">
        <v>0</v>
      </c>
      <c r="N255" s="3" t="inlineStr">
        <is>
          <t>None — no dependent function stands behind it</t>
        </is>
      </c>
      <c r="O255" s="3" t="inlineStr">
        <is>
          <t>No dependent function — it reads its inputs and answers</t>
        </is>
      </c>
      <c r="P255" s="3" t="inlineStr">
        <is>
          <t>—</t>
        </is>
      </c>
      <c r="Q255" s="3" t="inlineStr">
        <is>
          <t>NEW_ID</t>
        </is>
      </c>
    </row>
    <row r="256">
      <c r="A256" s="3" t="inlineStr">
        <is>
          <t>MK-PL-F-027</t>
        </is>
      </c>
      <c r="B256" s="3" t="inlineStr">
        <is>
          <t>nextDecision</t>
        </is>
      </c>
      <c r="C256" s="3" t="inlineStr">
        <is>
          <t>src/domain/planning/hub.ts</t>
        </is>
      </c>
      <c r="D256" s="3" t="n">
        <v>78</v>
      </c>
      <c r="E256" s="3" t="inlineStr">
        <is>
          <t>2 · DISPLAYED</t>
        </is>
      </c>
      <c r="F256" s="3" t="inlineStr">
        <is>
          <t>NOT DETERMINED — the code carries no note saying what this is for, and it has no row in the old inventory. Needs reading.</t>
        </is>
      </c>
      <c r="G256" s="3" t="inlineStr">
        <is>
          <t>Nothing is handed to it</t>
        </is>
      </c>
      <c r="H256" s="3" t="inlineStr">
        <is>
          <t>NOT DECLARED — the code does not say what it gives back</t>
        </is>
      </c>
      <c r="I256" s="3" t="inlineStr">
        <is>
          <t>NOT FOUND — a screen calls it, but the words printed beside its answer could not be traced automatically. Needs reading.</t>
        </is>
      </c>
      <c r="J256" s="3" t="inlineStr">
        <is>
          <t>· Uses a built-in s a m p l e c h a n c e of 84.
· Uses a built-in s a m p l e h o r i z o n of 90.
· Uses today's date from the device clock, so the answer changes by itself overnight.
· Rounds the answer to a whole number.</t>
        </is>
      </c>
      <c r="K256" s="3" t="inlineStr">
        <is>
          <t>Yes</t>
        </is>
      </c>
      <c r="L256" s="3" t="inlineStr">
        <is>
          <t>MK-PL-F-007 rmdAtAge · MK-PL-F-005 rmdStartAgeFor · MK-PL-F-009 rmdTakenThisYear</t>
        </is>
      </c>
      <c r="M256" s="3" t="n">
        <v>7</v>
      </c>
      <c r="N256" s="3" t="inlineStr">
        <is>
          <t>MK-PL-F-007 rmdAtAge · MK-PL-F-005 rmdStartAgeFor · MK-PL-F-009 rmdTakenThisYear · MK-PL-F-006 rmdDivisor · MK-ST-F-055 round2 · MK-ST-F-025 rmdStartAgeFromAge · MK-ST-F-024 rmdStartAge</t>
        </is>
      </c>
      <c r="O256" s="3" t="inlineStr">
        <is>
          <t>MK-PL-F-006 rmdDivisor → MK-PL-F-007 rmdAtAge → MK-PL-F-027 nextDecision
MK-ST-F-055 round2 → MK-PL-F-007 rmdAtAge → MK-PL-F-027 nextDecision
MK-ST-F-024 rmdStartAge → MK-ST-F-025 rmdStartAgeFromAge → MK-PL-F-005 rmdStartAgeFor → MK-PL-F-027 nextDecision
MK-ST-F-055 round2 → MK-PL-F-009 rmdTakenThisYear → MK-PL-F-027 nextDecision</t>
        </is>
      </c>
      <c r="P256" s="3" t="inlineStr">
        <is>
          <t>—</t>
        </is>
      </c>
      <c r="Q256" s="3" t="inlineStr">
        <is>
          <t>—</t>
        </is>
      </c>
    </row>
    <row r="257">
      <c r="A257" s="3" t="inlineStr">
        <is>
          <t>MK-CF-F-007</t>
        </is>
      </c>
      <c r="B257" s="3" t="inlineStr">
        <is>
          <t>nonMonthlyBasis</t>
        </is>
      </c>
      <c r="C257" s="3" t="inlineStr">
        <is>
          <t>src/domain/budget/index.ts</t>
        </is>
      </c>
      <c r="D257" s="3" t="n">
        <v>117</v>
      </c>
      <c r="E257" s="3" t="inlineStr">
        <is>
          <t>2 · DISPLAYED</t>
        </is>
      </c>
      <c r="F257" s="3" t="inlineStr">
        <is>
          <t>Label basis for the non-monthly bucket (e.g.</t>
        </is>
      </c>
      <c r="G257" s="3" t="inlineStr">
        <is>
          <t>op: OnboardingProfile | null</t>
        </is>
      </c>
      <c r="H257" s="3" t="inlineStr">
        <is>
          <t>NOT DECLARED — the code does not say what it gives back</t>
        </is>
      </c>
      <c r="I257" s="3" t="inlineStr">
        <is>
          <t>"YOUR GOALS" — on the Goals screen, under "YOUR GOALS"</t>
        </is>
      </c>
      <c r="J257" s="3" t="inlineStr">
        <is>
          <t>· Rounds the answer to a whole number.
· Leaves some rows out of the answer — check which.</t>
        </is>
      </c>
      <c r="K257" s="3" t="inlineStr">
        <is>
          <t>Yes</t>
        </is>
      </c>
      <c r="L257" s="3" t="inlineStr">
        <is>
          <t>MK-ST-F-052 toNum</t>
        </is>
      </c>
      <c r="M257" s="3" t="n">
        <v>1</v>
      </c>
      <c r="N257" s="3" t="inlineStr">
        <is>
          <t>MK-ST-F-052 toNum</t>
        </is>
      </c>
      <c r="O257" s="3" t="inlineStr">
        <is>
          <t>MK-ST-F-052 toNum → MK-CF-F-007 nonMonthlyBasis</t>
        </is>
      </c>
      <c r="P257" s="3" t="inlineStr">
        <is>
          <t>—</t>
        </is>
      </c>
      <c r="Q257" s="3" t="inlineStr">
        <is>
          <t>—</t>
        </is>
      </c>
    </row>
    <row r="258">
      <c r="A258" s="3" t="inlineStr">
        <is>
          <t>MK-XS-F-008</t>
        </is>
      </c>
      <c r="B258" s="3" t="inlineStr">
        <is>
          <t>normalizeSnapshot</t>
        </is>
      </c>
      <c r="C258" s="3" t="inlineStr">
        <is>
          <t>src/domain/history.ts</t>
        </is>
      </c>
      <c r="D258" s="3" t="n">
        <v>77</v>
      </c>
      <c r="E258" s="3" t="inlineStr">
        <is>
          <t>3 · DEPENDENT</t>
        </is>
      </c>
      <c r="F258" s="3" t="inlineStr">
        <is>
          <t>Normalize ONE stored entry: v1 passes validated; a legacy blob (no `v`) maps best-effort; anything without a real month + net worth is dropped (null), never charted.</t>
        </is>
      </c>
      <c r="G258" s="3" t="inlineStr">
        <is>
          <t>ym: string · raw: unknown</t>
        </is>
      </c>
      <c r="H258" s="3" t="inlineStr">
        <is>
          <t>MonthlySnapshot | null</t>
        </is>
      </c>
      <c r="I258" s="3" t="inlineStr">
        <is>
          <t>—</t>
        </is>
      </c>
      <c r="J258" s="3" t="inlineStr">
        <is>
          <t>None found in this function — anything it assumes comes from the functions it depends on.</t>
        </is>
      </c>
      <c r="K258" s="3" t="inlineStr">
        <is>
          <t>Yes</t>
        </is>
      </c>
      <c r="L258" s="3" t="inlineStr">
        <is>
          <t>MK-ST-F-055 round2</t>
        </is>
      </c>
      <c r="M258" s="3" t="n">
        <v>1</v>
      </c>
      <c r="N258" s="3" t="inlineStr">
        <is>
          <t>MK-ST-F-055 round2</t>
        </is>
      </c>
      <c r="O258" s="3" t="inlineStr">
        <is>
          <t>MK-ST-F-055 round2 → MK-XS-F-008 normalizeSnapshot</t>
        </is>
      </c>
      <c r="P258" s="3" t="inlineStr">
        <is>
          <t>—</t>
        </is>
      </c>
      <c r="Q258" s="3" t="inlineStr">
        <is>
          <t>SNAPSHOT_READ_ONE</t>
        </is>
      </c>
    </row>
    <row r="259">
      <c r="A259" s="3" t="inlineStr">
        <is>
          <t>MK-XS-F-095</t>
        </is>
      </c>
      <c r="B259" s="3" t="inlineStr">
        <is>
          <t>ocrAvailable</t>
        </is>
      </c>
      <c r="C259" s="3" t="inlineStr">
        <is>
          <t>src/services/receiptScan.ts</t>
        </is>
      </c>
      <c r="D259" s="3" t="n">
        <v>9</v>
      </c>
      <c r="E259" s="3" t="inlineStr">
        <is>
          <t>2 · DISPLAYED</t>
        </is>
      </c>
      <c r="F259" s="3" t="inlineStr">
        <is>
          <t>NOT DETERMINED — the code carries no note saying what this is for, and it has no row in the old inventory. Needs reading.</t>
        </is>
      </c>
      <c r="G259" s="3" t="inlineStr">
        <is>
          <t>Nothing is handed to it</t>
        </is>
      </c>
      <c r="H259" s="3" t="inlineStr">
        <is>
          <t>boolean</t>
        </is>
      </c>
      <c r="I259" s="3" t="inlineStr">
        <is>
          <t>NOT FOUND — a screen calls it, but the words printed beside its answer could not be traced automatically. Needs reading.</t>
        </is>
      </c>
      <c r="J259" s="3" t="inlineStr">
        <is>
          <t>None found in this function — anything it assumes comes from the functions it depends on.</t>
        </is>
      </c>
      <c r="K259" s="3" t="inlineStr">
        <is>
          <t>Yes</t>
        </is>
      </c>
      <c r="L259" s="3" t="inlineStr">
        <is>
          <t>—</t>
        </is>
      </c>
      <c r="M259" s="3" t="n">
        <v>0</v>
      </c>
      <c r="N259" s="3" t="inlineStr">
        <is>
          <t>None — no dependent function stands behind it</t>
        </is>
      </c>
      <c r="O259" s="3" t="inlineStr">
        <is>
          <t>No dependent function — it reads its inputs and answers</t>
        </is>
      </c>
      <c r="P259" s="3" t="inlineStr">
        <is>
          <t>—</t>
        </is>
      </c>
      <c r="Q259" s="3" t="inlineStr">
        <is>
          <t>—</t>
        </is>
      </c>
    </row>
    <row r="260">
      <c r="A260" s="3" t="inlineStr">
        <is>
          <t>MK-XS-F-097</t>
        </is>
      </c>
      <c r="B260" s="3" t="inlineStr">
        <is>
          <t>ocrReceipt</t>
        </is>
      </c>
      <c r="C260" s="3" t="inlineStr">
        <is>
          <t>src/services/receiptScan.ts</t>
        </is>
      </c>
      <c r="D260" s="3" t="n">
        <v>78</v>
      </c>
      <c r="E260" s="3" t="inlineStr">
        <is>
          <t>2 · DISPLAYED (presentation only)</t>
        </is>
      </c>
      <c r="F260" s="3" t="inlineStr">
        <is>
          <t>NOT DETERMINED — the code carries no note saying what this is for, and it has no row in the old inventory. Needs reading.</t>
        </is>
      </c>
      <c r="G260" s="3" t="inlineStr">
        <is>
          <t>uri: string</t>
        </is>
      </c>
      <c r="H260" s="3" t="inlineStr">
        <is>
          <t>Promise&lt;</t>
        </is>
      </c>
      <c r="I260" s="3" t="inlineStr">
        <is>
          <t>NOT FOUND — a screen calls it, but the words printed beside its answer could not be traced automatically. Needs reading.</t>
        </is>
      </c>
      <c r="J260" s="3" t="inlineStr">
        <is>
          <t>None found in this function — anything it assumes comes from the functions it depends on.</t>
        </is>
      </c>
      <c r="K260" s="3" t="inlineStr">
        <is>
          <t>Yes</t>
        </is>
      </c>
      <c r="L260" s="3" t="inlineStr">
        <is>
          <t>MK-XS-F-095 ocrAvailable · MK-XS-F-058 parseReceipt</t>
        </is>
      </c>
      <c r="M260" s="3" t="n">
        <v>2</v>
      </c>
      <c r="N260" s="3" t="inlineStr">
        <is>
          <t>MK-XS-F-095 ocrAvailable · MK-XS-F-058 parseReceipt</t>
        </is>
      </c>
      <c r="O260" s="3" t="inlineStr">
        <is>
          <t>MK-XS-F-095 ocrAvailable → MK-XS-F-097 ocrReceipt
MK-XS-F-058 parseReceipt → MK-XS-F-097 ocrReceipt</t>
        </is>
      </c>
      <c r="P260" s="3" t="inlineStr">
        <is>
          <t>—</t>
        </is>
      </c>
      <c r="Q260" s="3" t="inlineStr">
        <is>
          <t>—</t>
        </is>
      </c>
    </row>
    <row r="261">
      <c r="A261" s="3" t="inlineStr">
        <is>
          <t>MK-PL-F-024</t>
        </is>
      </c>
      <c r="B261" s="3" t="inlineStr">
        <is>
          <t>oddsLine</t>
        </is>
      </c>
      <c r="C261" s="3" t="inlineStr">
        <is>
          <t>src/domain/planning/hub.ts</t>
        </is>
      </c>
      <c r="D261" s="3" t="n">
        <v>30</v>
      </c>
      <c r="E261" s="3" t="inlineStr">
        <is>
          <t>2 · DISPLAYED</t>
        </is>
      </c>
      <c r="F261" s="3" t="inlineStr">
        <is>
          <t>How do we state the odds in words?</t>
        </is>
      </c>
      <c r="G261" s="3" t="inlineStr">
        <is>
          <t>_lens: 'retired' | string · chance: number · horizonAge: number</t>
        </is>
      </c>
      <c r="H261" s="3" t="inlineStr">
        <is>
          <t>string</t>
        </is>
      </c>
      <c r="I261" s="3" t="inlineStr">
        <is>
          <t>"WILL MY MONEY LAST?" — on the Home screen, under "WILL MY MONEY LAST?"</t>
        </is>
      </c>
      <c r="J261" s="3" t="inlineStr">
        <is>
          <t>None found in this function — anything it assumes comes from the functions it depends on.</t>
        </is>
      </c>
      <c r="K261" s="3" t="inlineStr">
        <is>
          <t>Yes</t>
        </is>
      </c>
      <c r="L261" s="3" t="inlineStr">
        <is>
          <t>—</t>
        </is>
      </c>
      <c r="M261" s="3" t="n">
        <v>0</v>
      </c>
      <c r="N261" s="3" t="inlineStr">
        <is>
          <t>None — no dependent function stands behind it</t>
        </is>
      </c>
      <c r="O261" s="3" t="inlineStr">
        <is>
          <t>No dependent function — it reads its inputs and answers</t>
        </is>
      </c>
      <c r="P261" s="3" t="inlineStr">
        <is>
          <t>—</t>
        </is>
      </c>
      <c r="Q261" s="3" t="inlineStr">
        <is>
          <t>ODDS_SENTENCE</t>
        </is>
      </c>
    </row>
    <row r="262">
      <c r="A262" s="3" t="inlineStr">
        <is>
          <t>MK-ST-F-039</t>
        </is>
      </c>
      <c r="B262" s="3" t="inlineStr">
        <is>
          <t>on</t>
        </is>
      </c>
      <c r="C262" s="3" t="inlineStr">
        <is>
          <t>src/domain/_shared/eventBus.ts</t>
        </is>
      </c>
      <c r="D262" s="3" t="n">
        <v>8</v>
      </c>
      <c r="E262" s="3" t="inlineStr">
        <is>
          <t>2 · DISPLAYED</t>
        </is>
      </c>
      <c r="F262" s="3" t="inlineStr">
        <is>
          <t>NOT DETERMINED — the code carries no note saying what this is for, and it has no row in the old inventory. Needs reading.</t>
        </is>
      </c>
      <c r="G262" s="3" t="inlineStr">
        <is>
          <t>eventType: string · handler: Handler&lt;T&gt;</t>
        </is>
      </c>
      <c r="H262" s="3" t="inlineStr">
        <is>
          <t>()</t>
        </is>
      </c>
      <c r="I262" s="3" t="inlineStr">
        <is>
          <t>NOT FOUND — a screen calls it, but the words printed beside its answer could not be traced automatically. Needs reading.</t>
        </is>
      </c>
      <c r="J262" s="3" t="inlineStr">
        <is>
          <t>None found in this function — anything it assumes comes from the functions it depends on.</t>
        </is>
      </c>
      <c r="K262" s="3" t="inlineStr">
        <is>
          <t>Yes</t>
        </is>
      </c>
      <c r="L262" s="3" t="inlineStr">
        <is>
          <t>—</t>
        </is>
      </c>
      <c r="M262" s="3" t="n">
        <v>0</v>
      </c>
      <c r="N262" s="3" t="inlineStr">
        <is>
          <t>None — no dependent function stands behind it</t>
        </is>
      </c>
      <c r="O262" s="3" t="inlineStr">
        <is>
          <t>No dependent function — it reads its inputs and answers</t>
        </is>
      </c>
      <c r="P262" s="3" t="inlineStr">
        <is>
          <t>—</t>
        </is>
      </c>
      <c r="Q262" s="3" t="inlineStr">
        <is>
          <t>—</t>
        </is>
      </c>
    </row>
    <row r="263">
      <c r="A263" s="3" t="inlineStr">
        <is>
          <t>MK-XS-F-071</t>
        </is>
      </c>
      <c r="B263" s="3" t="inlineStr">
        <is>
          <t>onAuthChange</t>
        </is>
      </c>
      <c r="C263" s="3" t="inlineStr">
        <is>
          <t>src/services/firebase.ts</t>
        </is>
      </c>
      <c r="D263" s="3" t="n">
        <v>182</v>
      </c>
      <c r="E263" s="3" t="inlineStr">
        <is>
          <t>2 · DISPLAYED</t>
        </is>
      </c>
      <c r="F263" s="3" t="inlineStr">
        <is>
          <t>NOT DETERMINED — the code carries no note saying what this is for, and it has no row in the old inventory. Needs reading.</t>
        </is>
      </c>
      <c r="G263" s="3" t="inlineStr">
        <is>
          <t>callback: (user: any) =&gt; void</t>
        </is>
      </c>
      <c r="H263" s="3" t="inlineStr">
        <is>
          <t>NOT DECLARED — the code does not say what it gives back</t>
        </is>
      </c>
      <c r="I263" s="3" t="inlineStr">
        <is>
          <t>NOT FOUND — a screen calls it, but the words printed beside its answer could not be traced automatically. Needs reading.</t>
        </is>
      </c>
      <c r="J263" s="3" t="inlineStr">
        <is>
          <t>None found in this function — anything it assumes comes from the functions it depends on.</t>
        </is>
      </c>
      <c r="K263" s="3" t="inlineStr">
        <is>
          <t>Yes</t>
        </is>
      </c>
      <c r="L263" s="3" t="inlineStr">
        <is>
          <t>—</t>
        </is>
      </c>
      <c r="M263" s="3" t="n">
        <v>0</v>
      </c>
      <c r="N263" s="3" t="inlineStr">
        <is>
          <t>None — no dependent function stands behind it</t>
        </is>
      </c>
      <c r="O263" s="3" t="inlineStr">
        <is>
          <t>No dependent function — it reads its inputs and answers</t>
        </is>
      </c>
      <c r="P263" s="3" t="inlineStr">
        <is>
          <t>—</t>
        </is>
      </c>
      <c r="Q263" s="3" t="inlineStr">
        <is>
          <t>—</t>
        </is>
      </c>
    </row>
    <row r="264">
      <c r="A264" s="3" t="inlineStr">
        <is>
          <t>MK-PL-F-030</t>
        </is>
      </c>
      <c r="B264" s="3" t="inlineStr">
        <is>
          <t>onCourseSentence</t>
        </is>
      </c>
      <c r="C264" s="3" t="inlineStr">
        <is>
          <t>src/domain/planning/hub.ts</t>
        </is>
      </c>
      <c r="D264" s="3" t="n">
        <v>165</v>
      </c>
      <c r="E264" s="3" t="inlineStr">
        <is>
          <t>2 · DISPLAYED</t>
        </is>
      </c>
      <c r="F264" s="3" t="inlineStr">
        <is>
          <t>In one sentence, how is this plan doing?</t>
        </is>
      </c>
      <c r="G264" s="3" t="inlineStr">
        <is>
          <t>Nothing is handed to it</t>
        </is>
      </c>
      <c r="H264" s="3" t="inlineStr">
        <is>
          <t>NOT DECLARED — the code does not say what it gives back</t>
        </is>
      </c>
      <c r="I264" s="3" t="inlineStr">
        <is>
          <t>NOT FOUND — a screen calls it, but the words printed beside its answer could not be traced automatically. Needs reading.</t>
        </is>
      </c>
      <c r="J264" s="3" t="inlineStr">
        <is>
          <t>· If leftover at horizon is missing it uses 0.
· Rounds the answer to a whole number.</t>
        </is>
      </c>
      <c r="K264" s="3" t="inlineStr">
        <is>
          <t>Yes</t>
        </is>
      </c>
      <c r="L264" s="3" t="inlineStr">
        <is>
          <t>MK-ST-F-053 money</t>
        </is>
      </c>
      <c r="M264" s="3" t="n">
        <v>4</v>
      </c>
      <c r="N264" s="3" t="inlineStr">
        <is>
          <t>MK-ST-F-053 money · MK-ST-F-049 formatMoney · MK-ST-F-048 currencySymbol · MK-ST-F-047 activeCurrency</t>
        </is>
      </c>
      <c r="O264" s="3" t="inlineStr">
        <is>
          <t>MK-ST-F-047 activeCurrency → MK-ST-F-048 currencySymbol → MK-ST-F-049 formatMoney → MK-ST-F-053 money → MK-PL-F-030 onCourseSentence</t>
        </is>
      </c>
      <c r="P264" s="3" t="inlineStr">
        <is>
          <t>—</t>
        </is>
      </c>
      <c r="Q264" s="3" t="inlineStr">
        <is>
          <t>ARE_YOU_ON_COURSE</t>
        </is>
      </c>
    </row>
    <row r="265">
      <c r="A265" s="3" t="inlineStr">
        <is>
          <t>MK-ST-F-033</t>
        </is>
      </c>
      <c r="B265" s="3" t="inlineStr">
        <is>
          <t>onOrBefore</t>
        </is>
      </c>
      <c r="C265" s="3" t="inlineStr">
        <is>
          <t>Calculation Module code/engines/snapshots.ts</t>
        </is>
      </c>
      <c r="D265" s="3" t="n">
        <v>184</v>
      </c>
      <c r="E265" s="3" t="inlineStr">
        <is>
          <t>3 · DEPENDENT</t>
        </is>
      </c>
      <c r="F265" s="3" t="inlineStr">
        <is>
          <t>The latest day at or before a date, or nothing when the record does not reach back that far.</t>
        </is>
      </c>
      <c r="G265" s="3" t="inlineStr">
        <is>
          <t>days: SnapshotDay[] · date: string</t>
        </is>
      </c>
      <c r="H265" s="3" t="inlineStr">
        <is>
          <t>SnapshotDay | null</t>
        </is>
      </c>
      <c r="I265" s="3" t="inlineStr">
        <is>
          <t>—</t>
        </is>
      </c>
      <c r="J265" s="3" t="inlineStr">
        <is>
          <t>None found in this function — anything it assumes comes from the functions it depends on.</t>
        </is>
      </c>
      <c r="K265" s="3" t="inlineStr">
        <is>
          <t>Yes</t>
        </is>
      </c>
      <c r="L265" s="3" t="inlineStr">
        <is>
          <t>—</t>
        </is>
      </c>
      <c r="M265" s="3" t="n">
        <v>0</v>
      </c>
      <c r="N265" s="3" t="inlineStr">
        <is>
          <t>None — no dependent function stands behind it</t>
        </is>
      </c>
      <c r="O265" s="3" t="inlineStr">
        <is>
          <t>No dependent function — it reads its inputs and answers</t>
        </is>
      </c>
      <c r="P265" s="3" t="inlineStr">
        <is>
          <t>—</t>
        </is>
      </c>
      <c r="Q265" s="3" t="inlineStr">
        <is>
          <t>—</t>
        </is>
      </c>
    </row>
    <row r="266">
      <c r="A266" s="3" t="inlineStr">
        <is>
          <t>MK-CF-F-073</t>
        </is>
      </c>
      <c r="B266" s="3" t="inlineStr">
        <is>
          <t>otherIncomeMonth</t>
        </is>
      </c>
      <c r="C266" s="3" t="inlineStr">
        <is>
          <t>src/domain/income/onboarding.ts</t>
        </is>
      </c>
      <c r="D266" s="3" t="n">
        <v>198</v>
      </c>
      <c r="E266" s="3" t="inlineStr">
        <is>
          <t>3 · DEPENDENT</t>
        </is>
      </c>
      <c r="F266" s="3" t="inlineStr">
        <is>
          <t>Calendar month (1-12) a one-time "other income" lands in (default January).</t>
        </is>
      </c>
      <c r="G266" s="3" t="inlineStr">
        <is>
          <t>op: OnboardingProfile | null</t>
        </is>
      </c>
      <c r="H266" s="3" t="inlineStr">
        <is>
          <t>number</t>
        </is>
      </c>
      <c r="I266" s="3" t="inlineStr">
        <is>
          <t>—</t>
        </is>
      </c>
      <c r="J266" s="3" t="inlineStr">
        <is>
          <t>None found in this function — anything it assumes comes from the functions it depends on.</t>
        </is>
      </c>
      <c r="K266" s="3" t="inlineStr">
        <is>
          <t>Yes</t>
        </is>
      </c>
      <c r="L266" s="3" t="inlineStr">
        <is>
          <t>MK-ST-F-052 toNum</t>
        </is>
      </c>
      <c r="M266" s="3" t="n">
        <v>1</v>
      </c>
      <c r="N266" s="3" t="inlineStr">
        <is>
          <t>MK-ST-F-052 toNum</t>
        </is>
      </c>
      <c r="O266" s="3" t="inlineStr">
        <is>
          <t>MK-ST-F-052 toNum → MK-CF-F-073 otherIncomeMonth</t>
        </is>
      </c>
      <c r="P266" s="3" t="inlineStr">
        <is>
          <t>—</t>
        </is>
      </c>
      <c r="Q266" s="3" t="inlineStr">
        <is>
          <t>—</t>
        </is>
      </c>
    </row>
    <row r="267">
      <c r="A267" s="3" t="inlineStr">
        <is>
          <t>MK-CF-F-089</t>
        </is>
      </c>
      <c r="B267" s="3" t="inlineStr">
        <is>
          <t>over65CountOf</t>
        </is>
      </c>
      <c r="C267" s="3" t="inlineStr">
        <is>
          <t>src/domain/income/onboarding.ts</t>
        </is>
      </c>
      <c r="D267" s="3" t="n">
        <v>405</v>
      </c>
      <c r="E267" s="3" t="inlineStr">
        <is>
          <t>3 · DEPENDENT</t>
        </is>
      </c>
      <c r="F267" s="3" t="inlineStr">
        <is>
          <t>E8 (founder brief 2026-08-20): how many people on the return are 65+.</t>
        </is>
      </c>
      <c r="G267" s="3" t="inlineStr">
        <is>
          <t>op: OnboardingProfile | null</t>
        </is>
      </c>
      <c r="H267" s="3" t="inlineStr">
        <is>
          <t>number</t>
        </is>
      </c>
      <c r="I267" s="3" t="inlineStr">
        <is>
          <t>—</t>
        </is>
      </c>
      <c r="J267" s="3" t="inlineStr">
        <is>
          <t>· Uses today's date from the device clock, so the answer changes by itself overnight.</t>
        </is>
      </c>
      <c r="K267" s="3" t="inlineStr">
        <is>
          <t>Yes</t>
        </is>
      </c>
      <c r="L267" s="3" t="inlineStr">
        <is>
          <t>MK-ST-F-052 toNum</t>
        </is>
      </c>
      <c r="M267" s="3" t="n">
        <v>1</v>
      </c>
      <c r="N267" s="3" t="inlineStr">
        <is>
          <t>MK-ST-F-052 toNum</t>
        </is>
      </c>
      <c r="O267" s="3" t="inlineStr">
        <is>
          <t>MK-ST-F-052 toNum → MK-CF-F-089 over65CountOf</t>
        </is>
      </c>
      <c r="P267" s="3" t="inlineStr">
        <is>
          <t>—</t>
        </is>
      </c>
      <c r="Q267" s="3" t="inlineStr">
        <is>
          <t>TAX_OVER65_COUNT</t>
        </is>
      </c>
    </row>
    <row r="268">
      <c r="A268" s="3" t="inlineStr">
        <is>
          <t>MK-XS-F-013</t>
        </is>
      </c>
      <c r="B268" s="3" t="inlineStr">
        <is>
          <t>parseCsv</t>
        </is>
      </c>
      <c r="C268" s="3" t="inlineStr">
        <is>
          <t>src/domain/import/holdingsImport.ts</t>
        </is>
      </c>
      <c r="D268" s="3" t="n">
        <v>75</v>
      </c>
      <c r="E268" s="3" t="inlineStr">
        <is>
          <t>3 · DEPENDENT</t>
        </is>
      </c>
      <c r="F268" s="3" t="inlineStr">
        <is>
          <t>Minimal RFC-4180-ish CSV parser: handles quoted fields, embedded commas, "" escapes, CR/LF, BOM.</t>
        </is>
      </c>
      <c r="G268" s="3" t="inlineStr">
        <is>
          <t>text: string</t>
        </is>
      </c>
      <c r="H268" s="3" t="inlineStr">
        <is>
          <t>string[][]</t>
        </is>
      </c>
      <c r="I268" s="3" t="inlineStr">
        <is>
          <t>—</t>
        </is>
      </c>
      <c r="J268" s="3" t="inlineStr">
        <is>
          <t>· Uses a built-in i of 0.
· Leaves some rows out of the answer — check which.</t>
        </is>
      </c>
      <c r="K268" s="3" t="inlineStr">
        <is>
          <t>Yes</t>
        </is>
      </c>
      <c r="L268" s="3" t="inlineStr">
        <is>
          <t>—</t>
        </is>
      </c>
      <c r="M268" s="3" t="n">
        <v>0</v>
      </c>
      <c r="N268" s="3" t="inlineStr">
        <is>
          <t>None — no dependent function stands behind it</t>
        </is>
      </c>
      <c r="O268" s="3" t="inlineStr">
        <is>
          <t>No dependent function — it reads its inputs and answers</t>
        </is>
      </c>
      <c r="P268" s="3" t="inlineStr">
        <is>
          <t>—</t>
        </is>
      </c>
      <c r="Q268" s="3" t="inlineStr">
        <is>
          <t>FILE_PARSE</t>
        </is>
      </c>
    </row>
    <row r="269">
      <c r="A269" s="3" t="inlineStr">
        <is>
          <t>MK-XS-F-058</t>
        </is>
      </c>
      <c r="B269" s="3" t="inlineStr">
        <is>
          <t>parseReceipt</t>
        </is>
      </c>
      <c r="C269" s="3" t="inlineStr">
        <is>
          <t>src/services/economicData.ts</t>
        </is>
      </c>
      <c r="D269" s="3" t="n">
        <v>158</v>
      </c>
      <c r="E269" s="3" t="inlineStr">
        <is>
          <t>4 · BRINGS DATA IN</t>
        </is>
      </c>
      <c r="F269" s="3" t="inlineStr">
        <is>
          <t>── Receipt OCR simulation ─────────────────────────────────────────── In production, integrate Google Vision API or AWS Textract.</t>
        </is>
      </c>
      <c r="G269" s="3" t="inlineStr">
        <is>
          <t>_imageUri: string</t>
        </is>
      </c>
      <c r="H269" s="3" t="inlineStr">
        <is>
          <t>Promise&lt;</t>
        </is>
      </c>
      <c r="I269" s="3" t="inlineStr">
        <is>
          <t>—</t>
        </is>
      </c>
      <c r="J269" s="3" t="inlineStr">
        <is>
          <t>None found in this function — anything it assumes comes from the functions it depends on.</t>
        </is>
      </c>
      <c r="K269" s="3" t="inlineStr">
        <is>
          <t>Yes</t>
        </is>
      </c>
      <c r="L269" s="3" t="inlineStr">
        <is>
          <t>—</t>
        </is>
      </c>
      <c r="M269" s="3" t="n">
        <v>0</v>
      </c>
      <c r="N269" s="3" t="inlineStr">
        <is>
          <t>None — no dependent function stands behind it</t>
        </is>
      </c>
      <c r="O269" s="3" t="inlineStr">
        <is>
          <t>No dependent function — it reads its inputs and answers</t>
        </is>
      </c>
      <c r="P269" s="3" t="inlineStr">
        <is>
          <t>—</t>
        </is>
      </c>
      <c r="Q269" s="3" t="inlineStr">
        <is>
          <t>READ_A_RECEIPT</t>
        </is>
      </c>
    </row>
    <row r="270">
      <c r="A270" s="3" t="inlineStr">
        <is>
          <t>MK-XS-F-094</t>
        </is>
      </c>
      <c r="B270" s="3" t="inlineStr">
        <is>
          <t>parseReceiptText</t>
        </is>
      </c>
      <c r="C270" s="3" t="inlineStr">
        <is>
          <t>src/services/receiptOCR.ts</t>
        </is>
      </c>
      <c r="D270" s="3" t="n">
        <v>78</v>
      </c>
      <c r="E270" s="3" t="inlineStr">
        <is>
          <t>3 · DEPENDENT (feeds an action only)</t>
        </is>
      </c>
      <c r="F270" s="3" t="inlineStr">
        <is>
          <t>NOT DETERMINED — the code carries no note saying what this is for, and it has no row in the old inventory. Needs reading.</t>
        </is>
      </c>
      <c r="G270" s="3" t="inlineStr">
        <is>
          <t>text: string</t>
        </is>
      </c>
      <c r="H270" s="3" t="inlineStr">
        <is>
          <t>ParsedReceipt</t>
        </is>
      </c>
      <c r="I270" s="3" t="inlineStr">
        <is>
          <t>—</t>
        </is>
      </c>
      <c r="J270" s="3" t="inlineStr">
        <is>
          <t>· Uses a built-in strong t of 0.
· Uses a built-in weak t of 0.
· Uses a built-in subtotal of 0.
· Uses a built-in largest safe of 0.
· Uses today's date from the device clock, so the answer changes by itself overnight.
· Leaves some rows out of the answer — check which.</t>
        </is>
      </c>
      <c r="K270" s="3" t="inlineStr">
        <is>
          <t>No</t>
        </is>
      </c>
      <c r="L270" s="3" t="inlineStr">
        <is>
          <t>MK-XS-F-093 stripNonMoney</t>
        </is>
      </c>
      <c r="M270" s="3" t="n">
        <v>1</v>
      </c>
      <c r="N270" s="3" t="inlineStr">
        <is>
          <t>MK-XS-F-093 stripNonMoney</t>
        </is>
      </c>
      <c r="O270" s="3" t="inlineStr">
        <is>
          <t>MK-XS-F-093 stripNonMoney → MK-XS-F-094 parseReceiptText</t>
        </is>
      </c>
      <c r="P270" s="3" t="inlineStr">
        <is>
          <t>—</t>
        </is>
      </c>
      <c r="Q270" s="3" t="inlineStr">
        <is>
          <t>—</t>
        </is>
      </c>
    </row>
    <row r="271">
      <c r="A271" s="3" t="inlineStr">
        <is>
          <t>MK-XS-F-092</t>
        </is>
      </c>
      <c r="B271" s="3" t="inlineStr">
        <is>
          <t>parseReceiptWithOCR</t>
        </is>
      </c>
      <c r="C271" s="3" t="inlineStr">
        <is>
          <t>src/services/receiptOCR.ts</t>
        </is>
      </c>
      <c r="D271" s="3" t="n">
        <v>22</v>
      </c>
      <c r="E271" s="3" t="inlineStr">
        <is>
          <t>4 · BRINGS DATA IN</t>
        </is>
      </c>
      <c r="F271" s="3" t="inlineStr">
        <is>
          <t>Sends a receipt image to Google Cloud Vision API for OCR, then parses the raw text to extract store, total, date, category.</t>
        </is>
      </c>
      <c r="G271" s="3" t="inlineStr">
        <is>
          <t>imageUri: string</t>
        </is>
      </c>
      <c r="H271" s="3" t="inlineStr">
        <is>
          <t>Promise&lt;ParsedReceipt | null&gt;</t>
        </is>
      </c>
      <c r="I271" s="3" t="inlineStr">
        <is>
          <t>—</t>
        </is>
      </c>
      <c r="J271" s="3" t="inlineStr">
        <is>
          <t>None found in this function — anything it assumes comes from the functions it depends on.</t>
        </is>
      </c>
      <c r="K271" s="3" t="inlineStr">
        <is>
          <t>No</t>
        </is>
      </c>
      <c r="L271" s="3" t="inlineStr">
        <is>
          <t>MK-XS-F-094 parseReceiptText</t>
        </is>
      </c>
      <c r="M271" s="3" t="n">
        <v>2</v>
      </c>
      <c r="N271" s="3" t="inlineStr">
        <is>
          <t>MK-XS-F-094 parseReceiptText · MK-XS-F-093 stripNonMoney</t>
        </is>
      </c>
      <c r="O271" s="3" t="inlineStr">
        <is>
          <t>MK-XS-F-093 stripNonMoney → MK-XS-F-094 parseReceiptText → MK-XS-F-092 parseReceiptWithOCR</t>
        </is>
      </c>
      <c r="P271" s="3" t="inlineStr">
        <is>
          <t>—</t>
        </is>
      </c>
      <c r="Q271" s="3" t="inlineStr">
        <is>
          <t>—</t>
        </is>
      </c>
    </row>
    <row r="272">
      <c r="A272" s="3" t="inlineStr">
        <is>
          <t>MK-CF-F-022</t>
        </is>
      </c>
      <c r="B272" s="3" t="inlineStr">
        <is>
          <t>paymentShape</t>
        </is>
      </c>
      <c r="C272" s="3" t="inlineStr">
        <is>
          <t>src/domain/debt/index.ts</t>
        </is>
      </c>
      <c r="D272" s="3" t="n">
        <v>38</v>
      </c>
      <c r="E272" s="3" t="inlineStr">
        <is>
          <t>2 · DISPLAYED</t>
        </is>
      </c>
      <c r="F272" s="3" t="inlineStr">
        <is>
          <t>How is THIS debt repaid?</t>
        </is>
      </c>
      <c r="G272" s="3" t="inlineStr">
        <is>
          <t>d: Debt</t>
        </is>
      </c>
      <c r="H272" s="3" t="inlineStr">
        <is>
          <t>NonNullable&lt;Debt['payment_type']&gt;</t>
        </is>
      </c>
      <c r="I272" s="3" t="inlineStr">
        <is>
          <t>NOT FOUND — a screen calls it, but the words printed beside its answer could not be traced automatically. Needs reading.</t>
        </is>
      </c>
      <c r="J272" s="3" t="inlineStr">
        <is>
          <t>None found in this function — anything it assumes comes from the functions it depends on.</t>
        </is>
      </c>
      <c r="K272" s="3" t="inlineStr">
        <is>
          <t>Yes</t>
        </is>
      </c>
      <c r="L272" s="3" t="inlineStr">
        <is>
          <t>MK-CF-F-021 defaultPaymentType</t>
        </is>
      </c>
      <c r="M272" s="3" t="n">
        <v>1</v>
      </c>
      <c r="N272" s="3" t="inlineStr">
        <is>
          <t>MK-CF-F-021 defaultPaymentType</t>
        </is>
      </c>
      <c r="O272" s="3" t="inlineStr">
        <is>
          <t>MK-CF-F-021 defaultPaymentType → MK-CF-F-022 paymentShape</t>
        </is>
      </c>
      <c r="P272" s="3" t="inlineStr">
        <is>
          <t>—</t>
        </is>
      </c>
      <c r="Q272" s="3" t="inlineStr">
        <is>
          <t>DEBT_SHAPE</t>
        </is>
      </c>
    </row>
    <row r="273">
      <c r="A273" s="3" t="inlineStr">
        <is>
          <t>MK-CF-F-030</t>
        </is>
      </c>
      <c r="B273" s="3" t="inlineStr">
        <is>
          <t>paymentToClearBy</t>
        </is>
      </c>
      <c r="C273" s="3" t="inlineStr">
        <is>
          <t>src/domain/debt/index.ts</t>
        </is>
      </c>
      <c r="D273" s="3" t="n">
        <v>99</v>
      </c>
      <c r="E273" s="3" t="inlineStr">
        <is>
          <t>2 · DISPLAYED</t>
        </is>
      </c>
      <c r="F273" s="3" t="inlineStr">
        <is>
          <t>Monthly payment that clears `principal` in `months` at decimal APR (amortization).</t>
        </is>
      </c>
      <c r="G273" s="3" t="inlineStr">
        <is>
          <t>principal: number · aprDecimal: number · months: number</t>
        </is>
      </c>
      <c r="H273" s="3" t="inlineStr">
        <is>
          <t>number</t>
        </is>
      </c>
      <c r="I273" s="3" t="inlineStr">
        <is>
          <t>NOT FOUND — a screen calls it, but the words printed beside its answer could not be traced automatically. Needs reading.</t>
        </is>
      </c>
      <c r="J273" s="3" t="inlineStr">
        <is>
          <t>· Treats a year as twelve equal months.
· Multiplies by 100 — a percentage, or an option contract treated as 100 shares. Worth checking which.</t>
        </is>
      </c>
      <c r="K273" s="3" t="inlineStr">
        <is>
          <t>Yes</t>
        </is>
      </c>
      <c r="L273" s="3" t="inlineStr">
        <is>
          <t>—</t>
        </is>
      </c>
      <c r="M273" s="3" t="n">
        <v>0</v>
      </c>
      <c r="N273" s="3" t="inlineStr">
        <is>
          <t>None — no dependent function stands behind it</t>
        </is>
      </c>
      <c r="O273" s="3" t="inlineStr">
        <is>
          <t>No dependent function — it reads its inputs and answers</t>
        </is>
      </c>
      <c r="P273" s="3" t="inlineStr">
        <is>
          <t>—</t>
        </is>
      </c>
      <c r="Q273" s="3" t="inlineStr">
        <is>
          <t>—</t>
        </is>
      </c>
    </row>
    <row r="274">
      <c r="A274" s="3" t="inlineStr">
        <is>
          <t>MK-CF-F-034</t>
        </is>
      </c>
      <c r="B274" s="3" t="inlineStr">
        <is>
          <t>payoffPlan</t>
        </is>
      </c>
      <c r="C274" s="3" t="inlineStr">
        <is>
          <t>src/domain/debt/index.ts</t>
        </is>
      </c>
      <c r="D274" s="3" t="n">
        <v>140</v>
      </c>
      <c r="E274" s="3" t="inlineStr">
        <is>
          <t>2 · DISPLAYED</t>
        </is>
      </c>
      <c r="F274" s="3" t="inlineStr">
        <is>
          <t>Simulate paying off debts with a constant monthly budget (sum of minimums + extra), rolling each cleared debt's freed-up payment into the next per the chosen method.</t>
        </is>
      </c>
      <c r="G274" s="3" t="inlineStr">
        <is>
          <t>debts: Debt[] · extraMonthly: number · method: PayoffMethod = 'avalanche' · now: Date = new Date()</t>
        </is>
      </c>
      <c r="H274" s="3" t="inlineStr">
        <is>
          <t>PayoffResult</t>
        </is>
      </c>
      <c r="I274" s="3" t="inlineStr">
        <is>
          <t>"Add any loans or credit cards to plan your payoff." — on the budget screen · "Extra / month (beyond minimums)" — on the Goals screen, under "DEBT PAYOFF PLAN" · "Extra / month" — on the budget screen · "Income (take-home)" — on the budget screen · "Payoff plan" — on the budget screen · "Tap “Set limits” to plan what you'll spend, by category." — on the budget screen</t>
        </is>
      </c>
      <c r="J274" s="3" t="inlineStr">
        <is>
          <t>· Uses a built-in month of 0.
· Treats a year as twelve equal months.
· Turns a monthly figure into a year by multiplying by twelve.
· Uses today's date from the device clock, so the answer changes by itself overnight.
· Leaves some rows out of the answer — check which.</t>
        </is>
      </c>
      <c r="K274" s="3" t="inlineStr">
        <is>
          <t>Yes</t>
        </is>
      </c>
      <c r="L274" s="3" t="inlineStr">
        <is>
          <t>MK-CF-F-022 paymentShape · MK-ST-F-055 round2</t>
        </is>
      </c>
      <c r="M274" s="3" t="n">
        <v>3</v>
      </c>
      <c r="N274" s="3" t="inlineStr">
        <is>
          <t>MK-CF-F-022 paymentShape · MK-ST-F-055 round2 · MK-CF-F-021 defaultPaymentType</t>
        </is>
      </c>
      <c r="O274" s="3" t="inlineStr">
        <is>
          <t>MK-CF-F-021 defaultPaymentType → MK-CF-F-022 paymentShape → MK-CF-F-034 payoffPlan
MK-ST-F-055 round2 → MK-CF-F-034 payoffPlan</t>
        </is>
      </c>
      <c r="P274" s="3" t="inlineStr">
        <is>
          <t>—</t>
        </is>
      </c>
      <c r="Q274" s="3" t="inlineStr">
        <is>
          <t>—</t>
        </is>
      </c>
    </row>
    <row r="275">
      <c r="A275" s="3" t="inlineStr">
        <is>
          <t>MK-ST-F-037</t>
        </is>
      </c>
      <c r="B275" s="3" t="inlineStr">
        <is>
          <t>pendingUpload</t>
        </is>
      </c>
      <c r="C275" s="3" t="inlineStr">
        <is>
          <t>Calculation Module code/engines/snapshots.ts</t>
        </is>
      </c>
      <c r="D275" s="3" t="n">
        <v>218</v>
      </c>
      <c r="E275" s="3" t="inlineStr">
        <is>
          <t>3 · DEPENDENT (feeds an action only)</t>
        </is>
      </c>
      <c r="F275" s="3" t="inlineStr">
        <is>
          <t>── the later cloud sync ──────────────────────────────────────────────────────────────────────── Everything not yet uploaded, oldest first.</t>
        </is>
      </c>
      <c r="G275" s="3" t="inlineStr">
        <is>
          <t>days: SnapshotDay[] · lastUploaded: string | null</t>
        </is>
      </c>
      <c r="H275" s="3" t="inlineStr">
        <is>
          <t>SnapshotDay[]</t>
        </is>
      </c>
      <c r="I275" s="3" t="inlineStr">
        <is>
          <t>—</t>
        </is>
      </c>
      <c r="J275" s="3" t="inlineStr">
        <is>
          <t>· Multiplies by 100 — a percentage, or an option contract treated as 100 shares. Worth checking which.
· Rounds the answer to a whole number.
· Leaves some rows out of the answer — check which.</t>
        </is>
      </c>
      <c r="K275" s="3" t="inlineStr">
        <is>
          <t>No</t>
        </is>
      </c>
      <c r="L275" s="3" t="inlineStr">
        <is>
          <t>—</t>
        </is>
      </c>
      <c r="M275" s="3" t="n">
        <v>0</v>
      </c>
      <c r="N275" s="3" t="inlineStr">
        <is>
          <t>None — no dependent function stands behind it</t>
        </is>
      </c>
      <c r="O275" s="3" t="inlineStr">
        <is>
          <t>No dependent function — it reads its inputs and answers</t>
        </is>
      </c>
      <c r="P275" s="3" t="inlineStr">
        <is>
          <t>—</t>
        </is>
      </c>
      <c r="Q275" s="3" t="inlineStr">
        <is>
          <t>—</t>
        </is>
      </c>
    </row>
    <row r="276">
      <c r="A276" s="3" t="inlineStr">
        <is>
          <t>MK-PF-F-021</t>
        </is>
      </c>
      <c r="B276" s="3" t="inlineStr">
        <is>
          <t>periodDollarDelta</t>
        </is>
      </c>
      <c r="C276" s="3" t="inlineStr">
        <is>
          <t>src/domain/performance/index.ts</t>
        </is>
      </c>
      <c r="D276" s="3" t="n">
        <v>304</v>
      </c>
      <c r="E276" s="3" t="inlineStr">
        <is>
          <t>2 · DISPLAYED</t>
        </is>
      </c>
      <c r="F276" s="3" t="inlineStr">
        <is>
          <t>The DOLLAR change implied by a period return on today's total — the approved Home hero shows "up $11,200 (1.4%) this month": dollars AND percent from the SAME measured return, so the two figures can never disagree (one concept, one source).</t>
        </is>
      </c>
      <c r="G276" s="3" t="inlineStr">
        <is>
          <t>currentTotal: number · periodReturn: number</t>
        </is>
      </c>
      <c r="H276" s="3" t="inlineStr">
        <is>
          <t>number</t>
        </is>
      </c>
      <c r="I276" s="3" t="inlineStr">
        <is>
          <t>NOT FOUND — a screen calls it, but the words printed beside its answer could not be traced automatically. Needs reading.</t>
        </is>
      </c>
      <c r="J276" s="3" t="inlineStr">
        <is>
          <t>· Rounds the answer to a whole number.</t>
        </is>
      </c>
      <c r="K276" s="3" t="inlineStr">
        <is>
          <t>Yes</t>
        </is>
      </c>
      <c r="L276" s="3" t="inlineStr">
        <is>
          <t>—</t>
        </is>
      </c>
      <c r="M276" s="3" t="n">
        <v>0</v>
      </c>
      <c r="N276" s="3" t="inlineStr">
        <is>
          <t>None — no dependent function stands behind it</t>
        </is>
      </c>
      <c r="O276" s="3" t="inlineStr">
        <is>
          <t>No dependent function — it reads its inputs and answers</t>
        </is>
      </c>
      <c r="P276" s="3" t="inlineStr">
        <is>
          <t>—</t>
        </is>
      </c>
      <c r="Q276" s="3" t="inlineStr">
        <is>
          <t>—</t>
        </is>
      </c>
    </row>
    <row r="277">
      <c r="A277" s="3" t="inlineStr">
        <is>
          <t>MK-PF-F-010</t>
        </is>
      </c>
      <c r="B277" s="3" t="inlineStr">
        <is>
          <t>periodReturn</t>
        </is>
      </c>
      <c r="C277" s="3" t="inlineStr">
        <is>
          <t>src/domain/performance/index.ts</t>
        </is>
      </c>
      <c r="D277" s="3" t="n">
        <v>122</v>
      </c>
      <c r="E277" s="3" t="inlineStr">
        <is>
          <t>3 · DEPENDENT</t>
        </is>
      </c>
      <c r="F277" s="3" t="inlineStr">
        <is>
          <t>Price return of a ticker over a period (decimal).</t>
        </is>
      </c>
      <c r="G277" s="3" t="inlineStr">
        <is>
          <t>series: PriceSeries | null | undefined · period: Period · now = new Date()</t>
        </is>
      </c>
      <c r="H277" s="3" t="inlineStr">
        <is>
          <t>number | null</t>
        </is>
      </c>
      <c r="I277" s="3" t="inlineStr">
        <is>
          <t>—</t>
        </is>
      </c>
      <c r="J277" s="3" t="inlineStr">
        <is>
          <t>· Uses today's date from the device clock, so the answer changes by itself overnight.
· Rounds the answer to a whole number.</t>
        </is>
      </c>
      <c r="K277" s="3" t="inlineStr">
        <is>
          <t>Yes</t>
        </is>
      </c>
      <c r="L277" s="3" t="inlineStr">
        <is>
          <t>MK-PF-F-009 latestClose · MK-PF-F-008 startDateFor</t>
        </is>
      </c>
      <c r="M277" s="3" t="n">
        <v>2</v>
      </c>
      <c r="N277" s="3" t="inlineStr">
        <is>
          <t>MK-PF-F-009 latestClose · MK-PF-F-008 startDateFor</t>
        </is>
      </c>
      <c r="O277" s="3" t="inlineStr">
        <is>
          <t>MK-PF-F-009 latestClose → MK-PF-F-010 periodReturn
MK-PF-F-008 startDateFor → MK-PF-F-010 periodReturn</t>
        </is>
      </c>
      <c r="P277" s="3" t="inlineStr">
        <is>
          <t>—</t>
        </is>
      </c>
      <c r="Q277" s="3" t="inlineStr">
        <is>
          <t>PERIOD_RETURN</t>
        </is>
      </c>
    </row>
    <row r="278">
      <c r="A278" s="3" t="inlineStr">
        <is>
          <t>MK-PF-F-011</t>
        </is>
      </c>
      <c r="B278" s="3" t="inlineStr">
        <is>
          <t>periodReturnSince</t>
        </is>
      </c>
      <c r="C278" s="3" t="inlineStr">
        <is>
          <t>src/domain/performance/index.ts</t>
        </is>
      </c>
      <c r="D278" s="3" t="n">
        <v>137</v>
      </c>
      <c r="E278" s="3" t="inlineStr">
        <is>
          <t>3 · DEPENDENT</t>
        </is>
      </c>
      <c r="F278" s="3" t="inlineStr">
        <is>
          <t>Price return from an explicit start DATE to now (for purchase-capped windows).</t>
        </is>
      </c>
      <c r="G278" s="3" t="inlineStr">
        <is>
          <t>series: PriceSeries | null | undefined · sinceISO: string · now = new Date()</t>
        </is>
      </c>
      <c r="H278" s="3" t="inlineStr">
        <is>
          <t>number | null</t>
        </is>
      </c>
      <c r="I278" s="3" t="inlineStr">
        <is>
          <t>—</t>
        </is>
      </c>
      <c r="J278" s="3" t="inlineStr">
        <is>
          <t>· Uses today's date from the device clock, so the answer changes by itself overnight.
· Rounds the answer to a whole number.</t>
        </is>
      </c>
      <c r="K278" s="3" t="inlineStr">
        <is>
          <t>Yes</t>
        </is>
      </c>
      <c r="L278" s="3" t="inlineStr">
        <is>
          <t>MK-PF-F-009 latestClose</t>
        </is>
      </c>
      <c r="M278" s="3" t="n">
        <v>1</v>
      </c>
      <c r="N278" s="3" t="inlineStr">
        <is>
          <t>MK-PF-F-009 latestClose</t>
        </is>
      </c>
      <c r="O278" s="3" t="inlineStr">
        <is>
          <t>MK-PF-F-009 latestClose → MK-PF-F-011 periodReturnSince</t>
        </is>
      </c>
      <c r="P278" s="3" t="inlineStr">
        <is>
          <t>—</t>
        </is>
      </c>
      <c r="Q278" s="3" t="inlineStr">
        <is>
          <t>RETURN_SINCE_A_DATE</t>
        </is>
      </c>
    </row>
    <row r="279">
      <c r="A279" s="3" t="inlineStr">
        <is>
          <t>MK-ST-F-013</t>
        </is>
      </c>
      <c r="B279" s="3" t="inlineStr">
        <is>
          <t>personalFlowTotals</t>
        </is>
      </c>
      <c r="C279" s="3" t="inlineStr">
        <is>
          <t>Calculation Module code/engines/ledger.ts</t>
        </is>
      </c>
      <c r="D279" s="3" t="n">
        <v>178</v>
      </c>
      <c r="E279" s="3" t="inlineStr">
        <is>
          <t>2 · DISPLAYED</t>
        </is>
      </c>
      <c r="F279" s="3" t="inlineStr">
        <is>
          <t>NOT DETERMINED — the code carries no note saying what this is for, and it has no row in the old inventory. Needs reading.</t>
        </is>
      </c>
      <c r="G279" s="3" t="inlineStr">
        <is>
          <t>rows: StoredFlowRow[]</t>
        </is>
      </c>
      <c r="H279" s="3" t="inlineStr">
        <is>
          <t>PersonalFlowTotals</t>
        </is>
      </c>
      <c r="I279" s="3" t="inlineStr">
        <is>
          <t>NOT FOUND — a screen calls it, but the words printed beside its answer could not be traced automatically. Needs reading.</t>
        </is>
      </c>
      <c r="J279" s="3" t="inlineStr">
        <is>
          <t>None found in this function — anything it assumes comes from the functions it depends on.</t>
        </is>
      </c>
      <c r="K279" s="3" t="inlineStr">
        <is>
          <t>Yes</t>
        </is>
      </c>
      <c r="L279" s="3" t="inlineStr">
        <is>
          <t>—</t>
        </is>
      </c>
      <c r="M279" s="3" t="n">
        <v>0</v>
      </c>
      <c r="N279" s="3" t="inlineStr">
        <is>
          <t>None — no dependent function stands behind it</t>
        </is>
      </c>
      <c r="O279" s="3" t="inlineStr">
        <is>
          <t>No dependent function — it reads its inputs and answers</t>
        </is>
      </c>
      <c r="P279" s="3" t="inlineStr">
        <is>
          <t>—</t>
        </is>
      </c>
      <c r="Q279" s="3" t="inlineStr">
        <is>
          <t>—</t>
        </is>
      </c>
    </row>
    <row r="280">
      <c r="A280" s="3" t="inlineStr">
        <is>
          <t>MK-XS-F-096</t>
        </is>
      </c>
      <c r="B280" s="3" t="inlineStr">
        <is>
          <t>pickReceipt</t>
        </is>
      </c>
      <c r="C280" s="3" t="inlineStr">
        <is>
          <t>src/services/receiptScan.ts</t>
        </is>
      </c>
      <c r="D280" s="3" t="n">
        <v>14</v>
      </c>
      <c r="E280" s="3" t="inlineStr">
        <is>
          <t>2 · DISPLAYED</t>
        </is>
      </c>
      <c r="F280" s="3" t="inlineStr">
        <is>
          <t>Capture (camera) or pick (library) a receipt image; returns its uri or null if cancelled/denied.</t>
        </is>
      </c>
      <c r="G280" s="3" t="inlineStr">
        <is>
          <t>source: 'camera' | 'library'</t>
        </is>
      </c>
      <c r="H280" s="3" t="inlineStr">
        <is>
          <t>Promise&lt;string | null&gt;</t>
        </is>
      </c>
      <c r="I280" s="3" t="inlineStr">
        <is>
          <t>NOT FOUND — a screen calls it, but the words printed beside its answer could not be traced automatically. Needs reading.</t>
        </is>
      </c>
      <c r="J280" s="3" t="inlineStr">
        <is>
          <t>None found in this function — anything it assumes comes from the functions it depends on.</t>
        </is>
      </c>
      <c r="K280" s="3" t="inlineStr">
        <is>
          <t>Yes</t>
        </is>
      </c>
      <c r="L280" s="3" t="inlineStr">
        <is>
          <t>—</t>
        </is>
      </c>
      <c r="M280" s="3" t="n">
        <v>0</v>
      </c>
      <c r="N280" s="3" t="inlineStr">
        <is>
          <t>None — no dependent function stands behind it</t>
        </is>
      </c>
      <c r="O280" s="3" t="inlineStr">
        <is>
          <t>No dependent function — it reads its inputs and answers</t>
        </is>
      </c>
      <c r="P280" s="3" t="inlineStr">
        <is>
          <t>—</t>
        </is>
      </c>
      <c r="Q280" s="3" t="inlineStr">
        <is>
          <t>—</t>
        </is>
      </c>
    </row>
    <row r="281">
      <c r="A281" s="3" t="inlineStr">
        <is>
          <t>MK-XS-F-001</t>
        </is>
      </c>
      <c r="B281" s="3" t="inlineStr">
        <is>
          <t>planCompleteness</t>
        </is>
      </c>
      <c r="C281" s="3" t="inlineStr">
        <is>
          <t>src/domain/completeness/index.ts</t>
        </is>
      </c>
      <c r="D281" s="3" t="n">
        <v>15</v>
      </c>
      <c r="E281" s="3" t="inlineStr">
        <is>
          <t>2 · DISPLAYED</t>
        </is>
      </c>
      <c r="F281" s="3" t="inlineStr">
        <is>
          <t>NOT DETERMINED — the code carries no note saying what this is for, and it has no row in the old inventory. Needs reading.</t>
        </is>
      </c>
      <c r="G281" s="3" t="inlineStr">
        <is>
          <t>i: CompletenessInput</t>
        </is>
      </c>
      <c r="H281" s="3" t="inlineStr">
        <is>
          <t>NOT DECLARED — the code does not say what it gives back</t>
        </is>
      </c>
      <c r="I281" s="3" t="inlineStr">
        <is>
          <t>NOT FOUND — a screen calls it, but the words printed beside its answer could not be traced automatically. Needs reading.</t>
        </is>
      </c>
      <c r="J281" s="3" t="inlineStr">
        <is>
          <t>· Multiplies by 100 — a percentage, or an option contract treated as 100 shares. Worth checking which.
· Rounds the answer to a whole number.
· Leaves some rows out of the answer — check which.</t>
        </is>
      </c>
      <c r="K281" s="3" t="inlineStr">
        <is>
          <t>Yes</t>
        </is>
      </c>
      <c r="L281" s="3" t="inlineStr">
        <is>
          <t>—</t>
        </is>
      </c>
      <c r="M281" s="3" t="n">
        <v>0</v>
      </c>
      <c r="N281" s="3" t="inlineStr">
        <is>
          <t>None — no dependent function stands behind it</t>
        </is>
      </c>
      <c r="O281" s="3" t="inlineStr">
        <is>
          <t>No dependent function — it reads its inputs and answers</t>
        </is>
      </c>
      <c r="P281" s="3" t="inlineStr">
        <is>
          <t>—</t>
        </is>
      </c>
      <c r="Q281" s="3" t="inlineStr">
        <is>
          <t>—</t>
        </is>
      </c>
    </row>
    <row r="282">
      <c r="A282" s="3" t="inlineStr">
        <is>
          <t>MK-PL-F-026</t>
        </is>
      </c>
      <c r="B282" s="3" t="inlineStr">
        <is>
          <t>planDoor</t>
        </is>
      </c>
      <c r="C282" s="3" t="inlineStr">
        <is>
          <t>src/domain/planning/hub.ts</t>
        </is>
      </c>
      <c r="D282" s="3" t="n">
        <v>44</v>
      </c>
      <c r="E282" s="3" t="inlineStr">
        <is>
          <t>2 · DISPLAYED</t>
        </is>
      </c>
      <c r="F282" s="3" t="inlineStr">
        <is>
          <t>Is there enough to show this person their own odds?</t>
        </is>
      </c>
      <c r="G282" s="3" t="inlineStr">
        <is>
          <t>op: Record&lt;string, any&gt; | null · accounts: AssetAccount[]</t>
        </is>
      </c>
      <c r="H282" s="3" t="inlineStr">
        <is>
          <t>PlanDoor</t>
        </is>
      </c>
      <c r="I282" s="3" t="inlineStr">
        <is>
          <t>NOT FOUND — a screen calls it, but the words printed beside its answer could not be traced automatically. Needs reading.</t>
        </is>
      </c>
      <c r="J282" s="3" t="inlineStr">
        <is>
          <t>· If balance is missing it counts as zero, so nothing recorded and a real zero look the same.</t>
        </is>
      </c>
      <c r="K282" s="3" t="inlineStr">
        <is>
          <t>Yes</t>
        </is>
      </c>
      <c r="L282" s="3" t="inlineStr">
        <is>
          <t>MK-NW-F-033 retirementEarmarkedValue · MK-ST-F-055 round2</t>
        </is>
      </c>
      <c r="M282" s="3" t="n">
        <v>9</v>
      </c>
      <c r="N282" s="3" t="inlineStr">
        <is>
          <t>MK-NW-F-033 retirementEarmarkedValue · MK-ST-F-055 round2 · MK-NW-F-032 earmarkedAmount · MK-NW-F-031 primaryCarIdOf · MK-NW-F-030 earmarkDefault · MK-NW-F-011 assetClassOf · MK-NW-F-013 realEstateUseOf · MK-NW-F-008 incomeBearingClassOf · MK-ST-F-010 nameEvidence</t>
        </is>
      </c>
      <c r="O282" s="3" t="inlineStr">
        <is>
          <t>MK-NW-F-008 incomeBearingClassOf → MK-NW-F-011 assetClassOf → MK-NW-F-030 earmarkDefault → MK-NW-F-032 earmarkedAmount → MK-NW-F-033 retirementEarmarkedValue → MK-PL-F-026 planDoor
MK-NW-F-013 realEstateUseOf → MK-NW-F-030 earmarkDefault → MK-NW-F-032 earmarkedAmount → MK-NW-F-033 retirementEarmarkedValue → MK-PL-F-026 planDoor
MK-ST-F-055 round2 → MK-NW-F-032 earmarkedAmount → MK-NW-F-033 retirementEarmarkedValue → MK-PL-F-026 planDoor
MK-ST-F-010 nameEvidence → MK-NW-F-008 incomeBearingClassOf → MK-NW-F-011 assetClassOf → MK-NW-F-031 primaryCarIdOf → MK-NW-F-033 retirementEarmarkedValue → MK-PL-F-026 planDoor
MK-ST-F-055 round2 → MK-NW-F-033 retirementEarmarkedValue → MK-PL-F-026 planDoor
MK-ST-F-055 round2 → MK-PL-F-026 planDoor</t>
        </is>
      </c>
      <c r="P282" s="3" t="inlineStr">
        <is>
          <t>MK-PL-M-001 · MK-PL-M-002</t>
        </is>
      </c>
      <c r="Q282" s="3" t="inlineStr">
        <is>
          <t>WHAT_THE_PLAN_STILL_NEEDS</t>
        </is>
      </c>
    </row>
    <row r="283">
      <c r="A283" s="3" t="inlineStr">
        <is>
          <t>MK-PL-F-044</t>
        </is>
      </c>
      <c r="B283" s="3" t="inlineStr">
        <is>
          <t>planTarget</t>
        </is>
      </c>
      <c r="C283" s="3" t="inlineStr">
        <is>
          <t>src/domain/planning/target.ts</t>
        </is>
      </c>
      <c r="D283" s="3" t="n">
        <v>139</v>
      </c>
      <c r="E283" s="3" t="inlineStr">
        <is>
          <t>2 · DISPLAYED</t>
        </is>
      </c>
      <c r="F283" s="3" t="inlineStr">
        <is>
          <t>One call, everything the second gauge and the bridge sentence need.</t>
        </is>
      </c>
      <c r="G283" s="3" t="inlineStr">
        <is>
          <t>base: RetirementInputs · annualIncome?: number · roomAnnual?: number · typedTarget?: number | null</t>
        </is>
      </c>
      <c r="H283" s="3" t="inlineStr">
        <is>
          <t>PlanTarget</t>
        </is>
      </c>
      <c r="I283" s="3" t="inlineStr">
        <is>
          <t>NOT FOUND — a screen calls it, but the words printed beside its answer could not be traced automatically. Needs reading.</t>
        </is>
      </c>
      <c r="J283" s="3" t="inlineStr">
        <is>
          <t>· If annual contribution is missing it uses 0.
· Treats a year as twelve equal months.
· Multiplies by 100 — a percentage, or an option contract treated as 100 shares. Worth checking which.
· Rounds the answer to a whole number.</t>
        </is>
      </c>
      <c r="K283" s="3" t="inlineStr">
        <is>
          <t>Yes</t>
        </is>
      </c>
      <c r="L283" s="3" t="inlineStr">
        <is>
          <t>MK-PL-F-041 requiredAnnualSaving · MK-PL-F-042 savingToReachTarget · MK-PL-F-050 simulate · MK-PL-F-040 targetAtRetirement</t>
        </is>
      </c>
      <c r="M283" s="3" t="n">
        <v>7</v>
      </c>
      <c r="N283" s="3" t="inlineStr">
        <is>
          <t>MK-PL-F-041 requiredAnnualSaving · MK-PL-F-042 savingToReachTarget · MK-PL-F-050 simulate · MK-PL-F-040 targetAtRetirement · MK-ST-F-025 rmdStartAgeFromAge · MK-ST-F-055 round2 · MK-ST-F-024 rmdStartAge</t>
        </is>
      </c>
      <c r="O283" s="3" t="inlineStr">
        <is>
          <t>MK-PL-F-041 requiredAnnualSaving → MK-PL-F-044 planTarget
MK-ST-F-024 rmdStartAge → MK-ST-F-025 rmdStartAgeFromAge → MK-PL-F-050 simulate → MK-PL-F-042 savingToReachTarget → MK-PL-F-044 planTarget
MK-ST-F-055 round2 → MK-PL-F-050 simulate → MK-PL-F-042 savingToReachTarget → MK-PL-F-044 planTarget
MK-ST-F-024 rmdStartAge → MK-ST-F-025 rmdStartAgeFromAge → MK-PL-F-050 simulate → MK-PL-F-044 planTarget
MK-ST-F-055 round2 → MK-PL-F-050 simulate → MK-PL-F-044 planTarget
MK-PL-F-040 targetAtRetirement → MK-PL-F-044 planTarget</t>
        </is>
      </c>
      <c r="P283" s="3" t="inlineStr">
        <is>
          <t>—</t>
        </is>
      </c>
      <c r="Q283" s="3" t="inlineStr">
        <is>
          <t>—</t>
        </is>
      </c>
    </row>
    <row r="284">
      <c r="A284" s="3" t="inlineStr">
        <is>
          <t>MK-CF-F-002</t>
        </is>
      </c>
      <c r="B284" s="3" t="inlineStr">
        <is>
          <t>plannedMonthlySpend</t>
        </is>
      </c>
      <c r="C284" s="3" t="inlineStr">
        <is>
          <t>src/domain/budget/index.ts</t>
        </is>
      </c>
      <c r="D284" s="3" t="n">
        <v>45</v>
      </c>
      <c r="E284" s="3" t="inlineStr">
        <is>
          <t>2 · DISPLAYED</t>
        </is>
      </c>
      <c r="F284" s="3" t="inlineStr">
        <is>
          <t>The single canonical "planned monthly spend": the itemized buckets OR the stated total, whichever is larger (the stated total can include an uncategorized remainder the buckets don't capture).</t>
        </is>
      </c>
      <c r="G284" s="3" t="inlineStr">
        <is>
          <t>op: OnboardingProfile | null</t>
        </is>
      </c>
      <c r="H284" s="3" t="inlineStr">
        <is>
          <t>number</t>
        </is>
      </c>
      <c r="I284" s="3" t="inlineStr">
        <is>
          <t>"Income (take-home)" — on the budget screen</t>
        </is>
      </c>
      <c r="J284" s="3" t="inlineStr">
        <is>
          <t>· Treats a year as twelve equal months.</t>
        </is>
      </c>
      <c r="K284" s="3" t="inlineStr">
        <is>
          <t>Yes</t>
        </is>
      </c>
      <c r="L284" s="3" t="inlineStr">
        <is>
          <t>MK-CF-F-092 incomeMonthlyGrid · MK-CF-F-004 spendBuckets · MK-ST-F-052 toNum</t>
        </is>
      </c>
      <c r="M284" s="3" t="n">
        <v>37</v>
      </c>
      <c r="N284" s="3" t="inlineStr">
        <is>
          <t>MK-CF-F-092 incomeMonthlyGrid · MK-CF-F-004 spendBuckets · MK-ST-F-052 toNum · MK-CF-F-069 benefitActiveMonths · MK-CF-F-072 currentRetirementIncomeMonthly · MK-CF-F-065 equityVestWeights · MK-CF-F-071 extraIncome · MK-CF-F-087 monthlyTaxRates · MK-CF-F-073 otherIncomeMonth · MK-CF-F-068 rentalNetAnnual · MK-ST-F-055 round2 · MK-CF-F-066 rsuAnnual · MK-CF-F-060 salaryGrossByMonth · MK-CF-F-077 scholarshipByCalendarMonth · MK-CF-F-003 categoryMonthly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O284" s="3" t="inlineStr">
        <is>
          <t>MK-CF-F-069 benefitActiveMonths → MK-CF-F-092 incomeMonthlyGrid → MK-CF-F-002 plannedMonthlySpend
MK-ST-F-052 toNum → MK-CF-F-075 retirementIncomeMonthly → MK-CF-F-072 currentRetirementIncomeMonthly → MK-CF-F-092 incomeMonthlyGrid → MK-CF-F-002 plannedMonthlySpend
MK-ST-F-052 toNum → MK-CF-F-062 equityRowValue → MK-CF-F-065 equityVestWeights → MK-CF-F-092 incomeMonthlyGrid → MK-CF-F-002 plannedMonthlySpend
MK-CF-F-069 benefitActiveMonths → MK-CF-F-070 benefitAnnual → MK-CF-F-071 extraIncome → MK-CF-F-092 incomeMonthlyGrid → MK-CF-F-002 plannedMonthlySpend
MK-ST-F-052 toNum → MK-CF-F-070 benefitAnnual → MK-CF-F-071 extraIncome → MK-CF-F-092 incomeMonthlyGrid → MK-CF-F-002 plannedMonthlySpend
MK-ST-F-055 round2 → MK-CF-F-071 extraIncome → MK-CF-F-092 incomeMonthlyGrid → MK-CF-F-002 plannedMonthlySpend
MK-ST-F-052 toNum → MK-CF-F-071 extraIncome → MK-CF-F-092 incomeMonthlyGrid → MK-CF-F-002 plannedMonthlySpend
MK-CF-F-101 taxOwedFor → MK-CF-F-102 effectiveRateOnGrossFor → MK-CF-F-090 effectiveRate → MK-CF-F-087 monthlyTaxRates → MK-CF-F-092 incomeMonthlyGrid → MK-CF-F-002 plannedMonthlySpend
… and 45 more paths</t>
        </is>
      </c>
      <c r="P284" s="3" t="inlineStr">
        <is>
          <t>MK-CF-M-015 · MK-MN-M-007 · MK-MN-M-026</t>
        </is>
      </c>
      <c r="Q284" s="3" t="inlineStr">
        <is>
          <t>PLANNED_SPENDING</t>
        </is>
      </c>
    </row>
    <row r="285">
      <c r="A285" s="3" t="inlineStr">
        <is>
          <t>MK-NW-F-004</t>
        </is>
      </c>
      <c r="B285" s="3" t="inlineStr">
        <is>
          <t>portfolioActualReturn</t>
        </is>
      </c>
      <c r="C285" s="3" t="inlineStr">
        <is>
          <t>src/domain/assets/index.ts</t>
        </is>
      </c>
      <c r="D285" s="3" t="n">
        <v>108</v>
      </c>
      <c r="E285" s="3" t="inlineStr">
        <is>
          <t>2 · DISPLAYED</t>
        </is>
      </c>
      <c r="F285" s="3" t="inlineStr">
        <is>
          <t>Value-weighted ACTUAL trailing-12mo return across holdings that have one reported.</t>
        </is>
      </c>
      <c r="G285" s="3" t="inlineStr">
        <is>
          <t>accounts: AssetAccount[]</t>
        </is>
      </c>
      <c r="H285" s="3" t="inlineStr">
        <is>
          <t>number | null</t>
        </is>
      </c>
      <c r="I285" s="3" t="inlineStr">
        <is>
          <t>"Expected return" — on the Retirement cockpit screen, under "scRetired ?"</t>
        </is>
      </c>
      <c r="J285" s="3" t="inlineStr">
        <is>
          <t>· Rounds the answer to a whole number.
· Leaves some rows out of the answer — check which.</t>
        </is>
      </c>
      <c r="K285" s="3" t="inlineStr">
        <is>
          <t>Yes</t>
        </is>
      </c>
      <c r="L285" s="3" t="inlineStr">
        <is>
          <t>MK-NW-F-032 earmarkedAmount</t>
        </is>
      </c>
      <c r="M285" s="3" t="n">
        <v>7</v>
      </c>
      <c r="N285" s="3" t="inlineStr">
        <is>
          <t>MK-NW-F-032 earmarkedAmount · MK-NW-F-030 earmarkDefault · MK-ST-F-055 round2 · MK-NW-F-011 assetClassOf · MK-NW-F-013 realEstateUseOf · MK-NW-F-008 incomeBearingClassOf · MK-ST-F-010 nameEvidence</t>
        </is>
      </c>
      <c r="O285" s="3" t="inlineStr">
        <is>
          <t>MK-ST-F-010 nameEvidence → MK-NW-F-008 incomeBearingClassOf → MK-NW-F-011 assetClassOf → MK-NW-F-030 earmarkDefault → MK-NW-F-032 earmarkedAmount → MK-NW-F-004 portfolioActualReturn
MK-NW-F-013 realEstateUseOf → MK-NW-F-030 earmarkDefault → MK-NW-F-032 earmarkedAmount → MK-NW-F-004 portfolioActualReturn
MK-ST-F-055 round2 → MK-NW-F-032 earmarkedAmount → MK-NW-F-004 portfolioActualReturn</t>
        </is>
      </c>
      <c r="P285" s="3" t="inlineStr">
        <is>
          <t>—</t>
        </is>
      </c>
      <c r="Q285" s="3" t="inlineStr">
        <is>
          <t>REPORTED_RETURN</t>
        </is>
      </c>
    </row>
    <row r="286">
      <c r="A286" s="3" t="inlineStr">
        <is>
          <t>MK-PF-F-020</t>
        </is>
      </c>
      <c r="B286" s="3" t="inlineStr">
        <is>
          <t>portfolioBenchReturn</t>
        </is>
      </c>
      <c r="C286" s="3" t="inlineStr">
        <is>
          <t>src/domain/performance/index.ts</t>
        </is>
      </c>
      <c r="D286" s="3" t="n">
        <v>293</v>
      </c>
      <c r="E286" s="3" t="inlineStr">
        <is>
          <t>2 · DISPLAYED</t>
        </is>
      </c>
      <c r="F286" s="3" t="inlineStr">
        <is>
          <t>Value-weighted benchmark ("the market, matched to your mix") return across holdings that have one (decimal), or null.</t>
        </is>
      </c>
      <c r="G286" s="3" t="inlineStr">
        <is>
          <t>rows: PerformanceRow[]</t>
        </is>
      </c>
      <c r="H286" s="3" t="inlineStr">
        <is>
          <t>number | null</t>
        </is>
      </c>
      <c r="I286" s="3" t="inlineStr">
        <is>
          <t>"HONEST COMPARISON" — on the Performance screen, under "HONEST COMPARISON"</t>
        </is>
      </c>
      <c r="J286" s="3" t="inlineStr">
        <is>
          <t>· Leaves some rows out of the answer — check which.</t>
        </is>
      </c>
      <c r="K286" s="3" t="inlineStr">
        <is>
          <t>Yes</t>
        </is>
      </c>
      <c r="L286" s="3" t="inlineStr">
        <is>
          <t>—</t>
        </is>
      </c>
      <c r="M286" s="3" t="n">
        <v>0</v>
      </c>
      <c r="N286" s="3" t="inlineStr">
        <is>
          <t>None — no dependent function stands behind it</t>
        </is>
      </c>
      <c r="O286" s="3" t="inlineStr">
        <is>
          <t>No dependent function — it reads its inputs and answers</t>
        </is>
      </c>
      <c r="P286" s="3" t="inlineStr">
        <is>
          <t>MK-PF-M-008</t>
        </is>
      </c>
      <c r="Q286" s="3" t="inlineStr">
        <is>
          <t>BENCHMARK_RETURN_BLENDED</t>
        </is>
      </c>
    </row>
    <row r="287">
      <c r="A287" s="3" t="inlineStr">
        <is>
          <t>MK-PF-F-019</t>
        </is>
      </c>
      <c r="B287" s="3" t="inlineStr">
        <is>
          <t>portfolioPeriodReturn</t>
        </is>
      </c>
      <c r="C287" s="3" t="inlineStr">
        <is>
          <t>src/domain/performance/index.ts</t>
        </is>
      </c>
      <c r="D287" s="3" t="n">
        <v>283</v>
      </c>
      <c r="E287" s="3" t="inlineStr">
        <is>
          <t>2 · DISPLAYED</t>
        </is>
      </c>
      <c r="F287" s="3" t="inlineStr">
        <is>
          <t>Value-weighted portfolio period return across holdings that have one (decimal), or null.</t>
        </is>
      </c>
      <c r="G287" s="3" t="inlineStr">
        <is>
          <t>rows: PerformanceRow[]</t>
        </is>
      </c>
      <c r="H287" s="3" t="inlineStr">
        <is>
          <t>number | null</t>
        </is>
      </c>
      <c r="I287" s="3" t="inlineStr">
        <is>
          <t>NOT FOUND — a screen calls it, but the words printed beside its answer could not be traced automatically. Needs reading.</t>
        </is>
      </c>
      <c r="J287" s="3" t="inlineStr">
        <is>
          <t>· Rounds the answer to a whole number.
· Leaves some rows out of the answer — check which.</t>
        </is>
      </c>
      <c r="K287" s="3" t="inlineStr">
        <is>
          <t>Yes</t>
        </is>
      </c>
      <c r="L287" s="3" t="inlineStr">
        <is>
          <t>—</t>
        </is>
      </c>
      <c r="M287" s="3" t="n">
        <v>0</v>
      </c>
      <c r="N287" s="3" t="inlineStr">
        <is>
          <t>None — no dependent function stands behind it</t>
        </is>
      </c>
      <c r="O287" s="3" t="inlineStr">
        <is>
          <t>No dependent function — it reads its inputs and answers</t>
        </is>
      </c>
      <c r="P287" s="3" t="inlineStr">
        <is>
          <t>MK-XS-M-004</t>
        </is>
      </c>
      <c r="Q287" s="3" t="inlineStr">
        <is>
          <t>VALUE_WEIGHTED_RETURN</t>
        </is>
      </c>
    </row>
    <row r="288">
      <c r="A288" s="3" t="inlineStr">
        <is>
          <t>MK-PF-F-018</t>
        </is>
      </c>
      <c r="B288" s="3" t="inlineStr">
        <is>
          <t>portfolioTrend</t>
        </is>
      </c>
      <c r="C288" s="3" t="inlineStr">
        <is>
          <t>src/domain/performance/index.ts</t>
        </is>
      </c>
      <c r="D288" s="3" t="n">
        <v>257</v>
      </c>
      <c r="E288" s="3" t="inlineStr">
        <is>
          <t>2 · DISPLAYED</t>
        </is>
      </c>
      <c r="F288" s="3" t="inlineStr">
        <is>
          <t>How has my portfolio moved over the period, against its benchmark?</t>
        </is>
      </c>
      <c r="G288" s="3" t="inlineStr">
        <is>
          <t>Nothing is handed to it</t>
        </is>
      </c>
      <c r="H288" s="3" t="inlineStr">
        <is>
          <t>NOT DECLARED — the code does not say what it gives back</t>
        </is>
      </c>
      <c r="I288" s="3" t="inlineStr">
        <is>
          <t>NOT FOUND — a screen calls it, but the words printed beside its answer could not be traced automatically. Needs reading.</t>
        </is>
      </c>
      <c r="J288" s="3" t="inlineStr">
        <is>
          <t>· Uses a built-in n of 12.
· Uses today's date from the device clock, so the answer changes by itself overnight.
· Multiplies by 100 — a percentage, or an option contract treated as 100 shares. Worth checking which.
· Rounds the answer to a whole number.</t>
        </is>
      </c>
      <c r="K288" s="3" t="inlineStr">
        <is>
          <t>Yes</t>
        </is>
      </c>
      <c r="L288" s="3" t="inlineStr">
        <is>
          <t>MK-PF-F-008 startDateFor · MK-PF-F-001 totalShares</t>
        </is>
      </c>
      <c r="M288" s="3" t="n">
        <v>2</v>
      </c>
      <c r="N288" s="3" t="inlineStr">
        <is>
          <t>MK-PF-F-008 startDateFor · MK-PF-F-001 totalShares</t>
        </is>
      </c>
      <c r="O288" s="3" t="inlineStr">
        <is>
          <t>MK-PF-F-008 startDateFor → MK-PF-F-018 portfolioTrend
MK-PF-F-001 totalShares → MK-PF-F-018 portfolioTrend</t>
        </is>
      </c>
      <c r="P288" s="3" t="inlineStr">
        <is>
          <t>—</t>
        </is>
      </c>
      <c r="Q288" s="3" t="inlineStr">
        <is>
          <t>PORTFOLIO_TREND_LINE</t>
        </is>
      </c>
    </row>
    <row r="289">
      <c r="A289" s="3" t="inlineStr">
        <is>
          <t>MK-XS-F-082</t>
        </is>
      </c>
      <c r="B289" s="3" t="inlineStr">
        <is>
          <t>priceFreshness</t>
        </is>
      </c>
      <c r="C289" s="3" t="inlineStr">
        <is>
          <t>src/services/marketData.ts</t>
        </is>
      </c>
      <c r="D289" s="3" t="n">
        <v>60</v>
      </c>
      <c r="E289" s="3" t="inlineStr">
        <is>
          <t>2 · DISPLAYED</t>
        </is>
      </c>
      <c r="F289" s="3" t="inlineStr">
        <is>
          <t>Human freshness of the price cache + whether it's stale enough to warn (markets move daily, so anything older than ~4 days — a long weekend/holiday — is worth a "may be out of date" note).</t>
        </is>
      </c>
      <c r="G289" s="3" t="inlineStr">
        <is>
          <t>fetchedAt: string | null | undefined · now: number</t>
        </is>
      </c>
      <c r="H289" s="3" t="inlineStr">
        <is>
          <t>PriceFreshness</t>
        </is>
      </c>
      <c r="I289" s="3" t="inlineStr">
        <is>
          <t>NOT FOUND — a screen calls it, but the words printed beside its answer could not be traced automatically. Needs reading.</t>
        </is>
      </c>
      <c r="J289" s="3" t="inlineStr">
        <is>
          <t>None found in this function — anything it assumes comes from the functions it depends on.</t>
        </is>
      </c>
      <c r="K289" s="3" t="inlineStr">
        <is>
          <t>Yes</t>
        </is>
      </c>
      <c r="L289" s="3" t="inlineStr">
        <is>
          <t>—</t>
        </is>
      </c>
      <c r="M289" s="3" t="n">
        <v>0</v>
      </c>
      <c r="N289" s="3" t="inlineStr">
        <is>
          <t>None — no dependent function stands behind it</t>
        </is>
      </c>
      <c r="O289" s="3" t="inlineStr">
        <is>
          <t>No dependent function — it reads its inputs and answers</t>
        </is>
      </c>
      <c r="P289" s="3" t="inlineStr">
        <is>
          <t>MK-HM-M-001</t>
        </is>
      </c>
      <c r="Q289" s="3" t="inlineStr">
        <is>
          <t>PRICE_FRESHNESS</t>
        </is>
      </c>
    </row>
    <row r="290">
      <c r="A290" s="3" t="inlineStr">
        <is>
          <t>MK-NW-F-031</t>
        </is>
      </c>
      <c r="B290" s="3" t="inlineStr">
        <is>
          <t>primaryCarIdOf</t>
        </is>
      </c>
      <c r="C290" s="3" t="inlineStr">
        <is>
          <t>src/domain/assets/index.ts</t>
        </is>
      </c>
      <c r="D290" s="3" t="n">
        <v>537</v>
      </c>
      <c r="E290" s="3" t="inlineStr">
        <is>
          <t>2 · DISPLAYED</t>
        </is>
      </c>
      <c r="F290" s="3" t="inlineStr">
        <is>
          <t>The vehicle treated as "the car you drive" — the most valuable one, so a second car stays a real asset.</t>
        </is>
      </c>
      <c r="G290" s="3" t="inlineStr">
        <is>
          <t>accounts: AssetAccount[]</t>
        </is>
      </c>
      <c r="H290" s="3" t="inlineStr">
        <is>
          <t>string | undefined</t>
        </is>
      </c>
      <c r="I290" s="3" t="inlineStr">
        <is>
          <t>"WHAT COUNTS TOWARD RETIREMENT" — on a card used on more than one screen (PlanInputs), under "WHAT COUNTS TOWARD RETIREMENT"</t>
        </is>
      </c>
      <c r="J290" s="3" t="inlineStr">
        <is>
          <t>· If balance is missing it counts as zero, so nothing recorded and a real zero look the same.
· Leaves some rows out of the answer — check which.</t>
        </is>
      </c>
      <c r="K290" s="3" t="inlineStr">
        <is>
          <t>Yes</t>
        </is>
      </c>
      <c r="L290" s="3" t="inlineStr">
        <is>
          <t>MK-NW-F-011 assetClassOf</t>
        </is>
      </c>
      <c r="M290" s="3" t="n">
        <v>3</v>
      </c>
      <c r="N290" s="3" t="inlineStr">
        <is>
          <t>MK-NW-F-011 assetClassOf · MK-NW-F-008 incomeBearingClassOf · MK-ST-F-010 nameEvidence</t>
        </is>
      </c>
      <c r="O290" s="3" t="inlineStr">
        <is>
          <t>MK-ST-F-010 nameEvidence → MK-NW-F-008 incomeBearingClassOf → MK-NW-F-011 assetClassOf → MK-NW-F-031 primaryCarIdOf</t>
        </is>
      </c>
      <c r="P290" s="3" t="inlineStr">
        <is>
          <t>—</t>
        </is>
      </c>
      <c r="Q290" s="3" t="inlineStr">
        <is>
          <t>PRIMARY_CAR</t>
        </is>
      </c>
    </row>
    <row r="291">
      <c r="A291" s="3" t="inlineStr">
        <is>
          <t>MK-XS-F-026</t>
        </is>
      </c>
      <c r="B291" s="3" t="inlineStr">
        <is>
          <t>profileFromOnboarding</t>
        </is>
      </c>
      <c r="C291" s="3" t="inlineStr">
        <is>
          <t>src/domain/profile/onboarding.ts</t>
        </is>
      </c>
      <c r="D291" s="3" t="n">
        <v>12</v>
      </c>
      <c r="E291" s="3" t="inlineStr">
        <is>
          <t>2 · DISPLAYED</t>
        </is>
      </c>
      <c r="F291" s="3" t="inlineStr">
        <is>
          <t>`op` is the consolidated onboardingProfile: { status, name, ...answers }.</t>
        </is>
      </c>
      <c r="G291" s="3" t="inlineStr">
        <is>
          <t>uid: UserId · op: Record&lt;string, any&gt; | null</t>
        </is>
      </c>
      <c r="H291" s="3" t="inlineStr">
        <is>
          <t>Profile</t>
        </is>
      </c>
      <c r="I291" s="3" t="inlineStr">
        <is>
          <t>NOT FOUND — a screen calls it, but the words printed beside its answer could not be traced automatically. Needs reading.</t>
        </is>
      </c>
      <c r="J291" s="3" t="inlineStr">
        <is>
          <t>None found in this function — anything it assumes comes from the functions it depends on.</t>
        </is>
      </c>
      <c r="K291" s="3" t="inlineStr">
        <is>
          <t>Yes</t>
        </is>
      </c>
      <c r="L291" s="3" t="inlineStr">
        <is>
          <t>—</t>
        </is>
      </c>
      <c r="M291" s="3" t="n">
        <v>0</v>
      </c>
      <c r="N291" s="3" t="inlineStr">
        <is>
          <t>None — no dependent function stands behind it</t>
        </is>
      </c>
      <c r="O291" s="3" t="inlineStr">
        <is>
          <t>No dependent function — it reads its inputs and answers</t>
        </is>
      </c>
      <c r="P291" s="3" t="inlineStr">
        <is>
          <t>—</t>
        </is>
      </c>
      <c r="Q291" s="3" t="inlineStr">
        <is>
          <t>—</t>
        </is>
      </c>
    </row>
    <row r="292">
      <c r="A292" s="3" t="inlineStr">
        <is>
          <t>MK-CF-F-098</t>
        </is>
      </c>
      <c r="B292" s="3" t="inlineStr">
        <is>
          <t>progressiveMonthlyTax</t>
        </is>
      </c>
      <c r="C292" s="3" t="inlineStr">
        <is>
          <t>src/domain/income/tax.ts</t>
        </is>
      </c>
      <c r="D292" s="3" t="n">
        <v>61</v>
      </c>
      <c r="E292" s="3" t="inlineStr">
        <is>
          <t>3 · DEPENDENT</t>
        </is>
      </c>
      <c r="F292" s="3" t="inlineStr">
        <is>
          <t>PRD F2#11 — progressive PER-MONTH tax: brackets fill as the year's taxable income accumulates month by month (Jan→Dec), so tax_m = taxOwed(cumulative through m) − taxOwed(cumulative through m−1).</t>
        </is>
      </c>
      <c r="G292" s="3" t="inlineStr">
        <is>
          <t>taxableByMonth: number[] · status: FilingStatus = 'single' · stateRate = 0 · over65 = 0</t>
        </is>
      </c>
      <c r="H292" s="3" t="inlineStr">
        <is>
          <t>number[]</t>
        </is>
      </c>
      <c r="I292" s="3" t="inlineStr">
        <is>
          <t>—</t>
        </is>
      </c>
      <c r="J292" s="3" t="inlineStr">
        <is>
          <t>None found in this function — anything it assumes comes from the functions it depends on.</t>
        </is>
      </c>
      <c r="K292" s="3" t="inlineStr">
        <is>
          <t>Yes</t>
        </is>
      </c>
      <c r="L292" s="3" t="inlineStr">
        <is>
          <t>MK-CF-F-101 taxOwedFor · MK-CF-F-100 taxableIncomeFor</t>
        </is>
      </c>
      <c r="M292" s="3" t="n">
        <v>3</v>
      </c>
      <c r="N292" s="3" t="inlineStr">
        <is>
          <t>MK-CF-F-101 taxOwedFor · MK-CF-F-100 taxableIncomeFor · MK-CF-F-099 deductionFor</t>
        </is>
      </c>
      <c r="O292" s="3" t="inlineStr">
        <is>
          <t>MK-CF-F-099 deductionFor → MK-CF-F-100 taxableIncomeFor → MK-CF-F-101 taxOwedFor → MK-CF-F-098 progressiveMonthlyTax
MK-CF-F-099 deductionFor → MK-CF-F-100 taxableIncomeFor → MK-CF-F-098 progressiveMonthlyTax</t>
        </is>
      </c>
      <c r="P292" s="3" t="inlineStr">
        <is>
          <t>—</t>
        </is>
      </c>
      <c r="Q292" s="3" t="inlineStr">
        <is>
          <t>—</t>
        </is>
      </c>
    </row>
    <row r="293">
      <c r="A293" s="3" t="inlineStr">
        <is>
          <t>MK-PL-F-055</t>
        </is>
      </c>
      <c r="B293" s="3" t="inlineStr">
        <is>
          <t>projectNestEgg</t>
        </is>
      </c>
      <c r="C293" s="3" t="inlineStr">
        <is>
          <t>src/domain/retirement/index.ts</t>
        </is>
      </c>
      <c r="D293" s="3" t="n">
        <v>324</v>
      </c>
      <c r="E293" s="3" t="inlineStr">
        <is>
          <t>2 · DISPLAYED</t>
        </is>
      </c>
      <c r="F293" s="3" t="inlineStr">
        <is>
          <t>What will the pot be worth at retirement, and how big does it need to be?</t>
        </is>
      </c>
      <c r="G293" s="3" t="inlineStr">
        <is>
          <t>inp: RetirementInputs</t>
        </is>
      </c>
      <c r="H293" s="3" t="inlineStr">
        <is>
          <t>NestEggProjection</t>
        </is>
      </c>
      <c r="I293" s="3" t="inlineStr">
        <is>
          <t>NOT FOUND — a screen calls it, but the words printed beside its answer could not be traced automatically. Needs reading.</t>
        </is>
      </c>
      <c r="J293" s="3" t="inlineStr">
        <is>
          <t>· If contribution growth is missing it uses 0.
· If monthly is missing it counts as zero, so nothing recorded and a real zero look the same.
· Uses a built-in y of 0.
· Uses a built-in need of 0.
· Turns a monthly figure into a year by multiplying by twelve.</t>
        </is>
      </c>
      <c r="K293" s="3" t="inlineStr">
        <is>
          <t>Yes</t>
        </is>
      </c>
      <c r="L293" s="3" t="inlineStr">
        <is>
          <t>MK-ST-F-055 round2 · MK-PL-F-050 simulate</t>
        </is>
      </c>
      <c r="M293" s="3" t="n">
        <v>4</v>
      </c>
      <c r="N293" s="3" t="inlineStr">
        <is>
          <t>MK-ST-F-055 round2 · MK-PL-F-050 simulate · MK-ST-F-025 rmdStartAgeFromAge · MK-ST-F-024 rmdStartAge</t>
        </is>
      </c>
      <c r="O293" s="3" t="inlineStr">
        <is>
          <t>MK-ST-F-055 round2 → MK-PL-F-055 projectNestEgg
MK-ST-F-024 rmdStartAge → MK-ST-F-025 rmdStartAgeFromAge → MK-PL-F-050 simulate → MK-PL-F-055 projectNestEgg
MK-ST-F-055 round2 → MK-PL-F-050 simulate → MK-PL-F-055 projectNestEgg</t>
        </is>
      </c>
      <c r="P293" s="3" t="inlineStr">
        <is>
          <t>MK-CF-M-022 · MK-NW-M-015 · MK-PL-M-026 · MK-PL-M-033</t>
        </is>
      </c>
      <c r="Q293" s="3" t="inlineStr">
        <is>
          <t>POT_AT_RETIREMENT</t>
        </is>
      </c>
    </row>
    <row r="294">
      <c r="A294" s="3" t="inlineStr">
        <is>
          <t>MK-ST-F-029</t>
        </is>
      </c>
      <c r="B294" s="3" t="inlineStr">
        <is>
          <t>prune</t>
        </is>
      </c>
      <c r="C294" s="3" t="inlineStr">
        <is>
          <t>Calculation Module code/engines/snapshots.ts</t>
        </is>
      </c>
      <c r="D294" s="3" t="n">
        <v>145</v>
      </c>
      <c r="E294" s="3" t="inlineStr">
        <is>
          <t>3 · DEPENDENT (feeds an action only)</t>
        </is>
      </c>
      <c r="F294" s="3" t="inlineStr">
        <is>
          <t>Which days survive.</t>
        </is>
      </c>
      <c r="G294" s="3" t="inlineStr">
        <is>
          <t>days: SnapshotDay[] · today: string</t>
        </is>
      </c>
      <c r="H294" s="3" t="inlineStr">
        <is>
          <t>SnapshotDay[]</t>
        </is>
      </c>
      <c r="I294" s="3" t="inlineStr">
        <is>
          <t>—</t>
        </is>
      </c>
      <c r="J294" s="3" t="inlineStr">
        <is>
          <t>· Leaves some rows out of the answer — check which.</t>
        </is>
      </c>
      <c r="K294" s="3" t="inlineStr">
        <is>
          <t>No</t>
        </is>
      </c>
      <c r="L294" s="3" t="inlineStr">
        <is>
          <t>—</t>
        </is>
      </c>
      <c r="M294" s="3" t="n">
        <v>0</v>
      </c>
      <c r="N294" s="3" t="inlineStr">
        <is>
          <t>None — no dependent function stands behind it</t>
        </is>
      </c>
      <c r="O294" s="3" t="inlineStr">
        <is>
          <t>No dependent function — it reads its inputs and answers</t>
        </is>
      </c>
      <c r="P294" s="3" t="inlineStr">
        <is>
          <t>—</t>
        </is>
      </c>
      <c r="Q294" s="3" t="inlineStr">
        <is>
          <t>—</t>
        </is>
      </c>
    </row>
    <row r="295">
      <c r="A295" s="3" t="inlineStr">
        <is>
          <t>MK-XS-F-006</t>
        </is>
      </c>
      <c r="B295" s="3" t="inlineStr">
        <is>
          <t>pruneDaily</t>
        </is>
      </c>
      <c r="C295" s="3" t="inlineStr">
        <is>
          <t>src/domain/history.ts</t>
        </is>
      </c>
      <c r="D295" s="3" t="n">
        <v>55</v>
      </c>
      <c r="E295" s="3" t="inlineStr">
        <is>
          <t>3 · DEPENDENT (feeds an action only)</t>
        </is>
      </c>
      <c r="F295" s="3" t="inlineStr">
        <is>
          <t>Prune helper for the store writer: newest DAILY_KEEP days survive.</t>
        </is>
      </c>
      <c r="G295" s="3" t="inlineStr">
        <is>
          <t>daily: Record&lt;string, number&gt;</t>
        </is>
      </c>
      <c r="H295" s="3" t="inlineStr">
        <is>
          <t>Record&lt;string, number&gt;</t>
        </is>
      </c>
      <c r="I295" s="3" t="inlineStr">
        <is>
          <t>—</t>
        </is>
      </c>
      <c r="J295" s="3" t="inlineStr">
        <is>
          <t>· Leaves some rows out of the answer — check which.</t>
        </is>
      </c>
      <c r="K295" s="3" t="inlineStr">
        <is>
          <t>No</t>
        </is>
      </c>
      <c r="L295" s="3" t="inlineStr">
        <is>
          <t>—</t>
        </is>
      </c>
      <c r="M295" s="3" t="n">
        <v>0</v>
      </c>
      <c r="N295" s="3" t="inlineStr">
        <is>
          <t>None — no dependent function stands behind it</t>
        </is>
      </c>
      <c r="O295" s="3" t="inlineStr">
        <is>
          <t>No dependent function — it reads its inputs and answers</t>
        </is>
      </c>
      <c r="P295" s="3" t="inlineStr">
        <is>
          <t>—</t>
        </is>
      </c>
      <c r="Q295" s="3" t="inlineStr">
        <is>
          <t>—</t>
        </is>
      </c>
    </row>
    <row r="296">
      <c r="A296" s="3" t="inlineStr">
        <is>
          <t>MK-CF-F-017</t>
        </is>
      </c>
      <c r="B296" s="3" t="inlineStr">
        <is>
          <t>publishSurplus</t>
        </is>
      </c>
      <c r="C296" s="3" t="inlineStr">
        <is>
          <t>src/domain/budget/index.ts</t>
        </is>
      </c>
      <c r="D296" s="3" t="n">
        <v>287</v>
      </c>
      <c r="E296" s="3" t="inlineStr">
        <is>
          <t>1 · ACTION</t>
        </is>
      </c>
      <c r="F296" s="3" t="inlineStr">
        <is>
          <t>Publish the authoritative surplus for Goals/Retirement to consume.</t>
        </is>
      </c>
      <c r="G296" s="3" t="inlineStr">
        <is>
          <t>uid: UserId · projectedToSave: number</t>
        </is>
      </c>
      <c r="H296" s="3" t="inlineStr">
        <is>
          <t>NOT DECLARED — the code does not say what it gives back</t>
        </is>
      </c>
      <c r="I296" s="3" t="inlineStr">
        <is>
          <t>—</t>
        </is>
      </c>
      <c r="J296" s="3" t="inlineStr">
        <is>
          <t>None found in this function — anything it assumes comes from the functions it depends on.</t>
        </is>
      </c>
      <c r="K296" s="3" t="inlineStr">
        <is>
          <t>No</t>
        </is>
      </c>
      <c r="L296" s="3" t="inlineStr">
        <is>
          <t>MK-ST-F-040 emit</t>
        </is>
      </c>
      <c r="M296" s="3" t="n">
        <v>1</v>
      </c>
      <c r="N296" s="3" t="inlineStr">
        <is>
          <t>MK-ST-F-040 emit</t>
        </is>
      </c>
      <c r="O296" s="3" t="inlineStr">
        <is>
          <t>MK-ST-F-040 emit → MK-CF-F-017 publishSurplus</t>
        </is>
      </c>
      <c r="P296" s="3" t="inlineStr">
        <is>
          <t>—</t>
        </is>
      </c>
      <c r="Q296" s="3" t="inlineStr">
        <is>
          <t>—</t>
        </is>
      </c>
    </row>
    <row r="297">
      <c r="A297" s="3" t="inlineStr">
        <is>
          <t>MK-XS-F-059</t>
        </is>
      </c>
      <c r="B297" s="3" t="inlineStr">
        <is>
          <t>readFileString</t>
        </is>
      </c>
      <c r="C297" s="3" t="inlineStr">
        <is>
          <t>src/services/fileRead.ts</t>
        </is>
      </c>
      <c r="D297" s="3" t="n">
        <v>7</v>
      </c>
      <c r="E297" s="3" t="inlineStr">
        <is>
          <t>4 · BRINGS DATA IN</t>
        </is>
      </c>
      <c r="F297" s="3" t="inlineStr">
        <is>
          <t>NOT DETERMINED — the code carries no note saying what this is for, and it has no row in the old inventory. Needs reading.</t>
        </is>
      </c>
      <c r="G297" s="3" t="inlineStr">
        <is>
          <t>uri: string · encoding: 'utf8' | 'base64' = 'utf8'</t>
        </is>
      </c>
      <c r="H297" s="3" t="inlineStr">
        <is>
          <t>Promise&lt;string&gt;</t>
        </is>
      </c>
      <c r="I297" s="3" t="inlineStr">
        <is>
          <t>—</t>
        </is>
      </c>
      <c r="J297" s="3" t="inlineStr">
        <is>
          <t>None found in this function — anything it assumes comes from the functions it depends on.</t>
        </is>
      </c>
      <c r="K297" s="3" t="inlineStr">
        <is>
          <t>Yes</t>
        </is>
      </c>
      <c r="L297" s="3" t="inlineStr">
        <is>
          <t>—</t>
        </is>
      </c>
      <c r="M297" s="3" t="n">
        <v>0</v>
      </c>
      <c r="N297" s="3" t="inlineStr">
        <is>
          <t>None — no dependent function stands behind it</t>
        </is>
      </c>
      <c r="O297" s="3" t="inlineStr">
        <is>
          <t>No dependent function — it reads its inputs and answers</t>
        </is>
      </c>
      <c r="P297" s="3" t="inlineStr">
        <is>
          <t>—</t>
        </is>
      </c>
      <c r="Q297" s="3" t="inlineStr">
        <is>
          <t>—</t>
        </is>
      </c>
    </row>
    <row r="298">
      <c r="A298" s="3" t="inlineStr">
        <is>
          <t>MK-XS-F-009</t>
        </is>
      </c>
      <c r="B298" s="3" t="inlineStr">
        <is>
          <t>readHistory</t>
        </is>
      </c>
      <c r="C298" s="3" t="inlineStr">
        <is>
          <t>src/domain/history.ts</t>
        </is>
      </c>
      <c r="D298" s="3" t="n">
        <v>107</v>
      </c>
      <c r="E298" s="3" t="inlineStr">
        <is>
          <t>2 · DISPLAYED</t>
        </is>
      </c>
      <c r="F298" s="3" t="inlineStr">
        <is>
          <t>The ONE reader every history surface uses: normalized, garbage-free, sorted by month.</t>
        </is>
      </c>
      <c r="G298" s="3" t="inlineStr">
        <is>
          <t>raw: Record&lt;string, unknown&gt; | null | undefined</t>
        </is>
      </c>
      <c r="H298" s="3" t="inlineStr">
        <is>
          <t>MonthlySnapshot[]</t>
        </is>
      </c>
      <c r="I298" s="3" t="inlineStr">
        <is>
          <t>NOT FOUND — a screen calls it, but the words printed beside its answer could not be traced automatically. Needs reading.</t>
        </is>
      </c>
      <c r="J298" s="3" t="inlineStr">
        <is>
          <t>· Leaves some rows out of the answer — check which.</t>
        </is>
      </c>
      <c r="K298" s="3" t="inlineStr">
        <is>
          <t>Yes</t>
        </is>
      </c>
      <c r="L298" s="3" t="inlineStr">
        <is>
          <t>MK-XS-F-008 normalizeSnapshot</t>
        </is>
      </c>
      <c r="M298" s="3" t="n">
        <v>2</v>
      </c>
      <c r="N298" s="3" t="inlineStr">
        <is>
          <t>MK-XS-F-008 normalizeSnapshot · MK-ST-F-055 round2</t>
        </is>
      </c>
      <c r="O298" s="3" t="inlineStr">
        <is>
          <t>MK-ST-F-055 round2 → MK-XS-F-008 normalizeSnapshot → MK-XS-F-009 readHistory</t>
        </is>
      </c>
      <c r="P298" s="3" t="inlineStr">
        <is>
          <t>—</t>
        </is>
      </c>
      <c r="Q298" s="3" t="inlineStr">
        <is>
          <t>SNAPSHOT_READ_ALL</t>
        </is>
      </c>
    </row>
    <row r="299">
      <c r="A299" s="3" t="inlineStr">
        <is>
          <t>MK-ST-F-018</t>
        </is>
      </c>
      <c r="B299" s="3" t="inlineStr">
        <is>
          <t>readMoney</t>
        </is>
      </c>
      <c r="C299" s="3" t="inlineStr">
        <is>
          <t>Calculation Module code/engines/money.ts</t>
        </is>
      </c>
      <c r="D299" s="3" t="n">
        <v>36</v>
      </c>
      <c r="E299" s="3" t="inlineStr">
        <is>
          <t>3 · DEPENDENT (feeds an action only)</t>
        </is>
      </c>
      <c r="F299" s="3" t="inlineStr">
        <is>
          <t>Read a raw amount into a Money, given how that source signs things.</t>
        </is>
      </c>
      <c r="G299" s="3" t="inlineStr">
        <is>
          <t>Nothing is handed to it</t>
        </is>
      </c>
      <c r="H299" s="3" t="inlineStr">
        <is>
          <t>NOT DECLARED — the code does not say what it gives back</t>
        </is>
      </c>
      <c r="I299" s="3" t="inlineStr">
        <is>
          <t>—</t>
        </is>
      </c>
      <c r="J299" s="3" t="inlineStr">
        <is>
          <t>None found in this function — anything it assumes comes from the functions it depends on.</t>
        </is>
      </c>
      <c r="K299" s="3" t="inlineStr">
        <is>
          <t>No</t>
        </is>
      </c>
      <c r="L299" s="3" t="inlineStr">
        <is>
          <t>—</t>
        </is>
      </c>
      <c r="M299" s="3" t="n">
        <v>0</v>
      </c>
      <c r="N299" s="3" t="inlineStr">
        <is>
          <t>None — no dependent function stands behind it</t>
        </is>
      </c>
      <c r="O299" s="3" t="inlineStr">
        <is>
          <t>No dependent function — it reads its inputs and answers</t>
        </is>
      </c>
      <c r="P299" s="3" t="inlineStr">
        <is>
          <t>—</t>
        </is>
      </c>
      <c r="Q299" s="3" t="inlineStr">
        <is>
          <t>—</t>
        </is>
      </c>
    </row>
    <row r="300">
      <c r="A300" s="3" t="inlineStr">
        <is>
          <t>MK-NW-F-020</t>
        </is>
      </c>
      <c r="B300" s="3" t="inlineStr">
        <is>
          <t>realEstateTotal</t>
        </is>
      </c>
      <c r="C300" s="3" t="inlineStr">
        <is>
          <t>src/domain/assets/index.ts</t>
        </is>
      </c>
      <c r="D300" s="3" t="n">
        <v>286</v>
      </c>
      <c r="E300" s="3" t="inlineStr">
        <is>
          <t>3 · DEPENDENT (feeds an action only)</t>
        </is>
      </c>
      <c r="F300" s="3" t="inlineStr">
        <is>
          <t>NOT DETERMINED — the code carries no note saying what this is for, and it has no row in the old inventory. Needs reading.</t>
        </is>
      </c>
      <c r="G300" s="3" t="inlineStr">
        <is>
          <t>accounts: AssetAccount[]</t>
        </is>
      </c>
      <c r="H300" s="3" t="inlineStr">
        <is>
          <t>number</t>
        </is>
      </c>
      <c r="I300" s="3" t="inlineStr">
        <is>
          <t>—</t>
        </is>
      </c>
      <c r="J300" s="3" t="inlineStr">
        <is>
          <t>None found in this function — anything it assumes comes from the functions it depends on.</t>
        </is>
      </c>
      <c r="K300" s="3" t="inlineStr">
        <is>
          <t>No</t>
        </is>
      </c>
      <c r="L300" s="3" t="inlineStr">
        <is>
          <t>MK-NW-F-011 assetClassOf</t>
        </is>
      </c>
      <c r="M300" s="3" t="n">
        <v>3</v>
      </c>
      <c r="N300" s="3" t="inlineStr">
        <is>
          <t>MK-NW-F-011 assetClassOf · MK-NW-F-008 incomeBearingClassOf · MK-ST-F-010 nameEvidence</t>
        </is>
      </c>
      <c r="O300" s="3" t="inlineStr">
        <is>
          <t>MK-ST-F-010 nameEvidence → MK-NW-F-008 incomeBearingClassOf → MK-NW-F-011 assetClassOf → MK-NW-F-020 realEstateTotal</t>
        </is>
      </c>
      <c r="P300" s="3" t="inlineStr">
        <is>
          <t>—</t>
        </is>
      </c>
      <c r="Q300" s="3" t="inlineStr">
        <is>
          <t>—</t>
        </is>
      </c>
    </row>
    <row r="301">
      <c r="A301" s="3" t="inlineStr">
        <is>
          <t>MK-NW-F-013</t>
        </is>
      </c>
      <c r="B301" s="3" t="inlineStr">
        <is>
          <t>realEstateUseOf</t>
        </is>
      </c>
      <c r="C301" s="3" t="inlineStr">
        <is>
          <t>src/domain/assets/index.ts</t>
        </is>
      </c>
      <c r="D301" s="3" t="n">
        <v>247</v>
      </c>
      <c r="E301" s="3" t="inlineStr">
        <is>
          <t>3 · DEPENDENT</t>
        </is>
      </c>
      <c r="F301" s="3" t="inlineStr">
        <is>
          <t>Real-estate use (primary/rental/secondary/land); only meaningful when assetClassOf === 'real_estate'.</t>
        </is>
      </c>
      <c r="G301" s="3" t="inlineStr">
        <is>
          <t>a: AssetAccount</t>
        </is>
      </c>
      <c r="H301" s="3" t="inlineStr">
        <is>
          <t>RealEstateUse</t>
        </is>
      </c>
      <c r="I301" s="3" t="inlineStr">
        <is>
          <t>—</t>
        </is>
      </c>
      <c r="J301" s="3" t="inlineStr">
        <is>
          <t>None found in this function — anything it assumes comes from the functions it depends on.</t>
        </is>
      </c>
      <c r="K301" s="3" t="inlineStr">
        <is>
          <t>Yes</t>
        </is>
      </c>
      <c r="L301" s="3" t="inlineStr">
        <is>
          <t>—</t>
        </is>
      </c>
      <c r="M301" s="3" t="n">
        <v>0</v>
      </c>
      <c r="N301" s="3" t="inlineStr">
        <is>
          <t>None — no dependent function stands behind it</t>
        </is>
      </c>
      <c r="O301" s="3" t="inlineStr">
        <is>
          <t>No dependent function — it reads its inputs and answers</t>
        </is>
      </c>
      <c r="P301" s="3" t="inlineStr">
        <is>
          <t>—</t>
        </is>
      </c>
      <c r="Q301" s="3" t="inlineStr">
        <is>
          <t>HOW_A_HOME_IS_USED</t>
        </is>
      </c>
    </row>
    <row r="302">
      <c r="A302" s="3" t="inlineStr">
        <is>
          <t>MK-PF-F-028</t>
        </is>
      </c>
      <c r="B302" s="3" t="inlineStr">
        <is>
          <t>realizedFromLedger</t>
        </is>
      </c>
      <c r="C302" s="3" t="inlineStr">
        <is>
          <t>src/domain/performance/realized.ts</t>
        </is>
      </c>
      <c r="D302" s="3" t="n">
        <v>14</v>
      </c>
      <c r="E302" s="3" t="inlineStr">
        <is>
          <t>2 · DISPLAYED</t>
        </is>
      </c>
      <c r="F302" s="3" t="inlineStr">
        <is>
          <t>How much profit have I actually taken?</t>
        </is>
      </c>
      <c r="G302" s="3" t="inlineStr">
        <is>
          <t>Nothing is handed to it</t>
        </is>
      </c>
      <c r="H302" s="3" t="inlineStr">
        <is>
          <t>NOT DECLARED — the code does not say what it gives back</t>
        </is>
      </c>
      <c r="I302" s="3" t="inlineStr">
        <is>
          <t>"Realized from sales" — on the Holding detail screen, under "DIVIDENDS &amp; REALIZED"</t>
        </is>
      </c>
      <c r="J302" s="3" t="inlineStr">
        <is>
          <t>· If shares is missing it uses 0.
· Uses today's date from the device clock, so the answer changes by itself overnight.
· Multiplies by 100 — a percentage, or an option contract treated as 100 shares. Worth checking which.
· Rounds the answer to a whole number.
· Leaves some rows out of the answer — check which.</t>
        </is>
      </c>
      <c r="K302" s="3" t="inlineStr">
        <is>
          <t>Yes</t>
        </is>
      </c>
      <c r="L302" s="3" t="inlineStr">
        <is>
          <t>—</t>
        </is>
      </c>
      <c r="M302" s="3" t="n">
        <v>0</v>
      </c>
      <c r="N302" s="3" t="inlineStr">
        <is>
          <t>None — no dependent function stands behind it</t>
        </is>
      </c>
      <c r="O302" s="3" t="inlineStr">
        <is>
          <t>No dependent function — it reads its inputs and answers</t>
        </is>
      </c>
      <c r="P302" s="3" t="inlineStr">
        <is>
          <t>MK-NW-M-035</t>
        </is>
      </c>
      <c r="Q302" s="3" t="inlineStr">
        <is>
          <t>REALISED_GAIN</t>
        </is>
      </c>
    </row>
    <row r="303">
      <c r="A303" s="3" t="inlineStr">
        <is>
          <t>MK-NW-F-054</t>
        </is>
      </c>
      <c r="B303" s="3" t="inlineStr">
        <is>
          <t>reclassifyAccounts</t>
        </is>
      </c>
      <c r="C303" s="3" t="inlineStr">
        <is>
          <t>src/domain/assets/reclassify.ts</t>
        </is>
      </c>
      <c r="D303" s="3" t="n">
        <v>20</v>
      </c>
      <c r="E303" s="3" t="inlineStr">
        <is>
          <t>3 · DEPENDENT (feeds an action only)</t>
        </is>
      </c>
      <c r="F303" s="3" t="inlineStr">
        <is>
          <t>NOT DETERMINED — the code carries no note saying what this is for, and it has no row in the old inventory. Needs reading.</t>
        </is>
      </c>
      <c r="G303" s="3" t="inlineStr">
        <is>
          <t>accounts: AssetAccount[]</t>
        </is>
      </c>
      <c r="H303" s="3" t="inlineStr">
        <is>
          <t>NOT DECLARED — the code does not say what it gives back</t>
        </is>
      </c>
      <c r="I303" s="3" t="inlineStr">
        <is>
          <t>—</t>
        </is>
      </c>
      <c r="J303" s="3" t="inlineStr">
        <is>
          <t>· Uses a built-in changed of 0.</t>
        </is>
      </c>
      <c r="K303" s="3" t="inlineStr">
        <is>
          <t>No</t>
        </is>
      </c>
      <c r="L303" s="3" t="inlineStr">
        <is>
          <t>MK-NW-F-053 correctClassOf · MK-NW-F-008 incomeBearingClassOf</t>
        </is>
      </c>
      <c r="M303" s="3" t="n">
        <v>4</v>
      </c>
      <c r="N303" s="3" t="inlineStr">
        <is>
          <t>MK-NW-F-053 correctClassOf · MK-NW-F-008 incomeBearingClassOf · MK-NW-F-009 maturityClass · MK-ST-F-010 nameEvidence</t>
        </is>
      </c>
      <c r="O303" s="3" t="inlineStr">
        <is>
          <t>MK-ST-F-010 nameEvidence → MK-NW-F-008 incomeBearingClassOf → MK-NW-F-053 correctClassOf → MK-NW-F-054 reclassifyAccounts
MK-NW-F-009 maturityClass → MK-NW-F-053 correctClassOf → MK-NW-F-054 reclassifyAccounts
MK-ST-F-010 nameEvidence → MK-NW-F-008 incomeBearingClassOf → MK-NW-F-054 reclassifyAccounts</t>
        </is>
      </c>
      <c r="P303" s="3" t="inlineStr">
        <is>
          <t>—</t>
        </is>
      </c>
      <c r="Q303" s="3" t="inlineStr">
        <is>
          <t>—</t>
        </is>
      </c>
    </row>
    <row r="304">
      <c r="A304" s="3" t="inlineStr">
        <is>
          <t>MK-ST-F-036</t>
        </is>
      </c>
      <c r="B304" s="3" t="inlineStr">
        <is>
          <t>reconcile</t>
        </is>
      </c>
      <c r="C304" s="3" t="inlineStr">
        <is>
          <t>Calculation Module code/engines/snapshots.ts</t>
        </is>
      </c>
      <c r="D304" s="3" t="n">
        <v>206</v>
      </c>
      <c r="E304" s="3" t="inlineStr">
        <is>
          <t>3 · DEPENDENT (feeds an action only)</t>
        </is>
      </c>
      <c r="F304" s="3" t="inlineStr">
        <is>
          <t>── the outside check ─────────────────────────────────────────────────────────────────────────── Our figure against the broker's own stated total.</t>
        </is>
      </c>
      <c r="G304" s="3" t="inlineStr">
        <is>
          <t>day: SnapshotDay · accId: string</t>
        </is>
      </c>
      <c r="H304" s="3" t="inlineStr">
        <is>
          <t>NOT DECLARED — the code does not say what it gives back</t>
        </is>
      </c>
      <c r="I304" s="3" t="inlineStr">
        <is>
          <t>—</t>
        </is>
      </c>
      <c r="J304" s="3" t="inlineStr">
        <is>
          <t>· If cash is missing it uses 0.
· Leaves some rows out of the answer — check which.</t>
        </is>
      </c>
      <c r="K304" s="3" t="inlineStr">
        <is>
          <t>No</t>
        </is>
      </c>
      <c r="L304" s="3" t="inlineStr">
        <is>
          <t>MK-ST-F-055 round2</t>
        </is>
      </c>
      <c r="M304" s="3" t="n">
        <v>1</v>
      </c>
      <c r="N304" s="3" t="inlineStr">
        <is>
          <t>MK-ST-F-055 round2</t>
        </is>
      </c>
      <c r="O304" s="3" t="inlineStr">
        <is>
          <t>MK-ST-F-055 round2 → MK-ST-F-036 reconcile</t>
        </is>
      </c>
      <c r="P304" s="3" t="inlineStr">
        <is>
          <t>—</t>
        </is>
      </c>
      <c r="Q304" s="3" t="inlineStr">
        <is>
          <t>—</t>
        </is>
      </c>
    </row>
    <row r="305">
      <c r="A305" s="3" t="inlineStr">
        <is>
          <t>MK-ST-F-022</t>
        </is>
      </c>
      <c r="B305" s="3" t="inlineStr">
        <is>
          <t>reconcileAccountTotal</t>
        </is>
      </c>
      <c r="C305" s="3" t="inlineStr">
        <is>
          <t>Calculation Module code/engines/reconcile.ts</t>
        </is>
      </c>
      <c r="D305" s="3" t="n">
        <v>38</v>
      </c>
      <c r="E305" s="3" t="inlineStr">
        <is>
          <t>3 · DEPENDENT (feeds an action only)</t>
        </is>
      </c>
      <c r="F305" s="3" t="inlineStr">
        <is>
          <t>ASSERTION 1 — holdings + cash = the broker's stated total.</t>
        </is>
      </c>
      <c r="G305" s="3" t="inlineStr">
        <is>
          <t>Nothing is handed to it</t>
        </is>
      </c>
      <c r="H305" s="3" t="inlineStr">
        <is>
          <t>NOT DECLARED — the code does not say what it gives back</t>
        </is>
      </c>
      <c r="I305" s="3" t="inlineStr">
        <is>
          <t>—</t>
        </is>
      </c>
      <c r="J305" s="3" t="inlineStr">
        <is>
          <t>None found in this function — anything it assumes comes from the functions it depends on.</t>
        </is>
      </c>
      <c r="K305" s="3" t="inlineStr">
        <is>
          <t>No</t>
        </is>
      </c>
      <c r="L305" s="3" t="inlineStr">
        <is>
          <t>—</t>
        </is>
      </c>
      <c r="M305" s="3" t="n">
        <v>0</v>
      </c>
      <c r="N305" s="3" t="inlineStr">
        <is>
          <t>None — no dependent function stands behind it</t>
        </is>
      </c>
      <c r="O305" s="3" t="inlineStr">
        <is>
          <t>No dependent function — it reads its inputs and answers</t>
        </is>
      </c>
      <c r="P305" s="3" t="inlineStr">
        <is>
          <t>—</t>
        </is>
      </c>
      <c r="Q305" s="3" t="inlineStr">
        <is>
          <t>—</t>
        </is>
      </c>
    </row>
    <row r="306">
      <c r="A306" s="3" t="inlineStr">
        <is>
          <t>MK-ST-F-023</t>
        </is>
      </c>
      <c r="B306" s="3" t="inlineStr">
        <is>
          <t>reconcileLedgerIdentity</t>
        </is>
      </c>
      <c r="C306" s="3" t="inlineStr">
        <is>
          <t>Calculation Module code/engines/reconcile.ts</t>
        </is>
      </c>
      <c r="D306" s="3" t="n">
        <v>50</v>
      </c>
      <c r="E306" s="3" t="inlineStr">
        <is>
          <t>3 · DEPENDENT (feeds an action only)</t>
        </is>
      </c>
      <c r="F306" s="3" t="inlineStr">
        <is>
          <t>ASSERTION 2 — the accounting identity every statement satisfies, exactly.</t>
        </is>
      </c>
      <c r="G306" s="3" t="inlineStr">
        <is>
          <t>Nothing is handed to it</t>
        </is>
      </c>
      <c r="H306" s="3" t="inlineStr">
        <is>
          <t>NOT DECLARED — the code does not say what it gives back</t>
        </is>
      </c>
      <c r="I306" s="3" t="inlineStr">
        <is>
          <t>—</t>
        </is>
      </c>
      <c r="J306" s="3" t="inlineStr">
        <is>
          <t>None found in this function — anything it assumes comes from the functions it depends on.</t>
        </is>
      </c>
      <c r="K306" s="3" t="inlineStr">
        <is>
          <t>No</t>
        </is>
      </c>
      <c r="L306" s="3" t="inlineStr">
        <is>
          <t>—</t>
        </is>
      </c>
      <c r="M306" s="3" t="n">
        <v>0</v>
      </c>
      <c r="N306" s="3" t="inlineStr">
        <is>
          <t>None — no dependent function stands behind it</t>
        </is>
      </c>
      <c r="O306" s="3" t="inlineStr">
        <is>
          <t>No dependent function — it reads its inputs and answers</t>
        </is>
      </c>
      <c r="P306" s="3" t="inlineStr">
        <is>
          <t>—</t>
        </is>
      </c>
      <c r="Q306" s="3" t="inlineStr">
        <is>
          <t>—</t>
        </is>
      </c>
    </row>
    <row r="307">
      <c r="A307" s="3" t="inlineStr">
        <is>
          <t>MK-ST-F-030</t>
        </is>
      </c>
      <c r="B307" s="3" t="inlineStr">
        <is>
          <t>record</t>
        </is>
      </c>
      <c r="C307" s="3" t="inlineStr">
        <is>
          <t>Calculation Module code/engines/snapshots.ts</t>
        </is>
      </c>
      <c r="D307" s="3" t="n">
        <v>156</v>
      </c>
      <c r="E307" s="3" t="inlineStr">
        <is>
          <t>3 · DEPENDENT (feeds an action only)</t>
        </is>
      </c>
      <c r="F307" s="3" t="inlineStr">
        <is>
          <t>── writing ───────────────────────────────────────────────────────────────────────────────────── Add a day.</t>
        </is>
      </c>
      <c r="G307" s="3" t="inlineStr">
        <is>
          <t>days: SnapshotDay[] · day: SnapshotDay</t>
        </is>
      </c>
      <c r="H307" s="3" t="inlineStr">
        <is>
          <t>SnapshotDay[]</t>
        </is>
      </c>
      <c r="I307" s="3" t="inlineStr">
        <is>
          <t>—</t>
        </is>
      </c>
      <c r="J307" s="3" t="inlineStr">
        <is>
          <t>· Leaves some rows out of the answer — check which.</t>
        </is>
      </c>
      <c r="K307" s="3" t="inlineStr">
        <is>
          <t>No</t>
        </is>
      </c>
      <c r="L307" s="3" t="inlineStr">
        <is>
          <t>—</t>
        </is>
      </c>
      <c r="M307" s="3" t="n">
        <v>0</v>
      </c>
      <c r="N307" s="3" t="inlineStr">
        <is>
          <t>None — no dependent function stands behind it</t>
        </is>
      </c>
      <c r="O307" s="3" t="inlineStr">
        <is>
          <t>No dependent function — it reads its inputs and answers</t>
        </is>
      </c>
      <c r="P307" s="3" t="inlineStr">
        <is>
          <t>—</t>
        </is>
      </c>
      <c r="Q307" s="3" t="inlineStr">
        <is>
          <t>—</t>
        </is>
      </c>
    </row>
    <row r="308">
      <c r="A308" s="3" t="inlineStr">
        <is>
          <t>MK-XS-F-062</t>
        </is>
      </c>
      <c r="B308" s="3" t="inlineStr">
        <is>
          <t>refreshEmailVerified</t>
        </is>
      </c>
      <c r="C308" s="3" t="inlineStr">
        <is>
          <t>src/services/firebase.ts</t>
        </is>
      </c>
      <c r="D308" s="3" t="n">
        <v>95</v>
      </c>
      <c r="E308" s="3" t="inlineStr">
        <is>
          <t>2 · DISPLAYED</t>
        </is>
      </c>
      <c r="F308" s="3" t="inlineStr">
        <is>
          <t>Re-check verification status from the server (call after the user clicks the email link).</t>
        </is>
      </c>
      <c r="G308" s="3" t="inlineStr">
        <is>
          <t>Nothing is handed to it</t>
        </is>
      </c>
      <c r="H308" s="3" t="inlineStr">
        <is>
          <t>Promise&lt;boolean&gt;</t>
        </is>
      </c>
      <c r="I308" s="3" t="inlineStr">
        <is>
          <t>"Certain months" — on the setup questions, which appear on more than one screen · "HOW MUCH WILL YOU INVEST PER YEAR?" — on the setup questions, which appear on more than one screen · "When does it land? (pick the months)" — on the setup questions, which appear on more than one screen · "When is it due? (pick the months)" — on the setup questions, which appear on more than one screen</t>
        </is>
      </c>
      <c r="J308" s="3" t="inlineStr">
        <is>
          <t>None found in this function — anything it assumes comes from the functions it depends on.</t>
        </is>
      </c>
      <c r="K308" s="3" t="inlineStr">
        <is>
          <t>Yes</t>
        </is>
      </c>
      <c r="L308" s="3" t="inlineStr">
        <is>
          <t>—</t>
        </is>
      </c>
      <c r="M308" s="3" t="n">
        <v>0</v>
      </c>
      <c r="N308" s="3" t="inlineStr">
        <is>
          <t>None — no dependent function stands behind it</t>
        </is>
      </c>
      <c r="O308" s="3" t="inlineStr">
        <is>
          <t>No dependent function — it reads its inputs and answers</t>
        </is>
      </c>
      <c r="P308" s="3" t="inlineStr">
        <is>
          <t>—</t>
        </is>
      </c>
      <c r="Q308" s="3" t="inlineStr">
        <is>
          <t>—</t>
        </is>
      </c>
    </row>
    <row r="309">
      <c r="A309" s="3" t="inlineStr">
        <is>
          <t>MK-XS-F-068</t>
        </is>
      </c>
      <c r="B309" s="3" t="inlineStr">
        <is>
          <t>regenerateRecoveryCode</t>
        </is>
      </c>
      <c r="C309" s="3" t="inlineStr">
        <is>
          <t>src/services/firebase.ts</t>
        </is>
      </c>
      <c r="D309" s="3" t="n">
        <v>161</v>
      </c>
      <c r="E309" s="3" t="inlineStr">
        <is>
          <t>4 · BRINGS DATA IN</t>
        </is>
      </c>
      <c r="F309" s="3" t="inlineStr">
        <is>
          <t>Issue a NEW recovery code for the signed-in user (the old one stops working).</t>
        </is>
      </c>
      <c r="G309" s="3" t="inlineStr">
        <is>
          <t>Nothing is handed to it</t>
        </is>
      </c>
      <c r="H309" s="3" t="inlineStr">
        <is>
          <t>Promise&lt;string&gt;</t>
        </is>
      </c>
      <c r="I309" s="3" t="inlineStr">
        <is>
          <t>—</t>
        </is>
      </c>
      <c r="J309" s="3" t="inlineStr">
        <is>
          <t>None found in this function — anything it assumes comes from the functions it depends on.</t>
        </is>
      </c>
      <c r="K309" s="3" t="inlineStr">
        <is>
          <t>Yes</t>
        </is>
      </c>
      <c r="L309" s="3" t="inlineStr">
        <is>
          <t>MK-XS-F-045 generateRecoveryCode · MK-XS-F-042 getDataKey · MK-XS-F-050 rewrapRecovery</t>
        </is>
      </c>
      <c r="M309" s="3" t="n">
        <v>4</v>
      </c>
      <c r="N309" s="3" t="inlineStr">
        <is>
          <t>MK-XS-F-045 generateRecoveryCode · MK-XS-F-042 getDataKey · MK-XS-F-050 rewrapRecovery · MK-XS-F-052 encryptWithKey</t>
        </is>
      </c>
      <c r="O309" s="3" t="inlineStr">
        <is>
          <t>MK-XS-F-052 encryptWithKey → MK-XS-F-045 generateRecoveryCode → MK-XS-F-068 regenerateRecoveryCode
MK-XS-F-042 getDataKey → MK-XS-F-068 regenerateRecoveryCode
MK-XS-F-050 rewrapRecovery → MK-XS-F-068 regenerateRecoveryCode</t>
        </is>
      </c>
      <c r="P309" s="3" t="inlineStr">
        <is>
          <t>—</t>
        </is>
      </c>
      <c r="Q309" s="3" t="inlineStr">
        <is>
          <t>—</t>
        </is>
      </c>
    </row>
    <row r="310">
      <c r="A310" s="3" t="inlineStr">
        <is>
          <t>MK-XS-F-060</t>
        </is>
      </c>
      <c r="B310" s="3" t="inlineStr">
        <is>
          <t>registerUser</t>
        </is>
      </c>
      <c r="C310" s="3" t="inlineStr">
        <is>
          <t>src/services/firebase.ts</t>
        </is>
      </c>
      <c r="D310" s="3" t="n">
        <v>64</v>
      </c>
      <c r="E310" s="3" t="inlineStr">
        <is>
          <t>2 · DISPLAYED</t>
        </is>
      </c>
      <c r="F310" s="3" t="inlineStr">
        <is>
          <t>Returns the new user AND a one-time recovery code the caller MUST show the user to save.</t>
        </is>
      </c>
      <c r="G310" s="3" t="inlineStr">
        <is>
          <t>email: string · password: string · name: string · onCodeReady?: (code: string) =&gt; void</t>
        </is>
      </c>
      <c r="H310" s="3" t="inlineStr">
        <is>
          <t>NOT DECLARED — the code does not say what it gives back</t>
        </is>
      </c>
      <c r="I310" s="3" t="inlineStr">
        <is>
          <t>NOT FOUND — a screen calls it, but the words printed beside its answer could not be traced automatically. Needs reading.</t>
        </is>
      </c>
      <c r="J310" s="3" t="inlineStr">
        <is>
          <t>None found in this function — anything it assumes comes from the functions it depends on.</t>
        </is>
      </c>
      <c r="K310" s="3" t="inlineStr">
        <is>
          <t>Yes</t>
        </is>
      </c>
      <c r="L310" s="3" t="inlineStr">
        <is>
          <t>MK-XS-F-041 cacheDataKey · MK-XS-F-044 generateDataKey · MK-XS-F-045 generateRecoveryCode · MK-XS-F-046 makeEnvelope</t>
        </is>
      </c>
      <c r="M310" s="3" t="n">
        <v>5</v>
      </c>
      <c r="N310" s="3" t="inlineStr">
        <is>
          <t>MK-XS-F-041 cacheDataKey · MK-XS-F-044 generateDataKey · MK-XS-F-045 generateRecoveryCode · MK-XS-F-046 makeEnvelope · MK-XS-F-052 encryptWithKey</t>
        </is>
      </c>
      <c r="O310" s="3" t="inlineStr">
        <is>
          <t>MK-XS-F-041 cacheDataKey → MK-XS-F-060 registerUser
MK-XS-F-044 generateDataKey → MK-XS-F-060 registerUser
MK-XS-F-052 encryptWithKey → MK-XS-F-045 generateRecoveryCode → MK-XS-F-060 registerUser
MK-XS-F-046 makeEnvelope → MK-XS-F-060 registerUser</t>
        </is>
      </c>
      <c r="P310" s="3" t="inlineStr">
        <is>
          <t>—</t>
        </is>
      </c>
      <c r="Q310" s="3" t="inlineStr">
        <is>
          <t>—</t>
        </is>
      </c>
    </row>
    <row r="311">
      <c r="A311" s="3" t="inlineStr">
        <is>
          <t>MK-XS-F-112</t>
        </is>
      </c>
      <c r="B311" s="3" t="inlineStr">
        <is>
          <t>relayUrl</t>
        </is>
      </c>
      <c r="C311" s="3" t="inlineStr">
        <is>
          <t>src/services/sync/snaptradeClient.ts</t>
        </is>
      </c>
      <c r="D311" s="3" t="n">
        <v>8</v>
      </c>
      <c r="E311" s="3" t="inlineStr">
        <is>
          <t>3 · DEPENDENT</t>
        </is>
      </c>
      <c r="F311" s="3" t="inlineStr">
        <is>
          <t>NOT DETERMINED — the code carries no note saying what this is for, and it has no row in the old inventory. Needs reading.</t>
        </is>
      </c>
      <c r="G311" s="3" t="inlineStr">
        <is>
          <t>Nothing is handed to it</t>
        </is>
      </c>
      <c r="H311" s="3" t="inlineStr">
        <is>
          <t>string | null</t>
        </is>
      </c>
      <c r="I311" s="3" t="inlineStr">
        <is>
          <t>—</t>
        </is>
      </c>
      <c r="J311" s="3" t="inlineStr">
        <is>
          <t>None found in this function — anything it assumes comes from the functions it depends on.</t>
        </is>
      </c>
      <c r="K311" s="3" t="inlineStr">
        <is>
          <t>Yes</t>
        </is>
      </c>
      <c r="L311" s="3" t="inlineStr">
        <is>
          <t>—</t>
        </is>
      </c>
      <c r="M311" s="3" t="n">
        <v>0</v>
      </c>
      <c r="N311" s="3" t="inlineStr">
        <is>
          <t>None — no dependent function stands behind it</t>
        </is>
      </c>
      <c r="O311" s="3" t="inlineStr">
        <is>
          <t>No dependent function — it reads its inputs and answers</t>
        </is>
      </c>
      <c r="P311" s="3" t="inlineStr">
        <is>
          <t>—</t>
        </is>
      </c>
      <c r="Q311" s="3" t="inlineStr">
        <is>
          <t>—</t>
        </is>
      </c>
    </row>
    <row r="312">
      <c r="A312" s="3" t="inlineStr">
        <is>
          <t>MK-CF-F-067</t>
        </is>
      </c>
      <c r="B312" s="3" t="inlineStr">
        <is>
          <t>rentalList</t>
        </is>
      </c>
      <c r="C312" s="3" t="inlineStr">
        <is>
          <t>src/domain/income/onboarding.ts</t>
        </is>
      </c>
      <c r="D312" s="3" t="n">
        <v>129</v>
      </c>
      <c r="E312" s="3" t="inlineStr">
        <is>
          <t>3 · DEPENDENT</t>
        </is>
      </c>
      <c r="F312" s="3" t="inlineStr">
        <is>
          <t>Normalized list of rental properties.</t>
        </is>
      </c>
      <c r="G312" s="3" t="inlineStr">
        <is>
          <t>op: OnboardingProfile | null</t>
        </is>
      </c>
      <c r="H312" s="3" t="inlineStr">
        <is>
          <t>NOT DECLARED — the code does not say what it gives back</t>
        </is>
      </c>
      <c r="I312" s="3" t="inlineStr">
        <is>
          <t>—</t>
        </is>
      </c>
      <c r="J312" s="3" t="inlineStr">
        <is>
          <t>· Leaves some rows out of the answer — check which.</t>
        </is>
      </c>
      <c r="K312" s="3" t="inlineStr">
        <is>
          <t>Yes</t>
        </is>
      </c>
      <c r="L312" s="3" t="inlineStr">
        <is>
          <t>MK-ST-F-052 toNum</t>
        </is>
      </c>
      <c r="M312" s="3" t="n">
        <v>1</v>
      </c>
      <c r="N312" s="3" t="inlineStr">
        <is>
          <t>MK-ST-F-052 toNum</t>
        </is>
      </c>
      <c r="O312" s="3" t="inlineStr">
        <is>
          <t>MK-ST-F-052 toNum → MK-CF-F-067 rentalList</t>
        </is>
      </c>
      <c r="P312" s="3" t="inlineStr">
        <is>
          <t>—</t>
        </is>
      </c>
      <c r="Q312" s="3" t="inlineStr">
        <is>
          <t>RENTALS</t>
        </is>
      </c>
    </row>
    <row r="313">
      <c r="A313" s="3" t="inlineStr">
        <is>
          <t>MK-CF-F-068</t>
        </is>
      </c>
      <c r="B313" s="3" t="inlineStr">
        <is>
          <t>rentalNetAnnual</t>
        </is>
      </c>
      <c r="C313" s="3" t="inlineStr">
        <is>
          <t>src/domain/income/onboarding.ts</t>
        </is>
      </c>
      <c r="D313" s="3" t="n">
        <v>142</v>
      </c>
      <c r="E313" s="3" t="inlineStr">
        <is>
          <t>2 · DISPLAYED</t>
        </is>
      </c>
      <c r="F313" s="3" t="inlineStr">
        <is>
          <t>Total net rental income per year, across all properties (income − operating expenses).</t>
        </is>
      </c>
      <c r="G313" s="3" t="inlineStr">
        <is>
          <t>op: OnboardingProfile | null</t>
        </is>
      </c>
      <c r="H313" s="3" t="inlineStr">
        <is>
          <t>number</t>
        </is>
      </c>
      <c r="I313" s="3" t="inlineStr">
        <is>
          <t>"Net" — on the setup questions, which appear on more than one screen</t>
        </is>
      </c>
      <c r="J313" s="3" t="inlineStr">
        <is>
          <t>· Turns a monthly figure into a year by multiplying by twelve.</t>
        </is>
      </c>
      <c r="K313" s="3" t="inlineStr">
        <is>
          <t>Yes</t>
        </is>
      </c>
      <c r="L313" s="3" t="inlineStr">
        <is>
          <t>MK-CF-F-067 rentalList</t>
        </is>
      </c>
      <c r="M313" s="3" t="n">
        <v>2</v>
      </c>
      <c r="N313" s="3" t="inlineStr">
        <is>
          <t>MK-CF-F-067 rentalList · MK-ST-F-052 toNum</t>
        </is>
      </c>
      <c r="O313" s="3" t="inlineStr">
        <is>
          <t>MK-ST-F-052 toNum → MK-CF-F-067 rentalList → MK-CF-F-068 rentalNetAnnual</t>
        </is>
      </c>
      <c r="P313" s="3" t="inlineStr">
        <is>
          <t>MK-CF-M-010</t>
        </is>
      </c>
      <c r="Q313" s="3" t="inlineStr">
        <is>
          <t>RENTAL_INCOME_A_YEAR</t>
        </is>
      </c>
    </row>
    <row r="314">
      <c r="A314" s="3" t="inlineStr">
        <is>
          <t>MK-XS-F-084</t>
        </is>
      </c>
      <c r="B314" s="3" t="inlineStr">
        <is>
          <t>requestNotificationPermission</t>
        </is>
      </c>
      <c r="C314" s="3" t="inlineStr">
        <is>
          <t>src/services/notifications.ts</t>
        </is>
      </c>
      <c r="D314" s="3" t="n">
        <v>17</v>
      </c>
      <c r="E314" s="3" t="inlineStr">
        <is>
          <t>2 · DISPLAYED</t>
        </is>
      </c>
      <c r="F314" s="3" t="inlineStr">
        <is>
          <t>NOT DETERMINED — the code carries no note saying what this is for, and it has no row in the old inventory. Needs reading.</t>
        </is>
      </c>
      <c r="G314" s="3" t="inlineStr">
        <is>
          <t>Nothing is handed to it</t>
        </is>
      </c>
      <c r="H314" s="3" t="inlineStr">
        <is>
          <t>Promise&lt;boolean&gt;</t>
        </is>
      </c>
      <c r="I314" s="3" t="inlineStr">
        <is>
          <t>NOT FOUND — a screen calls it, but the words printed beside its answer could not be traced automatically. Needs reading.</t>
        </is>
      </c>
      <c r="J314" s="3" t="inlineStr">
        <is>
          <t>None found in this function — anything it assumes comes from the functions it depends on.</t>
        </is>
      </c>
      <c r="K314" s="3" t="inlineStr">
        <is>
          <t>Yes</t>
        </is>
      </c>
      <c r="L314" s="3" t="inlineStr">
        <is>
          <t>—</t>
        </is>
      </c>
      <c r="M314" s="3" t="n">
        <v>0</v>
      </c>
      <c r="N314" s="3" t="inlineStr">
        <is>
          <t>None — no dependent function stands behind it</t>
        </is>
      </c>
      <c r="O314" s="3" t="inlineStr">
        <is>
          <t>No dependent function — it reads its inputs and answers</t>
        </is>
      </c>
      <c r="P314" s="3" t="inlineStr">
        <is>
          <t>—</t>
        </is>
      </c>
      <c r="Q314" s="3" t="inlineStr">
        <is>
          <t>—</t>
        </is>
      </c>
    </row>
    <row r="315">
      <c r="A315" s="3" t="inlineStr">
        <is>
          <t>MK-PL-F-041</t>
        </is>
      </c>
      <c r="B315" s="3" t="inlineStr">
        <is>
          <t>requiredAnnualSaving</t>
        </is>
      </c>
      <c r="C315" s="3" t="inlineStr">
        <is>
          <t>src/domain/planning/target.ts</t>
        </is>
      </c>
      <c r="D315" s="3" t="n">
        <v>59</v>
      </c>
      <c r="E315" s="3" t="inlineStr">
        <is>
          <t>3 · DEPENDENT</t>
        </is>
      </c>
      <c r="F315" s="3" t="inlineStr">
        <is>
          <t>THE YEARLY SAVING: the total annual contribution that reaches TARGET_ODDS on the real plan — the one with their age, their years left, their spending, their big costs.</t>
        </is>
      </c>
      <c r="G315" s="3" t="inlineStr">
        <is>
          <t>base: RetirementInputs</t>
        </is>
      </c>
      <c r="H315" s="3" t="inlineStr">
        <is>
          <t>NOT DECLARED — the code does not say what it gives back</t>
        </is>
      </c>
      <c r="I315" s="3" t="inlineStr">
        <is>
          <t>—</t>
        </is>
      </c>
      <c r="J315" s="3" t="inlineStr">
        <is>
          <t>· If annual contribution is missing it uses 0.</t>
        </is>
      </c>
      <c r="K315" s="3" t="inlineStr">
        <is>
          <t>Yes</t>
        </is>
      </c>
      <c r="L315" s="3" t="inlineStr">
        <is>
          <t>—</t>
        </is>
      </c>
      <c r="M315" s="3" t="n">
        <v>0</v>
      </c>
      <c r="N315" s="3" t="inlineStr">
        <is>
          <t>None — no dependent function stands behind it</t>
        </is>
      </c>
      <c r="O315" s="3" t="inlineStr">
        <is>
          <t>No dependent function — it reads its inputs and answers</t>
        </is>
      </c>
      <c r="P315" s="3" t="inlineStr">
        <is>
          <t>—</t>
        </is>
      </c>
      <c r="Q315" s="3" t="inlineStr">
        <is>
          <t>—</t>
        </is>
      </c>
    </row>
    <row r="316">
      <c r="A316" s="3" t="inlineStr">
        <is>
          <t>MK-PL-F-020</t>
        </is>
      </c>
      <c r="B316" s="3" t="inlineStr">
        <is>
          <t>requiredMonthly</t>
        </is>
      </c>
      <c r="C316" s="3" t="inlineStr">
        <is>
          <t>src/domain/goals/index.ts</t>
        </is>
      </c>
      <c r="D316" s="3" t="n">
        <v>108</v>
      </c>
      <c r="E316" s="3" t="inlineStr">
        <is>
          <t>2 · DISPLAYED</t>
        </is>
      </c>
      <c r="F316" s="3" t="inlineStr">
        <is>
          <t>$/month still needed to hit the target on time (0 if already funded; null if no date/duration).</t>
        </is>
      </c>
      <c r="G316" s="3" t="inlineStr">
        <is>
          <t>g: GoalLike · now: Date = new Date()</t>
        </is>
      </c>
      <c r="H316" s="3" t="inlineStr">
        <is>
          <t>number | null</t>
        </is>
      </c>
      <c r="I316" s="3" t="inlineStr">
        <is>
          <t>NOT FOUND — a screen calls it, but the words printed beside its answer could not be traced automatically. Needs reading.</t>
        </is>
      </c>
      <c r="J316" s="3" t="inlineStr">
        <is>
          <t>· If target is missing it counts as zero, so nothing recorded and a real zero look the same.
· If saved is missing it counts as zero, so nothing recorded and a real zero look the same.
· Uses today's date from the device clock, so the answer changes by itself overnight.</t>
        </is>
      </c>
      <c r="K316" s="3" t="inlineStr">
        <is>
          <t>Yes</t>
        </is>
      </c>
      <c r="L316" s="3" t="inlineStr">
        <is>
          <t>MK-PL-F-019 goalMonthsRemaining · MK-ST-F-055 round2</t>
        </is>
      </c>
      <c r="M316" s="3" t="n">
        <v>3</v>
      </c>
      <c r="N316" s="3" t="inlineStr">
        <is>
          <t>MK-PL-F-019 goalMonthsRemaining · MK-ST-F-055 round2 · MK-PL-F-018 monthsUntil</t>
        </is>
      </c>
      <c r="O316" s="3" t="inlineStr">
        <is>
          <t>MK-PL-F-018 monthsUntil → MK-PL-F-019 goalMonthsRemaining → MK-PL-F-020 requiredMonthly
MK-ST-F-055 round2 → MK-PL-F-020 requiredMonthly</t>
        </is>
      </c>
      <c r="P316" s="3" t="inlineStr">
        <is>
          <t>—</t>
        </is>
      </c>
      <c r="Q316" s="3" t="inlineStr">
        <is>
          <t>—</t>
        </is>
      </c>
    </row>
    <row r="317">
      <c r="A317" s="3" t="inlineStr">
        <is>
          <t>MK-CF-F-023</t>
        </is>
      </c>
      <c r="B317" s="3" t="inlineStr">
        <is>
          <t>requiredPayment</t>
        </is>
      </c>
      <c r="C317" s="3" t="inlineStr">
        <is>
          <t>src/domain/debt/index.ts</t>
        </is>
      </c>
      <c r="D317" s="3" t="n">
        <v>44</v>
      </c>
      <c r="E317" s="3" t="inlineStr">
        <is>
          <t>2 · DISPLAYED</t>
        </is>
      </c>
      <c r="F317" s="3" t="inlineStr">
        <is>
          <t>The payment reserved/required each month for a debt (planned payment, else the minimum).</t>
        </is>
      </c>
      <c r="G317" s="3" t="inlineStr">
        <is>
          <t>d: Debt</t>
        </is>
      </c>
      <c r="H317" s="3" t="inlineStr">
        <is>
          <t>number</t>
        </is>
      </c>
      <c r="I317" s="3" t="inlineStr">
        <is>
          <t>NOT FOUND — a screen calls it, but the words printed beside its answer could not be traced automatically. Needs reading.</t>
        </is>
      </c>
      <c r="J317" s="3" t="inlineStr">
        <is>
          <t>· If monthly payment is missing it uses 0.</t>
        </is>
      </c>
      <c r="K317" s="3" t="inlineStr">
        <is>
          <t>Yes</t>
        </is>
      </c>
      <c r="L317" s="3" t="inlineStr">
        <is>
          <t>MK-CF-F-022 paymentShape</t>
        </is>
      </c>
      <c r="M317" s="3" t="n">
        <v>2</v>
      </c>
      <c r="N317" s="3" t="inlineStr">
        <is>
          <t>MK-CF-F-022 paymentShape · MK-CF-F-021 defaultPaymentType</t>
        </is>
      </c>
      <c r="O317" s="3" t="inlineStr">
        <is>
          <t>MK-CF-F-021 defaultPaymentType → MK-CF-F-022 paymentShape → MK-CF-F-023 requiredPayment</t>
        </is>
      </c>
      <c r="P317" s="3" t="inlineStr">
        <is>
          <t>MK-NW-M-011</t>
        </is>
      </c>
      <c r="Q317" s="3" t="inlineStr">
        <is>
          <t>DEBT_REQUIRED_PAYMENT</t>
        </is>
      </c>
    </row>
    <row r="318">
      <c r="A318" s="3" t="inlineStr">
        <is>
          <t>MK-XS-F-061</t>
        </is>
      </c>
      <c r="B318" s="3" t="inlineStr">
        <is>
          <t>resendVerification</t>
        </is>
      </c>
      <c r="C318" s="3" t="inlineStr">
        <is>
          <t>src/services/firebase.ts</t>
        </is>
      </c>
      <c r="D318" s="3" t="n">
        <v>91</v>
      </c>
      <c r="E318" s="3" t="inlineStr">
        <is>
          <t>1 · ACTION</t>
        </is>
      </c>
      <c r="F318" s="3" t="inlineStr">
        <is>
          <t>Resend the verification email to the signed-in user.</t>
        </is>
      </c>
      <c r="G318" s="3" t="inlineStr">
        <is>
          <t>Nothing is handed to it</t>
        </is>
      </c>
      <c r="H318" s="3" t="inlineStr">
        <is>
          <t>NOT DECLARED — the code does not say what it gives back</t>
        </is>
      </c>
      <c r="I318" s="3" t="inlineStr">
        <is>
          <t>—</t>
        </is>
      </c>
      <c r="J318" s="3" t="inlineStr">
        <is>
          <t>None found in this function — anything it assumes comes from the functions it depends on.</t>
        </is>
      </c>
      <c r="K318" s="3" t="inlineStr">
        <is>
          <t>Yes</t>
        </is>
      </c>
      <c r="L318" s="3" t="inlineStr">
        <is>
          <t>—</t>
        </is>
      </c>
      <c r="M318" s="3" t="n">
        <v>0</v>
      </c>
      <c r="N318" s="3" t="inlineStr">
        <is>
          <t>None — no dependent function stands behind it</t>
        </is>
      </c>
      <c r="O318" s="3" t="inlineStr">
        <is>
          <t>No dependent function — it reads its inputs and answers</t>
        </is>
      </c>
      <c r="P318" s="3" t="inlineStr">
        <is>
          <t>—</t>
        </is>
      </c>
      <c r="Q318" s="3" t="inlineStr">
        <is>
          <t>—</t>
        </is>
      </c>
    </row>
    <row r="319">
      <c r="A319" s="3" t="inlineStr">
        <is>
          <t>MK-XS-F-070</t>
        </is>
      </c>
      <c r="B319" s="3" t="inlineStr">
        <is>
          <t>resetPassword</t>
        </is>
      </c>
      <c r="C319" s="3" t="inlineStr">
        <is>
          <t>src/services/firebase.ts</t>
        </is>
      </c>
      <c r="D319" s="3" t="n">
        <v>178</v>
      </c>
      <c r="E319" s="3" t="inlineStr">
        <is>
          <t>1 · ACTION</t>
        </is>
      </c>
      <c r="F319" s="3" t="inlineStr">
        <is>
          <t>NOT DETERMINED — the code carries no note saying what this is for, and it has no row in the old inventory. Needs reading.</t>
        </is>
      </c>
      <c r="G319" s="3" t="inlineStr">
        <is>
          <t>email: string</t>
        </is>
      </c>
      <c r="H319" s="3" t="inlineStr">
        <is>
          <t>NOT DECLARED — the code does not say what it gives back</t>
        </is>
      </c>
      <c r="I319" s="3" t="inlineStr">
        <is>
          <t>—</t>
        </is>
      </c>
      <c r="J319" s="3" t="inlineStr">
        <is>
          <t>None found in this function — anything it assumes comes from the functions it depends on.</t>
        </is>
      </c>
      <c r="K319" s="3" t="inlineStr">
        <is>
          <t>Yes</t>
        </is>
      </c>
      <c r="L319" s="3" t="inlineStr">
        <is>
          <t>—</t>
        </is>
      </c>
      <c r="M319" s="3" t="n">
        <v>0</v>
      </c>
      <c r="N319" s="3" t="inlineStr">
        <is>
          <t>None — no dependent function stands behind it</t>
        </is>
      </c>
      <c r="O319" s="3" t="inlineStr">
        <is>
          <t>No dependent function — it reads its inputs and answers</t>
        </is>
      </c>
      <c r="P319" s="3" t="inlineStr">
        <is>
          <t>—</t>
        </is>
      </c>
      <c r="Q319" s="3" t="inlineStr">
        <is>
          <t>—</t>
        </is>
      </c>
    </row>
    <row r="320">
      <c r="A320" s="3" t="inlineStr">
        <is>
          <t>MK-XS-F-024</t>
        </is>
      </c>
      <c r="B320" s="3" t="inlineStr">
        <is>
          <t>resolveLens</t>
        </is>
      </c>
      <c r="C320" s="3" t="inlineStr">
        <is>
          <t>src/domain/profile/lens.ts</t>
        </is>
      </c>
      <c r="D320" s="3" t="n">
        <v>17</v>
      </c>
      <c r="E320" s="3" t="inlineStr">
        <is>
          <t>2 · DISPLAYED</t>
        </is>
      </c>
      <c r="F320" s="3" t="inlineStr">
        <is>
          <t>The person's explicit choice (first-run stage question / Settings → Your setup) wins.</t>
        </is>
      </c>
      <c r="G320" s="3" t="inlineStr">
        <is>
          <t>op: Record&lt;string, any&gt; | null | undefined · override?: Lens | null</t>
        </is>
      </c>
      <c r="H320" s="3" t="inlineStr">
        <is>
          <t>Lens</t>
        </is>
      </c>
      <c r="I320" s="3" t="inlineStr">
        <is>
          <t>"WILL MY MONEY LAST?" — on the Home screen, under "WILL MY MONEY LAST?" · "YOUR FIVE TABS — same order as the bar below" — on a card used on more than one screen (TopBar)</t>
        </is>
      </c>
      <c r="J320" s="3" t="inlineStr">
        <is>
          <t>None found in this function — anything it assumes comes from the functions it depends on.</t>
        </is>
      </c>
      <c r="K320" s="3" t="inlineStr">
        <is>
          <t>Yes</t>
        </is>
      </c>
      <c r="L320" s="3" t="inlineStr">
        <is>
          <t>MK-CF-F-072 currentRetirementIncomeMonthly</t>
        </is>
      </c>
      <c r="M320" s="3" t="n">
        <v>3</v>
      </c>
      <c r="N320" s="3" t="inlineStr">
        <is>
          <t>MK-CF-F-072 currentRetirementIncomeMonthly · MK-CF-F-075 retirementIncomeMonthly · MK-ST-F-052 toNum</t>
        </is>
      </c>
      <c r="O320" s="3" t="inlineStr">
        <is>
          <t>MK-ST-F-052 toNum → MK-CF-F-075 retirementIncomeMonthly → MK-CF-F-072 currentRetirementIncomeMonthly → MK-XS-F-024 resolveLens</t>
        </is>
      </c>
      <c r="P320" s="3" t="inlineStr">
        <is>
          <t>—</t>
        </is>
      </c>
      <c r="Q320" s="3" t="inlineStr">
        <is>
          <t>WHICH_VIEW</t>
        </is>
      </c>
    </row>
    <row r="321">
      <c r="A321" s="3" t="inlineStr">
        <is>
          <t>MK-XS-F-033</t>
        </is>
      </c>
      <c r="B321" s="3" t="inlineStr">
        <is>
          <t>resolveNetWorthRows</t>
        </is>
      </c>
      <c r="C321" s="3" t="inlineStr">
        <is>
          <t>src/domain/snapshot.ts</t>
        </is>
      </c>
      <c r="D321" s="3" t="n">
        <v>124</v>
      </c>
      <c r="E321" s="3" t="inlineStr">
        <is>
          <t>2 · DISPLAYED</t>
        </is>
      </c>
      <c r="F321" s="3" t="inlineStr">
        <is>
          <t>The single rule for which net-worth rows a live UI surface should use, so Home + TopBar + the Net Worth screen never disagree (B-49).</t>
        </is>
      </c>
      <c r="G321" s="3" t="inlineStr">
        <is>
          <t>Nothing is handed to it</t>
        </is>
      </c>
      <c r="H321" s="3" t="inlineStr">
        <is>
          <t>NOT DECLARED — the code does not say what it gives back</t>
        </is>
      </c>
      <c r="I321" s="3" t="inlineStr">
        <is>
          <t>NOT FOUND — a screen calls it, but the words printed beside its answer could not be traced automatically. Needs reading.</t>
        </is>
      </c>
      <c r="J321" s="3" t="inlineStr">
        <is>
          <t>None found in this function — anything it assumes comes from the functions it depends on.</t>
        </is>
      </c>
      <c r="K321" s="3" t="inlineStr">
        <is>
          <t>Yes</t>
        </is>
      </c>
      <c r="L321" s="3" t="inlineStr">
        <is>
          <t>MK-NW-F-040 assetsFromOnboarding · MK-CF-F-038 debtsFromOnboarding</t>
        </is>
      </c>
      <c r="M321" s="3" t="n">
        <v>5</v>
      </c>
      <c r="N321" s="3" t="inlineStr">
        <is>
          <t>MK-NW-F-040 assetsFromOnboarding · MK-CF-F-038 debtsFromOnboarding · MK-ST-F-043 newEntityId · MK-ST-F-052 toNum · MK-CF-F-037 inferDebtType</t>
        </is>
      </c>
      <c r="O321" s="3" t="inlineStr">
        <is>
          <t>MK-ST-F-043 newEntityId → MK-NW-F-040 assetsFromOnboarding → MK-XS-F-033 resolveNetWorthRows
MK-ST-F-052 toNum → MK-NW-F-040 assetsFromOnboarding → MK-XS-F-033 resolveNetWorthRows
MK-CF-F-037 inferDebtType → MK-CF-F-038 debtsFromOnboarding → MK-XS-F-033 resolveNetWorthRows
MK-ST-F-043 newEntityId → MK-CF-F-038 debtsFromOnboarding → MK-XS-F-033 resolveNetWorthRows
MK-ST-F-052 toNum → MK-CF-F-038 debtsFromOnboarding → MK-XS-F-033 resolveNetWorthRows</t>
        </is>
      </c>
      <c r="P321" s="3" t="inlineStr">
        <is>
          <t>—</t>
        </is>
      </c>
      <c r="Q321" s="3" t="inlineStr">
        <is>
          <t>NET_WORTH_ROWS</t>
        </is>
      </c>
    </row>
    <row r="322">
      <c r="A322" s="3" t="inlineStr">
        <is>
          <t>MK-CF-F-115</t>
        </is>
      </c>
      <c r="B322" s="3" t="inlineStr">
        <is>
          <t>restoreUndo</t>
        </is>
      </c>
      <c r="C322" s="3" t="inlineStr">
        <is>
          <t>src/domain/transactions/index.ts</t>
        </is>
      </c>
      <c r="D322" s="3" t="n">
        <v>191</v>
      </c>
      <c r="E322" s="3" t="inlineStr">
        <is>
          <t>3 · DEPENDENT (feeds an action only)</t>
        </is>
      </c>
      <c r="F322" s="3" t="inlineStr">
        <is>
          <t>Restore the affected accounts to the transaction's pre-apply copies (pure).</t>
        </is>
      </c>
      <c r="G322" s="3" t="inlineStr">
        <is>
          <t>accounts: AssetAccount[] · t: Transaction</t>
        </is>
      </c>
      <c r="H322" s="3" t="inlineStr">
        <is>
          <t>AssetAccount[]</t>
        </is>
      </c>
      <c r="I322" s="3" t="inlineStr">
        <is>
          <t>—</t>
        </is>
      </c>
      <c r="J322" s="3" t="inlineStr">
        <is>
          <t>None found in this function — anything it assumes comes from the functions it depends on.</t>
        </is>
      </c>
      <c r="K322" s="3" t="inlineStr">
        <is>
          <t>No</t>
        </is>
      </c>
      <c r="L322" s="3" t="inlineStr">
        <is>
          <t>—</t>
        </is>
      </c>
      <c r="M322" s="3" t="n">
        <v>0</v>
      </c>
      <c r="N322" s="3" t="inlineStr">
        <is>
          <t>None — no dependent function stands behind it</t>
        </is>
      </c>
      <c r="O322" s="3" t="inlineStr">
        <is>
          <t>No dependent function — it reads its inputs and answers</t>
        </is>
      </c>
      <c r="P322" s="3" t="inlineStr">
        <is>
          <t>—</t>
        </is>
      </c>
      <c r="Q322" s="3" t="inlineStr">
        <is>
          <t>—</t>
        </is>
      </c>
    </row>
    <row r="323">
      <c r="A323" s="3" t="inlineStr">
        <is>
          <t>MK-XS-F-067</t>
        </is>
      </c>
      <c r="B323" s="3" t="inlineStr">
        <is>
          <t>restoreWithRecoveryCode</t>
        </is>
      </c>
      <c r="C323" s="3" t="inlineStr">
        <is>
          <t>src/services/firebase.ts</t>
        </is>
      </c>
      <c r="D323" s="3" t="n">
        <v>147</v>
      </c>
      <c r="E323" s="3" t="inlineStr">
        <is>
          <t>4 · BRINGS DATA IN</t>
        </is>
      </c>
      <c r="F323" s="3" t="inlineStr">
        <is>
          <t>After a password reset, restore data access with the recovery code, then re-lock the data under the NEW password.</t>
        </is>
      </c>
      <c r="G323" s="3" t="inlineStr">
        <is>
          <t>recoveryCode: string · newPassword: string</t>
        </is>
      </c>
      <c r="H323" s="3" t="inlineStr">
        <is>
          <t>Promise&lt;void&gt;</t>
        </is>
      </c>
      <c r="I323" s="3" t="inlineStr">
        <is>
          <t>—</t>
        </is>
      </c>
      <c r="J323" s="3" t="inlineStr">
        <is>
          <t>None found in this function — anything it assumes comes from the functions it depends on.</t>
        </is>
      </c>
      <c r="K323" s="3" t="inlineStr">
        <is>
          <t>Yes</t>
        </is>
      </c>
      <c r="L323" s="3" t="inlineStr">
        <is>
          <t>MK-XS-F-041 cacheDataKey · MK-XS-F-049 rewrapPassword · MK-XS-F-048 unwrapWithRecovery</t>
        </is>
      </c>
      <c r="M323" s="3" t="n">
        <v>5</v>
      </c>
      <c r="N323" s="3" t="inlineStr">
        <is>
          <t>MK-XS-F-041 cacheDataKey · MK-XS-F-049 rewrapPassword · MK-XS-F-048 unwrapWithRecovery · MK-XS-F-053 decryptWithKey · MK-XS-F-051 isEncrypted</t>
        </is>
      </c>
      <c r="O323" s="3" t="inlineStr">
        <is>
          <t>MK-XS-F-041 cacheDataKey → MK-XS-F-067 restoreWithRecoveryCode
MK-XS-F-049 rewrapPassword → MK-XS-F-067 restoreWithRecoveryCode
MK-XS-F-051 isEncrypted → MK-XS-F-053 decryptWithKey → MK-XS-F-048 unwrapWithRecovery → MK-XS-F-067 restoreWithRecoveryCode</t>
        </is>
      </c>
      <c r="P323" s="3" t="inlineStr">
        <is>
          <t>—</t>
        </is>
      </c>
      <c r="Q323" s="3" t="inlineStr">
        <is>
          <t>—</t>
        </is>
      </c>
    </row>
    <row r="324">
      <c r="A324" s="3" t="inlineStr">
        <is>
          <t>MK-PL-F-035</t>
        </is>
      </c>
      <c r="B324" s="3" t="inlineStr">
        <is>
          <t>retireAgeWithContribution</t>
        </is>
      </c>
      <c r="C324" s="3" t="inlineStr">
        <is>
          <t>src/domain/planning/multiGoal.ts</t>
        </is>
      </c>
      <c r="D324" s="3" t="n">
        <v>43</v>
      </c>
      <c r="E324" s="3" t="inlineStr">
        <is>
          <t>2 · DISPLAYED</t>
        </is>
      </c>
      <c r="F324" s="3" t="inlineStr">
        <is>
          <t>Earliest age the projection covers the need, WITH contributions until that age (F4's before/after).</t>
        </is>
      </c>
      <c r="G324" s="3" t="inlineStr">
        <is>
          <t>inp: RetirementInputs · monthlyContribution: number · maxAge = 80</t>
        </is>
      </c>
      <c r="H324" s="3" t="inlineStr">
        <is>
          <t>number | null</t>
        </is>
      </c>
      <c r="I324" s="3" t="inlineStr">
        <is>
          <t>NOT FOUND — a screen calls it, but the words printed beside its answer could not be traced automatically. Needs reading.</t>
        </is>
      </c>
      <c r="J324" s="3" t="inlineStr">
        <is>
          <t>· Turns a monthly figure into a year by multiplying by twelve.</t>
        </is>
      </c>
      <c r="K324" s="3" t="inlineStr">
        <is>
          <t>Yes</t>
        </is>
      </c>
      <c r="L324" s="3" t="inlineStr">
        <is>
          <t>MK-PL-F-055 projectNestEgg</t>
        </is>
      </c>
      <c r="M324" s="3" t="n">
        <v>5</v>
      </c>
      <c r="N324" s="3" t="inlineStr">
        <is>
          <t>MK-PL-F-055 projectNestEgg · MK-ST-F-055 round2 · MK-PL-F-050 simulate · MK-ST-F-025 rmdStartAgeFromAge · MK-ST-F-024 rmdStartAge</t>
        </is>
      </c>
      <c r="O324" s="3" t="inlineStr">
        <is>
          <t>MK-ST-F-055 round2 → MK-PL-F-055 projectNestEgg → MK-PL-F-035 retireAgeWithContribution
MK-ST-F-024 rmdStartAge → MK-ST-F-025 rmdStartAgeFromAge → MK-PL-F-050 simulate → MK-PL-F-055 projectNestEgg → MK-PL-F-035 retireAgeWithContribution
MK-ST-F-055 round2 → MK-PL-F-050 simulate → MK-PL-F-055 projectNestEgg → MK-PL-F-035 retireAgeWithContribution</t>
        </is>
      </c>
      <c r="P324" s="3" t="inlineStr">
        <is>
          <t>—</t>
        </is>
      </c>
      <c r="Q324" s="3" t="inlineStr">
        <is>
          <t>—</t>
        </is>
      </c>
    </row>
    <row r="325">
      <c r="A325" s="3" t="inlineStr">
        <is>
          <t>MK-NW-F-033</t>
        </is>
      </c>
      <c r="B325" s="3" t="inlineStr">
        <is>
          <t>retirementEarmarkedValue</t>
        </is>
      </c>
      <c r="C325" s="3" t="inlineStr">
        <is>
          <t>src/domain/assets/index.ts</t>
        </is>
      </c>
      <c r="D325" s="3" t="n">
        <v>548</v>
      </c>
      <c r="E325" s="3" t="inlineStr">
        <is>
          <t>2 · DISPLAYED</t>
        </is>
      </c>
      <c r="F325" s="3" t="inlineStr">
        <is>
          <t>Total nest egg = sum of each account's retirement-earmarked portion.</t>
        </is>
      </c>
      <c r="G325" s="3" t="inlineStr">
        <is>
          <t>accounts: AssetAccount[]</t>
        </is>
      </c>
      <c r="H325" s="3" t="inlineStr">
        <is>
          <t>number</t>
        </is>
      </c>
      <c r="I325" s="3" t="inlineStr">
        <is>
          <t>"Nest egg today" — on the Retirement cockpit screen, under "scRetired ?" · "Nest egg" — on the Retirement cockpit screen, under "RETIREMENT · WHERE YOU STAND" · "Projected nest egg" — on the Retirement cockpit screen · "WHAT COUNTS TOWARD RETIREMENT" — on a card used on more than one screen (PlanInputs), under "WHAT COUNTS TOWARD RETIREMENT"</t>
        </is>
      </c>
      <c r="J325" s="3" t="inlineStr">
        <is>
          <t>None found in this function — anything it assumes comes from the functions it depends on.</t>
        </is>
      </c>
      <c r="K325" s="3" t="inlineStr">
        <is>
          <t>Yes</t>
        </is>
      </c>
      <c r="L325" s="3" t="inlineStr">
        <is>
          <t>MK-NW-F-032 earmarkedAmount · MK-NW-F-031 primaryCarIdOf · MK-ST-F-055 round2</t>
        </is>
      </c>
      <c r="M325" s="3" t="n">
        <v>8</v>
      </c>
      <c r="N325" s="3" t="inlineStr">
        <is>
          <t>MK-NW-F-032 earmarkedAmount · MK-NW-F-031 primaryCarIdOf · MK-ST-F-055 round2 · MK-NW-F-030 earmarkDefault · MK-NW-F-011 assetClassOf · MK-NW-F-013 realEstateUseOf · MK-NW-F-008 incomeBearingClassOf · MK-ST-F-010 nameEvidence</t>
        </is>
      </c>
      <c r="O325" s="3" t="inlineStr">
        <is>
          <t>MK-ST-F-010 nameEvidence → MK-NW-F-008 incomeBearingClassOf → MK-NW-F-011 assetClassOf → MK-NW-F-030 earmarkDefault → MK-NW-F-032 earmarkedAmount → MK-NW-F-033 retirementEarmarkedValue
MK-NW-F-013 realEstateUseOf → MK-NW-F-030 earmarkDefault → MK-NW-F-032 earmarkedAmount → MK-NW-F-033 retirementEarmarkedValue
MK-ST-F-055 round2 → MK-NW-F-032 earmarkedAmount → MK-NW-F-033 retirementEarmarkedValue
MK-ST-F-010 nameEvidence → MK-NW-F-008 incomeBearingClassOf → MK-NW-F-011 assetClassOf → MK-NW-F-031 primaryCarIdOf → MK-NW-F-033 retirementEarmarkedValue
MK-ST-F-055 round2 → MK-NW-F-033 retirementEarmarkedValue</t>
        </is>
      </c>
      <c r="P325" s="3" t="inlineStr">
        <is>
          <t>—</t>
        </is>
      </c>
      <c r="Q325" s="3" t="inlineStr">
        <is>
          <t>NEST_EGG</t>
        </is>
      </c>
    </row>
    <row r="326">
      <c r="A326" s="3" t="inlineStr">
        <is>
          <t>MK-XS-F-019</t>
        </is>
      </c>
      <c r="B326" s="3" t="inlineStr">
        <is>
          <t>retirementHorizonYears</t>
        </is>
      </c>
      <c r="C326" s="3" t="inlineStr">
        <is>
          <t>src/domain/profile/calc.ts</t>
        </is>
      </c>
      <c r="D326" s="3" t="n">
        <v>24</v>
      </c>
      <c r="E326" s="3" t="inlineStr">
        <is>
          <t>3 · DEPENDENT</t>
        </is>
      </c>
      <c r="F326" s="3" t="inlineStr">
        <is>
          <t>Years the money must last: retirement → plan-to age (default horizon if unset).</t>
        </is>
      </c>
      <c r="G326" s="3" t="inlineStr">
        <is>
          <t>targetRetirementAge: number | null · planToAge: number | null</t>
        </is>
      </c>
      <c r="H326" s="3" t="inlineStr">
        <is>
          <t>number | null</t>
        </is>
      </c>
      <c r="I326" s="3" t="inlineStr">
        <is>
          <t>—</t>
        </is>
      </c>
      <c r="J326" s="3" t="inlineStr">
        <is>
          <t>None found in this function — anything it assumes comes from the functions it depends on.</t>
        </is>
      </c>
      <c r="K326" s="3" t="inlineStr">
        <is>
          <t>Yes</t>
        </is>
      </c>
      <c r="L326" s="3" t="inlineStr">
        <is>
          <t>—</t>
        </is>
      </c>
      <c r="M326" s="3" t="n">
        <v>0</v>
      </c>
      <c r="N326" s="3" t="inlineStr">
        <is>
          <t>None — no dependent function stands behind it</t>
        </is>
      </c>
      <c r="O326" s="3" t="inlineStr">
        <is>
          <t>No dependent function — it reads its inputs and answers</t>
        </is>
      </c>
      <c r="P326" s="3" t="inlineStr">
        <is>
          <t>—</t>
        </is>
      </c>
      <c r="Q326" s="3" t="inlineStr">
        <is>
          <t>—</t>
        </is>
      </c>
    </row>
    <row r="327">
      <c r="A327" s="3" t="inlineStr">
        <is>
          <t>MK-CF-F-075</t>
        </is>
      </c>
      <c r="B327" s="3" t="inlineStr">
        <is>
          <t>retirementIncomeMonthly</t>
        </is>
      </c>
      <c r="C327" s="3" t="inlineStr">
        <is>
          <t>src/domain/income/onboarding.ts</t>
        </is>
      </c>
      <c r="D327" s="3" t="n">
        <v>213</v>
      </c>
      <c r="E327" s="3" t="inlineStr">
        <is>
          <t>2 · DISPLAYED</t>
        </is>
      </c>
      <c r="F327" s="3" t="inlineStr">
        <is>
          <t>Retirement income (Social Security, pension, withdrawals, RMDs, annuities) per month — taxable.</t>
        </is>
      </c>
      <c r="G327" s="3" t="inlineStr">
        <is>
          <t>op: OnboardingProfile | null</t>
        </is>
      </c>
      <c r="H327" s="3" t="inlineStr">
        <is>
          <t>number</t>
        </is>
      </c>
      <c r="I327" s="3" t="inlineStr">
        <is>
          <t>NOT FOUND — a screen calls it, but the words printed beside its answer could not be traced automatically. Needs reading.</t>
        </is>
      </c>
      <c r="J327" s="3" t="inlineStr">
        <is>
          <t>None found in this function — anything it assumes comes from the functions it depends on.</t>
        </is>
      </c>
      <c r="K327" s="3" t="inlineStr">
        <is>
          <t>Yes</t>
        </is>
      </c>
      <c r="L327" s="3" t="inlineStr">
        <is>
          <t>MK-ST-F-052 toNum</t>
        </is>
      </c>
      <c r="M327" s="3" t="n">
        <v>1</v>
      </c>
      <c r="N327" s="3" t="inlineStr">
        <is>
          <t>MK-ST-F-052 toNum</t>
        </is>
      </c>
      <c r="O327" s="3" t="inlineStr">
        <is>
          <t>MK-ST-F-052 toNum → MK-CF-F-075 retirementIncomeMonthly</t>
        </is>
      </c>
      <c r="P327" s="3" t="inlineStr">
        <is>
          <t>MK-CF-M-023</t>
        </is>
      </c>
      <c r="Q327" s="3" t="inlineStr">
        <is>
          <t>RETIREMENT_INCOME</t>
        </is>
      </c>
    </row>
    <row r="328">
      <c r="A328" s="3" t="inlineStr">
        <is>
          <t>MK-PL-F-049</t>
        </is>
      </c>
      <c r="B328" s="3" t="inlineStr">
        <is>
          <t>retirementSpendMonthly</t>
        </is>
      </c>
      <c r="C328" s="3" t="inlineStr">
        <is>
          <t>src/domain/retirement/index.ts</t>
        </is>
      </c>
      <c r="D328" s="3" t="n">
        <v>49</v>
      </c>
      <c r="E328" s="3" t="inlineStr">
        <is>
          <t>2 · DISPLAYED</t>
        </is>
      </c>
      <c r="F328" s="3" t="inlineStr">
        <is>
          <t>All-in monthly retirement spend = base + travel + medical (annual→monthly), adjusted by the expected trajectory (spend less / same / more later) and the retirement location's cost-of-living factor (retLocation).</t>
        </is>
      </c>
      <c r="G328" s="3" t="inlineStr">
        <is>
          <t>op: OnboardingProfile | null</t>
        </is>
      </c>
      <c r="H328" s="3" t="inlineStr">
        <is>
          <t>number</t>
        </is>
      </c>
      <c r="I328" s="3" t="inlineStr">
        <is>
          <t>NOT FOUND — a screen calls it, but the words printed beside its answer could not be traced automatically. Needs reading.</t>
        </is>
      </c>
      <c r="J328" s="3" t="inlineStr">
        <is>
          <t>· Treats a year as twelve equal months.
· Rounds the answer to a whole number.</t>
        </is>
      </c>
      <c r="K328" s="3" t="inlineStr">
        <is>
          <t>Yes</t>
        </is>
      </c>
      <c r="L328" s="3" t="inlineStr">
        <is>
          <t>MK-PL-F-047 colFactor · MK-ST-F-055 round2 · MK-ST-F-052 toNum</t>
        </is>
      </c>
      <c r="M328" s="3" t="n">
        <v>3</v>
      </c>
      <c r="N328" s="3" t="inlineStr">
        <is>
          <t>MK-PL-F-047 colFactor · MK-ST-F-055 round2 · MK-ST-F-052 toNum</t>
        </is>
      </c>
      <c r="O328" s="3" t="inlineStr">
        <is>
          <t>MK-PL-F-047 colFactor → MK-PL-F-049 retirementSpendMonthly
MK-ST-F-055 round2 → MK-PL-F-049 retirementSpendMonthly
MK-ST-F-052 toNum → MK-PL-F-049 retirementSpendMonthly</t>
        </is>
      </c>
      <c r="P328" s="3" t="inlineStr">
        <is>
          <t>MK-PL-M-009</t>
        </is>
      </c>
      <c r="Q328" s="3" t="inlineStr">
        <is>
          <t>RETIREMENT_SPENDING</t>
        </is>
      </c>
    </row>
    <row r="329">
      <c r="A329" s="3" t="inlineStr">
        <is>
          <t>MK-CF-F-109</t>
        </is>
      </c>
      <c r="B329" s="3" t="inlineStr">
        <is>
          <t>reviewTransactions</t>
        </is>
      </c>
      <c r="C329" s="3" t="inlineStr">
        <is>
          <t>src/domain/transactions/flags.ts</t>
        </is>
      </c>
      <c r="D329" s="3" t="n">
        <v>69</v>
      </c>
      <c r="E329" s="3" t="inlineStr">
        <is>
          <t>3 · DEPENDENT (feeds an action only)</t>
        </is>
      </c>
      <c r="F329" s="3" t="inlineStr">
        <is>
          <t>Review new transactions against an account's history.</t>
        </is>
      </c>
      <c r="G329" s="3" t="inlineStr">
        <is>
          <t>newOnes: Transaction[] · ctx: ReviewContext</t>
        </is>
      </c>
      <c r="H329" s="3" t="inlineStr">
        <is>
          <t>TxnFlag[]</t>
        </is>
      </c>
      <c r="I329" s="3" t="inlineStr">
        <is>
          <t>—</t>
        </is>
      </c>
      <c r="J329" s="3" t="inlineStr">
        <is>
          <t>· If amount is missing it uses 0.
· Uses today's date from the device clock, so the answer changes by itself overnight.
· Leaves some rows out of the answer — check which.</t>
        </is>
      </c>
      <c r="K329" s="3" t="inlineStr">
        <is>
          <t>No</t>
        </is>
      </c>
      <c r="L329" s="3" t="inlineStr">
        <is>
          <t>MK-CF-F-108 isMoneyOut</t>
        </is>
      </c>
      <c r="M329" s="3" t="n">
        <v>1</v>
      </c>
      <c r="N329" s="3" t="inlineStr">
        <is>
          <t>MK-CF-F-108 isMoneyOut</t>
        </is>
      </c>
      <c r="O329" s="3" t="inlineStr">
        <is>
          <t>MK-CF-F-108 isMoneyOut → MK-CF-F-109 reviewTransactions</t>
        </is>
      </c>
      <c r="P329" s="3" t="inlineStr">
        <is>
          <t>—</t>
        </is>
      </c>
      <c r="Q329" s="3" t="inlineStr">
        <is>
          <t>—</t>
        </is>
      </c>
    </row>
    <row r="330">
      <c r="A330" s="3" t="inlineStr">
        <is>
          <t>MK-XS-F-049</t>
        </is>
      </c>
      <c r="B330" s="3" t="inlineStr">
        <is>
          <t>rewrapPassword</t>
        </is>
      </c>
      <c r="C330" s="3" t="inlineStr">
        <is>
          <t>src/services/dataCrypto.ts</t>
        </is>
      </c>
      <c r="D330" s="3" t="n">
        <v>94</v>
      </c>
      <c r="E330" s="3" t="inlineStr">
        <is>
          <t>3 · DEPENDENT</t>
        </is>
      </c>
      <c r="F330" s="3" t="inlineStr">
        <is>
          <t>Re-lock an existing envelope's password copy under a new password (after a recovery-code restore).</t>
        </is>
      </c>
      <c r="G330" s="3" t="inlineStr">
        <is>
          <t>env: KeyEnvelope · dek: string · uid: string · newPassword: string</t>
        </is>
      </c>
      <c r="H330" s="3" t="inlineStr">
        <is>
          <t>KeyEnvelope</t>
        </is>
      </c>
      <c r="I330" s="3" t="inlineStr">
        <is>
          <t>—</t>
        </is>
      </c>
      <c r="J330" s="3" t="inlineStr">
        <is>
          <t>None found in this function — anything it assumes comes from the functions it depends on.</t>
        </is>
      </c>
      <c r="K330" s="3" t="inlineStr">
        <is>
          <t>Yes</t>
        </is>
      </c>
      <c r="L330" s="3" t="inlineStr">
        <is>
          <t>—</t>
        </is>
      </c>
      <c r="M330" s="3" t="n">
        <v>0</v>
      </c>
      <c r="N330" s="3" t="inlineStr">
        <is>
          <t>None — no dependent function stands behind it</t>
        </is>
      </c>
      <c r="O330" s="3" t="inlineStr">
        <is>
          <t>No dependent function — it reads its inputs and answers</t>
        </is>
      </c>
      <c r="P330" s="3" t="inlineStr">
        <is>
          <t>—</t>
        </is>
      </c>
      <c r="Q330" s="3" t="inlineStr">
        <is>
          <t>—</t>
        </is>
      </c>
    </row>
    <row r="331">
      <c r="A331" s="3" t="inlineStr">
        <is>
          <t>MK-XS-F-050</t>
        </is>
      </c>
      <c r="B331" s="3" t="inlineStr">
        <is>
          <t>rewrapRecovery</t>
        </is>
      </c>
      <c r="C331" s="3" t="inlineStr">
        <is>
          <t>src/services/dataCrypto.ts</t>
        </is>
      </c>
      <c r="D331" s="3" t="n">
        <v>98</v>
      </c>
      <c r="E331" s="3" t="inlineStr">
        <is>
          <t>3 · DEPENDENT</t>
        </is>
      </c>
      <c r="F331" s="3" t="inlineStr">
        <is>
          <t>Replace an envelope's recovery copy with a new recovery code (rotate the code).</t>
        </is>
      </c>
      <c r="G331" s="3" t="inlineStr">
        <is>
          <t>env: KeyEnvelope · dek: string · uid: string · recoveryCode: string</t>
        </is>
      </c>
      <c r="H331" s="3" t="inlineStr">
        <is>
          <t>KeyEnvelope</t>
        </is>
      </c>
      <c r="I331" s="3" t="inlineStr">
        <is>
          <t>—</t>
        </is>
      </c>
      <c r="J331" s="3" t="inlineStr">
        <is>
          <t>None found in this function — anything it assumes comes from the functions it depends on.</t>
        </is>
      </c>
      <c r="K331" s="3" t="inlineStr">
        <is>
          <t>Yes</t>
        </is>
      </c>
      <c r="L331" s="3" t="inlineStr">
        <is>
          <t>—</t>
        </is>
      </c>
      <c r="M331" s="3" t="n">
        <v>0</v>
      </c>
      <c r="N331" s="3" t="inlineStr">
        <is>
          <t>None — no dependent function stands behind it</t>
        </is>
      </c>
      <c r="O331" s="3" t="inlineStr">
        <is>
          <t>No dependent function — it reads its inputs and answers</t>
        </is>
      </c>
      <c r="P331" s="3" t="inlineStr">
        <is>
          <t>—</t>
        </is>
      </c>
      <c r="Q331" s="3" t="inlineStr">
        <is>
          <t>—</t>
        </is>
      </c>
    </row>
    <row r="332">
      <c r="A332" s="3" t="inlineStr">
        <is>
          <t>MK-PL-F-007</t>
        </is>
      </c>
      <c r="B332" s="3" t="inlineStr">
        <is>
          <t>rmdAtAge</t>
        </is>
      </c>
      <c r="C332" s="3" t="inlineStr">
        <is>
          <t>src/domain/decumulation/index.ts</t>
        </is>
      </c>
      <c r="D332" s="3" t="n">
        <v>116</v>
      </c>
      <c r="E332" s="3" t="inlineStr">
        <is>
          <t>2 · DISPLAYED</t>
        </is>
      </c>
      <c r="F332" s="3" t="inlineStr">
        <is>
          <t>Required minimum distribution from pre-tax balances at a given age (0 before the start age).</t>
        </is>
      </c>
      <c r="G332" s="3" t="inlineStr">
        <is>
          <t>preTaxBalance: number · age: number</t>
        </is>
      </c>
      <c r="H332" s="3" t="inlineStr">
        <is>
          <t>number</t>
        </is>
      </c>
      <c r="I332" s="3" t="inlineStr">
        <is>
          <t>"Required Minimum Distributions" — on the Retirement cockpit screen · "Required withdrawal — first" — on a card used on more than one screen (DrawSteerSheet) · "WHAT IT BUYS LATER" — on the Roth move screen, under "WHAT IT BUYS LATER" · "Yours starts in" — on the Required withdrawals screen, under "WHAT THIS IS"</t>
        </is>
      </c>
      <c r="J332" s="3" t="inlineStr">
        <is>
          <t>None found in this function — anything it assumes comes from the functions it depends on.</t>
        </is>
      </c>
      <c r="K332" s="3" t="inlineStr">
        <is>
          <t>Yes</t>
        </is>
      </c>
      <c r="L332" s="3" t="inlineStr">
        <is>
          <t>MK-PL-F-006 rmdDivisor · MK-ST-F-055 round2</t>
        </is>
      </c>
      <c r="M332" s="3" t="n">
        <v>2</v>
      </c>
      <c r="N332" s="3" t="inlineStr">
        <is>
          <t>MK-PL-F-006 rmdDivisor · MK-ST-F-055 round2</t>
        </is>
      </c>
      <c r="O332" s="3" t="inlineStr">
        <is>
          <t>MK-PL-F-006 rmdDivisor → MK-PL-F-007 rmdAtAge
MK-ST-F-055 round2 → MK-PL-F-007 rmdAtAge</t>
        </is>
      </c>
      <c r="P332" s="3" t="inlineStr">
        <is>
          <t>—</t>
        </is>
      </c>
      <c r="Q332" s="3" t="inlineStr">
        <is>
          <t>—</t>
        </is>
      </c>
    </row>
    <row r="333">
      <c r="A333" s="3" t="inlineStr">
        <is>
          <t>MK-PL-F-006</t>
        </is>
      </c>
      <c r="B333" s="3" t="inlineStr">
        <is>
          <t>rmdDivisor</t>
        </is>
      </c>
      <c r="C333" s="3" t="inlineStr">
        <is>
          <t>src/domain/decumulation/index.ts</t>
        </is>
      </c>
      <c r="D333" s="3" t="n">
        <v>112</v>
      </c>
      <c r="E333" s="3" t="inlineStr">
        <is>
          <t>2 · DISPLAYED</t>
        </is>
      </c>
      <c r="F333" s="3" t="inlineStr">
        <is>
          <t>NOT DETERMINED — the code carries no note saying what this is for, and it has no row in the old inventory. Needs reading.</t>
        </is>
      </c>
      <c r="G333" s="3" t="inlineStr">
        <is>
          <t>age: number · nowYear = new Date().getFullYear()</t>
        </is>
      </c>
      <c r="H333" s="3" t="inlineStr">
        <is>
          <t>number</t>
        </is>
      </c>
      <c r="I333" s="3" t="inlineStr">
        <is>
          <t>"Suggested withdrawal order" — on the Retirement cockpit screen</t>
        </is>
      </c>
      <c r="J333" s="3" t="inlineStr">
        <is>
          <t>· Uses today's date from the device clock, so the answer changes by itself overnight.</t>
        </is>
      </c>
      <c r="K333" s="3" t="inlineStr">
        <is>
          <t>Yes</t>
        </is>
      </c>
      <c r="L333" s="3" t="inlineStr">
        <is>
          <t>—</t>
        </is>
      </c>
      <c r="M333" s="3" t="n">
        <v>0</v>
      </c>
      <c r="N333" s="3" t="inlineStr">
        <is>
          <t>None — no dependent function stands behind it</t>
        </is>
      </c>
      <c r="O333" s="3" t="inlineStr">
        <is>
          <t>No dependent function — it reads its inputs and answers</t>
        </is>
      </c>
      <c r="P333" s="3" t="inlineStr">
        <is>
          <t>—</t>
        </is>
      </c>
      <c r="Q333" s="3" t="inlineStr">
        <is>
          <t>—</t>
        </is>
      </c>
    </row>
    <row r="334">
      <c r="A334" s="3" t="inlineStr">
        <is>
          <t>MK-PL-F-008</t>
        </is>
      </c>
      <c r="B334" s="3" t="inlineStr">
        <is>
          <t>rmdSchedule</t>
        </is>
      </c>
      <c r="C334" s="3" t="inlineStr">
        <is>
          <t>src/domain/decumulation/index.ts</t>
        </is>
      </c>
      <c r="D334" s="3" t="n">
        <v>136</v>
      </c>
      <c r="E334" s="3" t="inlineStr">
        <is>
          <t>2 · DISPLAYED</t>
        </is>
      </c>
      <c r="F334" s="3" t="inlineStr">
        <is>
          <t>Year-by-year mandated-withdrawal schedule (ESTIMATES: future balances move with returns).</t>
        </is>
      </c>
      <c r="G334" s="3" t="inlineStr">
        <is>
          <t>preTaxNow: number · ageNow: number · expReturn: number · years = 15 · nowYear = new Date().getFullYear()</t>
        </is>
      </c>
      <c r="H334" s="3" t="inlineStr">
        <is>
          <t>RmdYearRow[]</t>
        </is>
      </c>
      <c r="I334" s="3" t="inlineStr">
        <is>
          <t>NOT FOUND — a screen calls it, but the words printed beside its answer could not be traced automatically. Needs reading.</t>
        </is>
      </c>
      <c r="J334" s="3" t="inlineStr">
        <is>
          <t>· If exp return is missing it counts as zero, so nothing recorded and a real zero look the same.
· Uses a built-in i of 0.
· Uses today's date from the device clock, so the answer changes by itself overnight.
· Rounds the answer to a whole number.</t>
        </is>
      </c>
      <c r="K334" s="3" t="inlineStr">
        <is>
          <t>Yes</t>
        </is>
      </c>
      <c r="L334" s="3" t="inlineStr">
        <is>
          <t>MK-PL-F-054 growOneYear · MK-PL-F-007 rmdAtAge · MK-PL-F-006 rmdDivisor · MK-PL-F-005 rmdStartAgeFor</t>
        </is>
      </c>
      <c r="M334" s="3" t="n">
        <v>7</v>
      </c>
      <c r="N334" s="3" t="inlineStr">
        <is>
          <t>MK-PL-F-054 growOneYear · MK-PL-F-007 rmdAtAge · MK-PL-F-006 rmdDivisor · MK-PL-F-005 rmdStartAgeFor · MK-ST-F-055 round2 · MK-ST-F-025 rmdStartAgeFromAge · MK-ST-F-024 rmdStartAge</t>
        </is>
      </c>
      <c r="O334" s="3" t="inlineStr">
        <is>
          <t>MK-PL-F-054 growOneYear → MK-PL-F-008 rmdSchedule
MK-PL-F-006 rmdDivisor → MK-PL-F-007 rmdAtAge → MK-PL-F-008 rmdSchedule
MK-ST-F-055 round2 → MK-PL-F-007 rmdAtAge → MK-PL-F-008 rmdSchedule
MK-PL-F-006 rmdDivisor → MK-PL-F-008 rmdSchedule
MK-ST-F-024 rmdStartAge → MK-ST-F-025 rmdStartAgeFromAge → MK-PL-F-005 rmdStartAgeFor → MK-PL-F-008 rmdSchedule</t>
        </is>
      </c>
      <c r="P334" s="3" t="inlineStr">
        <is>
          <t>—</t>
        </is>
      </c>
      <c r="Q334" s="3" t="inlineStr">
        <is>
          <t>—</t>
        </is>
      </c>
    </row>
    <row r="335">
      <c r="A335" s="3" t="inlineStr">
        <is>
          <t>MK-ST-F-024</t>
        </is>
      </c>
      <c r="B335" s="3" t="inlineStr">
        <is>
          <t>rmdStartAge</t>
        </is>
      </c>
      <c r="C335" s="3" t="inlineStr">
        <is>
          <t>Calculation Module code/engines/rmd.ts</t>
        </is>
      </c>
      <c r="D335" s="3" t="n">
        <v>23</v>
      </c>
      <c r="E335" s="3" t="inlineStr">
        <is>
          <t>2 · DISPLAYED</t>
        </is>
      </c>
      <c r="F335" s="3" t="inlineStr">
        <is>
          <t>The age required withdrawals begin, by birth year.</t>
        </is>
      </c>
      <c r="G335" s="3" t="inlineStr">
        <is>
          <t>birthYear?: number | null</t>
        </is>
      </c>
      <c r="H335" s="3" t="inlineStr">
        <is>
          <t>number</t>
        </is>
      </c>
      <c r="I335" s="3" t="inlineStr">
        <is>
          <t>"Operating expense / mo" — on the setup questions, which appear on more than one screen · "Set by month" — on the setup questions, which appear on more than one screen · "Surplus by month" — on the setup questions, which appear on more than one screen · "Your contribution (per month)" — on the setup questions, which appear on more than one screen · "Your retirement outlook" — on the setup questions, which appear on more than one screen</t>
        </is>
      </c>
      <c r="J335" s="3" t="inlineStr">
        <is>
          <t>None found in this function — anything it assumes comes from the functions it depends on.</t>
        </is>
      </c>
      <c r="K335" s="3" t="inlineStr">
        <is>
          <t>Yes</t>
        </is>
      </c>
      <c r="L335" s="3" t="inlineStr">
        <is>
          <t>—</t>
        </is>
      </c>
      <c r="M335" s="3" t="n">
        <v>0</v>
      </c>
      <c r="N335" s="3" t="inlineStr">
        <is>
          <t>None — no dependent function stands behind it</t>
        </is>
      </c>
      <c r="O335" s="3" t="inlineStr">
        <is>
          <t>No dependent function — it reads its inputs and answers</t>
        </is>
      </c>
      <c r="P335" s="3" t="inlineStr">
        <is>
          <t>—</t>
        </is>
      </c>
      <c r="Q335" s="3" t="inlineStr">
        <is>
          <t>—</t>
        </is>
      </c>
    </row>
    <row r="336">
      <c r="A336" s="3" t="inlineStr">
        <is>
          <t>MK-PL-F-005</t>
        </is>
      </c>
      <c r="B336" s="3" t="inlineStr">
        <is>
          <t>rmdStartAgeFor</t>
        </is>
      </c>
      <c r="C336" s="3" t="inlineStr">
        <is>
          <t>src/domain/decumulation/index.ts</t>
        </is>
      </c>
      <c r="D336" s="3" t="n">
        <v>109</v>
      </c>
      <c r="E336" s="3" t="inlineStr">
        <is>
          <t>2 · DISPLAYED</t>
        </is>
      </c>
      <c r="F336" s="3" t="inlineStr">
        <is>
          <t>---- Required Minimum Distributions ---- B4 (founder brief 2026-08-20): the rule lives in ONE dated, sourced table — the Calculation Module's rmd engine.</t>
        </is>
      </c>
      <c r="G336" s="3" t="inlineStr">
        <is>
          <t>age?: number | null · nowYear = new Date().getFullYear()</t>
        </is>
      </c>
      <c r="H336" s="3" t="inlineStr">
        <is>
          <t>number</t>
        </is>
      </c>
      <c r="I336" s="3" t="inlineStr">
        <is>
          <t>"Required Minimum Distributions" — on the Retirement cockpit screen · "Required withdrawal — first" — on a card used on more than one screen (DrawSteerSheet) · "Roth conversion" — on the Roth move screen · "Suggested withdrawal order" — on the Retirement cockpit screen · "WHAT IT BUYS LATER" — on the Roth move screen, under "WHAT IT BUYS LATER" · "WHAT THIS IS" — on the Required withdrawals screen, under "WHAT THIS IS"</t>
        </is>
      </c>
      <c r="J336" s="3" t="inlineStr">
        <is>
          <t>· Uses today's date from the device clock, so the answer changes by itself overnight.</t>
        </is>
      </c>
      <c r="K336" s="3" t="inlineStr">
        <is>
          <t>Yes</t>
        </is>
      </c>
      <c r="L336" s="3" t="inlineStr">
        <is>
          <t>MK-ST-F-025 rmdStartAgeFromAge</t>
        </is>
      </c>
      <c r="M336" s="3" t="n">
        <v>2</v>
      </c>
      <c r="N336" s="3" t="inlineStr">
        <is>
          <t>MK-ST-F-025 rmdStartAgeFromAge · MK-ST-F-024 rmdStartAge</t>
        </is>
      </c>
      <c r="O336" s="3" t="inlineStr">
        <is>
          <t>MK-ST-F-024 rmdStartAge → MK-ST-F-025 rmdStartAgeFromAge → MK-PL-F-005 rmdStartAgeFor</t>
        </is>
      </c>
      <c r="P336" s="3" t="inlineStr">
        <is>
          <t>—</t>
        </is>
      </c>
      <c r="Q336" s="3" t="inlineStr">
        <is>
          <t>—</t>
        </is>
      </c>
    </row>
    <row r="337">
      <c r="A337" s="3" t="inlineStr">
        <is>
          <t>MK-ST-F-025</t>
        </is>
      </c>
      <c r="B337" s="3" t="inlineStr">
        <is>
          <t>rmdStartAgeFromAge</t>
        </is>
      </c>
      <c r="C337" s="3" t="inlineStr">
        <is>
          <t>Calculation Module code/engines/rmd.ts</t>
        </is>
      </c>
      <c r="D337" s="3" t="n">
        <v>31</v>
      </c>
      <c r="E337" s="3" t="inlineStr">
        <is>
          <t>3 · DEPENDENT</t>
        </is>
      </c>
      <c r="F337" s="3" t="inlineStr">
        <is>
          <t>The same rule when only an age is known (birth year ≈ this year − age; ±1 year of precision, which is what an age-only caller has).</t>
        </is>
      </c>
      <c r="G337" s="3" t="inlineStr">
        <is>
          <t>age: number · nowYear: number</t>
        </is>
      </c>
      <c r="H337" s="3" t="inlineStr">
        <is>
          <t>number</t>
        </is>
      </c>
      <c r="I337" s="3" t="inlineStr">
        <is>
          <t>—</t>
        </is>
      </c>
      <c r="J337" s="3" t="inlineStr">
        <is>
          <t>None found in this function — anything it assumes comes from the functions it depends on.</t>
        </is>
      </c>
      <c r="K337" s="3" t="inlineStr">
        <is>
          <t>Yes</t>
        </is>
      </c>
      <c r="L337" s="3" t="inlineStr">
        <is>
          <t>MK-ST-F-024 rmdStartAge</t>
        </is>
      </c>
      <c r="M337" s="3" t="n">
        <v>1</v>
      </c>
      <c r="N337" s="3" t="inlineStr">
        <is>
          <t>MK-ST-F-024 rmdStartAge</t>
        </is>
      </c>
      <c r="O337" s="3" t="inlineStr">
        <is>
          <t>MK-ST-F-024 rmdStartAge → MK-ST-F-025 rmdStartAgeFromAge</t>
        </is>
      </c>
      <c r="P337" s="3" t="inlineStr">
        <is>
          <t>—</t>
        </is>
      </c>
      <c r="Q337" s="3" t="inlineStr">
        <is>
          <t>—</t>
        </is>
      </c>
    </row>
    <row r="338">
      <c r="A338" s="3" t="inlineStr">
        <is>
          <t>MK-PL-F-009</t>
        </is>
      </c>
      <c r="B338" s="3" t="inlineStr">
        <is>
          <t>rmdTakenThisYear</t>
        </is>
      </c>
      <c r="C338" s="3" t="inlineStr">
        <is>
          <t>src/domain/decumulation/index.ts</t>
        </is>
      </c>
      <c r="D338" s="3" t="n">
        <v>156</v>
      </c>
      <c r="E338" s="3" t="inlineStr">
        <is>
          <t>2 · DISPLAYED</t>
        </is>
      </c>
      <c r="F338" s="3" t="inlineStr">
        <is>
          <t>Withdrawals already taken THIS year from the pre-tax accounts (the one ledger — no side lists).</t>
        </is>
      </c>
      <c r="G338" s="3" t="inlineStr">
        <is>
          <t>transactions: { type?: string; account_id?: string; amount?: number; date?: string }[] · preTaxAccountIds: string[] · nowYear = new Date().getFullYear()</t>
        </is>
      </c>
      <c r="H338" s="3" t="inlineStr">
        <is>
          <t>number</t>
        </is>
      </c>
      <c r="I338" s="3" t="inlineStr">
        <is>
          <t>NOT FOUND — a screen calls it, but the words printed beside its answer could not be traced automatically. Needs reading.</t>
        </is>
      </c>
      <c r="J338" s="3" t="inlineStr">
        <is>
          <t>· If amount is missing it counts as zero, so nothing recorded and a real zero look the same.
· Uses today's date from the device clock, so the answer changes by itself overnight.
· Leaves some rows out of the answer — check which.</t>
        </is>
      </c>
      <c r="K338" s="3" t="inlineStr">
        <is>
          <t>Yes</t>
        </is>
      </c>
      <c r="L338" s="3" t="inlineStr">
        <is>
          <t>MK-ST-F-055 round2</t>
        </is>
      </c>
      <c r="M338" s="3" t="n">
        <v>1</v>
      </c>
      <c r="N338" s="3" t="inlineStr">
        <is>
          <t>MK-ST-F-055 round2</t>
        </is>
      </c>
      <c r="O338" s="3" t="inlineStr">
        <is>
          <t>MK-ST-F-055 round2 → MK-PL-F-009 rmdTakenThisYear</t>
        </is>
      </c>
      <c r="P338" s="3" t="inlineStr">
        <is>
          <t>—</t>
        </is>
      </c>
      <c r="Q338" s="3" t="inlineStr">
        <is>
          <t>—</t>
        </is>
      </c>
    </row>
    <row r="339">
      <c r="A339" s="3" t="inlineStr">
        <is>
          <t>MK-PL-F-032</t>
        </is>
      </c>
      <c r="B339" s="3" t="inlineStr">
        <is>
          <t>rothConversionCost</t>
        </is>
      </c>
      <c r="C339" s="3" t="inlineStr">
        <is>
          <t>src/domain/planning/index.ts</t>
        </is>
      </c>
      <c r="D339" s="3" t="n">
        <v>84</v>
      </c>
      <c r="E339" s="3" t="inlineStr">
        <is>
          <t>2 · DISPLAYED</t>
        </is>
      </c>
      <c r="F339" s="3" t="inlineStr">
        <is>
          <t>───────────────────────── Roth conversion (fill a low bracket) ───────────────────────── In a low-income year (e.g.</t>
        </is>
      </c>
      <c r="G339" s="3" t="inlineStr">
        <is>
          <t>gross: number · amount: number · status: import('../income/tax').FilingStatus · stateRate: number</t>
        </is>
      </c>
      <c r="H339" s="3" t="inlineStr">
        <is>
          <t>number</t>
        </is>
      </c>
      <c r="I339" s="3" t="inlineStr">
        <is>
          <t>NOT FOUND — a screen calls it, but the words printed beside its answer could not be traced automatically. Needs reading.</t>
        </is>
      </c>
      <c r="J339" s="3" t="inlineStr">
        <is>
          <t>None found in this function — anything it assumes comes from the functions it depends on.</t>
        </is>
      </c>
      <c r="K339" s="3" t="inlineStr">
        <is>
          <t>Yes</t>
        </is>
      </c>
      <c r="L339" s="3" t="inlineStr">
        <is>
          <t>MK-ST-F-055 round2 · MK-CF-F-101 taxOwedFor</t>
        </is>
      </c>
      <c r="M339" s="3" t="n">
        <v>4</v>
      </c>
      <c r="N339" s="3" t="inlineStr">
        <is>
          <t>MK-ST-F-055 round2 · MK-CF-F-101 taxOwedFor · MK-CF-F-100 taxableIncomeFor · MK-CF-F-099 deductionFor</t>
        </is>
      </c>
      <c r="O339" s="3" t="inlineStr">
        <is>
          <t>MK-ST-F-055 round2 → MK-PL-F-032 rothConversionCost
MK-CF-F-099 deductionFor → MK-CF-F-100 taxableIncomeFor → MK-CF-F-101 taxOwedFor → MK-PL-F-032 rothConversionCost</t>
        </is>
      </c>
      <c r="P339" s="3" t="inlineStr">
        <is>
          <t>—</t>
        </is>
      </c>
      <c r="Q339" s="3" t="inlineStr">
        <is>
          <t>—</t>
        </is>
      </c>
    </row>
    <row r="340">
      <c r="A340" s="3" t="inlineStr">
        <is>
          <t>MK-CF-F-058</t>
        </is>
      </c>
      <c r="B340" s="3" t="inlineStr">
        <is>
          <t>rothConversionWindow</t>
        </is>
      </c>
      <c r="C340" s="3" t="inlineStr">
        <is>
          <t>src/domain/income/limits.ts</t>
        </is>
      </c>
      <c r="D340" s="3" t="n">
        <v>41</v>
      </c>
      <c r="E340" s="3" t="inlineStr">
        <is>
          <t>2 · DISPLAYED</t>
        </is>
      </c>
      <c r="F340" s="3" t="inlineStr">
        <is>
          <t>Are you in the low-income "Roth conversion window" (retired, before RMDs/SS push income up)?</t>
        </is>
      </c>
      <c r="G340" s="3" t="inlineStr">
        <is>
          <t>age: number · retireAge: number · claimAge: number · rmdAge = 73</t>
        </is>
      </c>
      <c r="H340" s="3" t="inlineStr">
        <is>
          <t>boolean</t>
        </is>
      </c>
      <c r="I340" s="3" t="inlineStr">
        <is>
          <t>"Roth conversion window:" — on the Retirement cockpit screen</t>
        </is>
      </c>
      <c r="J340" s="3" t="inlineStr">
        <is>
          <t>None found in this function — anything it assumes comes from the functions it depends on.</t>
        </is>
      </c>
      <c r="K340" s="3" t="inlineStr">
        <is>
          <t>Yes</t>
        </is>
      </c>
      <c r="L340" s="3" t="inlineStr">
        <is>
          <t>—</t>
        </is>
      </c>
      <c r="M340" s="3" t="n">
        <v>0</v>
      </c>
      <c r="N340" s="3" t="inlineStr">
        <is>
          <t>None — no dependent function stands behind it</t>
        </is>
      </c>
      <c r="O340" s="3" t="inlineStr">
        <is>
          <t>No dependent function — it reads its inputs and answers</t>
        </is>
      </c>
      <c r="P340" s="3" t="inlineStr">
        <is>
          <t>—</t>
        </is>
      </c>
      <c r="Q340" s="3" t="inlineStr">
        <is>
          <t>—</t>
        </is>
      </c>
    </row>
    <row r="341">
      <c r="A341" s="3" t="inlineStr">
        <is>
          <t>MK-CF-F-057</t>
        </is>
      </c>
      <c r="B341" s="3" t="inlineStr">
        <is>
          <t>rothVsTraditional</t>
        </is>
      </c>
      <c r="C341" s="3" t="inlineStr">
        <is>
          <t>src/domain/income/limits.ts</t>
        </is>
      </c>
      <c r="D341" s="3" t="n">
        <v>34</v>
      </c>
      <c r="E341" s="3" t="inlineStr">
        <is>
          <t>2 · DISPLAYED</t>
        </is>
      </c>
      <c r="F341" s="3" t="inlineStr">
        <is>
          <t>Roth vs Traditional lean from current vs expected-retirement marginal rate (decimals).</t>
        </is>
      </c>
      <c r="G341" s="3" t="inlineStr">
        <is>
          <t>marginalNow: number · marginalRetire: number</t>
        </is>
      </c>
      <c r="H341" s="3" t="inlineStr">
        <is>
          <t>NOT DECLARED — the code does not say what it gives back</t>
        </is>
      </c>
      <c r="I341" s="3" t="inlineStr">
        <is>
          <t>NOT FOUND — a screen calls it, but the words printed beside its answer could not be traced automatically. Needs reading.</t>
        </is>
      </c>
      <c r="J341" s="3" t="inlineStr">
        <is>
          <t>None found in this function — anything it assumes comes from the functions it depends on.</t>
        </is>
      </c>
      <c r="K341" s="3" t="inlineStr">
        <is>
          <t>Yes</t>
        </is>
      </c>
      <c r="L341" s="3" t="inlineStr">
        <is>
          <t>—</t>
        </is>
      </c>
      <c r="M341" s="3" t="n">
        <v>0</v>
      </c>
      <c r="N341" s="3" t="inlineStr">
        <is>
          <t>None — no dependent function stands behind it</t>
        </is>
      </c>
      <c r="O341" s="3" t="inlineStr">
        <is>
          <t>No dependent function — it reads its inputs and answers</t>
        </is>
      </c>
      <c r="P341" s="3" t="inlineStr">
        <is>
          <t>—</t>
        </is>
      </c>
      <c r="Q341" s="3" t="inlineStr">
        <is>
          <t>—</t>
        </is>
      </c>
    </row>
    <row r="342">
      <c r="A342" s="3" t="inlineStr">
        <is>
          <t>MK-ST-F-055</t>
        </is>
      </c>
      <c r="B342" s="3" t="inlineStr">
        <is>
          <t>round2</t>
        </is>
      </c>
      <c r="C342" s="3" t="inlineStr">
        <is>
          <t>src/domain/_shared/num.ts</t>
        </is>
      </c>
      <c r="D342" s="3" t="n">
        <v>12</v>
      </c>
      <c r="E342" s="3" t="inlineStr">
        <is>
          <t>1 · ACTION</t>
        </is>
      </c>
      <c r="F342" s="3" t="inlineStr">
        <is>
          <t>NOT DETERMINED — the code carries no note saying what this is for, and it has no row in the old inventory. Needs reading.</t>
        </is>
      </c>
      <c r="G342" s="3" t="inlineStr">
        <is>
          <t>n: number</t>
        </is>
      </c>
      <c r="H342" s="3" t="inlineStr">
        <is>
          <t>number</t>
        </is>
      </c>
      <c r="I342" s="3" t="inlineStr">
        <is>
          <t>—</t>
        </is>
      </c>
      <c r="J342" s="3" t="inlineStr">
        <is>
          <t>· Multiplies by 100 — a percentage, or an option contract treated as 100 shares. Worth checking which.
· Rounds the answer to a whole number.</t>
        </is>
      </c>
      <c r="K342" s="3" t="inlineStr">
        <is>
          <t>Yes</t>
        </is>
      </c>
      <c r="L342" s="3" t="inlineStr">
        <is>
          <t>—</t>
        </is>
      </c>
      <c r="M342" s="3" t="n">
        <v>0</v>
      </c>
      <c r="N342" s="3" t="inlineStr">
        <is>
          <t>None — no dependent function stands behind it</t>
        </is>
      </c>
      <c r="O342" s="3" t="inlineStr">
        <is>
          <t>No dependent function — it reads its inputs and answers</t>
        </is>
      </c>
      <c r="P342" s="3" t="inlineStr">
        <is>
          <t>—</t>
        </is>
      </c>
      <c r="Q342" s="3" t="inlineStr">
        <is>
          <t>—</t>
        </is>
      </c>
    </row>
    <row r="343">
      <c r="A343" s="3" t="inlineStr">
        <is>
          <t>MK-CF-F-063</t>
        </is>
      </c>
      <c r="B343" s="3" t="inlineStr">
        <is>
          <t>rowVestYear</t>
        </is>
      </c>
      <c r="C343" s="3" t="inlineStr">
        <is>
          <t>src/domain/income/onboarding.ts</t>
        </is>
      </c>
      <c r="D343" s="3" t="n">
        <v>74</v>
      </c>
      <c r="E343" s="3" t="inlineStr">
        <is>
          <t>3 · DEPENDENT</t>
        </is>
      </c>
      <c r="F343" s="3" t="inlineStr">
        <is>
          <t>Calendar year a row vests (first 4 digits of its date; this year if blank).</t>
        </is>
      </c>
      <c r="G343" s="3" t="inlineStr">
        <is>
          <t>row: any</t>
        </is>
      </c>
      <c r="H343" s="3" t="inlineStr">
        <is>
          <t>number</t>
        </is>
      </c>
      <c r="I343" s="3" t="inlineStr">
        <is>
          <t>—</t>
        </is>
      </c>
      <c r="J343" s="3" t="inlineStr">
        <is>
          <t>· Uses today's date from the device clock, so the answer changes by itself overnight.</t>
        </is>
      </c>
      <c r="K343" s="3" t="inlineStr">
        <is>
          <t>Yes</t>
        </is>
      </c>
      <c r="L343" s="3" t="inlineStr">
        <is>
          <t>—</t>
        </is>
      </c>
      <c r="M343" s="3" t="n">
        <v>0</v>
      </c>
      <c r="N343" s="3" t="inlineStr">
        <is>
          <t>None — no dependent function stands behind it</t>
        </is>
      </c>
      <c r="O343" s="3" t="inlineStr">
        <is>
          <t>No dependent function — it reads its inputs and answers</t>
        </is>
      </c>
      <c r="P343" s="3" t="inlineStr">
        <is>
          <t>—</t>
        </is>
      </c>
      <c r="Q343" s="3" t="inlineStr">
        <is>
          <t>VESTING_YEAR</t>
        </is>
      </c>
    </row>
    <row r="344">
      <c r="A344" s="3" t="inlineStr">
        <is>
          <t>MK-ST-F-015</t>
        </is>
      </c>
      <c r="B344" s="3" t="inlineStr">
        <is>
          <t>rowsFor</t>
        </is>
      </c>
      <c r="C344" s="3" t="inlineStr">
        <is>
          <t>Calculation Module code/engines/ledger.ts</t>
        </is>
      </c>
      <c r="D344" s="3" t="n">
        <v>223</v>
      </c>
      <c r="E344" s="3" t="inlineStr">
        <is>
          <t>3 · DEPENDENT (feeds an action only)</t>
        </is>
      </c>
      <c r="F344" s="3" t="inlineStr">
        <is>
          <t>NOT DETERMINED — the code carries no note saying what this is for, and it has no row in the old inventory. Needs reading.</t>
        </is>
      </c>
      <c r="G344" s="3" t="inlineStr">
        <is>
          <t>Nothing is handed to it</t>
        </is>
      </c>
      <c r="H344" s="3" t="inlineStr">
        <is>
          <t>NOT DECLARED — the code does not say what it gives back</t>
        </is>
      </c>
      <c r="I344" s="3" t="inlineStr">
        <is>
          <t>—</t>
        </is>
      </c>
      <c r="J344" s="3" t="inlineStr">
        <is>
          <t>· Leaves some rows out of the answer — check which.</t>
        </is>
      </c>
      <c r="K344" s="3" t="inlineStr">
        <is>
          <t>No</t>
        </is>
      </c>
      <c r="L344" s="3" t="inlineStr">
        <is>
          <t>—</t>
        </is>
      </c>
      <c r="M344" s="3" t="n">
        <v>0</v>
      </c>
      <c r="N344" s="3" t="inlineStr">
        <is>
          <t>None — no dependent function stands behind it</t>
        </is>
      </c>
      <c r="O344" s="3" t="inlineStr">
        <is>
          <t>No dependent function — it reads its inputs and answers</t>
        </is>
      </c>
      <c r="P344" s="3" t="inlineStr">
        <is>
          <t>—</t>
        </is>
      </c>
      <c r="Q344" s="3" t="inlineStr">
        <is>
          <t>—</t>
        </is>
      </c>
    </row>
    <row r="345">
      <c r="A345" s="3" t="inlineStr">
        <is>
          <t>MK-CF-F-066</t>
        </is>
      </c>
      <c r="B345" s="3" t="inlineStr">
        <is>
          <t>rsuAnnual</t>
        </is>
      </c>
      <c r="C345" s="3" t="inlineStr">
        <is>
          <t>src/domain/income/onboarding.ts</t>
        </is>
      </c>
      <c r="D345" s="3" t="n">
        <v>114</v>
      </c>
      <c r="E345" s="3" t="inlineStr">
        <is>
          <t>2 · DISPLAYED</t>
        </is>
      </c>
      <c r="F345" s="3" t="inlineStr">
        <is>
          <t>Annual equity-comp run-rate: total scheduled value spread over the years it vests across (a level annual figure for the income estimate).</t>
        </is>
      </c>
      <c r="G345" s="3" t="inlineStr">
        <is>
          <t>op: OnboardingProfile | null</t>
        </is>
      </c>
      <c r="H345" s="3" t="inlineStr">
        <is>
          <t>number</t>
        </is>
      </c>
      <c r="I345" s="3" t="inlineStr">
        <is>
          <t>NOT FOUND — a screen calls it, but the words printed beside its answer could not be traced automatically. Needs reading.</t>
        </is>
      </c>
      <c r="J345" s="3" t="inlineStr">
        <is>
          <t>· Leaves some rows out of the answer — check which.</t>
        </is>
      </c>
      <c r="K345" s="3" t="inlineStr">
        <is>
          <t>Yes</t>
        </is>
      </c>
      <c r="L345" s="3" t="inlineStr">
        <is>
          <t>MK-CF-F-062 equityRowValue · MK-CF-F-063 rowVestYear · MK-ST-F-052 toNum</t>
        </is>
      </c>
      <c r="M345" s="3" t="n">
        <v>3</v>
      </c>
      <c r="N345" s="3" t="inlineStr">
        <is>
          <t>MK-CF-F-062 equityRowValue · MK-CF-F-063 rowVestYear · MK-ST-F-052 toNum</t>
        </is>
      </c>
      <c r="O345" s="3" t="inlineStr">
        <is>
          <t>MK-ST-F-052 toNum → MK-CF-F-062 equityRowValue → MK-CF-F-066 rsuAnnual
MK-CF-F-063 rowVestYear → MK-CF-F-066 rsuAnnual
MK-ST-F-052 toNum → MK-CF-F-066 rsuAnnual</t>
        </is>
      </c>
      <c r="P345" s="3" t="inlineStr">
        <is>
          <t>—</t>
        </is>
      </c>
      <c r="Q345" s="3" t="inlineStr">
        <is>
          <t>EQUITY_THIS_YEAR</t>
        </is>
      </c>
    </row>
    <row r="346">
      <c r="A346" s="3" t="inlineStr">
        <is>
          <t>MK-XS-F-116</t>
        </is>
      </c>
      <c r="B346" s="3" t="inlineStr">
        <is>
          <t>runSnapTradeSync</t>
        </is>
      </c>
      <c r="C346" s="3" t="inlineStr">
        <is>
          <t>src/services/sync/snaptradeSync.ts</t>
        </is>
      </c>
      <c r="D346" s="3" t="n">
        <v>43</v>
      </c>
      <c r="E346" s="3" t="inlineStr">
        <is>
          <t>2 · DISPLAYED</t>
        </is>
      </c>
      <c r="F346" s="3" t="inlineStr">
        <is>
          <t>Full sync. Returns the number of accounts synced (0 = nothing connected). */</t>
        </is>
      </c>
      <c r="G346" s="3" t="inlineStr">
        <is>
          <t>opts: { force?: boolean } = {} · reads the app's stored data</t>
        </is>
      </c>
      <c r="H346" s="3" t="inlineStr">
        <is>
          <t>Promise&lt;number&gt;</t>
        </is>
      </c>
      <c r="I346" s="3" t="inlineStr">
        <is>
          <t>NOT FOUND — a screen calls it, but the words printed beside its answer could not be traced automatically. Needs reading.</t>
        </is>
      </c>
      <c r="J346" s="3" t="inlineStr">
        <is>
          <t>· Uses today's date from the device clock, so the answer changes by itself overnight.
· Leaves some rows out of the answer — check which.</t>
        </is>
      </c>
      <c r="K346" s="3" t="inlineStr">
        <is>
          <t>Yes</t>
        </is>
      </c>
      <c r="L346" s="3" t="inlineStr">
        <is>
          <t>MK-XS-F-115 shouldDailySync · MK-XS-F-113 snaptradeConfigured · MK-XS-F-101 stAssetId · MK-XS-F-114 usdCash</t>
        </is>
      </c>
      <c r="M346" s="3" t="n">
        <v>6</v>
      </c>
      <c r="N346" s="3" t="inlineStr">
        <is>
          <t>MK-XS-F-115 shouldDailySync · MK-XS-F-113 snaptradeConfigured · MK-XS-F-101 stAssetId · MK-XS-F-114 usdCash · MK-XS-F-064 currentIdToken · MK-XS-F-112 relayUrl</t>
        </is>
      </c>
      <c r="O346" s="3" t="inlineStr">
        <is>
          <t>MK-XS-F-115 shouldDailySync → MK-XS-F-116 runSnapTradeSync
MK-XS-F-064 currentIdToken → MK-XS-F-113 snaptradeConfigured → MK-XS-F-116 runSnapTradeSync
MK-XS-F-112 relayUrl → MK-XS-F-113 snaptradeConfigured → MK-XS-F-116 runSnapTradeSync
MK-XS-F-101 stAssetId → MK-XS-F-116 runSnapTradeSync
MK-XS-F-114 usdCash → MK-XS-F-116 runSnapTradeSync</t>
        </is>
      </c>
      <c r="P346" s="3" t="inlineStr">
        <is>
          <t>—</t>
        </is>
      </c>
      <c r="Q346" s="3" t="inlineStr">
        <is>
          <t>—</t>
        </is>
      </c>
    </row>
    <row r="347">
      <c r="A347" s="3" t="inlineStr">
        <is>
          <t>MK-CF-F-081</t>
        </is>
      </c>
      <c r="B347" s="3" t="inlineStr">
        <is>
          <t>salaryActiveMonths</t>
        </is>
      </c>
      <c r="C347" s="3" t="inlineStr">
        <is>
          <t>src/domain/income/onboarding.ts</t>
        </is>
      </c>
      <c r="D347" s="3" t="n">
        <v>327</v>
      </c>
      <c r="E347" s="3" t="inlineStr">
        <is>
          <t>2 · DISPLAYED</t>
        </is>
      </c>
      <c r="F347" s="3" t="inlineStr">
        <is>
          <t>How many months of the year you draw a salary.</t>
        </is>
      </c>
      <c r="G347" s="3" t="inlineStr">
        <is>
          <t>op: OnboardingProfile | null · _now: Date = new Date()</t>
        </is>
      </c>
      <c r="H347" s="3" t="inlineStr">
        <is>
          <t>number</t>
        </is>
      </c>
      <c r="I347" s="3" t="inlineStr">
        <is>
          <t>NOT FOUND — a screen calls it, but the words printed beside its answer could not be traced automatically. Needs reading.</t>
        </is>
      </c>
      <c r="J347" s="3" t="inlineStr">
        <is>
          <t>· Uses today's date from the device clock, so the answer changes by itself overnight.
· Leaves some rows out of the answer — check which.</t>
        </is>
      </c>
      <c r="K347" s="3" t="inlineStr">
        <is>
          <t>Yes</t>
        </is>
      </c>
      <c r="L347" s="3" t="inlineStr">
        <is>
          <t>MK-CF-F-060 salaryGrossByMonth</t>
        </is>
      </c>
      <c r="M347" s="3" t="n">
        <v>6</v>
      </c>
      <c r="N347" s="3" t="inlineStr">
        <is>
          <t>MK-CF-F-060 salaryGrossByMonth · MK-CF-F-097 grossFromNet · MK-ST-F-055 round2 · MK-ST-F-052 toNum · MK-CF-F-095 taxOwed · MK-CF-F-093 taxableIncome</t>
        </is>
      </c>
      <c r="O347" s="3" t="inlineStr">
        <is>
          <t>MK-CF-F-093 taxableIncome → MK-CF-F-095 taxOwed → MK-CF-F-097 grossFromNet → MK-CF-F-060 salaryGrossByMonth → MK-CF-F-081 salaryActiveMonths
MK-ST-F-055 round2 → MK-CF-F-060 salaryGrossByMonth → MK-CF-F-081 salaryActiveMonths
MK-ST-F-052 toNum → MK-CF-F-060 salaryGrossByMonth → MK-CF-F-081 salaryActiveMonths</t>
        </is>
      </c>
      <c r="P347" s="3" t="inlineStr">
        <is>
          <t>—</t>
        </is>
      </c>
      <c r="Q347" s="3" t="inlineStr">
        <is>
          <t>MONTHS_WORKED</t>
        </is>
      </c>
    </row>
    <row r="348">
      <c r="A348" s="3" t="inlineStr">
        <is>
          <t>MK-CF-F-082</t>
        </is>
      </c>
      <c r="B348" s="3" t="inlineStr">
        <is>
          <t>salaryAnnual</t>
        </is>
      </c>
      <c r="C348" s="3" t="inlineStr">
        <is>
          <t>src/domain/income/onboarding.ts</t>
        </is>
      </c>
      <c r="D348" s="3" t="n">
        <v>331</v>
      </c>
      <c r="E348" s="3" t="inlineStr">
        <is>
          <t>2 · DISPLAYED</t>
        </is>
      </c>
      <c r="F348" s="3" t="inlineStr">
        <is>
          <t>Salary income for the year = sum of the per-month gross salary.</t>
        </is>
      </c>
      <c r="G348" s="3" t="inlineStr">
        <is>
          <t>op: OnboardingProfile | null · _now: Date = new Date()</t>
        </is>
      </c>
      <c r="H348" s="3" t="inlineStr">
        <is>
          <t>number</t>
        </is>
      </c>
      <c r="I348" s="3" t="inlineStr">
        <is>
          <t>NOT FOUND — a screen calls it, but the words printed beside its answer could not be traced automatically. Needs reading.</t>
        </is>
      </c>
      <c r="J348" s="3" t="inlineStr">
        <is>
          <t>· Uses today's date from the device clock, so the answer changes by itself overnight.</t>
        </is>
      </c>
      <c r="K348" s="3" t="inlineStr">
        <is>
          <t>Yes</t>
        </is>
      </c>
      <c r="L348" s="3" t="inlineStr">
        <is>
          <t>MK-CF-F-060 salaryGrossByMonth</t>
        </is>
      </c>
      <c r="M348" s="3" t="n">
        <v>6</v>
      </c>
      <c r="N348" s="3" t="inlineStr">
        <is>
          <t>MK-CF-F-060 salaryGrossByMonth · MK-CF-F-097 grossFromNet · MK-ST-F-055 round2 · MK-ST-F-052 toNum · MK-CF-F-095 taxOwed · MK-CF-F-093 taxableIncome</t>
        </is>
      </c>
      <c r="O348" s="3" t="inlineStr">
        <is>
          <t>MK-CF-F-093 taxableIncome → MK-CF-F-095 taxOwed → MK-CF-F-097 grossFromNet → MK-CF-F-060 salaryGrossByMonth → MK-CF-F-082 salaryAnnual
MK-ST-F-055 round2 → MK-CF-F-060 salaryGrossByMonth → MK-CF-F-082 salaryAnnual
MK-ST-F-052 toNum → MK-CF-F-060 salaryGrossByMonth → MK-CF-F-082 salaryAnnual</t>
        </is>
      </c>
      <c r="P348" s="3" t="inlineStr">
        <is>
          <t>—</t>
        </is>
      </c>
      <c r="Q348" s="3" t="inlineStr">
        <is>
          <t>SALARY_A_YEAR</t>
        </is>
      </c>
    </row>
    <row r="349">
      <c r="A349" s="3" t="inlineStr">
        <is>
          <t>MK-CF-F-060</t>
        </is>
      </c>
      <c r="B349" s="3" t="inlineStr">
        <is>
          <t>salaryGrossByMonth</t>
        </is>
      </c>
      <c r="C349" s="3" t="inlineStr">
        <is>
          <t>src/domain/income/onboarding.ts</t>
        </is>
      </c>
      <c r="D349" s="3" t="n">
        <v>46</v>
      </c>
      <c r="E349" s="3" t="inlineStr">
        <is>
          <t>2 · DISPLAYED</t>
        </is>
      </c>
      <c r="F349" s="3" t="inlineStr">
        <is>
          <t>Per-month GROSS base salary, Jan→Dec.</t>
        </is>
      </c>
      <c r="G349" s="3" t="inlineStr">
        <is>
          <t>op: OnboardingProfile | null</t>
        </is>
      </c>
      <c r="H349" s="3" t="inlineStr">
        <is>
          <t>number[]</t>
        </is>
      </c>
      <c r="I349" s="3" t="inlineStr">
        <is>
          <t>NOT FOUND — a screen calls it, but the words printed beside its answer could not be traced automatically. Needs reading.</t>
        </is>
      </c>
      <c r="J349" s="3" t="inlineStr">
        <is>
          <t>None found in this function — anything it assumes comes from the functions it depends on.</t>
        </is>
      </c>
      <c r="K349" s="3" t="inlineStr">
        <is>
          <t>Yes</t>
        </is>
      </c>
      <c r="L349" s="3" t="inlineStr">
        <is>
          <t>MK-CF-F-097 grossFromNet · MK-ST-F-055 round2 · MK-ST-F-052 toNum</t>
        </is>
      </c>
      <c r="M349" s="3" t="n">
        <v>5</v>
      </c>
      <c r="N349" s="3" t="inlineStr">
        <is>
          <t>MK-CF-F-097 grossFromNet · MK-ST-F-055 round2 · MK-ST-F-052 toNum · MK-CF-F-095 taxOwed · MK-CF-F-093 taxableIncome</t>
        </is>
      </c>
      <c r="O349" s="3" t="inlineStr">
        <is>
          <t>MK-CF-F-093 taxableIncome → MK-CF-F-095 taxOwed → MK-CF-F-097 grossFromNet → MK-CF-F-060 salaryGrossByMonth
MK-ST-F-055 round2 → MK-CF-F-060 salaryGrossByMonth
MK-ST-F-052 toNum → MK-CF-F-060 salaryGrossByMonth</t>
        </is>
      </c>
      <c r="P349" s="3" t="inlineStr">
        <is>
          <t>—</t>
        </is>
      </c>
      <c r="Q349" s="3" t="inlineStr">
        <is>
          <t>SALARY_BY_MONTH</t>
        </is>
      </c>
    </row>
    <row r="350">
      <c r="A350" s="3" t="inlineStr">
        <is>
          <t>MK-PL-F-028</t>
        </is>
      </c>
      <c r="B350" s="3" t="inlineStr">
        <is>
          <t>sampleAskLine</t>
        </is>
      </c>
      <c r="C350" s="3" t="inlineStr">
        <is>
          <t>src/domain/planning/hub.ts</t>
        </is>
      </c>
      <c r="D350" s="3" t="n">
        <v>152</v>
      </c>
      <c r="E350" s="3" t="inlineStr">
        <is>
          <t>2 · DISPLAYED</t>
        </is>
      </c>
      <c r="F350" s="3" t="inlineStr">
        <is>
          <t>The invitation under a sample: name the answers still missing, so a dead end becomes one tap.</t>
        </is>
      </c>
      <c r="G350" s="3" t="inlineStr">
        <is>
          <t>missing: string[]</t>
        </is>
      </c>
      <c r="H350" s="3" t="inlineStr">
        <is>
          <t>string</t>
        </is>
      </c>
      <c r="I350" s="3" t="inlineStr">
        <is>
          <t>NOT FOUND — a screen calls it, but the words printed beside its answer could not be traced automatically. Needs reading.</t>
        </is>
      </c>
      <c r="J350" s="3" t="inlineStr">
        <is>
          <t>None found in this function — anything it assumes comes from the functions it depends on.</t>
        </is>
      </c>
      <c r="K350" s="3" t="inlineStr">
        <is>
          <t>Yes</t>
        </is>
      </c>
      <c r="L350" s="3" t="inlineStr">
        <is>
          <t>—</t>
        </is>
      </c>
      <c r="M350" s="3" t="n">
        <v>0</v>
      </c>
      <c r="N350" s="3" t="inlineStr">
        <is>
          <t>None — no dependent function stands behind it</t>
        </is>
      </c>
      <c r="O350" s="3" t="inlineStr">
        <is>
          <t>No dependent function — it reads its inputs and answers</t>
        </is>
      </c>
      <c r="P350" s="3" t="inlineStr">
        <is>
          <t>—</t>
        </is>
      </c>
      <c r="Q350" s="3" t="inlineStr">
        <is>
          <t>SAMPLE_ASK_SENTENCE</t>
        </is>
      </c>
    </row>
    <row r="351">
      <c r="A351" s="3" t="inlineStr">
        <is>
          <t>MK-PL-F-025</t>
        </is>
      </c>
      <c r="B351" s="3" t="inlineStr">
        <is>
          <t>sampleOddsLine</t>
        </is>
      </c>
      <c r="C351" s="3" t="inlineStr">
        <is>
          <t>src/domain/planning/hub.ts</t>
        </is>
      </c>
      <c r="D351" s="3" t="n">
        <v>34</v>
      </c>
      <c r="E351" s="3" t="inlineStr">
        <is>
          <t>2 · DISPLAYED</t>
        </is>
      </c>
      <c r="F351" s="3" t="inlineStr">
        <is>
          <t>The same sentence for the app-wide SAMPLE, always labelled as one.</t>
        </is>
      </c>
      <c r="G351" s="3" t="inlineStr">
        <is>
          <t>horizonAge: number = SAMPLE_HORIZON</t>
        </is>
      </c>
      <c r="H351" s="3" t="inlineStr">
        <is>
          <t>string</t>
        </is>
      </c>
      <c r="I351" s="3" t="inlineStr">
        <is>
          <t>"YOUR RETIREMENT PLAN" — on the Net worth screen, under "YOUR RETIREMENT PLAN"</t>
        </is>
      </c>
      <c r="J351" s="3" t="inlineStr">
        <is>
          <t>None found in this function — anything it assumes comes from the functions it depends on.</t>
        </is>
      </c>
      <c r="K351" s="3" t="inlineStr">
        <is>
          <t>Yes</t>
        </is>
      </c>
      <c r="L351" s="3" t="inlineStr">
        <is>
          <t>—</t>
        </is>
      </c>
      <c r="M351" s="3" t="n">
        <v>0</v>
      </c>
      <c r="N351" s="3" t="inlineStr">
        <is>
          <t>None — no dependent function stands behind it</t>
        </is>
      </c>
      <c r="O351" s="3" t="inlineStr">
        <is>
          <t>No dependent function — it reads its inputs and answers</t>
        </is>
      </c>
      <c r="P351" s="3" t="inlineStr">
        <is>
          <t>—</t>
        </is>
      </c>
      <c r="Q351" s="3" t="inlineStr">
        <is>
          <t>SAMPLE_ODDS_SENTENCE</t>
        </is>
      </c>
    </row>
    <row r="352">
      <c r="A352" s="3" t="inlineStr">
        <is>
          <t>MK-NW-F-043</t>
        </is>
      </c>
      <c r="B352" s="3" t="inlineStr">
        <is>
          <t>saveAssets</t>
        </is>
      </c>
      <c r="C352" s="3" t="inlineStr">
        <is>
          <t>src/domain/assets/index.ts</t>
        </is>
      </c>
      <c r="D352" s="3" t="n">
        <v>703</v>
      </c>
      <c r="E352" s="3" t="inlineStr">
        <is>
          <t>1 · ACTION</t>
        </is>
      </c>
      <c r="F352" s="3" t="inlineStr">
        <is>
          <t>NOT DETERMINED — the code carries no note saying what this is for, and it has no row in the old inventory. Needs reading.</t>
        </is>
      </c>
      <c r="G352" s="3" t="inlineStr">
        <is>
          <t>d: AssetsDoc</t>
        </is>
      </c>
      <c r="H352" s="3" t="inlineStr">
        <is>
          <t>d.user_id }); }</t>
        </is>
      </c>
      <c r="I352" s="3" t="inlineStr">
        <is>
          <t>—</t>
        </is>
      </c>
      <c r="J352" s="3" t="inlineStr">
        <is>
          <t>None found in this function — anything it assumes comes from the functions it depends on.</t>
        </is>
      </c>
      <c r="K352" s="3" t="inlineStr">
        <is>
          <t>No</t>
        </is>
      </c>
      <c r="L352" s="3" t="inlineStr">
        <is>
          <t>MK-ST-F-040 emit · MK-ST-F-042 setUserDoc</t>
        </is>
      </c>
      <c r="M352" s="3" t="n">
        <v>2</v>
      </c>
      <c r="N352" s="3" t="inlineStr">
        <is>
          <t>MK-ST-F-040 emit · MK-ST-F-042 setUserDoc</t>
        </is>
      </c>
      <c r="O352" s="3" t="inlineStr">
        <is>
          <t>MK-ST-F-040 emit → MK-NW-F-043 saveAssets
MK-ST-F-042 setUserDoc → MK-NW-F-043 saveAssets</t>
        </is>
      </c>
      <c r="P352" s="3" t="inlineStr">
        <is>
          <t>—</t>
        </is>
      </c>
      <c r="Q352" s="3" t="inlineStr">
        <is>
          <t>—</t>
        </is>
      </c>
    </row>
    <row r="353">
      <c r="A353" s="3" t="inlineStr">
        <is>
          <t>MK-CF-F-016</t>
        </is>
      </c>
      <c r="B353" s="3" t="inlineStr">
        <is>
          <t>saveBudget</t>
        </is>
      </c>
      <c r="C353" s="3" t="inlineStr">
        <is>
          <t>src/domain/budget/index.ts</t>
        </is>
      </c>
      <c r="D353" s="3" t="n">
        <v>285</v>
      </c>
      <c r="E353" s="3" t="inlineStr">
        <is>
          <t>1 · ACTION</t>
        </is>
      </c>
      <c r="F353" s="3" t="inlineStr">
        <is>
          <t>NOT DETERMINED — the code carries no note saying what this is for, and it has no row in the old inventory. Needs reading.</t>
        </is>
      </c>
      <c r="G353" s="3" t="inlineStr">
        <is>
          <t>d: BudgetDoc</t>
        </is>
      </c>
      <c r="H353" s="3" t="inlineStr">
        <is>
          <t>NOT DECLARED — the code does not say what it gives back</t>
        </is>
      </c>
      <c r="I353" s="3" t="inlineStr">
        <is>
          <t>—</t>
        </is>
      </c>
      <c r="J353" s="3" t="inlineStr">
        <is>
          <t>None found in this function — anything it assumes comes from the functions it depends on.</t>
        </is>
      </c>
      <c r="K353" s="3" t="inlineStr">
        <is>
          <t>No</t>
        </is>
      </c>
      <c r="L353" s="3" t="inlineStr">
        <is>
          <t>MK-ST-F-042 setUserDoc</t>
        </is>
      </c>
      <c r="M353" s="3" t="n">
        <v>1</v>
      </c>
      <c r="N353" s="3" t="inlineStr">
        <is>
          <t>MK-ST-F-042 setUserDoc</t>
        </is>
      </c>
      <c r="O353" s="3" t="inlineStr">
        <is>
          <t>MK-ST-F-042 setUserDoc → MK-CF-F-016 saveBudget</t>
        </is>
      </c>
      <c r="P353" s="3" t="inlineStr">
        <is>
          <t>—</t>
        </is>
      </c>
      <c r="Q353" s="3" t="inlineStr">
        <is>
          <t>—</t>
        </is>
      </c>
    </row>
    <row r="354">
      <c r="A354" s="3" t="inlineStr">
        <is>
          <t>MK-CF-F-040</t>
        </is>
      </c>
      <c r="B354" s="3" t="inlineStr">
        <is>
          <t>saveDebt</t>
        </is>
      </c>
      <c r="C354" s="3" t="inlineStr">
        <is>
          <t>src/domain/debt/index.ts</t>
        </is>
      </c>
      <c r="D354" s="3" t="n">
        <v>258</v>
      </c>
      <c r="E354" s="3" t="inlineStr">
        <is>
          <t>1 · ACTION</t>
        </is>
      </c>
      <c r="F354" s="3" t="inlineStr">
        <is>
          <t>NOT DETERMINED — the code carries no note saying what this is for, and it has no row in the old inventory. Needs reading.</t>
        </is>
      </c>
      <c r="G354" s="3" t="inlineStr">
        <is>
          <t>d: DebtDoc</t>
        </is>
      </c>
      <c r="H354" s="3" t="inlineStr">
        <is>
          <t>d.user_id }); }</t>
        </is>
      </c>
      <c r="I354" s="3" t="inlineStr">
        <is>
          <t>—</t>
        </is>
      </c>
      <c r="J354" s="3" t="inlineStr">
        <is>
          <t>None found in this function — anything it assumes comes from the functions it depends on.</t>
        </is>
      </c>
      <c r="K354" s="3" t="inlineStr">
        <is>
          <t>No</t>
        </is>
      </c>
      <c r="L354" s="3" t="inlineStr">
        <is>
          <t>MK-ST-F-040 emit · MK-ST-F-042 setUserDoc</t>
        </is>
      </c>
      <c r="M354" s="3" t="n">
        <v>2</v>
      </c>
      <c r="N354" s="3" t="inlineStr">
        <is>
          <t>MK-ST-F-040 emit · MK-ST-F-042 setUserDoc</t>
        </is>
      </c>
      <c r="O354" s="3" t="inlineStr">
        <is>
          <t>MK-ST-F-040 emit → MK-CF-F-040 saveDebt
MK-ST-F-042 setUserDoc → MK-CF-F-040 saveDebt</t>
        </is>
      </c>
      <c r="P354" s="3" t="inlineStr">
        <is>
          <t>—</t>
        </is>
      </c>
      <c r="Q354" s="3" t="inlineStr">
        <is>
          <t>—</t>
        </is>
      </c>
    </row>
    <row r="355">
      <c r="A355" s="3" t="inlineStr">
        <is>
          <t>MK-PL-F-015</t>
        </is>
      </c>
      <c r="B355" s="3" t="inlineStr">
        <is>
          <t>saveGoals</t>
        </is>
      </c>
      <c r="C355" s="3" t="inlineStr">
        <is>
          <t>src/domain/goals/index.ts</t>
        </is>
      </c>
      <c r="D355" s="3" t="n">
        <v>65</v>
      </c>
      <c r="E355" s="3" t="inlineStr">
        <is>
          <t>1 · ACTION</t>
        </is>
      </c>
      <c r="F355" s="3" t="inlineStr">
        <is>
          <t>NOT DETERMINED — the code carries no note saying what this is for, and it has no row in the old inventory. Needs reading.</t>
        </is>
      </c>
      <c r="G355" s="3" t="inlineStr">
        <is>
          <t>d: GoalsDoc</t>
        </is>
      </c>
      <c r="H355" s="3" t="inlineStr">
        <is>
          <t>NOT DECLARED — the code does not say what it gives back</t>
        </is>
      </c>
      <c r="I355" s="3" t="inlineStr">
        <is>
          <t>—</t>
        </is>
      </c>
      <c r="J355" s="3" t="inlineStr">
        <is>
          <t>None found in this function — anything it assumes comes from the functions it depends on.</t>
        </is>
      </c>
      <c r="K355" s="3" t="inlineStr">
        <is>
          <t>No</t>
        </is>
      </c>
      <c r="L355" s="3" t="inlineStr">
        <is>
          <t>MK-ST-F-042 setUserDoc</t>
        </is>
      </c>
      <c r="M355" s="3" t="n">
        <v>1</v>
      </c>
      <c r="N355" s="3" t="inlineStr">
        <is>
          <t>MK-ST-F-042 setUserDoc</t>
        </is>
      </c>
      <c r="O355" s="3" t="inlineStr">
        <is>
          <t>MK-ST-F-042 setUserDoc → MK-PL-F-015 saveGoals</t>
        </is>
      </c>
      <c r="P355" s="3" t="inlineStr">
        <is>
          <t>—</t>
        </is>
      </c>
      <c r="Q355" s="3" t="inlineStr">
        <is>
          <t>—</t>
        </is>
      </c>
    </row>
    <row r="356">
      <c r="A356" s="3" t="inlineStr">
        <is>
          <t>MK-CF-F-051</t>
        </is>
      </c>
      <c r="B356" s="3" t="inlineStr">
        <is>
          <t>saveIncome</t>
        </is>
      </c>
      <c r="C356" s="3" t="inlineStr">
        <is>
          <t>src/domain/income/index.ts</t>
        </is>
      </c>
      <c r="D356" s="3" t="n">
        <v>23</v>
      </c>
      <c r="E356" s="3" t="inlineStr">
        <is>
          <t>1 · ACTION</t>
        </is>
      </c>
      <c r="F356" s="3" t="inlineStr">
        <is>
          <t>NOT DETERMINED — the code carries no note saying what this is for, and it has no row in the old inventory. Needs reading.</t>
        </is>
      </c>
      <c r="G356" s="3" t="inlineStr">
        <is>
          <t>docData: IncomeDoc</t>
        </is>
      </c>
      <c r="H356" s="3" t="inlineStr">
        <is>
          <t>Promise&lt;void&gt;</t>
        </is>
      </c>
      <c r="I356" s="3" t="inlineStr">
        <is>
          <t>—</t>
        </is>
      </c>
      <c r="J356" s="3" t="inlineStr">
        <is>
          <t>None found in this function — anything it assumes comes from the functions it depends on.</t>
        </is>
      </c>
      <c r="K356" s="3" t="inlineStr">
        <is>
          <t>Yes</t>
        </is>
      </c>
      <c r="L356" s="3" t="inlineStr">
        <is>
          <t>MK-ST-F-040 emit · MK-ST-F-042 setUserDoc</t>
        </is>
      </c>
      <c r="M356" s="3" t="n">
        <v>2</v>
      </c>
      <c r="N356" s="3" t="inlineStr">
        <is>
          <t>MK-ST-F-040 emit · MK-ST-F-042 setUserDoc</t>
        </is>
      </c>
      <c r="O356" s="3" t="inlineStr">
        <is>
          <t>MK-ST-F-040 emit → MK-CF-F-051 saveIncome
MK-ST-F-042 setUserDoc → MK-CF-F-051 saveIncome</t>
        </is>
      </c>
      <c r="P356" s="3" t="inlineStr">
        <is>
          <t>—</t>
        </is>
      </c>
      <c r="Q356" s="3" t="inlineStr">
        <is>
          <t>—</t>
        </is>
      </c>
    </row>
    <row r="357">
      <c r="A357" s="3" t="inlineStr">
        <is>
          <t>MK-XS-F-022</t>
        </is>
      </c>
      <c r="B357" s="3" t="inlineStr">
        <is>
          <t>saveProfile</t>
        </is>
      </c>
      <c r="C357" s="3" t="inlineStr">
        <is>
          <t>src/domain/profile/index.ts</t>
        </is>
      </c>
      <c r="D357" s="3" t="n">
        <v>21</v>
      </c>
      <c r="E357" s="3" t="inlineStr">
        <is>
          <t>1 · ACTION</t>
        </is>
      </c>
      <c r="F357" s="3" t="inlineStr">
        <is>
          <t>NOT DETERMINED — the code carries no note saying what this is for, and it has no row in the old inventory. Needs reading.</t>
        </is>
      </c>
      <c r="G357" s="3" t="inlineStr">
        <is>
          <t>profile: Profile</t>
        </is>
      </c>
      <c r="H357" s="3" t="inlineStr">
        <is>
          <t>Promise&lt;void&gt;</t>
        </is>
      </c>
      <c r="I357" s="3" t="inlineStr">
        <is>
          <t>—</t>
        </is>
      </c>
      <c r="J357" s="3" t="inlineStr">
        <is>
          <t>None found in this function — anything it assumes comes from the functions it depends on.</t>
        </is>
      </c>
      <c r="K357" s="3" t="inlineStr">
        <is>
          <t>Yes</t>
        </is>
      </c>
      <c r="L357" s="3" t="inlineStr">
        <is>
          <t>MK-ST-F-040 emit · MK-ST-F-042 setUserDoc</t>
        </is>
      </c>
      <c r="M357" s="3" t="n">
        <v>2</v>
      </c>
      <c r="N357" s="3" t="inlineStr">
        <is>
          <t>MK-ST-F-040 emit · MK-ST-F-042 setUserDoc</t>
        </is>
      </c>
      <c r="O357" s="3" t="inlineStr">
        <is>
          <t>MK-ST-F-040 emit → MK-XS-F-022 saveProfile
MK-ST-F-042 setUserDoc → MK-XS-F-022 saveProfile</t>
        </is>
      </c>
      <c r="P357" s="3" t="inlineStr">
        <is>
          <t>—</t>
        </is>
      </c>
      <c r="Q357" s="3" t="inlineStr">
        <is>
          <t>—</t>
        </is>
      </c>
    </row>
    <row r="358">
      <c r="A358" s="3" t="inlineStr">
        <is>
          <t>MK-XS-F-073</t>
        </is>
      </c>
      <c r="B358" s="3" t="inlineStr">
        <is>
          <t>saveUserData</t>
        </is>
      </c>
      <c r="C358" s="3" t="inlineStr">
        <is>
          <t>src/services/firebase.ts</t>
        </is>
      </c>
      <c r="D358" s="3" t="n">
        <v>216</v>
      </c>
      <c r="E358" s="3" t="inlineStr">
        <is>
          <t>1 · ACTION</t>
        </is>
      </c>
      <c r="F358" s="3" t="inlineStr">
        <is>
          <t>Sync fields stored ENCRYPTED under users/{uid}.appStateEnc (zero-knowledge — see dataCrypto.ts).</t>
        </is>
      </c>
      <c r="G358" s="3" t="inlineStr">
        <is>
          <t>uid: string · data: object</t>
        </is>
      </c>
      <c r="H358" s="3" t="inlineStr">
        <is>
          <t>NOT DECLARED — the code does not say what it gives back</t>
        </is>
      </c>
      <c r="I358" s="3" t="inlineStr">
        <is>
          <t>—</t>
        </is>
      </c>
      <c r="J358" s="3" t="inlineStr">
        <is>
          <t>None found in this function — anything it assumes comes from the functions it depends on.</t>
        </is>
      </c>
      <c r="K358" s="3" t="inlineStr">
        <is>
          <t>Yes</t>
        </is>
      </c>
      <c r="L358" s="3" t="inlineStr">
        <is>
          <t>MK-XS-F-054 encryptForSync</t>
        </is>
      </c>
      <c r="M358" s="3" t="n">
        <v>3</v>
      </c>
      <c r="N358" s="3" t="inlineStr">
        <is>
          <t>MK-XS-F-054 encryptForSync · MK-XS-F-052 encryptWithKey · MK-XS-F-042 getDataKey</t>
        </is>
      </c>
      <c r="O358" s="3" t="inlineStr">
        <is>
          <t>MK-XS-F-052 encryptWithKey → MK-XS-F-054 encryptForSync → MK-XS-F-073 saveUserData
MK-XS-F-042 getDataKey → MK-XS-F-054 encryptForSync → MK-XS-F-073 saveUserData</t>
        </is>
      </c>
      <c r="P358" s="3" t="inlineStr">
        <is>
          <t>—</t>
        </is>
      </c>
      <c r="Q358" s="3" t="inlineStr">
        <is>
          <t>—</t>
        </is>
      </c>
    </row>
    <row r="359">
      <c r="A359" s="3" t="inlineStr">
        <is>
          <t>MK-PL-F-042</t>
        </is>
      </c>
      <c r="B359" s="3" t="inlineStr">
        <is>
          <t>savingToReachTarget</t>
        </is>
      </c>
      <c r="C359" s="3" t="inlineStr">
        <is>
          <t>src/domain/planning/target.ts</t>
        </is>
      </c>
      <c r="D359" s="3" t="n">
        <v>89</v>
      </c>
      <c r="E359" s="3" t="inlineStr">
        <is>
          <t>3 · DEPENDENT</t>
        </is>
      </c>
      <c r="F359" s="3" t="inlineStr">
        <is>
          <t>The yearly saving whose PROJECTION reaches a typed target.</t>
        </is>
      </c>
      <c r="G359" s="3" t="inlineStr">
        <is>
          <t>base: RetirementInputs · typedTarget: number</t>
        </is>
      </c>
      <c r="H359" s="3" t="inlineStr">
        <is>
          <t>NOT DECLARED — the code does not say what it gives back</t>
        </is>
      </c>
      <c r="I359" s="3" t="inlineStr">
        <is>
          <t>—</t>
        </is>
      </c>
      <c r="J359" s="3" t="inlineStr">
        <is>
          <t>· If annual contribution is missing it uses 0.</t>
        </is>
      </c>
      <c r="K359" s="3" t="inlineStr">
        <is>
          <t>Yes</t>
        </is>
      </c>
      <c r="L359" s="3" t="inlineStr">
        <is>
          <t>MK-PL-F-050 simulate</t>
        </is>
      </c>
      <c r="M359" s="3" t="n">
        <v>4</v>
      </c>
      <c r="N359" s="3" t="inlineStr">
        <is>
          <t>MK-PL-F-050 simulate · MK-ST-F-025 rmdStartAgeFromAge · MK-ST-F-055 round2 · MK-ST-F-024 rmdStartAge</t>
        </is>
      </c>
      <c r="O359" s="3" t="inlineStr">
        <is>
          <t>MK-ST-F-024 rmdStartAge → MK-ST-F-025 rmdStartAgeFromAge → MK-PL-F-050 simulate → MK-PL-F-042 savingToReachTarget
MK-ST-F-055 round2 → MK-PL-F-050 simulate → MK-PL-F-042 savingToReachTarget</t>
        </is>
      </c>
      <c r="P359" s="3" t="inlineStr">
        <is>
          <t>—</t>
        </is>
      </c>
      <c r="Q359" s="3" t="inlineStr">
        <is>
          <t>—</t>
        </is>
      </c>
    </row>
    <row r="360">
      <c r="A360" s="3" t="inlineStr">
        <is>
          <t>MK-CF-F-011</t>
        </is>
      </c>
      <c r="B360" s="3" t="inlineStr">
        <is>
          <t>savingsByMonth</t>
        </is>
      </c>
      <c r="C360" s="3" t="inlineStr">
        <is>
          <t>src/domain/budget/index.ts</t>
        </is>
      </c>
      <c r="D360" s="3" t="n">
        <v>208</v>
      </c>
      <c r="E360" s="3" t="inlineStr">
        <is>
          <t>2 · DISPLAYED</t>
        </is>
      </c>
      <c r="F360" s="3" t="inlineStr">
        <is>
          <t>Discretionary amount free to save each month = take-home that month (after tax &amp; 401k) minus the spending due that month.</t>
        </is>
      </c>
      <c r="G360" s="3" t="inlineStr">
        <is>
          <t>op: OnboardingProfile | null</t>
        </is>
      </c>
      <c r="H360" s="3" t="inlineStr">
        <is>
          <t>NOT DECLARED — the code does not say what it gives back</t>
        </is>
      </c>
      <c r="I360" s="3" t="inlineStr">
        <is>
          <t>NOT FOUND — a screen calls it, but the words printed beside its answer could not be traced automatically. Needs reading.</t>
        </is>
      </c>
      <c r="J360" s="3" t="inlineStr">
        <is>
          <t>None found in this function — anything it assumes comes from the functions it depends on.</t>
        </is>
      </c>
      <c r="K360" s="3" t="inlineStr">
        <is>
          <t>Yes</t>
        </is>
      </c>
      <c r="L360" s="3" t="inlineStr">
        <is>
          <t>MK-CF-F-092 incomeMonthlyGrid · MK-ST-F-055 round2 · MK-CF-F-008 spendByMonth</t>
        </is>
      </c>
      <c r="M360" s="3" t="n">
        <v>38</v>
      </c>
      <c r="N360" s="3" t="inlineStr">
        <is>
          <t>MK-CF-F-092 incomeMonthlyGrid · MK-ST-F-055 round2 · MK-CF-F-008 spendByMonth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MK-ST-F-052 toNum · MK-CF-F-004 spendBuckets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MK-CF-F-003 categoryMonthly · MK-CF-F-102 effectiveRateOnGrossFor · MK-CF-F-084 taxableAnnual · MK-CF-F-101 taxOwedFor · MK-CF-F-100 taxableIncomeFor · MK-CF-F-095 taxOwed · MK-CF-F-082 salaryAnnual · MK-CF-F-074 tipsAnnual · MK-CF-F-099 deductionFor · MK-CF-F-093 taxableIncome · MK-CF-F-081 salaryActiveMonths</t>
        </is>
      </c>
      <c r="O360" s="3" t="inlineStr">
        <is>
          <t>MK-CF-F-069 benefitActiveMonths → MK-CF-F-092 incomeMonthlyGrid → MK-CF-F-011 savingsByMonth
MK-ST-F-052 toNum → MK-CF-F-075 retirementIncomeMonthly → MK-CF-F-072 currentRetirementIncomeMonthly → MK-CF-F-092 incomeMonthlyGrid → MK-CF-F-011 savingsByMonth
MK-ST-F-052 toNum → MK-CF-F-062 equityRowValue → MK-CF-F-065 equityVestWeights → MK-CF-F-092 incomeMonthlyGrid → MK-CF-F-011 savingsByMonth
MK-CF-F-069 benefitActiveMonths → MK-CF-F-070 benefitAnnual → MK-CF-F-071 extraIncome → MK-CF-F-092 incomeMonthlyGrid → MK-CF-F-011 savingsByMonth
MK-ST-F-052 toNum → MK-CF-F-070 benefitAnnual → MK-CF-F-071 extraIncome → MK-CF-F-092 incomeMonthlyGrid → MK-CF-F-011 savingsByMonth
MK-ST-F-055 round2 → MK-CF-F-071 extraIncome → MK-CF-F-092 incomeMonthlyGrid → MK-CF-F-011 savingsByMonth
MK-ST-F-052 toNum → MK-CF-F-071 extraIncome → MK-CF-F-092 incomeMonthlyGrid → MK-CF-F-011 savingsByMonth
MK-CF-F-101 taxOwedFor → MK-CF-F-102 effectiveRateOnGrossFor → MK-CF-F-090 effectiveRate → MK-CF-F-087 monthlyTaxRates → MK-CF-F-092 incomeMonthlyGrid → MK-CF-F-011 savingsByMonth
… and 46 more paths</t>
        </is>
      </c>
      <c r="P360" s="3" t="inlineStr">
        <is>
          <t>—</t>
        </is>
      </c>
      <c r="Q360" s="3" t="inlineStr">
        <is>
          <t>—</t>
        </is>
      </c>
    </row>
    <row r="361">
      <c r="A361" s="3" t="inlineStr">
        <is>
          <t>MK-XS-F-087</t>
        </is>
      </c>
      <c r="B361" s="3" t="inlineStr">
        <is>
          <t>scheduleRmdReminder</t>
        </is>
      </c>
      <c r="C361" s="3" t="inlineStr">
        <is>
          <t>src/services/notifications.ts</t>
        </is>
      </c>
      <c r="D361" s="3" t="n">
        <v>53</v>
      </c>
      <c r="E361" s="3" t="inlineStr">
        <is>
          <t>2 · DISPLAYED</t>
        </is>
      </c>
      <c r="F361" s="3" t="inlineStr">
        <is>
          <t>── Required-withdrawal reminders (FCC Plan r48/r51 — logistics only, no timing advice) ── November 1 nudge ahead of the Dec 31 deadline (this year or a future start year).</t>
        </is>
      </c>
      <c r="G361" s="3" t="inlineStr">
        <is>
          <t>year: number</t>
        </is>
      </c>
      <c r="H361" s="3" t="inlineStr">
        <is>
          <t>NOT DECLARED — the code does not say what it gives back</t>
        </is>
      </c>
      <c r="I361" s="3" t="inlineStr">
        <is>
          <t>NOT FOUND — a screen calls it, but the words printed beside its answer could not be traced automatically. Needs reading.</t>
        </is>
      </c>
      <c r="J361" s="3" t="inlineStr">
        <is>
          <t>· Uses today's date from the device clock, so the answer changes by itself overnight.</t>
        </is>
      </c>
      <c r="K361" s="3" t="inlineStr">
        <is>
          <t>Yes</t>
        </is>
      </c>
      <c r="L361" s="3" t="inlineStr">
        <is>
          <t>—</t>
        </is>
      </c>
      <c r="M361" s="3" t="n">
        <v>0</v>
      </c>
      <c r="N361" s="3" t="inlineStr">
        <is>
          <t>None — no dependent function stands behind it</t>
        </is>
      </c>
      <c r="O361" s="3" t="inlineStr">
        <is>
          <t>No dependent function — it reads its inputs and answers</t>
        </is>
      </c>
      <c r="P361" s="3" t="inlineStr">
        <is>
          <t>—</t>
        </is>
      </c>
      <c r="Q361" s="3" t="inlineStr">
        <is>
          <t>—</t>
        </is>
      </c>
    </row>
    <row r="362">
      <c r="A362" s="3" t="inlineStr">
        <is>
          <t>MK-XS-F-091</t>
        </is>
      </c>
      <c r="B362" s="3" t="inlineStr">
        <is>
          <t>scheduleSsWindowReminder</t>
        </is>
      </c>
      <c r="C362" s="3" t="inlineStr">
        <is>
          <t>src/services/notifications.ts</t>
        </is>
      </c>
      <c r="D362" s="3" t="n">
        <v>114</v>
      </c>
      <c r="E362" s="3" t="inlineStr">
        <is>
          <t>2 · DISPLAYED</t>
        </is>
      </c>
      <c r="F362" s="3" t="inlineStr">
        <is>
          <t>── Social Security claim-window reminder (design r18, built pre-48 per founder decision) ── Fires the month the claim window opens (their 62nd-birthday month), 10:00 on the 1st.</t>
        </is>
      </c>
      <c r="G362" s="3" t="inlineStr">
        <is>
          <t>opensYear: number · opensMonth1: number</t>
        </is>
      </c>
      <c r="H362" s="3" t="inlineStr">
        <is>
          <t>NOT DECLARED — the code does not say what it gives back</t>
        </is>
      </c>
      <c r="I362" s="3" t="inlineStr">
        <is>
          <t>NOT FOUND — a screen calls it, but the words printed beside its answer could not be traced automatically. Needs reading.</t>
        </is>
      </c>
      <c r="J362" s="3" t="inlineStr">
        <is>
          <t>· Uses today's date from the device clock, so the answer changes by itself overnight.</t>
        </is>
      </c>
      <c r="K362" s="3" t="inlineStr">
        <is>
          <t>Yes</t>
        </is>
      </c>
      <c r="L362" s="3" t="inlineStr">
        <is>
          <t>—</t>
        </is>
      </c>
      <c r="M362" s="3" t="n">
        <v>0</v>
      </c>
      <c r="N362" s="3" t="inlineStr">
        <is>
          <t>None — no dependent function stands behind it</t>
        </is>
      </c>
      <c r="O362" s="3" t="inlineStr">
        <is>
          <t>No dependent function — it reads its inputs and answers</t>
        </is>
      </c>
      <c r="P362" s="3" t="inlineStr">
        <is>
          <t>—</t>
        </is>
      </c>
      <c r="Q362" s="3" t="inlineStr">
        <is>
          <t>—</t>
        </is>
      </c>
    </row>
    <row r="363">
      <c r="A363" s="3" t="inlineStr">
        <is>
          <t>MK-XS-F-085</t>
        </is>
      </c>
      <c r="B363" s="3" t="inlineStr">
        <is>
          <t>scheduleStreakReminder</t>
        </is>
      </c>
      <c r="C363" s="3" t="inlineStr">
        <is>
          <t>src/services/notifications.ts</t>
        </is>
      </c>
      <c r="D363" s="3" t="n">
        <v>28</v>
      </c>
      <c r="E363" s="3" t="inlineStr">
        <is>
          <t>1 · ACTION</t>
        </is>
      </c>
      <c r="F363" s="3" t="inlineStr">
        <is>
          <t>── Schedule daily streak reminder ─────────────────────────────────</t>
        </is>
      </c>
      <c r="G363" s="3" t="inlineStr">
        <is>
          <t>Nothing is handed to it</t>
        </is>
      </c>
      <c r="H363" s="3" t="inlineStr">
        <is>
          <t>NOT DECLARED — the code does not say what it gives back</t>
        </is>
      </c>
      <c r="I363" s="3" t="inlineStr">
        <is>
          <t>—</t>
        </is>
      </c>
      <c r="J363" s="3" t="inlineStr">
        <is>
          <t>None found in this function — anything it assumes comes from the functions it depends on.</t>
        </is>
      </c>
      <c r="K363" s="3" t="inlineStr">
        <is>
          <t>No</t>
        </is>
      </c>
      <c r="L363" s="3" t="inlineStr">
        <is>
          <t>—</t>
        </is>
      </c>
      <c r="M363" s="3" t="n">
        <v>0</v>
      </c>
      <c r="N363" s="3" t="inlineStr">
        <is>
          <t>None — no dependent function stands behind it</t>
        </is>
      </c>
      <c r="O363" s="3" t="inlineStr">
        <is>
          <t>No dependent function — it reads its inputs and answers</t>
        </is>
      </c>
      <c r="P363" s="3" t="inlineStr">
        <is>
          <t>—</t>
        </is>
      </c>
      <c r="Q363" s="3" t="inlineStr">
        <is>
          <t>—</t>
        </is>
      </c>
    </row>
    <row r="364">
      <c r="A364" s="3" t="inlineStr">
        <is>
          <t>MK-XS-F-089</t>
        </is>
      </c>
      <c r="B364" s="3" t="inlineStr">
        <is>
          <t>scheduleWeeklySummary</t>
        </is>
      </c>
      <c r="C364" s="3" t="inlineStr">
        <is>
          <t>src/services/notifications.ts</t>
        </is>
      </c>
      <c r="D364" s="3" t="n">
        <v>83</v>
      </c>
      <c r="E364" s="3" t="inlineStr">
        <is>
          <t>1 · ACTION</t>
        </is>
      </c>
      <c r="F364" s="3" t="inlineStr">
        <is>
          <t>── Weekly summary notification ────────────────────────────────────</t>
        </is>
      </c>
      <c r="G364" s="3" t="inlineStr">
        <is>
          <t>Nothing is handed to it</t>
        </is>
      </c>
      <c r="H364" s="3" t="inlineStr">
        <is>
          <t>NOT DECLARED — the code does not say what it gives back</t>
        </is>
      </c>
      <c r="I364" s="3" t="inlineStr">
        <is>
          <t>—</t>
        </is>
      </c>
      <c r="J364" s="3" t="inlineStr">
        <is>
          <t>None found in this function — anything it assumes comes from the functions it depends on.</t>
        </is>
      </c>
      <c r="K364" s="3" t="inlineStr">
        <is>
          <t>No</t>
        </is>
      </c>
      <c r="L364" s="3" t="inlineStr">
        <is>
          <t>—</t>
        </is>
      </c>
      <c r="M364" s="3" t="n">
        <v>0</v>
      </c>
      <c r="N364" s="3" t="inlineStr">
        <is>
          <t>None — no dependent function stands behind it</t>
        </is>
      </c>
      <c r="O364" s="3" t="inlineStr">
        <is>
          <t>No dependent function — it reads its inputs and answers</t>
        </is>
      </c>
      <c r="P364" s="3" t="inlineStr">
        <is>
          <t>—</t>
        </is>
      </c>
      <c r="Q364" s="3" t="inlineStr">
        <is>
          <t>—</t>
        </is>
      </c>
    </row>
    <row r="365">
      <c r="A365" s="3" t="inlineStr">
        <is>
          <t>MK-CF-F-077</t>
        </is>
      </c>
      <c r="B365" s="3" t="inlineStr">
        <is>
          <t>scholarshipByCalendarMonth</t>
        </is>
      </c>
      <c r="C365" s="3" t="inlineStr">
        <is>
          <t>src/domain/income/onboarding.ts</t>
        </is>
      </c>
      <c r="D365" s="3" t="n">
        <v>242</v>
      </c>
      <c r="E365" s="3" t="inlineStr">
        <is>
          <t>3 · DEPENDENT</t>
        </is>
      </c>
      <c r="F365" s="3" t="inlineStr">
        <is>
          <t>Scholarships/grants placed in the calendar months they actually land (Jan→Dec) — NOT averaged.</t>
        </is>
      </c>
      <c r="G365" s="3" t="inlineStr">
        <is>
          <t>op: OnboardingProfile | null</t>
        </is>
      </c>
      <c r="H365" s="3" t="inlineStr">
        <is>
          <t>number[]</t>
        </is>
      </c>
      <c r="I365" s="3" t="inlineStr">
        <is>
          <t>—</t>
        </is>
      </c>
      <c r="J365" s="3" t="inlineStr">
        <is>
          <t>· Uses a built-in i of 0.
· Treats a year as twelve equal months.</t>
        </is>
      </c>
      <c r="K365" s="3" t="inlineStr">
        <is>
          <t>Yes</t>
        </is>
      </c>
      <c r="L365" s="3" t="inlineStr">
        <is>
          <t>MK-ST-F-052 toNum</t>
        </is>
      </c>
      <c r="M365" s="3" t="n">
        <v>1</v>
      </c>
      <c r="N365" s="3" t="inlineStr">
        <is>
          <t>MK-ST-F-052 toNum</t>
        </is>
      </c>
      <c r="O365" s="3" t="inlineStr">
        <is>
          <t>MK-ST-F-052 toNum → MK-CF-F-077 scholarshipByCalendarMonth</t>
        </is>
      </c>
      <c r="P365" s="3" t="inlineStr">
        <is>
          <t>—</t>
        </is>
      </c>
      <c r="Q365" s="3" t="inlineStr">
        <is>
          <t>—</t>
        </is>
      </c>
    </row>
    <row r="366">
      <c r="A366" s="3" t="inlineStr">
        <is>
          <t>MK-PL-F-068</t>
        </is>
      </c>
      <c r="B366" s="3" t="inlineStr">
        <is>
          <t>selectWillItLast</t>
        </is>
      </c>
      <c r="C366" s="3" t="inlineStr">
        <is>
          <t>src/domain/retirement/willItLast.ts</t>
        </is>
      </c>
      <c r="D366" s="3" t="n">
        <v>149</v>
      </c>
      <c r="E366" s="3" t="inlineStr">
        <is>
          <t>2 · DISPLAYED</t>
        </is>
      </c>
      <c r="F366" s="3" t="inlineStr">
        <is>
          <t>The one will-it-last read.</t>
        </is>
      </c>
      <c r="G366" s="3" t="inlineStr">
        <is>
          <t>a: WillItLastArgs</t>
        </is>
      </c>
      <c r="H366" s="3" t="inlineStr">
        <is>
          <t>WillItLastResult</t>
        </is>
      </c>
      <c r="I366" s="3" t="inlineStr">
        <is>
          <t>"Draw from savings" — on the Cash flow screen, under "YOUR FUTURE PAYCHECK"</t>
        </is>
      </c>
      <c r="J366" s="3" t="inlineStr">
        <is>
          <t>None found in this function — anything it assumes comes from the functions it depends on.</t>
        </is>
      </c>
      <c r="K366" s="3" t="inlineStr">
        <is>
          <t>Yes</t>
        </is>
      </c>
      <c r="L366" s="3" t="inlineStr">
        <is>
          <t>MK-PL-F-066 displayOdds · MK-NW-F-033 retirementEarmarkedValue · MK-PL-F-049 retirementSpendMonthly · MK-PL-F-050 simulate · MK-PL-F-067 willItLastInputs</t>
        </is>
      </c>
      <c r="M366" s="3" t="n">
        <v>55</v>
      </c>
      <c r="N366" s="3" t="inlineStr">
        <is>
          <t>MK-PL-F-066 displayOdds · MK-NW-F-033 retirementEarmarkedValue · MK-PL-F-049 retirementSpendMonthly · MK-PL-F-050 simulate · MK-PL-F-067 willItLastInputs · MK-NW-F-032 earmarkedAmount · MK-NW-F-031 primaryCarIdOf · MK-ST-F-055 round2 · MK-PL-F-047 colFactor · MK-ST-F-052 toNum · MK-ST-F-025 rmdStartAgeFromAge · MK-NW-F-037 blendedReturn · MK-NW-F-035 blendedVolatility · MK-CF-F-102 effectiveRateOnGrossFor · MK-CF-F-085 filingStatusOf · MK-CF-F-076 guaranteedOutsideStreams · MK-NW-F-041 monthlyContributionsFromOnboarding · MK-CF-F-089 over65CountOf · MK-NW-F-004 portfolioActualReturn · MK-PL-F-060 ssBenefitAt · MK-CF-F-086 stateRateOf · MK-PL-F-001 taxBucketSplit · MK-CF-F-083 totalGrossAnnual · MK-PL-F-065 volOf · MK-NW-F-030 earmarkDefault · MK-NW-F-011 assetClassOf · MK-ST-F-024 rmdStartAge · MK-NW-F-034 benchmarkReturn · MK-CF-F-101 taxOwedFor · MK-CF-F-078 employerMatchMonthly · MK-PL-F-058 ssClaimFactorFor · MK-CF-F-072 currentRetirementIncomeMonthly · MK-CF-F-071 extraIncome · MK-CF-F-068 rentalNetAnnual · MK-CF-F-066 rsuAnnual · MK-CF-F-082 salaryAnnual · MK-CF-F-074 tipsAnnual · MK-NW-F-013 realEstateUseOf · MK-NW-F-008 incomeBearingClassOf · MK-NW-F-007 assetKind · MK-CF-F-100 taxableIncomeFor · MK-PL-F-057 fullRetirementAge · MK-CF-F-075 retirementIncomeMonthly · MK-CF-F-070 benefitAnnual · MK-CF-F-067 rentalList · MK-CF-F-062 equityRowValue · MK-CF-F-063 rowVestYear · MK-CF-F-060 salaryGrossByMonth · MK-CF-F-081 salaryActiveMonths · MK-ST-F-010 nameEvidence · MK-CF-F-099 deductionFor · MK-CF-F-069 benefitActiveMonths · MK-CF-F-097 grossFromNet · MK-CF-F-095 taxOwed · MK-CF-F-093 taxableIncome</t>
        </is>
      </c>
      <c r="O366" s="3" t="inlineStr">
        <is>
          <t>MK-PL-F-066 displayOdds → MK-PL-F-068 selectWillItLast
MK-NW-F-008 incomeBearingClassOf → MK-NW-F-011 assetClassOf → MK-NW-F-030 earmarkDefault → MK-NW-F-032 earmarkedAmount → MK-NW-F-033 retirementEarmarkedValue → MK-PL-F-068 selectWillItLast
MK-NW-F-013 realEstateUseOf → MK-NW-F-030 earmarkDefault → MK-NW-F-032 earmarkedAmount → MK-NW-F-033 retirementEarmarkedValue → MK-PL-F-068 selectWillItLast
MK-ST-F-055 round2 → MK-NW-F-032 earmarkedAmount → MK-NW-F-033 retirementEarmarkedValue → MK-PL-F-068 selectWillItLast
MK-ST-F-010 nameEvidence → MK-NW-F-008 incomeBearingClassOf → MK-NW-F-011 assetClassOf → MK-NW-F-031 primaryCarIdOf → MK-NW-F-033 retirementEarmarkedValue → MK-PL-F-068 selectWillItLast
MK-ST-F-055 round2 → MK-NW-F-033 retirementEarmarkedValue → MK-PL-F-068 selectWillItLast
MK-PL-F-047 colFactor → MK-PL-F-049 retirementSpendMonthly → MK-PL-F-068 selectWillItLast
MK-ST-F-055 round2 → MK-PL-F-049 retirementSpendMonthly → MK-PL-F-068 selectWillItLast
… and 52 more paths</t>
        </is>
      </c>
      <c r="P366" s="3" t="inlineStr">
        <is>
          <t>MK-PL-M-034 · MK-XS-M-002</t>
        </is>
      </c>
      <c r="Q366" s="3" t="inlineStr">
        <is>
          <t>WILL_IT_LAST_RESULT</t>
        </is>
      </c>
    </row>
    <row r="367">
      <c r="A367" s="3" t="inlineStr">
        <is>
          <t>MK-XS-F-088</t>
        </is>
      </c>
      <c r="B367" s="3" t="inlineStr">
        <is>
          <t>sendBudgetAlert</t>
        </is>
      </c>
      <c r="C367" s="3" t="inlineStr">
        <is>
          <t>src/services/notifications.ts</t>
        </is>
      </c>
      <c r="D367" s="3" t="n">
        <v>71</v>
      </c>
      <c r="E367" s="3" t="inlineStr">
        <is>
          <t>1 · ACTION</t>
        </is>
      </c>
      <c r="F367" s="3" t="inlineStr">
        <is>
          <t>── Budget alert (fire immediately) ────────────────────────────────</t>
        </is>
      </c>
      <c r="G367" s="3" t="inlineStr">
        <is>
          <t>category: string · pct: number</t>
        </is>
      </c>
      <c r="H367" s="3" t="inlineStr">
        <is>
          <t>NOT DECLARED — the code does not say what it gives back</t>
        </is>
      </c>
      <c r="I367" s="3" t="inlineStr">
        <is>
          <t>—</t>
        </is>
      </c>
      <c r="J367" s="3" t="inlineStr">
        <is>
          <t>· Rounds the answer to a whole number.</t>
        </is>
      </c>
      <c r="K367" s="3" t="inlineStr">
        <is>
          <t>No</t>
        </is>
      </c>
      <c r="L367" s="3" t="inlineStr">
        <is>
          <t>—</t>
        </is>
      </c>
      <c r="M367" s="3" t="n">
        <v>0</v>
      </c>
      <c r="N367" s="3" t="inlineStr">
        <is>
          <t>None — no dependent function stands behind it</t>
        </is>
      </c>
      <c r="O367" s="3" t="inlineStr">
        <is>
          <t>No dependent function — it reads its inputs and answers</t>
        </is>
      </c>
      <c r="P367" s="3" t="inlineStr">
        <is>
          <t>—</t>
        </is>
      </c>
      <c r="Q367" s="3" t="inlineStr">
        <is>
          <t>—</t>
        </is>
      </c>
    </row>
    <row r="368">
      <c r="A368" s="3" t="inlineStr">
        <is>
          <t>MK-XS-F-040</t>
        </is>
      </c>
      <c r="B368" s="3" t="inlineStr">
        <is>
          <t>sendTestReport</t>
        </is>
      </c>
      <c r="C368" s="3" t="inlineStr">
        <is>
          <t>src/services/crashReporter.ts</t>
        </is>
      </c>
      <c r="D368" s="3" t="n">
        <v>83</v>
      </c>
      <c r="E368" s="3" t="inlineStr">
        <is>
          <t>2 · DISPLAYED</t>
        </is>
      </c>
      <c r="F368" s="3" t="inlineStr">
        <is>
          <t>B-L2 verification: send a harmless test event so you can confirm wiring in the Sentry dashboard (works on the production/TestFlight build).</t>
        </is>
      </c>
      <c r="G368" s="3" t="inlineStr">
        <is>
          <t>Nothing is handed to it</t>
        </is>
      </c>
      <c r="H368" s="3" t="inlineStr">
        <is>
          <t>boolean</t>
        </is>
      </c>
      <c r="I368" s="3" t="inlineStr">
        <is>
          <t>"Hide balances" — on the Settings screen, under "Security"</t>
        </is>
      </c>
      <c r="J368" s="3" t="inlineStr">
        <is>
          <t>None found in this function — anything it assumes comes from the functions it depends on.</t>
        </is>
      </c>
      <c r="K368" s="3" t="inlineStr">
        <is>
          <t>Yes</t>
        </is>
      </c>
      <c r="L368" s="3" t="inlineStr">
        <is>
          <t>MK-XS-F-037 captureException</t>
        </is>
      </c>
      <c r="M368" s="3" t="n">
        <v>1</v>
      </c>
      <c r="N368" s="3" t="inlineStr">
        <is>
          <t>MK-XS-F-037 captureException</t>
        </is>
      </c>
      <c r="O368" s="3" t="inlineStr">
        <is>
          <t>MK-XS-F-037 captureException → MK-XS-F-040 sendTestReport</t>
        </is>
      </c>
      <c r="P368" s="3" t="inlineStr">
        <is>
          <t>—</t>
        </is>
      </c>
      <c r="Q368" s="3" t="inlineStr">
        <is>
          <t>—</t>
        </is>
      </c>
    </row>
    <row r="369">
      <c r="A369" s="3" t="inlineStr">
        <is>
          <t>MK-ST-F-045</t>
        </is>
      </c>
      <c r="B369" s="3" t="inlineStr">
        <is>
          <t>setHideBalances</t>
        </is>
      </c>
      <c r="C369" s="3" t="inlineStr">
        <is>
          <t>src/domain/_shared/money.ts</t>
        </is>
      </c>
      <c r="D369" s="3" t="n">
        <v>46</v>
      </c>
      <c r="E369" s="3" t="inlineStr">
        <is>
          <t>1 · ACTION</t>
        </is>
      </c>
      <c r="F369" s="3" t="inlineStr">
        <is>
          <t>NOT DETERMINED — the code carries no note saying what this is for, and it has no row in the old inventory. Needs reading.</t>
        </is>
      </c>
      <c r="G369" s="3" t="inlineStr">
        <is>
          <t>b: boolean</t>
        </is>
      </c>
      <c r="H369" s="3" t="inlineStr">
        <is>
          <t>NOT DECLARED — the code does not say what it gives back</t>
        </is>
      </c>
      <c r="I369" s="3" t="inlineStr">
        <is>
          <t>—</t>
        </is>
      </c>
      <c r="J369" s="3" t="inlineStr">
        <is>
          <t>None found in this function — anything it assumes comes from the functions it depends on.</t>
        </is>
      </c>
      <c r="K369" s="3" t="inlineStr">
        <is>
          <t>Yes</t>
        </is>
      </c>
      <c r="L369" s="3" t="inlineStr">
        <is>
          <t>—</t>
        </is>
      </c>
      <c r="M369" s="3" t="n">
        <v>0</v>
      </c>
      <c r="N369" s="3" t="inlineStr">
        <is>
          <t>None — no dependent function stands behind it</t>
        </is>
      </c>
      <c r="O369" s="3" t="inlineStr">
        <is>
          <t>No dependent function — it reads its inputs and answers</t>
        </is>
      </c>
      <c r="P369" s="3" t="inlineStr">
        <is>
          <t>—</t>
        </is>
      </c>
      <c r="Q369" s="3" t="inlineStr">
        <is>
          <t>—</t>
        </is>
      </c>
    </row>
    <row r="370">
      <c r="A370" s="3" t="inlineStr">
        <is>
          <t>MK-ST-F-044</t>
        </is>
      </c>
      <c r="B370" s="3" t="inlineStr">
        <is>
          <t>setMoneyFormat</t>
        </is>
      </c>
      <c r="C370" s="3" t="inlineStr">
        <is>
          <t>src/domain/_shared/money.ts</t>
        </is>
      </c>
      <c r="D370" s="3" t="n">
        <v>29</v>
      </c>
      <c r="E370" s="3" t="inlineStr">
        <is>
          <t>1 · ACTION</t>
        </is>
      </c>
      <c r="F370" s="3" t="inlineStr">
        <is>
          <t>NOT DETERMINED — the code carries no note saying what this is for, and it has no row in the old inventory. Needs reading.</t>
        </is>
      </c>
      <c r="G370" s="3" t="inlineStr">
        <is>
          <t>currency?: string | null · locale?: string | null</t>
        </is>
      </c>
      <c r="H370" s="3" t="inlineStr">
        <is>
          <t>NOT DECLARED — the code does not say what it gives back</t>
        </is>
      </c>
      <c r="I370" s="3" t="inlineStr">
        <is>
          <t>—</t>
        </is>
      </c>
      <c r="J370" s="3" t="inlineStr">
        <is>
          <t>None found in this function — anything it assumes comes from the functions it depends on.</t>
        </is>
      </c>
      <c r="K370" s="3" t="inlineStr">
        <is>
          <t>Yes</t>
        </is>
      </c>
      <c r="L370" s="3" t="inlineStr">
        <is>
          <t>MK-ST-F-053 money</t>
        </is>
      </c>
      <c r="M370" s="3" t="n">
        <v>4</v>
      </c>
      <c r="N370" s="3" t="inlineStr">
        <is>
          <t>MK-ST-F-053 money · MK-ST-F-049 formatMoney · MK-ST-F-048 currencySymbol · MK-ST-F-047 activeCurrency</t>
        </is>
      </c>
      <c r="O370" s="3" t="inlineStr">
        <is>
          <t>MK-ST-F-047 activeCurrency → MK-ST-F-048 currencySymbol → MK-ST-F-049 formatMoney → MK-ST-F-053 money → MK-ST-F-044 setMoneyFormat</t>
        </is>
      </c>
      <c r="P370" s="3" t="inlineStr">
        <is>
          <t>—</t>
        </is>
      </c>
      <c r="Q370" s="3" t="inlineStr">
        <is>
          <t>—</t>
        </is>
      </c>
    </row>
    <row r="371">
      <c r="A371" s="3" t="inlineStr">
        <is>
          <t>MK-XS-F-098</t>
        </is>
      </c>
      <c r="B371" s="3" t="inlineStr">
        <is>
          <t>setSyncProviderForTesting</t>
        </is>
      </c>
      <c r="C371" s="3" t="inlineStr">
        <is>
          <t>src/services/sync/index.ts</t>
        </is>
      </c>
      <c r="D371" s="3" t="n">
        <v>51</v>
      </c>
      <c r="E371" s="3" t="inlineStr">
        <is>
          <t>1 · ACTION</t>
        </is>
      </c>
      <c r="F371" s="3" t="inlineStr">
        <is>
          <t>NOT DETERMINED — the code carries no note saying what this is for, and it has no row in the old inventory. Needs reading.</t>
        </is>
      </c>
      <c r="G371" s="3" t="inlineStr">
        <is>
          <t>p: SyncProvider | null</t>
        </is>
      </c>
      <c r="H371" s="3" t="inlineStr">
        <is>
          <t>NOT DECLARED — the code does not say what it gives back</t>
        </is>
      </c>
      <c r="I371" s="3" t="inlineStr">
        <is>
          <t>—</t>
        </is>
      </c>
      <c r="J371" s="3" t="inlineStr">
        <is>
          <t>None found in this function — anything it assumes comes from the functions it depends on.</t>
        </is>
      </c>
      <c r="K371" s="3" t="inlineStr">
        <is>
          <t>No</t>
        </is>
      </c>
      <c r="L371" s="3" t="inlineStr">
        <is>
          <t>—</t>
        </is>
      </c>
      <c r="M371" s="3" t="n">
        <v>0</v>
      </c>
      <c r="N371" s="3" t="inlineStr">
        <is>
          <t>None — no dependent function stands behind it</t>
        </is>
      </c>
      <c r="O371" s="3" t="inlineStr">
        <is>
          <t>No dependent function — it reads its inputs and answers</t>
        </is>
      </c>
      <c r="P371" s="3" t="inlineStr">
        <is>
          <t>—</t>
        </is>
      </c>
      <c r="Q371" s="3" t="inlineStr">
        <is>
          <t>—</t>
        </is>
      </c>
    </row>
    <row r="372">
      <c r="A372" s="3" t="inlineStr">
        <is>
          <t>MK-ST-F-042</t>
        </is>
      </c>
      <c r="B372" s="3" t="inlineStr">
        <is>
          <t>setUserDoc</t>
        </is>
      </c>
      <c r="C372" s="3" t="inlineStr">
        <is>
          <t>src/domain/_shared/firestore.ts</t>
        </is>
      </c>
      <c r="D372" s="3" t="n">
        <v>15</v>
      </c>
      <c r="E372" s="3" t="inlineStr">
        <is>
          <t>1 · ACTION</t>
        </is>
      </c>
      <c r="F372" s="3" t="inlineStr">
        <is>
          <t>Write/merge a single-document-per-user collection, stamping last_updated.</t>
        </is>
      </c>
      <c r="G372" s="3" t="inlineStr">
        <is>
          <t>collectionName: string · uid: UserId · data: T</t>
        </is>
      </c>
      <c r="H372" s="3" t="inlineStr">
        <is>
          <t>Promise&lt;void&gt;</t>
        </is>
      </c>
      <c r="I372" s="3" t="inlineStr">
        <is>
          <t>—</t>
        </is>
      </c>
      <c r="J372" s="3" t="inlineStr">
        <is>
          <t>None found in this function — anything it assumes comes from the functions it depends on.</t>
        </is>
      </c>
      <c r="K372" s="3" t="inlineStr">
        <is>
          <t>Yes</t>
        </is>
      </c>
      <c r="L372" s="3" t="inlineStr">
        <is>
          <t>—</t>
        </is>
      </c>
      <c r="M372" s="3" t="n">
        <v>0</v>
      </c>
      <c r="N372" s="3" t="inlineStr">
        <is>
          <t>None — no dependent function stands behind it</t>
        </is>
      </c>
      <c r="O372" s="3" t="inlineStr">
        <is>
          <t>No dependent function — it reads its inputs and answers</t>
        </is>
      </c>
      <c r="P372" s="3" t="inlineStr">
        <is>
          <t>—</t>
        </is>
      </c>
      <c r="Q372" s="3" t="inlineStr">
        <is>
          <t>—</t>
        </is>
      </c>
    </row>
    <row r="373">
      <c r="A373" s="3" t="inlineStr">
        <is>
          <t>MK-XS-F-077</t>
        </is>
      </c>
      <c r="B373" s="3" t="inlineStr">
        <is>
          <t>setUserHousehold</t>
        </is>
      </c>
      <c r="C373" s="3" t="inlineStr">
        <is>
          <t>src/services/firebase.ts</t>
        </is>
      </c>
      <c r="D373" s="3" t="n">
        <v>263</v>
      </c>
      <c r="E373" s="3" t="inlineStr">
        <is>
          <t>1 · ACTION</t>
        </is>
      </c>
      <c r="F373" s="3" t="inlineStr">
        <is>
          <t>Record household membership on the member's own user doc (survives reinstall/new device).</t>
        </is>
      </c>
      <c r="G373" s="3" t="inlineStr">
        <is>
          <t>uid: string · householdId: string</t>
        </is>
      </c>
      <c r="H373" s="3" t="inlineStr">
        <is>
          <t>Promise&lt;void&gt;</t>
        </is>
      </c>
      <c r="I373" s="3" t="inlineStr">
        <is>
          <t>—</t>
        </is>
      </c>
      <c r="J373" s="3" t="inlineStr">
        <is>
          <t>None found in this function — anything it assumes comes from the functions it depends on.</t>
        </is>
      </c>
      <c r="K373" s="3" t="inlineStr">
        <is>
          <t>Yes</t>
        </is>
      </c>
      <c r="L373" s="3" t="inlineStr">
        <is>
          <t>—</t>
        </is>
      </c>
      <c r="M373" s="3" t="n">
        <v>0</v>
      </c>
      <c r="N373" s="3" t="inlineStr">
        <is>
          <t>None — no dependent function stands behind it</t>
        </is>
      </c>
      <c r="O373" s="3" t="inlineStr">
        <is>
          <t>No dependent function — it reads its inputs and answers</t>
        </is>
      </c>
      <c r="P373" s="3" t="inlineStr">
        <is>
          <t>—</t>
        </is>
      </c>
      <c r="Q373" s="3" t="inlineStr">
        <is>
          <t>—</t>
        </is>
      </c>
    </row>
    <row r="374">
      <c r="A374" s="3" t="inlineStr">
        <is>
          <t>MK-XS-F-038</t>
        </is>
      </c>
      <c r="B374" s="3" t="inlineStr">
        <is>
          <t>setUserScope</t>
        </is>
      </c>
      <c r="C374" s="3" t="inlineStr">
        <is>
          <t>src/services/crashReporter.ts</t>
        </is>
      </c>
      <c r="D374" s="3" t="n">
        <v>66</v>
      </c>
      <c r="E374" s="3" t="inlineStr">
        <is>
          <t>1 · ACTION</t>
        </is>
      </c>
      <c r="F374" s="3" t="inlineStr">
        <is>
          <t>Tag the current user on reports (call after login; pass null on logout).</t>
        </is>
      </c>
      <c r="G374" s="3" t="inlineStr">
        <is>
          <t>uid: string | null</t>
        </is>
      </c>
      <c r="H374" s="3" t="inlineStr">
        <is>
          <t>void</t>
        </is>
      </c>
      <c r="I374" s="3" t="inlineStr">
        <is>
          <t>—</t>
        </is>
      </c>
      <c r="J374" s="3" t="inlineStr">
        <is>
          <t>None found in this function — anything it assumes comes from the functions it depends on.</t>
        </is>
      </c>
      <c r="K374" s="3" t="inlineStr">
        <is>
          <t>Yes</t>
        </is>
      </c>
      <c r="L374" s="3" t="inlineStr">
        <is>
          <t>—</t>
        </is>
      </c>
      <c r="M374" s="3" t="n">
        <v>0</v>
      </c>
      <c r="N374" s="3" t="inlineStr">
        <is>
          <t>None — no dependent function stands behind it</t>
        </is>
      </c>
      <c r="O374" s="3" t="inlineStr">
        <is>
          <t>No dependent function — it reads its inputs and answers</t>
        </is>
      </c>
      <c r="P374" s="3" t="inlineStr">
        <is>
          <t>—</t>
        </is>
      </c>
      <c r="Q374" s="3" t="inlineStr">
        <is>
          <t>—</t>
        </is>
      </c>
    </row>
    <row r="375">
      <c r="A375" s="3" t="inlineStr">
        <is>
          <t>MK-PL-F-029</t>
        </is>
      </c>
      <c r="B375" s="3" t="inlineStr">
        <is>
          <t>shortfallAgeFromBand</t>
        </is>
      </c>
      <c r="C375" s="3" t="inlineStr">
        <is>
          <t>src/domain/planning/hub.ts</t>
        </is>
      </c>
      <c r="D375" s="3" t="n">
        <v>162</v>
      </c>
      <c r="E375" s="3" t="inlineStr">
        <is>
          <t>2 · DISPLAYED</t>
        </is>
      </c>
      <c r="F375" s="3" t="inlineStr">
        <is>
          <t>The age the middle path first hits zero, from a simulation band — null while it never does.</t>
        </is>
      </c>
      <c r="G375" s="3" t="inlineStr">
        <is>
          <t>band?: { age: number; p50: number }[] | null</t>
        </is>
      </c>
      <c r="H375" s="3" t="inlineStr">
        <is>
          <t>number | null</t>
        </is>
      </c>
      <c r="I375" s="3" t="inlineStr">
        <is>
          <t>NOT FOUND — a screen calls it, but the words printed beside its answer could not be traced automatically. Needs reading.</t>
        </is>
      </c>
      <c r="J375" s="3" t="inlineStr">
        <is>
          <t>None found in this function — anything it assumes comes from the functions it depends on.</t>
        </is>
      </c>
      <c r="K375" s="3" t="inlineStr">
        <is>
          <t>Yes</t>
        </is>
      </c>
      <c r="L375" s="3" t="inlineStr">
        <is>
          <t>—</t>
        </is>
      </c>
      <c r="M375" s="3" t="n">
        <v>0</v>
      </c>
      <c r="N375" s="3" t="inlineStr">
        <is>
          <t>None — no dependent function stands behind it</t>
        </is>
      </c>
      <c r="O375" s="3" t="inlineStr">
        <is>
          <t>No dependent function — it reads its inputs and answers</t>
        </is>
      </c>
      <c r="P375" s="3" t="inlineStr">
        <is>
          <t>—</t>
        </is>
      </c>
      <c r="Q375" s="3" t="inlineStr">
        <is>
          <t>AGE_THE_MONEY_RUNS_OUT</t>
        </is>
      </c>
    </row>
    <row r="376">
      <c r="A376" s="3" t="inlineStr">
        <is>
          <t>MK-XS-F-115</t>
        </is>
      </c>
      <c r="B376" s="3" t="inlineStr">
        <is>
          <t>shouldDailySync</t>
        </is>
      </c>
      <c r="C376" s="3" t="inlineStr">
        <is>
          <t>src/services/sync/snaptradeSync.ts</t>
        </is>
      </c>
      <c r="D376" s="3" t="n">
        <v>15</v>
      </c>
      <c r="E376" s="3" t="inlineStr">
        <is>
          <t>3 · DEPENDENT</t>
        </is>
      </c>
      <c r="F376" s="3" t="inlineStr">
        <is>
          <t>NOT DETERMINED — the code carries no note saying what this is for, and it has no row in the old inventory. Needs reading.</t>
        </is>
      </c>
      <c r="G376" s="3" t="inlineStr">
        <is>
          <t>lastSyncAt: string | null | undefined · now: number = Date.now()</t>
        </is>
      </c>
      <c r="H376" s="3" t="inlineStr">
        <is>
          <t>boolean</t>
        </is>
      </c>
      <c r="I376" s="3" t="inlineStr">
        <is>
          <t>—</t>
        </is>
      </c>
      <c r="J376" s="3" t="inlineStr">
        <is>
          <t>· Uses a built-in page of 0.
· Uses today's date from the device clock, so the answer changes by itself overnight.</t>
        </is>
      </c>
      <c r="K376" s="3" t="inlineStr">
        <is>
          <t>Yes</t>
        </is>
      </c>
      <c r="L376" s="3" t="inlineStr">
        <is>
          <t>—</t>
        </is>
      </c>
      <c r="M376" s="3" t="n">
        <v>0</v>
      </c>
      <c r="N376" s="3" t="inlineStr">
        <is>
          <t>None — no dependent function stands behind it</t>
        </is>
      </c>
      <c r="O376" s="3" t="inlineStr">
        <is>
          <t>No dependent function — it reads its inputs and answers</t>
        </is>
      </c>
      <c r="P376" s="3" t="inlineStr">
        <is>
          <t>—</t>
        </is>
      </c>
      <c r="Q376" s="3" t="inlineStr">
        <is>
          <t>—</t>
        </is>
      </c>
    </row>
    <row r="377">
      <c r="A377" s="3" t="inlineStr">
        <is>
          <t>MK-ST-F-019</t>
        </is>
      </c>
      <c r="B377" s="3" t="inlineStr">
        <is>
          <t>signed</t>
        </is>
      </c>
      <c r="C377" s="3" t="inlineStr">
        <is>
          <t>Calculation Module code/engines/money.ts</t>
        </is>
      </c>
      <c r="D377" s="3" t="n">
        <v>58</v>
      </c>
      <c r="E377" s="3" t="inlineStr">
        <is>
          <t>3 · DEPENDENT (feeds an action only)</t>
        </is>
      </c>
      <c r="F377" s="3" t="inlineStr">
        <is>
          <t>The signed value, for arithmetic.</t>
        </is>
      </c>
      <c r="G377" s="3" t="inlineStr">
        <is>
          <t>m: Money</t>
        </is>
      </c>
      <c r="H377" s="3" t="inlineStr">
        <is>
          <t>Dec</t>
        </is>
      </c>
      <c r="I377" s="3" t="inlineStr">
        <is>
          <t>—</t>
        </is>
      </c>
      <c r="J377" s="3" t="inlineStr">
        <is>
          <t>None found in this function — anything it assumes comes from the functions it depends on.</t>
        </is>
      </c>
      <c r="K377" s="3" t="inlineStr">
        <is>
          <t>No</t>
        </is>
      </c>
      <c r="L377" s="3" t="inlineStr">
        <is>
          <t>—</t>
        </is>
      </c>
      <c r="M377" s="3" t="n">
        <v>0</v>
      </c>
      <c r="N377" s="3" t="inlineStr">
        <is>
          <t>None — no dependent function stands behind it</t>
        </is>
      </c>
      <c r="O377" s="3" t="inlineStr">
        <is>
          <t>No dependent function — it reads its inputs and answers</t>
        </is>
      </c>
      <c r="P377" s="3" t="inlineStr">
        <is>
          <t>—</t>
        </is>
      </c>
      <c r="Q377" s="3" t="inlineStr">
        <is>
          <t>—</t>
        </is>
      </c>
    </row>
    <row r="378">
      <c r="A378" s="3" t="inlineStr">
        <is>
          <t>MK-PL-F-050</t>
        </is>
      </c>
      <c r="B378" s="3" t="inlineStr">
        <is>
          <t>simulate</t>
        </is>
      </c>
      <c r="C378" s="3" t="inlineStr">
        <is>
          <t>src/domain/retirement/index.ts</t>
        </is>
      </c>
      <c r="D378" s="3" t="n">
        <v>156</v>
      </c>
      <c r="E378" s="3" t="inlineStr">
        <is>
          <t>2 · DISPLAYED</t>
        </is>
      </c>
      <c r="F378" s="3" t="inlineStr">
        <is>
          <t>B4 (founder brief 2026-08-20): the RMD rule lives in the ONE dated, sourced table — the Calculation Module's rmd engine.</t>
        </is>
      </c>
      <c r="G378" s="3" t="inlineStr">
        <is>
          <t>inp: RetirementInputs</t>
        </is>
      </c>
      <c r="H378" s="3" t="inlineStr">
        <is>
          <t>NOT DECLARED — the code does not say what it gives back</t>
        </is>
      </c>
      <c r="I378" s="3" t="inlineStr">
        <is>
          <t>"Claim at age" — on the Retirement cockpit screen · "Run Monte Carlo simulation" — on the Retirement cockpit screen</t>
        </is>
      </c>
      <c r="J378" s="3" t="inlineStr">
        <is>
          <t>· If paths is missing it uses 500.
· If seed is missing it uses 12345.
· If now year is missing it uses 2026.
· If contribution growth is missing it uses 0.
· If pre tax share is missing it uses 0.
· If required withdrawal tax rate is missing it uses 22%.
· If monthly is missing it counts as zero, so nothing recorded and a real zero look the same.
· If one off by year[off] is missing it counts as zero, so nothing recorded and a real zero look the same.
· If recurring by year[y] is missing it counts as zero, so nothing recorded and a real zero look the same.
· If contrib by year[y] is missing it counts as zero, so nothing recorded and a real zero look the same.
· Uses a built-in y of 1.
· Uses a built-in successes of 0.
· Uses a built-in p of 0.
· Uses a built-in y of 0.
· Treats a year as twelve equal months.
· Turns a monthly figure into a year by multiplying by twelve.
· Multiplies by 100 — a percentage, or an option contract treated as 100 shares. Worth checking which.
· Rounds the answer to a whole number.</t>
        </is>
      </c>
      <c r="K378" s="3" t="inlineStr">
        <is>
          <t>Yes</t>
        </is>
      </c>
      <c r="L378" s="3" t="inlineStr">
        <is>
          <t>MK-ST-F-025 rmdStartAgeFromAge · MK-ST-F-055 round2</t>
        </is>
      </c>
      <c r="M378" s="3" t="n">
        <v>3</v>
      </c>
      <c r="N378" s="3" t="inlineStr">
        <is>
          <t>MK-ST-F-025 rmdStartAgeFromAge · MK-ST-F-055 round2 · MK-ST-F-024 rmdStartAge</t>
        </is>
      </c>
      <c r="O378" s="3" t="inlineStr">
        <is>
          <t>MK-ST-F-024 rmdStartAge → MK-ST-F-025 rmdStartAgeFromAge → MK-PL-F-050 simulate
MK-ST-F-055 round2 → MK-PL-F-050 simulate</t>
        </is>
      </c>
      <c r="P378" s="3" t="inlineStr">
        <is>
          <t>—</t>
        </is>
      </c>
      <c r="Q378" s="3" t="inlineStr">
        <is>
          <t>WILL_IT_LAST</t>
        </is>
      </c>
    </row>
    <row r="379">
      <c r="A379" s="3" t="inlineStr">
        <is>
          <t>MK-PL-F-017</t>
        </is>
      </c>
      <c r="B379" s="3" t="inlineStr">
        <is>
          <t>sinkingFund</t>
        </is>
      </c>
      <c r="C379" s="3" t="inlineStr">
        <is>
          <t>src/domain/goals/index.ts</t>
        </is>
      </c>
      <c r="D379" s="3" t="n">
        <v>81</v>
      </c>
      <c r="E379" s="3" t="inlineStr">
        <is>
          <t>2 · DISPLAYED</t>
        </is>
      </c>
      <c r="F379" s="3" t="inlineStr">
        <is>
          <t>NOT DETERMINED — the code carries no note saying what this is for, and it has no row in the old inventory. Needs reading.</t>
        </is>
      </c>
      <c r="G379" s="3" t="inlineStr">
        <is>
          <t>monthlyNonMonthly: number</t>
        </is>
      </c>
      <c r="H379" s="3" t="inlineStr">
        <is>
          <t>SinkingFund</t>
        </is>
      </c>
      <c r="I379" s="3" t="inlineStr">
        <is>
          <t>"YOUR GOALS" — on the Goals screen, under "YOUR GOALS"</t>
        </is>
      </c>
      <c r="J379" s="3" t="inlineStr">
        <is>
          <t>· Turns a monthly figure into a year by multiplying by twelve.
· Rounds the answer to a whole number.</t>
        </is>
      </c>
      <c r="K379" s="3" t="inlineStr">
        <is>
          <t>Yes</t>
        </is>
      </c>
      <c r="L379" s="3" t="inlineStr">
        <is>
          <t>—</t>
        </is>
      </c>
      <c r="M379" s="3" t="n">
        <v>0</v>
      </c>
      <c r="N379" s="3" t="inlineStr">
        <is>
          <t>None — no dependent function stands behind it</t>
        </is>
      </c>
      <c r="O379" s="3" t="inlineStr">
        <is>
          <t>No dependent function — it reads its inputs and answers</t>
        </is>
      </c>
      <c r="P379" s="3" t="inlineStr">
        <is>
          <t>—</t>
        </is>
      </c>
      <c r="Q379" s="3" t="inlineStr">
        <is>
          <t>—</t>
        </is>
      </c>
    </row>
    <row r="380">
      <c r="A380" s="3" t="inlineStr">
        <is>
          <t>MK-XS-F-032</t>
        </is>
      </c>
      <c r="B380" s="3" t="inlineStr">
        <is>
          <t>snapshotFromOnboarding</t>
        </is>
      </c>
      <c r="C380" s="3" t="inlineStr">
        <is>
          <t>src/domain/snapshot.ts</t>
        </is>
      </c>
      <c r="D380" s="3" t="n">
        <v>111</v>
      </c>
      <c r="E380" s="3" t="inlineStr">
        <is>
          <t>3 · DEPENDENT (feeds an action only)</t>
        </is>
      </c>
      <c r="F380" s="3" t="inlineStr">
        <is>
          <t>Snapshot from onboarding answers alone — for headless/test callers (and any surface that runs before Net Worth is set up).</t>
        </is>
      </c>
      <c r="G380" s="3" t="inlineStr">
        <is>
          <t>uid: UserId · op: Record&lt;string, any&gt; | null · econ: EconomicData</t>
        </is>
      </c>
      <c r="H380" s="3" t="inlineStr">
        <is>
          <t>FinancialSnapshot</t>
        </is>
      </c>
      <c r="I380" s="3" t="inlineStr">
        <is>
          <t>—</t>
        </is>
      </c>
      <c r="J380" s="3" t="inlineStr">
        <is>
          <t>None found in this function — anything it assumes comes from the functions it depends on.</t>
        </is>
      </c>
      <c r="K380" s="3" t="inlineStr">
        <is>
          <t>No</t>
        </is>
      </c>
      <c r="L380" s="3" t="inlineStr">
        <is>
          <t>MK-NW-F-040 assetsFromOnboarding · MK-XS-F-031 buildSnapshot · MK-CF-F-038 debtsFromOnboarding</t>
        </is>
      </c>
      <c r="M380" s="3" t="n">
        <v>93</v>
      </c>
      <c r="N380" s="3" t="inlineStr">
        <is>
          <t>MK-NW-F-040 assetsFromOnboarding · MK-XS-F-031 buildSnapshot · MK-CF-F-038 debtsFromOnboarding · MK-ST-F-043 newEntityId · MK-ST-F-052 toNum · MK-NW-F-037 blendedReturn · MK-CF-F-013 budgetFromOnboarding · MK-NW-F-039 buildAssetsState · MK-CF-F-001 buildBudgetState · MK-CF-F-036 buildDebtState · MK-PL-F-011 buildGoalsState · MK-CF-F-049 buildIncomeState · MK-NW-F-065 buildNetWorth · MK-PL-F-053 buildRetirementState · MK-XS-F-030 effectiveAnnualContribution · MK-PL-F-013 goalsFromOnboarding · MK-CF-F-076 guaranteedOutsideStreams · MK-CF-F-079 incomeFromOnboarding · MK-XS-F-026 profileFromOnboarding · MK-NW-F-033 retirementEarmarkedValue · MK-PL-F-049 retirementSpendMonthly · MK-XS-F-020 toReadModel · MK-CF-F-037 inferDebtType · MK-NW-F-034 benchmarkReturn · MK-NW-F-032 earmarkedAmount · MK-NW-F-031 primaryCarIdOf · MK-CF-F-002 plannedMonthlySpend · MK-CF-F-004 spendBuckets · MK-ST-F-055 round2 · MK-CF-F-026 actualDebtPayment · MK-CF-F-025 minimumDebtService · MK-PL-F-012 waterfall · MK-CF-F-048 effectiveTaxRate · MK-CF-F-046 employerMatchAnnual · MK-CF-F-045 grossAnnualBaseline · MK-CF-F-098 progressiveMonthlyTax · MK-PL-F-050 simulate · MK-NW-F-041 monthlyContributionsFromOnboarding · MK-CF-F-011 savingsByMonth · MK-CF-F-070 benefitAnnual · MK-CF-F-072 currentRetirementIncomeMonthly · MK-CF-F-078 employerMatchMonthly · MK-CF-F-065 equityVestWeights · MK-CF-F-067 rentalList · MK-CF-F-066 rsuAnnual · MK-CF-F-082 salaryAnnual · MK-CF-F-074 tipsAnnual · MK-PL-F-047 colFactor · MK-XS-F-017 currentAge · MK-XS-F-019 retirementHorizonYears · MK-XS-F-018 yearsToRetirement · MK-NW-F-007 assetKind · MK-NW-F-030 earmarkDefault · MK-NW-F-011 assetClassOf · MK-CF-F-092 incomeMonthlyGrid · MK-CF-F-003 categoryMonthly · MK-CF-F-024 totalDebtMonthly · MK-CF-F-022 paymentShape · MK-CF-F-047 estimateEffectiveTaxRate · MK-CF-F-044 annualNet · MK-CF-F-101 taxOwedFor · MK-CF-F-100 taxableIncomeFor · MK-ST-F-025 rmdStartAgeFromAge · MK-CF-F-008 spendByMonth · MK-CF-F-069 benefitActiveMonths · MK-CF-F-075 retirementIncomeMonthly · MK-CF-F-062 equityRowValue · MK-CF-F-063 rowVestYear · MK-CF-F-060 salaryGrossByMonth · MK-CF-F-081 salaryActiveMonths · MK-NW-F-013 realEstateUseOf · MK-NW-F-008 incomeBearingClassOf · MK-CF-F-071 extraIncome · MK-CF-F-087 monthlyTaxRates · MK-CF-F-073 otherIncomeMonth · MK-CF-F-068 rentalNetAnnual · MK-CF-F-077 scholarshipByCalendarMonth · MK-CF-F-023 requiredPayment · MK-CF-F-021 defaultPaymentType · MK-CF-F-096 effectiveRateOnGross · MK-CF-F-099 deductionFor · MK-ST-F-024 rmdStartAge · MK-CF-F-097 grossFromNet · MK-ST-F-010 nameEvidence · MK-CF-F-090 effectiveRate · MK-CF-F-085 filingStatusOf · MK-CF-F-089 over65CountOf · MK-CF-F-086 stateRateOf · MK-CF-F-088 taxableByCalendarMonth · MK-CF-F-095 taxOwed · MK-CF-F-102 effectiveRateOnGrossFor · MK-CF-F-084 taxableAnnual · MK-CF-F-093 taxableIncome</t>
        </is>
      </c>
      <c r="O380" s="3" t="inlineStr">
        <is>
          <t>MK-ST-F-043 newEntityId → MK-NW-F-040 assetsFromOnboarding → MK-XS-F-032 snapshotFromOnboarding
MK-ST-F-052 toNum → MK-NW-F-040 assetsFromOnboarding → MK-XS-F-032 snapshotFromOnboarding
MK-NW-F-011 assetClassOf → MK-NW-F-007 assetKind → MK-NW-F-034 benchmarkReturn → MK-NW-F-037 blendedReturn → MK-XS-F-031 buildSnapshot → MK-XS-F-032 snapshotFromOnboarding
MK-NW-F-011 assetClassOf → MK-NW-F-030 earmarkDefault → MK-NW-F-032 earmarkedAmount → MK-NW-F-037 blendedReturn → MK-XS-F-031 buildSnapshot → MK-XS-F-032 snapshotFromOnboarding
MK-NW-F-013 realEstateUseOf → MK-NW-F-030 earmarkDefault → MK-NW-F-032 earmarkedAmount → MK-NW-F-037 blendedReturn → MK-XS-F-031 buildSnapshot → MK-XS-F-032 snapshotFromOnboarding
MK-ST-F-055 round2 → MK-NW-F-032 earmarkedAmount → MK-NW-F-037 blendedReturn → MK-XS-F-031 buildSnapshot → MK-XS-F-032 snapshotFromOnboarding
MK-NW-F-008 incomeBearingClassOf → MK-NW-F-011 assetClassOf → MK-NW-F-031 primaryCarIdOf → MK-NW-F-037 blendedReturn → MK-XS-F-031 buildSnapshot → MK-XS-F-032 snapshotFromOnboarding
MK-CF-F-069 benefitActiveMonths → MK-CF-F-092 incomeMonthlyGrid → MK-CF-F-002 plannedMonthlySpend → MK-CF-F-013 budgetFromOnboarding → MK-XS-F-031 buildSnapshot → MK-XS-F-032 snapshotFromOnboarding
… and 89 more paths</t>
        </is>
      </c>
      <c r="P380" s="3" t="inlineStr">
        <is>
          <t>—</t>
        </is>
      </c>
      <c r="Q380" s="3" t="inlineStr">
        <is>
          <t>—</t>
        </is>
      </c>
    </row>
    <row r="381">
      <c r="A381" s="3" t="inlineStr">
        <is>
          <t>MK-XS-F-113</t>
        </is>
      </c>
      <c r="B381" s="3" t="inlineStr">
        <is>
          <t>snaptradeConfigured</t>
        </is>
      </c>
      <c r="C381" s="3" t="inlineStr">
        <is>
          <t>src/services/sync/snaptradeClient.ts</t>
        </is>
      </c>
      <c r="D381" s="3" t="n">
        <v>15</v>
      </c>
      <c r="E381" s="3" t="inlineStr">
        <is>
          <t>4 · BRINGS DATA IN</t>
        </is>
      </c>
      <c r="F381" s="3" t="inlineStr">
        <is>
          <t>NOT DETERMINED — the code carries no note saying what this is for, and it has no row in the old inventory. Needs reading.</t>
        </is>
      </c>
      <c r="G381" s="3" t="inlineStr">
        <is>
          <t>Nothing is handed to it</t>
        </is>
      </c>
      <c r="H381" s="3" t="inlineStr">
        <is>
          <t>NOT DECLARED — the code does not say what it gives back</t>
        </is>
      </c>
      <c r="I381" s="3" t="inlineStr">
        <is>
          <t>—</t>
        </is>
      </c>
      <c r="J381" s="3" t="inlineStr">
        <is>
          <t>None found in this function — anything it assumes comes from the functions it depends on.</t>
        </is>
      </c>
      <c r="K381" s="3" t="inlineStr">
        <is>
          <t>Yes</t>
        </is>
      </c>
      <c r="L381" s="3" t="inlineStr">
        <is>
          <t>MK-XS-F-064 currentIdToken · MK-XS-F-112 relayUrl</t>
        </is>
      </c>
      <c r="M381" s="3" t="n">
        <v>2</v>
      </c>
      <c r="N381" s="3" t="inlineStr">
        <is>
          <t>MK-XS-F-064 currentIdToken · MK-XS-F-112 relayUrl</t>
        </is>
      </c>
      <c r="O381" s="3" t="inlineStr">
        <is>
          <t>MK-XS-F-064 currentIdToken → MK-XS-F-113 snaptradeConfigured
MK-XS-F-112 relayUrl → MK-XS-F-113 snaptradeConfigured</t>
        </is>
      </c>
      <c r="P381" s="3" t="inlineStr">
        <is>
          <t>—</t>
        </is>
      </c>
      <c r="Q381" s="3" t="inlineStr">
        <is>
          <t>—</t>
        </is>
      </c>
    </row>
    <row r="382">
      <c r="A382" s="3" t="inlineStr">
        <is>
          <t>MK-PL-F-056</t>
        </is>
      </c>
      <c r="B382" s="3" t="inlineStr">
        <is>
          <t>solveRetireAge</t>
        </is>
      </c>
      <c r="C382" s="3" t="inlineStr">
        <is>
          <t>src/domain/retirement/index.ts</t>
        </is>
      </c>
      <c r="D382" s="3" t="n">
        <v>359</v>
      </c>
      <c r="E382" s="3" t="inlineStr">
        <is>
          <t>2 · DISPLAYED</t>
        </is>
      </c>
      <c r="F382" s="3" t="inlineStr">
        <is>
          <t>"Even if you never save another dollar, you can retire at age Y." Earliest retire age where the current pot (no further contributions) already covers the plan.</t>
        </is>
      </c>
      <c r="G382" s="3" t="inlineStr">
        <is>
          <t>inp: RetirementInputs · maxAge = 80</t>
        </is>
      </c>
      <c r="H382" s="3" t="inlineStr">
        <is>
          <t>number | null</t>
        </is>
      </c>
      <c r="I382" s="3" t="inlineStr">
        <is>
          <t>"IF YOU NEVER SAVE AGAIN" — on the Retirement cockpit screen</t>
        </is>
      </c>
      <c r="J382" s="3" t="inlineStr">
        <is>
          <t>None found in this function — anything it assumes comes from the functions it depends on.</t>
        </is>
      </c>
      <c r="K382" s="3" t="inlineStr">
        <is>
          <t>Yes</t>
        </is>
      </c>
      <c r="L382" s="3" t="inlineStr">
        <is>
          <t>MK-PL-F-055 projectNestEgg</t>
        </is>
      </c>
      <c r="M382" s="3" t="n">
        <v>5</v>
      </c>
      <c r="N382" s="3" t="inlineStr">
        <is>
          <t>MK-PL-F-055 projectNestEgg · MK-ST-F-055 round2 · MK-PL-F-050 simulate · MK-ST-F-025 rmdStartAgeFromAge · MK-ST-F-024 rmdStartAge</t>
        </is>
      </c>
      <c r="O382" s="3" t="inlineStr">
        <is>
          <t>MK-ST-F-055 round2 → MK-PL-F-055 projectNestEgg → MK-PL-F-056 solveRetireAge
MK-ST-F-024 rmdStartAge → MK-ST-F-025 rmdStartAgeFromAge → MK-PL-F-050 simulate → MK-PL-F-055 projectNestEgg → MK-PL-F-056 solveRetireAge
MK-ST-F-055 round2 → MK-PL-F-050 simulate → MK-PL-F-055 projectNestEgg → MK-PL-F-056 solveRetireAge</t>
        </is>
      </c>
      <c r="P382" s="3" t="inlineStr">
        <is>
          <t>—</t>
        </is>
      </c>
      <c r="Q382" s="3" t="inlineStr">
        <is>
          <t>—</t>
        </is>
      </c>
    </row>
    <row r="383">
      <c r="A383" s="3" t="inlineStr">
        <is>
          <t>MK-CF-F-106</t>
        </is>
      </c>
      <c r="B383" s="3" t="inlineStr">
        <is>
          <t>solveSafeDraw</t>
        </is>
      </c>
      <c r="C383" s="3" t="inlineStr">
        <is>
          <t>src/domain/paycheck/index.ts</t>
        </is>
      </c>
      <c r="D383" s="3" t="n">
        <v>98</v>
      </c>
      <c r="E383" s="3" t="inlineStr">
        <is>
          <t>3 · DEPENDENT</t>
        </is>
      </c>
      <c r="F383" s="3" t="inlineStr">
        <is>
          <t>Largest level monthly draw that keeps chance-of-success ≥ the floor.</t>
        </is>
      </c>
      <c r="G383" s="3" t="inlineStr">
        <is>
          <t>nestEgg: number · guaranteedMonthlyAvg: number · sim: PaycheckSimInputs · chanceFloor = 80</t>
        </is>
      </c>
      <c r="H383" s="3" t="inlineStr">
        <is>
          <t>number</t>
        </is>
      </c>
      <c r="I383" s="3" t="inlineStr">
        <is>
          <t>—</t>
        </is>
      </c>
      <c r="J383" s="3" t="inlineStr">
        <is>
          <t>· If paths is missing it uses 300.
· If seed is missing it uses 42.
· Uses a built-in i of 0.
· Treats a year as twelve equal months.</t>
        </is>
      </c>
      <c r="K383" s="3" t="inlineStr">
        <is>
          <t>Yes</t>
        </is>
      </c>
      <c r="L383" s="3" t="inlineStr">
        <is>
          <t>MK-ST-F-055 round2 · MK-PL-F-050 simulate</t>
        </is>
      </c>
      <c r="M383" s="3" t="n">
        <v>4</v>
      </c>
      <c r="N383" s="3" t="inlineStr">
        <is>
          <t>MK-ST-F-055 round2 · MK-PL-F-050 simulate · MK-ST-F-025 rmdStartAgeFromAge · MK-ST-F-024 rmdStartAge</t>
        </is>
      </c>
      <c r="O383" s="3" t="inlineStr">
        <is>
          <t>MK-ST-F-055 round2 → MK-CF-F-106 solveSafeDraw
MK-ST-F-024 rmdStartAge → MK-ST-F-025 rmdStartAgeFromAge → MK-PL-F-050 simulate → MK-CF-F-106 solveSafeDraw
MK-ST-F-055 round2 → MK-PL-F-050 simulate → MK-CF-F-106 solveSafeDraw</t>
        </is>
      </c>
      <c r="P383" s="3" t="inlineStr">
        <is>
          <t>—</t>
        </is>
      </c>
      <c r="Q383" s="3" t="inlineStr">
        <is>
          <t>—</t>
        </is>
      </c>
    </row>
    <row r="384">
      <c r="A384" s="3" t="inlineStr">
        <is>
          <t>MK-NW-F-045</t>
        </is>
      </c>
      <c r="B384" s="3" t="inlineStr">
        <is>
          <t>sourceWording</t>
        </is>
      </c>
      <c r="C384" s="3" t="inlineStr">
        <is>
          <t>src/domain/assets/index.ts</t>
        </is>
      </c>
      <c r="D384" s="3" t="n">
        <v>711</v>
      </c>
      <c r="E384" s="3" t="inlineStr">
        <is>
          <t>2 · DISPLAYED</t>
        </is>
      </c>
      <c r="F384" s="3" t="inlineStr">
        <is>
          <t>THE source wording (Build-47 walk row 8, audit Strategy #9): one sentence per source, used by every screen that names where an account's numbers come from.</t>
        </is>
      </c>
      <c r="G384" s="3" t="inlineStr">
        <is>
          <t>a: AssetAccount</t>
        </is>
      </c>
      <c r="H384" s="3" t="inlineStr">
        <is>
          <t>string</t>
        </is>
      </c>
      <c r="I384" s="3" t="inlineStr">
        <is>
          <t>NOT FOUND — a screen calls it, but the words printed beside its answer could not be traced automatically. Needs reading.</t>
        </is>
      </c>
      <c r="J384" s="3" t="inlineStr">
        <is>
          <t>None found in this function — anything it assumes comes from the functions it depends on.</t>
        </is>
      </c>
      <c r="K384" s="3" t="inlineStr">
        <is>
          <t>Yes</t>
        </is>
      </c>
      <c r="L384" s="3" t="inlineStr">
        <is>
          <t>—</t>
        </is>
      </c>
      <c r="M384" s="3" t="n">
        <v>0</v>
      </c>
      <c r="N384" s="3" t="inlineStr">
        <is>
          <t>None — no dependent function stands behind it</t>
        </is>
      </c>
      <c r="O384" s="3" t="inlineStr">
        <is>
          <t>No dependent function — it reads its inputs and answers</t>
        </is>
      </c>
      <c r="P384" s="3" t="inlineStr">
        <is>
          <t>—</t>
        </is>
      </c>
      <c r="Q384" s="3" t="inlineStr">
        <is>
          <t>WHERE_THE_VALUE_CAME_FROM</t>
        </is>
      </c>
    </row>
    <row r="385">
      <c r="A385" s="3" t="inlineStr">
        <is>
          <t>MK-CF-F-004</t>
        </is>
      </c>
      <c r="B385" s="3" t="inlineStr">
        <is>
          <t>spendBuckets</t>
        </is>
      </c>
      <c r="C385" s="3" t="inlineStr">
        <is>
          <t>src/domain/budget/index.ts</t>
        </is>
      </c>
      <c r="D385" s="3" t="n">
        <v>72</v>
      </c>
      <c r="E385" s="3" t="inlineStr">
        <is>
          <t>2 · DISPLAYED</t>
        </is>
      </c>
      <c r="F385" s="3" t="inlineStr">
        <is>
          <t>Roll the per-category spending up into the three monthly-normalized buckets.</t>
        </is>
      </c>
      <c r="G385" s="3" t="inlineStr">
        <is>
          <t>op: OnboardingProfile | null</t>
        </is>
      </c>
      <c r="H385" s="3" t="inlineStr">
        <is>
          <t>NOT DECLARED — the code does not say what it gives back</t>
        </is>
      </c>
      <c r="I385" s="3" t="inlineStr">
        <is>
          <t>"Spending" — on the setup questions, which appear on more than one screen · "YOUR GOALS" — on the Goals screen, under "YOUR GOALS"</t>
        </is>
      </c>
      <c r="J385" s="3" t="inlineStr">
        <is>
          <t>None found in this function — anything it assumes comes from the functions it depends on.</t>
        </is>
      </c>
      <c r="K385" s="3" t="inlineStr">
        <is>
          <t>Yes</t>
        </is>
      </c>
      <c r="L385" s="3" t="inlineStr">
        <is>
          <t>MK-CF-F-003 categoryMonthly · MK-ST-F-055 round2 · MK-ST-F-052 toNum</t>
        </is>
      </c>
      <c r="M385" s="3" t="n">
        <v>3</v>
      </c>
      <c r="N385" s="3" t="inlineStr">
        <is>
          <t>MK-CF-F-003 categoryMonthly · MK-ST-F-055 round2 · MK-ST-F-052 toNum</t>
        </is>
      </c>
      <c r="O385" s="3" t="inlineStr">
        <is>
          <t>MK-ST-F-052 toNum → MK-CF-F-003 categoryMonthly → MK-CF-F-004 spendBuckets
MK-ST-F-055 round2 → MK-CF-F-004 spendBuckets
MK-ST-F-052 toNum → MK-CF-F-004 spendBuckets</t>
        </is>
      </c>
      <c r="P385" s="3" t="inlineStr">
        <is>
          <t>MK-CF-M-013 · MK-CF-M-014 · MK-MN-M-021</t>
        </is>
      </c>
      <c r="Q385" s="3" t="inlineStr">
        <is>
          <t>SPENDING_BY_KIND</t>
        </is>
      </c>
    </row>
    <row r="386">
      <c r="A386" s="3" t="inlineStr">
        <is>
          <t>MK-CF-F-008</t>
        </is>
      </c>
      <c r="B386" s="3" t="inlineStr">
        <is>
          <t>spendByMonth</t>
        </is>
      </c>
      <c r="C386" s="3" t="inlineStr">
        <is>
          <t>src/domain/budget/index.ts</t>
        </is>
      </c>
      <c r="D386" s="3" t="n">
        <v>128</v>
      </c>
      <c r="E386" s="3" t="inlineStr">
        <is>
          <t>3 · DEPENDENT</t>
        </is>
      </c>
      <c r="F386" s="3" t="inlineStr">
        <is>
          <t>Spending placed in the calendar months it's actually due (Jan→Dec) — NOT averaged.</t>
        </is>
      </c>
      <c r="G386" s="3" t="inlineStr">
        <is>
          <t>op: OnboardingProfile | null</t>
        </is>
      </c>
      <c r="H386" s="3" t="inlineStr">
        <is>
          <t>number[]</t>
        </is>
      </c>
      <c r="I386" s="3" t="inlineStr">
        <is>
          <t>—</t>
        </is>
      </c>
      <c r="J386" s="3" t="inlineStr">
        <is>
          <t>· Uses a built-in i of 0.
· Treats a year as twelve equal months.
· Turns a monthly figure into a year by multiplying by twelve.</t>
        </is>
      </c>
      <c r="K386" s="3" t="inlineStr">
        <is>
          <t>Yes</t>
        </is>
      </c>
      <c r="L386" s="3" t="inlineStr">
        <is>
          <t>MK-CF-F-004 spendBuckets · MK-ST-F-052 toNum</t>
        </is>
      </c>
      <c r="M386" s="3" t="n">
        <v>4</v>
      </c>
      <c r="N386" s="3" t="inlineStr">
        <is>
          <t>MK-CF-F-004 spendBuckets · MK-ST-F-052 toNum · MK-CF-F-003 categoryMonthly · MK-ST-F-055 round2</t>
        </is>
      </c>
      <c r="O386" s="3" t="inlineStr">
        <is>
          <t>MK-ST-F-052 toNum → MK-CF-F-003 categoryMonthly → MK-CF-F-004 spendBuckets → MK-CF-F-008 spendByMonth
MK-ST-F-055 round2 → MK-CF-F-004 spendBuckets → MK-CF-F-008 spendByMonth
MK-ST-F-052 toNum → MK-CF-F-004 spendBuckets → MK-CF-F-008 spendByMonth
MK-ST-F-052 toNum → MK-CF-F-008 spendByMonth</t>
        </is>
      </c>
      <c r="P386" s="3" t="inlineStr">
        <is>
          <t>—</t>
        </is>
      </c>
      <c r="Q386" s="3" t="inlineStr">
        <is>
          <t>—</t>
        </is>
      </c>
    </row>
    <row r="387">
      <c r="A387" s="3" t="inlineStr">
        <is>
          <t>MK-PL-F-039</t>
        </is>
      </c>
      <c r="B387" s="3" t="inlineStr">
        <is>
          <t>spendMoreSentence</t>
        </is>
      </c>
      <c r="C387" s="3" t="inlineStr">
        <is>
          <t>src/domain/planning/spendMore.ts</t>
        </is>
      </c>
      <c r="D387" s="3" t="n">
        <v>54</v>
      </c>
      <c r="E387" s="3" t="inlineStr">
        <is>
          <t>2 · DISPLAYED</t>
        </is>
      </c>
      <c r="F387" s="3" t="inlineStr">
        <is>
          <t>What the screen says at a given stepper position — a real run every time, never a bucket.</t>
        </is>
      </c>
      <c r="G387" s="3" t="inlineStr">
        <is>
          <t>base: RetirementInputs · extra: number · horizonAge: number · oddsToday: number</t>
        </is>
      </c>
      <c r="H387" s="3" t="inlineStr">
        <is>
          <t>NOT DECLARED — the code does not say what it gives back</t>
        </is>
      </c>
      <c r="I387" s="3" t="inlineStr">
        <is>
          <t>NOT FOUND — a screen calls it, but the words printed beside its answer could not be traced automatically. Needs reading.</t>
        </is>
      </c>
      <c r="J387" s="3" t="inlineStr">
        <is>
          <t>· Rounds the answer to a whole number.</t>
        </is>
      </c>
      <c r="K387" s="3" t="inlineStr">
        <is>
          <t>Yes</t>
        </is>
      </c>
      <c r="L387" s="3" t="inlineStr">
        <is>
          <t>—</t>
        </is>
      </c>
      <c r="M387" s="3" t="n">
        <v>0</v>
      </c>
      <c r="N387" s="3" t="inlineStr">
        <is>
          <t>None — no dependent function stands behind it</t>
        </is>
      </c>
      <c r="O387" s="3" t="inlineStr">
        <is>
          <t>No dependent function — it reads its inputs and answers</t>
        </is>
      </c>
      <c r="P387" s="3" t="inlineStr">
        <is>
          <t>—</t>
        </is>
      </c>
      <c r="Q387" s="3" t="inlineStr">
        <is>
          <t>—</t>
        </is>
      </c>
    </row>
    <row r="388">
      <c r="A388" s="3" t="inlineStr">
        <is>
          <t>MK-PL-F-038</t>
        </is>
      </c>
      <c r="B388" s="3" t="inlineStr">
        <is>
          <t>spendMoreState</t>
        </is>
      </c>
      <c r="C388" s="3" t="inlineStr">
        <is>
          <t>src/domain/planning/spendMore.ts</t>
        </is>
      </c>
      <c r="D388" s="3" t="n">
        <v>36</v>
      </c>
      <c r="E388" s="3" t="inlineStr">
        <is>
          <t>2 · DISPLAYED</t>
        </is>
      </c>
      <c r="F388" s="3" t="inlineStr">
        <is>
          <t>How much more she could spend, and how much of it is genuinely free.</t>
        </is>
      </c>
      <c r="G388" s="3" t="inlineStr">
        <is>
          <t>base: RetirementInputs · maxExtra: number · step = 500</t>
        </is>
      </c>
      <c r="H388" s="3" t="inlineStr">
        <is>
          <t>SpendMoreState</t>
        </is>
      </c>
      <c r="I388" s="3" t="inlineStr">
        <is>
          <t>"Can I spend more?" — on a card used on more than one screen (SpendMoreControl)</t>
        </is>
      </c>
      <c r="J388" s="3" t="inlineStr">
        <is>
          <t>· Uses a built-in free of 0.</t>
        </is>
      </c>
      <c r="K388" s="3" t="inlineStr">
        <is>
          <t>Yes</t>
        </is>
      </c>
      <c r="L388" s="3" t="inlineStr">
        <is>
          <t>—</t>
        </is>
      </c>
      <c r="M388" s="3" t="n">
        <v>0</v>
      </c>
      <c r="N388" s="3" t="inlineStr">
        <is>
          <t>None — no dependent function stands behind it</t>
        </is>
      </c>
      <c r="O388" s="3" t="inlineStr">
        <is>
          <t>No dependent function — it reads its inputs and answers</t>
        </is>
      </c>
      <c r="P388" s="3" t="inlineStr">
        <is>
          <t>—</t>
        </is>
      </c>
      <c r="Q388" s="3" t="inlineStr">
        <is>
          <t>—</t>
        </is>
      </c>
    </row>
    <row r="389">
      <c r="A389" s="3" t="inlineStr">
        <is>
          <t>MK-PL-F-060</t>
        </is>
      </c>
      <c r="B389" s="3" t="inlineStr">
        <is>
          <t>ssBenefitAt</t>
        </is>
      </c>
      <c r="C389" s="3" t="inlineStr">
        <is>
          <t>src/domain/retirement/ssTiming.ts</t>
        </is>
      </c>
      <c r="D389" s="3" t="n">
        <v>54</v>
      </c>
      <c r="E389" s="3" t="inlineStr">
        <is>
          <t>2 · DISPLAYED</t>
        </is>
      </c>
      <c r="F389" s="3" t="inlineStr">
        <is>
          <t>Monthly benefit at a claim age from the at-FRA statement amount (today's dollars, whole $).</t>
        </is>
      </c>
      <c r="G389" s="3" t="inlineStr">
        <is>
          <t>statementMonthly: number · claimAge: number · birthYear?: number | null</t>
        </is>
      </c>
      <c r="H389" s="3" t="inlineStr">
        <is>
          <t>number</t>
        </is>
      </c>
      <c r="I389" s="3" t="inlineStr">
        <is>
          <t>NOT FOUND — a screen calls it, but the words printed beside its answer could not be traced automatically. Needs reading.</t>
        </is>
      </c>
      <c r="J389" s="3" t="inlineStr">
        <is>
          <t>· If statement monthly is missing it counts as zero, so nothing recorded and a real zero look the same.
· Rounds the answer to a whole number.</t>
        </is>
      </c>
      <c r="K389" s="3" t="inlineStr">
        <is>
          <t>Yes</t>
        </is>
      </c>
      <c r="L389" s="3" t="inlineStr">
        <is>
          <t>MK-PL-F-058 ssClaimFactorFor</t>
        </is>
      </c>
      <c r="M389" s="3" t="n">
        <v>2</v>
      </c>
      <c r="N389" s="3" t="inlineStr">
        <is>
          <t>MK-PL-F-058 ssClaimFactorFor · MK-PL-F-057 fullRetirementAge</t>
        </is>
      </c>
      <c r="O389" s="3" t="inlineStr">
        <is>
          <t>MK-PL-F-057 fullRetirementAge → MK-PL-F-058 ssClaimFactorFor → MK-PL-F-060 ssBenefitAt</t>
        </is>
      </c>
      <c r="P389" s="3" t="inlineStr">
        <is>
          <t>MK-PL-M-017</t>
        </is>
      </c>
      <c r="Q389" s="3" t="inlineStr">
        <is>
          <t>SS_BENEFIT_AT_AGE</t>
        </is>
      </c>
    </row>
    <row r="390">
      <c r="A390" s="3" t="inlineStr">
        <is>
          <t>MK-PL-F-061</t>
        </is>
      </c>
      <c r="B390" s="3" t="inlineStr">
        <is>
          <t>ssBenefitAtClaimAge</t>
        </is>
      </c>
      <c r="C390" s="3" t="inlineStr">
        <is>
          <t>src/domain/retirement/ssTiming.ts</t>
        </is>
      </c>
      <c r="D390" s="3" t="n">
        <v>58</v>
      </c>
      <c r="E390" s="3" t="inlineStr">
        <is>
          <t>2 · DISPLAYED</t>
        </is>
      </c>
      <c r="F390" s="3" t="inlineStr">
        <is>
          <t>Kept for callers not yet passing a birth year (behaves as born-1960+).</t>
        </is>
      </c>
      <c r="G390" s="3" t="inlineStr">
        <is>
          <t>statementMonthly: number · claimAge: number</t>
        </is>
      </c>
      <c r="H390" s="3" t="inlineStr">
        <is>
          <t>number</t>
        </is>
      </c>
      <c r="I390" s="3" t="inlineStr">
        <is>
          <t>"When should I claim Social Security?" — on a card used on more than one screen (ClaimAgeRow)</t>
        </is>
      </c>
      <c r="J390" s="3" t="inlineStr">
        <is>
          <t>None found in this function — anything it assumes comes from the functions it depends on.</t>
        </is>
      </c>
      <c r="K390" s="3" t="inlineStr">
        <is>
          <t>Yes</t>
        </is>
      </c>
      <c r="L390" s="3" t="inlineStr">
        <is>
          <t>MK-PL-F-060 ssBenefitAt</t>
        </is>
      </c>
      <c r="M390" s="3" t="n">
        <v>3</v>
      </c>
      <c r="N390" s="3" t="inlineStr">
        <is>
          <t>MK-PL-F-060 ssBenefitAt · MK-PL-F-058 ssClaimFactorFor · MK-PL-F-057 fullRetirementAge</t>
        </is>
      </c>
      <c r="O390" s="3" t="inlineStr">
        <is>
          <t>MK-PL-F-057 fullRetirementAge → MK-PL-F-058 ssClaimFactorFor → MK-PL-F-060 ssBenefitAt → MK-PL-F-061 ssBenefitAtClaimAge</t>
        </is>
      </c>
      <c r="P390" s="3" t="inlineStr">
        <is>
          <t>—</t>
        </is>
      </c>
      <c r="Q390" s="3" t="inlineStr">
        <is>
          <t>—</t>
        </is>
      </c>
    </row>
    <row r="391">
      <c r="A391" s="3" t="inlineStr">
        <is>
          <t>MK-PL-F-059</t>
        </is>
      </c>
      <c r="B391" s="3" t="inlineStr">
        <is>
          <t>ssClaimFactor</t>
        </is>
      </c>
      <c r="C391" s="3" t="inlineStr">
        <is>
          <t>src/domain/retirement/ssTiming.ts</t>
        </is>
      </c>
      <c r="D391" s="3" t="n">
        <v>49</v>
      </c>
      <c r="E391" s="3" t="inlineStr">
        <is>
          <t>3 · DEPENDENT (feeds an action only)</t>
        </is>
      </c>
      <c r="F391" s="3" t="inlineStr">
        <is>
          <t>The pre-table factor, anchored at 67 — unchanged behaviour for anyone born 1960+.</t>
        </is>
      </c>
      <c r="G391" s="3" t="inlineStr">
        <is>
          <t>claimAge: number</t>
        </is>
      </c>
      <c r="H391" s="3" t="inlineStr">
        <is>
          <t>number</t>
        </is>
      </c>
      <c r="I391" s="3" t="inlineStr">
        <is>
          <t>—</t>
        </is>
      </c>
      <c r="J391" s="3" t="inlineStr">
        <is>
          <t>None found in this function — anything it assumes comes from the functions it depends on.</t>
        </is>
      </c>
      <c r="K391" s="3" t="inlineStr">
        <is>
          <t>No</t>
        </is>
      </c>
      <c r="L391" s="3" t="inlineStr">
        <is>
          <t>MK-PL-F-058 ssClaimFactorFor</t>
        </is>
      </c>
      <c r="M391" s="3" t="n">
        <v>2</v>
      </c>
      <c r="N391" s="3" t="inlineStr">
        <is>
          <t>MK-PL-F-058 ssClaimFactorFor · MK-PL-F-057 fullRetirementAge</t>
        </is>
      </c>
      <c r="O391" s="3" t="inlineStr">
        <is>
          <t>MK-PL-F-057 fullRetirementAge → MK-PL-F-058 ssClaimFactorFor → MK-PL-F-059 ssClaimFactor</t>
        </is>
      </c>
      <c r="P391" s="3" t="inlineStr">
        <is>
          <t>—</t>
        </is>
      </c>
      <c r="Q391" s="3" t="inlineStr">
        <is>
          <t>—</t>
        </is>
      </c>
    </row>
    <row r="392">
      <c r="A392" s="3" t="inlineStr">
        <is>
          <t>MK-PL-F-058</t>
        </is>
      </c>
      <c r="B392" s="3" t="inlineStr">
        <is>
          <t>ssClaimFactorFor</t>
        </is>
      </c>
      <c r="C392" s="3" t="inlineStr">
        <is>
          <t>src/domain/retirement/ssTiming.ts</t>
        </is>
      </c>
      <c r="D392" s="3" t="n">
        <v>34</v>
      </c>
      <c r="E392" s="3" t="inlineStr">
        <is>
          <t>3 · DEPENDENT</t>
        </is>
      </c>
      <c r="F392" s="3" t="inlineStr">
        <is>
          <t>SSA factor for a claim age (62–70), relative to the statement amount at the person's OWN full retirement age.</t>
        </is>
      </c>
      <c r="G392" s="3" t="inlineStr">
        <is>
          <t>claimAge: number · birthYear?: number | null</t>
        </is>
      </c>
      <c r="H392" s="3" t="inlineStr">
        <is>
          <t>number</t>
        </is>
      </c>
      <c r="I392" s="3" t="inlineStr">
        <is>
          <t>—</t>
        </is>
      </c>
      <c r="J392" s="3" t="inlineStr">
        <is>
          <t>· Treats a year as twelve equal months.
· Turns a monthly figure into a year by multiplying by twelve.
· Rounds the answer to a whole number.</t>
        </is>
      </c>
      <c r="K392" s="3" t="inlineStr">
        <is>
          <t>Yes</t>
        </is>
      </c>
      <c r="L392" s="3" t="inlineStr">
        <is>
          <t>MK-PL-F-057 fullRetirementAge</t>
        </is>
      </c>
      <c r="M392" s="3" t="n">
        <v>1</v>
      </c>
      <c r="N392" s="3" t="inlineStr">
        <is>
          <t>MK-PL-F-057 fullRetirementAge</t>
        </is>
      </c>
      <c r="O392" s="3" t="inlineStr">
        <is>
          <t>MK-PL-F-057 fullRetirementAge → MK-PL-F-058 ssClaimFactorFor</t>
        </is>
      </c>
      <c r="P392" s="3" t="inlineStr">
        <is>
          <t>—</t>
        </is>
      </c>
      <c r="Q392" s="3" t="inlineStr">
        <is>
          <t>SS_CLAIM_FACTOR</t>
        </is>
      </c>
    </row>
    <row r="393">
      <c r="A393" s="3" t="inlineStr">
        <is>
          <t>MK-PL-F-062</t>
        </is>
      </c>
      <c r="B393" s="3" t="inlineStr">
        <is>
          <t>ssLifetimeTotal</t>
        </is>
      </c>
      <c r="C393" s="3" t="inlineStr">
        <is>
          <t>src/domain/retirement/ssTiming.ts</t>
        </is>
      </c>
      <c r="D393" s="3" t="n">
        <v>63</v>
      </c>
      <c r="E393" s="3" t="inlineStr">
        <is>
          <t>2 · DISPLAYED</t>
        </is>
      </c>
      <c r="F393" s="3" t="inlineStr">
        <is>
          <t>Total collected from claim age to a live-to age the USER sets (months × monthly, today's dollars).</t>
        </is>
      </c>
      <c r="G393" s="3" t="inlineStr">
        <is>
          <t>statementMonthly: number · claimAge: number · liveToAge: number · birthYear?: number | null</t>
        </is>
      </c>
      <c r="H393" s="3" t="inlineStr">
        <is>
          <t>number</t>
        </is>
      </c>
      <c r="I393" s="3" t="inlineStr">
        <is>
          <t>NOT FOUND — a screen calls it, but the words printed beside its answer could not be traced automatically. Needs reading.</t>
        </is>
      </c>
      <c r="J393" s="3" t="inlineStr">
        <is>
          <t>· Turns a monthly figure into a year by multiplying by twelve.
· Rounds the answer to a whole number.</t>
        </is>
      </c>
      <c r="K393" s="3" t="inlineStr">
        <is>
          <t>Yes</t>
        </is>
      </c>
      <c r="L393" s="3" t="inlineStr">
        <is>
          <t>MK-PL-F-060 ssBenefitAt</t>
        </is>
      </c>
      <c r="M393" s="3" t="n">
        <v>3</v>
      </c>
      <c r="N393" s="3" t="inlineStr">
        <is>
          <t>MK-PL-F-060 ssBenefitAt · MK-PL-F-058 ssClaimFactorFor · MK-PL-F-057 fullRetirementAge</t>
        </is>
      </c>
      <c r="O393" s="3" t="inlineStr">
        <is>
          <t>MK-PL-F-057 fullRetirementAge → MK-PL-F-058 ssClaimFactorFor → MK-PL-F-060 ssBenefitAt → MK-PL-F-062 ssLifetimeTotal</t>
        </is>
      </c>
      <c r="P393" s="3" t="inlineStr">
        <is>
          <t>—</t>
        </is>
      </c>
      <c r="Q393" s="3" t="inlineStr">
        <is>
          <t>—</t>
        </is>
      </c>
    </row>
    <row r="394">
      <c r="A394" s="3" t="inlineStr">
        <is>
          <t>MK-PL-F-051</t>
        </is>
      </c>
      <c r="B394" s="3" t="inlineStr">
        <is>
          <t>ssStreamOf</t>
        </is>
      </c>
      <c r="C394" s="3" t="inlineStr">
        <is>
          <t>src/domain/retirement/index.ts</t>
        </is>
      </c>
      <c r="D394" s="3" t="n">
        <v>279</v>
      </c>
      <c r="E394" s="3" t="inlineStr">
        <is>
          <t>3 · DEPENDENT</t>
        </is>
      </c>
      <c r="F394" s="3" t="inlineStr">
        <is>
          <t>The Social Security stream inside an input set, when streams are in use.</t>
        </is>
      </c>
      <c r="G394" s="3" t="inlineStr">
        <is>
          <t>inp: RetirementInputs</t>
        </is>
      </c>
      <c r="H394" s="3" t="inlineStr">
        <is>
          <t>NOT DECLARED — the code does not say what it gives back</t>
        </is>
      </c>
      <c r="I394" s="3" t="inlineStr">
        <is>
          <t>—</t>
        </is>
      </c>
      <c r="J394" s="3" t="inlineStr">
        <is>
          <t>None found in this function — anything it assumes comes from the functions it depends on.</t>
        </is>
      </c>
      <c r="K394" s="3" t="inlineStr">
        <is>
          <t>Yes</t>
        </is>
      </c>
      <c r="L394" s="3" t="inlineStr">
        <is>
          <t>—</t>
        </is>
      </c>
      <c r="M394" s="3" t="n">
        <v>0</v>
      </c>
      <c r="N394" s="3" t="inlineStr">
        <is>
          <t>None — no dependent function stands behind it</t>
        </is>
      </c>
      <c r="O394" s="3" t="inlineStr">
        <is>
          <t>No dependent function — it reads its inputs and answers</t>
        </is>
      </c>
      <c r="P394" s="3" t="inlineStr">
        <is>
          <t>—</t>
        </is>
      </c>
      <c r="Q394" s="3" t="inlineStr">
        <is>
          <t>—</t>
        </is>
      </c>
    </row>
    <row r="395">
      <c r="A395" s="3" t="inlineStr">
        <is>
          <t>MK-PL-F-045</t>
        </is>
      </c>
      <c r="B395" s="3" t="inlineStr">
        <is>
          <t>ssUpliftFactor</t>
        </is>
      </c>
      <c r="C395" s="3" t="inlineStr">
        <is>
          <t>src/domain/planning/target.ts</t>
        </is>
      </c>
      <c r="D395" s="3" t="n">
        <v>180</v>
      </c>
      <c r="E395" s="3" t="inlineStr">
        <is>
          <t>3 · DEPENDENT</t>
        </is>
      </c>
      <c r="F395" s="3" t="inlineStr">
        <is>
          <t>Social Security pays roughly 8% more for each year you delay past full retirement age — the claim-later lever has to raise the CHECK, not just move its start date.</t>
        </is>
      </c>
      <c r="G395" s="3" t="inlineStr">
        <is>
          <t>fromAge: number · toAge: number</t>
        </is>
      </c>
      <c r="H395" s="3" t="inlineStr">
        <is>
          <t>number</t>
        </is>
      </c>
      <c r="I395" s="3" t="inlineStr">
        <is>
          <t>—</t>
        </is>
      </c>
      <c r="J395" s="3" t="inlineStr">
        <is>
          <t>None found in this function — anything it assumes comes from the functions it depends on.</t>
        </is>
      </c>
      <c r="K395" s="3" t="inlineStr">
        <is>
          <t>Yes</t>
        </is>
      </c>
      <c r="L395" s="3" t="inlineStr">
        <is>
          <t>—</t>
        </is>
      </c>
      <c r="M395" s="3" t="n">
        <v>0</v>
      </c>
      <c r="N395" s="3" t="inlineStr">
        <is>
          <t>None — no dependent function stands behind it</t>
        </is>
      </c>
      <c r="O395" s="3" t="inlineStr">
        <is>
          <t>No dependent function — it reads its inputs and answers</t>
        </is>
      </c>
      <c r="P395" s="3" t="inlineStr">
        <is>
          <t>—</t>
        </is>
      </c>
      <c r="Q395" s="3" t="inlineStr">
        <is>
          <t>—</t>
        </is>
      </c>
    </row>
    <row r="396">
      <c r="A396" s="3" t="inlineStr">
        <is>
          <t>MK-XS-F-101</t>
        </is>
      </c>
      <c r="B396" s="3" t="inlineStr">
        <is>
          <t>stAssetId</t>
        </is>
      </c>
      <c r="C396" s="3" t="inlineStr">
        <is>
          <t>src/services/sync/ingest.ts</t>
        </is>
      </c>
      <c r="D396" s="3" t="n">
        <v>36</v>
      </c>
      <c r="E396" s="3" t="inlineStr">
        <is>
          <t>1 · ACTION</t>
        </is>
      </c>
      <c r="F396" s="3" t="inlineStr">
        <is>
          <t>What do we call this connected account internally?</t>
        </is>
      </c>
      <c r="G396" s="3" t="inlineStr">
        <is>
          <t>snapTradeAccountId: string</t>
        </is>
      </c>
      <c r="H396" s="3" t="inlineStr">
        <is>
          <t>NOT DECLARED — the code does not say what it gives back</t>
        </is>
      </c>
      <c r="I396" s="3" t="inlineStr">
        <is>
          <t>—</t>
        </is>
      </c>
      <c r="J396" s="3" t="inlineStr">
        <is>
          <t>None found in this function — anything it assumes comes from the functions it depends on.</t>
        </is>
      </c>
      <c r="K396" s="3" t="inlineStr">
        <is>
          <t>Yes</t>
        </is>
      </c>
      <c r="L396" s="3" t="inlineStr">
        <is>
          <t>—</t>
        </is>
      </c>
      <c r="M396" s="3" t="n">
        <v>0</v>
      </c>
      <c r="N396" s="3" t="inlineStr">
        <is>
          <t>None — no dependent function stands behind it</t>
        </is>
      </c>
      <c r="O396" s="3" t="inlineStr">
        <is>
          <t>No dependent function — it reads its inputs and answers</t>
        </is>
      </c>
      <c r="P396" s="3" t="inlineStr">
        <is>
          <t>—</t>
        </is>
      </c>
      <c r="Q396" s="3" t="inlineStr">
        <is>
          <t>ACCOUNT_IDENTITY</t>
        </is>
      </c>
    </row>
    <row r="397">
      <c r="A397" s="3" t="inlineStr">
        <is>
          <t>MK-PF-F-008</t>
        </is>
      </c>
      <c r="B397" s="3" t="inlineStr">
        <is>
          <t>startDateFor</t>
        </is>
      </c>
      <c r="C397" s="3" t="inlineStr">
        <is>
          <t>src/domain/performance/index.ts</t>
        </is>
      </c>
      <c r="D397" s="3" t="n">
        <v>96</v>
      </c>
      <c r="E397" s="3" t="inlineStr">
        <is>
          <t>2 · DISPLAYED</t>
        </is>
      </c>
      <c r="F397" s="3" t="inlineStr">
        <is>
          <t>---- period returns from a price series (price return of the security itself) ----</t>
        </is>
      </c>
      <c r="G397" s="3" t="inlineStr">
        <is>
          <t>period: Period · now: Date</t>
        </is>
      </c>
      <c r="H397" s="3" t="inlineStr">
        <is>
          <t>Date</t>
        </is>
      </c>
      <c r="I397" s="3" t="inlineStr">
        <is>
          <t>NOT FOUND — a screen calls it, but the words printed beside its answer could not be traced automatically. Needs reading.</t>
        </is>
      </c>
      <c r="J397" s="3" t="inlineStr">
        <is>
          <t>None found in this function — anything it assumes comes from the functions it depends on.</t>
        </is>
      </c>
      <c r="K397" s="3" t="inlineStr">
        <is>
          <t>Yes</t>
        </is>
      </c>
      <c r="L397" s="3" t="inlineStr">
        <is>
          <t>—</t>
        </is>
      </c>
      <c r="M397" s="3" t="n">
        <v>0</v>
      </c>
      <c r="N397" s="3" t="inlineStr">
        <is>
          <t>None — no dependent function stands behind it</t>
        </is>
      </c>
      <c r="O397" s="3" t="inlineStr">
        <is>
          <t>No dependent function — it reads its inputs and answers</t>
        </is>
      </c>
      <c r="P397" s="3" t="inlineStr">
        <is>
          <t>—</t>
        </is>
      </c>
      <c r="Q397" s="3" t="inlineStr">
        <is>
          <t>PERIOD_START_DATE</t>
        </is>
      </c>
    </row>
    <row r="398">
      <c r="A398" s="3" t="inlineStr">
        <is>
          <t>MK-CF-F-086</t>
        </is>
      </c>
      <c r="B398" s="3" t="inlineStr">
        <is>
          <t>stateRateOf</t>
        </is>
      </c>
      <c r="C398" s="3" t="inlineStr">
        <is>
          <t>src/domain/income/onboarding.ts</t>
        </is>
      </c>
      <c r="D398" s="3" t="n">
        <v>358</v>
      </c>
      <c r="E398" s="3" t="inlineStr">
        <is>
          <t>2 · DISPLAYED</t>
        </is>
      </c>
      <c r="F398" s="3" t="inlineStr">
        <is>
          <t>What state tax rate applies?</t>
        </is>
      </c>
      <c r="G398" s="3" t="inlineStr">
        <is>
          <t>op: OnboardingProfile | null</t>
        </is>
      </c>
      <c r="H398" s="3" t="inlineStr">
        <is>
          <t>number</t>
        </is>
      </c>
      <c r="I398" s="3" t="inlineStr">
        <is>
          <t>NOT FOUND — a screen calls it, but the words printed beside its answer could not be traced automatically. Needs reading.</t>
        </is>
      </c>
      <c r="J398" s="3" t="inlineStr">
        <is>
          <t>None found in this function — anything it assumes comes from the functions it depends on.</t>
        </is>
      </c>
      <c r="K398" s="3" t="inlineStr">
        <is>
          <t>Yes</t>
        </is>
      </c>
      <c r="L398" s="3" t="inlineStr">
        <is>
          <t>MK-ST-F-052 toNum</t>
        </is>
      </c>
      <c r="M398" s="3" t="n">
        <v>1</v>
      </c>
      <c r="N398" s="3" t="inlineStr">
        <is>
          <t>MK-ST-F-052 toNum</t>
        </is>
      </c>
      <c r="O398" s="3" t="inlineStr">
        <is>
          <t>MK-ST-F-052 toNum → MK-CF-F-086 stateRateOf</t>
        </is>
      </c>
      <c r="P398" s="3" t="inlineStr">
        <is>
          <t>—</t>
        </is>
      </c>
      <c r="Q398" s="3" t="inlineStr">
        <is>
          <t>STATE_TAX_RATE</t>
        </is>
      </c>
    </row>
    <row r="399">
      <c r="A399" s="3" t="inlineStr">
        <is>
          <t>MK-XS-F-093</t>
        </is>
      </c>
      <c r="B399" s="3" t="inlineStr">
        <is>
          <t>stripNonMoney</t>
        </is>
      </c>
      <c r="C399" s="3" t="inlineStr">
        <is>
          <t>src/services/receiptOCR.ts</t>
        </is>
      </c>
      <c r="D399" s="3" t="n">
        <v>72</v>
      </c>
      <c r="E399" s="3" t="inlineStr">
        <is>
          <t>3 · DEPENDENT (feeds an action only)</t>
        </is>
      </c>
      <c r="F399" s="3" t="inlineStr">
        <is>
          <t>A DATE IS NOT MONEY.</t>
        </is>
      </c>
      <c r="G399" s="3" t="inlineStr">
        <is>
          <t>line: string</t>
        </is>
      </c>
      <c r="H399" s="3" t="inlineStr">
        <is>
          <t>string</t>
        </is>
      </c>
      <c r="I399" s="3" t="inlineStr">
        <is>
          <t>—</t>
        </is>
      </c>
      <c r="J399" s="3" t="inlineStr">
        <is>
          <t>None found in this function — anything it assumes comes from the functions it depends on.</t>
        </is>
      </c>
      <c r="K399" s="3" t="inlineStr">
        <is>
          <t>No</t>
        </is>
      </c>
      <c r="L399" s="3" t="inlineStr">
        <is>
          <t>—</t>
        </is>
      </c>
      <c r="M399" s="3" t="n">
        <v>0</v>
      </c>
      <c r="N399" s="3" t="inlineStr">
        <is>
          <t>None — no dependent function stands behind it</t>
        </is>
      </c>
      <c r="O399" s="3" t="inlineStr">
        <is>
          <t>No dependent function — it reads its inputs and answers</t>
        </is>
      </c>
      <c r="P399" s="3" t="inlineStr">
        <is>
          <t>—</t>
        </is>
      </c>
      <c r="Q399" s="3" t="inlineStr">
        <is>
          <t>—</t>
        </is>
      </c>
    </row>
    <row r="400">
      <c r="A400" s="3" t="inlineStr">
        <is>
          <t>MK-XS-F-080</t>
        </is>
      </c>
      <c r="B400" s="3" t="inlineStr">
        <is>
          <t>submitFeedback</t>
        </is>
      </c>
      <c r="C400" s="3" t="inlineStr">
        <is>
          <t>src/services/firebase.ts</t>
        </is>
      </c>
      <c r="D400" s="3" t="n">
        <v>289</v>
      </c>
      <c r="E400" s="3" t="inlineStr">
        <is>
          <t>1 · ACTION</t>
        </is>
      </c>
      <c r="F400" s="3" t="inlineStr">
        <is>
          <t>NOT DETERMINED — the code carries no note saying what this is for, and it has no row in the old inventory. Needs reading.</t>
        </is>
      </c>
      <c r="G400" s="3" t="inlineStr">
        <is>
          <t>Nothing is handed to it</t>
        </is>
      </c>
      <c r="H400" s="3" t="inlineStr">
        <is>
          <t>NOT DECLARED — the code does not say what it gives back</t>
        </is>
      </c>
      <c r="I400" s="3" t="inlineStr">
        <is>
          <t>—</t>
        </is>
      </c>
      <c r="J400" s="3" t="inlineStr">
        <is>
          <t>None found in this function — anything it assumes comes from the functions it depends on.</t>
        </is>
      </c>
      <c r="K400" s="3" t="inlineStr">
        <is>
          <t>Yes</t>
        </is>
      </c>
      <c r="L400" s="3" t="inlineStr">
        <is>
          <t>—</t>
        </is>
      </c>
      <c r="M400" s="3" t="n">
        <v>0</v>
      </c>
      <c r="N400" s="3" t="inlineStr">
        <is>
          <t>None — no dependent function stands behind it</t>
        </is>
      </c>
      <c r="O400" s="3" t="inlineStr">
        <is>
          <t>No dependent function — it reads its inputs and answers</t>
        </is>
      </c>
      <c r="P400" s="3" t="inlineStr">
        <is>
          <t>—</t>
        </is>
      </c>
      <c r="Q400" s="3" t="inlineStr">
        <is>
          <t>—</t>
        </is>
      </c>
    </row>
    <row r="401">
      <c r="A401" s="3" t="inlineStr">
        <is>
          <t>MK-ST-F-020</t>
        </is>
      </c>
      <c r="B401" s="3" t="inlineStr">
        <is>
          <t>sumSigned</t>
        </is>
      </c>
      <c r="C401" s="3" t="inlineStr">
        <is>
          <t>Calculation Module code/engines/money.ts</t>
        </is>
      </c>
      <c r="D401" s="3" t="n">
        <v>64</v>
      </c>
      <c r="E401" s="3" t="inlineStr">
        <is>
          <t>3 · DEPENDENT (feeds an action only)</t>
        </is>
      </c>
      <c r="F401" s="3" t="inlineStr">
        <is>
          <t>Add money SIGNED and EXACTLY — a credit and its reversal cancel to true zero, so a reconciliation can assert equality rather than a tolerance.</t>
        </is>
      </c>
      <c r="G401" s="3" t="inlineStr">
        <is>
          <t>items: Money[]</t>
        </is>
      </c>
      <c r="H401" s="3" t="inlineStr">
        <is>
          <t>Dec</t>
        </is>
      </c>
      <c r="I401" s="3" t="inlineStr">
        <is>
          <t>—</t>
        </is>
      </c>
      <c r="J401" s="3" t="inlineStr">
        <is>
          <t>None found in this function — anything it assumes comes from the functions it depends on.</t>
        </is>
      </c>
      <c r="K401" s="3" t="inlineStr">
        <is>
          <t>No</t>
        </is>
      </c>
      <c r="L401" s="3" t="inlineStr">
        <is>
          <t>—</t>
        </is>
      </c>
      <c r="M401" s="3" t="n">
        <v>0</v>
      </c>
      <c r="N401" s="3" t="inlineStr">
        <is>
          <t>None — no dependent function stands behind it</t>
        </is>
      </c>
      <c r="O401" s="3" t="inlineStr">
        <is>
          <t>No dependent function — it reads its inputs and answers</t>
        </is>
      </c>
      <c r="P401" s="3" t="inlineStr">
        <is>
          <t>—</t>
        </is>
      </c>
      <c r="Q401" s="3" t="inlineStr">
        <is>
          <t>—</t>
        </is>
      </c>
    </row>
    <row r="402">
      <c r="A402" s="3" t="inlineStr">
        <is>
          <t>MK-XS-F-028</t>
        </is>
      </c>
      <c r="B402" s="3" t="inlineStr">
        <is>
          <t>surplusByMonth</t>
        </is>
      </c>
      <c r="C402" s="3" t="inlineStr">
        <is>
          <t>src/domain/savings/index.ts</t>
        </is>
      </c>
      <c r="D402" s="3" t="n">
        <v>21</v>
      </c>
      <c r="E402" s="3" t="inlineStr">
        <is>
          <t>2 · DISPLAYED</t>
        </is>
      </c>
      <c r="F402" s="3" t="inlineStr">
        <is>
          <t>Planned SURPLUS, month by month, AFTER debt (the canonical word, per the 2026-06-23 decision).</t>
        </is>
      </c>
      <c r="G402" s="3" t="inlineStr">
        <is>
          <t>op: OnboardingProfile | null · debts: Debt[] = []</t>
        </is>
      </c>
      <c r="H402" s="3" t="inlineStr">
        <is>
          <t>NOT DECLARED — the code does not say what it gives back</t>
        </is>
      </c>
      <c r="I402" s="3" t="inlineStr">
        <is>
          <t>"Plan" — on the Goals screen</t>
        </is>
      </c>
      <c r="J402" s="3" t="inlineStr">
        <is>
          <t>None found in this function — anything it assumes comes from the functions it depends on.</t>
        </is>
      </c>
      <c r="K402" s="3" t="inlineStr">
        <is>
          <t>Yes</t>
        </is>
      </c>
      <c r="L402" s="3" t="inlineStr">
        <is>
          <t>MK-CF-F-026 actualDebtPayment · MK-ST-F-055 round2 · MK-CF-F-011 savingsByMonth</t>
        </is>
      </c>
      <c r="M402" s="3" t="n">
        <v>44</v>
      </c>
      <c r="N402" s="3" t="inlineStr">
        <is>
          <t>MK-CF-F-026 actualDebtPayment · MK-ST-F-055 round2 · MK-CF-F-011 savingsByMonth · MK-CF-F-024 totalDebtMonthly · MK-CF-F-092 incomeMonthlyGrid · MK-CF-F-008 spendByMonth · MK-CF-F-023 requiredPayment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MK-ST-F-052 toNum · MK-CF-F-004 spendBuckets · MK-CF-F-022 paymentShape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MK-CF-F-003 categoryMonthly · MK-CF-F-021 defaultPaymentType · MK-CF-F-102 effectiveRateOnGrossFor · MK-CF-F-084 taxableAnnual · MK-CF-F-101 taxOwedFor · MK-CF-F-100 taxableIncomeFor · MK-CF-F-095 taxOwed · MK-CF-F-082 salaryAnnual · MK-CF-F-074 tipsAnnual · MK-CF-F-099 deductionFor · MK-CF-F-093 taxableIncome · MK-CF-F-081 salaryActiveMonths</t>
        </is>
      </c>
      <c r="O402" s="3" t="inlineStr">
        <is>
          <t>MK-ST-F-055 round2 → MK-CF-F-026 actualDebtPayment → MK-XS-F-028 surplusByMonth
MK-CF-F-021 defaultPaymentType → MK-CF-F-022 paymentShape → MK-CF-F-023 requiredPayment → MK-CF-F-024 totalDebtMonthly → MK-CF-F-026 actualDebtPayment → MK-XS-F-028 surplusByMonth
MK-ST-F-055 round2 → MK-XS-F-028 surplusByMonth
MK-CF-F-069 benefitActiveMonths → MK-CF-F-092 incomeMonthlyGrid → MK-CF-F-011 savingsByMonth → MK-XS-F-028 surplusByMonth
MK-ST-F-052 toNum → MK-CF-F-075 retirementIncomeMonthly → MK-CF-F-072 currentRetirementIncomeMonthly → MK-CF-F-092 incomeMonthlyGrid → MK-CF-F-011 savingsByMonth → MK-XS-F-028 surplusByMonth
MK-ST-F-052 toNum → MK-CF-F-062 equityRowValue → MK-CF-F-065 equityVestWeights → MK-CF-F-092 incomeMonthlyGrid → MK-CF-F-011 savingsByMonth → MK-XS-F-028 surplusByMonth
MK-CF-F-069 benefitActiveMonths → MK-CF-F-070 benefitAnnual → MK-CF-F-071 extraIncome → MK-CF-F-092 incomeMonthlyGrid → MK-CF-F-011 savingsByMonth → MK-XS-F-028 surplusByMonth
MK-ST-F-052 toNum → MK-CF-F-070 benefitAnnual → MK-CF-F-071 extraIncome → MK-CF-F-092 incomeMonthlyGrid → MK-CF-F-011 savingsByMonth → MK-XS-F-028 surplusByMonth
… and 37 more paths</t>
        </is>
      </c>
      <c r="P402" s="3" t="inlineStr">
        <is>
          <t>—</t>
        </is>
      </c>
      <c r="Q402" s="3" t="inlineStr">
        <is>
          <t>—</t>
        </is>
      </c>
    </row>
    <row r="403">
      <c r="A403" s="3" t="inlineStr">
        <is>
          <t>MK-XS-F-025</t>
        </is>
      </c>
      <c r="B403" s="3" t="inlineStr">
        <is>
          <t>tabOrder</t>
        </is>
      </c>
      <c r="C403" s="3" t="inlineStr">
        <is>
          <t>src/domain/profile/lens.ts</t>
        </is>
      </c>
      <c r="D403" s="3" t="n">
        <v>30</v>
      </c>
      <c r="E403" s="3" t="inlineStr">
        <is>
          <t>2 · DISPLAYED</t>
        </is>
      </c>
      <c r="F403" s="3" t="inlineStr">
        <is>
          <t>Bottom-bar order per lens (design pin: "Tab order is set once from stage; identical across sessions").</t>
        </is>
      </c>
      <c r="G403" s="3" t="inlineStr">
        <is>
          <t>lens: Lens</t>
        </is>
      </c>
      <c r="H403" s="3" t="inlineStr">
        <is>
          <t>FccTab[]</t>
        </is>
      </c>
      <c r="I403" s="3" t="inlineStr">
        <is>
          <t>"YOUR FIVE TABS — same order as the bar below" — on a card used on more than one screen (TopBar)</t>
        </is>
      </c>
      <c r="J403" s="3" t="inlineStr">
        <is>
          <t>None found in this function — anything it assumes comes from the functions it depends on.</t>
        </is>
      </c>
      <c r="K403" s="3" t="inlineStr">
        <is>
          <t>Yes</t>
        </is>
      </c>
      <c r="L403" s="3" t="inlineStr">
        <is>
          <t>—</t>
        </is>
      </c>
      <c r="M403" s="3" t="n">
        <v>0</v>
      </c>
      <c r="N403" s="3" t="inlineStr">
        <is>
          <t>None — no dependent function stands behind it</t>
        </is>
      </c>
      <c r="O403" s="3" t="inlineStr">
        <is>
          <t>No dependent function — it reads its inputs and answers</t>
        </is>
      </c>
      <c r="P403" s="3" t="inlineStr">
        <is>
          <t>—</t>
        </is>
      </c>
      <c r="Q403" s="3" t="inlineStr">
        <is>
          <t>—</t>
        </is>
      </c>
    </row>
    <row r="404">
      <c r="A404" s="3" t="inlineStr">
        <is>
          <t>MK-XS-F-027</t>
        </is>
      </c>
      <c r="B404" s="3" t="inlineStr">
        <is>
          <t>takeHomeMonthly</t>
        </is>
      </c>
      <c r="C404" s="3" t="inlineStr">
        <is>
          <t>src/domain/savings/index.ts</t>
        </is>
      </c>
      <c r="D404" s="3" t="n">
        <v>13</v>
      </c>
      <c r="E404" s="3" t="inlineStr">
        <is>
          <t>2 · DISPLAYED</t>
        </is>
      </c>
      <c r="F404" s="3" t="inlineStr">
        <is>
          <t>True take-home per month: after tax AND after the 401(k) deduction (the cash that hits your account).</t>
        </is>
      </c>
      <c r="G404" s="3" t="inlineStr">
        <is>
          <t>op: OnboardingProfile | null</t>
        </is>
      </c>
      <c r="H404" s="3" t="inlineStr">
        <is>
          <t>number</t>
        </is>
      </c>
      <c r="I404" s="3" t="inlineStr">
        <is>
          <t>"Income (take-home)" — on the budget screen · "Itemized" — on the setup questions, which appear on more than one screen · "Net Worth" — on the setup questions, which appear on more than one screen · "Net" — on the setup questions, which appear on more than one screen · "Surplus / year" — on the setup questions, which appear on more than one screen · "Take-home / year" — on the setup questions, which appear on more than one screen</t>
        </is>
      </c>
      <c r="J404" s="3" t="inlineStr">
        <is>
          <t>· Treats a year as twelve equal months.</t>
        </is>
      </c>
      <c r="K404" s="3" t="inlineStr">
        <is>
          <t>Yes</t>
        </is>
      </c>
      <c r="L404" s="3" t="inlineStr">
        <is>
          <t>MK-CF-F-092 incomeMonthlyGrid · MK-ST-F-055 round2</t>
        </is>
      </c>
      <c r="M404" s="3" t="n">
        <v>35</v>
      </c>
      <c r="N404" s="3" t="inlineStr">
        <is>
          <t>MK-CF-F-092 incomeMonthlyGrid · MK-ST-F-055 round2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MK-ST-F-052 toNum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O404" s="3" t="inlineStr">
        <is>
          <t>MK-CF-F-069 benefitActiveMonths → MK-CF-F-092 incomeMonthlyGrid → MK-XS-F-027 takeHomeMonthly
MK-ST-F-052 toNum → MK-CF-F-075 retirementIncomeMonthly → MK-CF-F-072 currentRetirementIncomeMonthly → MK-CF-F-092 incomeMonthlyGrid → MK-XS-F-027 takeHomeMonthly
MK-ST-F-052 toNum → MK-CF-F-062 equityRowValue → MK-CF-F-065 equityVestWeights → MK-CF-F-092 incomeMonthlyGrid → MK-XS-F-027 takeHomeMonthly
MK-CF-F-069 benefitActiveMonths → MK-CF-F-070 benefitAnnual → MK-CF-F-071 extraIncome → MK-CF-F-092 incomeMonthlyGrid → MK-XS-F-027 takeHomeMonthly
MK-ST-F-052 toNum → MK-CF-F-070 benefitAnnual → MK-CF-F-071 extraIncome → MK-CF-F-092 incomeMonthlyGrid → MK-XS-F-027 takeHomeMonthly
MK-ST-F-055 round2 → MK-CF-F-071 extraIncome → MK-CF-F-092 incomeMonthlyGrid → MK-XS-F-027 takeHomeMonthly
MK-ST-F-052 toNum → MK-CF-F-071 extraIncome → MK-CF-F-092 incomeMonthlyGrid → MK-XS-F-027 takeHomeMonthly
MK-CF-F-101 taxOwedFor → MK-CF-F-102 effectiveRateOnGrossFor → MK-CF-F-090 effectiveRate → MK-CF-F-087 monthlyTaxRates → MK-CF-F-092 incomeMonthlyGrid → MK-XS-F-027 takeHomeMonthly
… and 42 more paths</t>
        </is>
      </c>
      <c r="P404" s="3" t="inlineStr">
        <is>
          <t>—</t>
        </is>
      </c>
      <c r="Q404" s="3" t="inlineStr">
        <is>
          <t>—</t>
        </is>
      </c>
    </row>
    <row r="405">
      <c r="A405" s="3" t="inlineStr">
        <is>
          <t>MK-PL-F-040</t>
        </is>
      </c>
      <c r="B405" s="3" t="inlineStr">
        <is>
          <t>targetAtRetirement</t>
        </is>
      </c>
      <c r="C405" s="3" t="inlineStr">
        <is>
          <t>src/domain/planning/target.ts</t>
        </is>
      </c>
      <c r="D405" s="3" t="n">
        <v>40</v>
      </c>
      <c r="E405" s="3" t="inlineStr">
        <is>
          <t>2 · DISPLAYED</t>
        </is>
      </c>
      <c r="F405" s="3" t="inlineStr">
        <is>
          <t>THE TARGET: the balance on day one of retirement that reaches TARGET_ODDS.</t>
        </is>
      </c>
      <c r="G405" s="3" t="inlineStr">
        <is>
          <t>base: RetirementInputs</t>
        </is>
      </c>
      <c r="H405" s="3" t="inlineStr">
        <is>
          <t>number | null</t>
        </is>
      </c>
      <c r="I405" s="3" t="inlineStr">
        <is>
          <t>NOT FOUND — a screen calls it, but the words printed beside its answer could not be traced automatically. Needs reading.</t>
        </is>
      </c>
      <c r="J405" s="3" t="inlineStr">
        <is>
          <t>None found in this function — anything it assumes comes from the functions it depends on.</t>
        </is>
      </c>
      <c r="K405" s="3" t="inlineStr">
        <is>
          <t>Yes</t>
        </is>
      </c>
      <c r="L405" s="3" t="inlineStr">
        <is>
          <t>—</t>
        </is>
      </c>
      <c r="M405" s="3" t="n">
        <v>0</v>
      </c>
      <c r="N405" s="3" t="inlineStr">
        <is>
          <t>None — no dependent function stands behind it</t>
        </is>
      </c>
      <c r="O405" s="3" t="inlineStr">
        <is>
          <t>No dependent function — it reads its inputs and answers</t>
        </is>
      </c>
      <c r="P405" s="3" t="inlineStr">
        <is>
          <t>—</t>
        </is>
      </c>
      <c r="Q405" s="3" t="inlineStr">
        <is>
          <t>—</t>
        </is>
      </c>
    </row>
    <row r="406">
      <c r="A406" s="3" t="inlineStr">
        <is>
          <t>MK-PL-F-001</t>
        </is>
      </c>
      <c r="B406" s="3" t="inlineStr">
        <is>
          <t>taxBucketSplit</t>
        </is>
      </c>
      <c r="C406" s="3" t="inlineStr">
        <is>
          <t>src/domain/decumulation/index.ts</t>
        </is>
      </c>
      <c r="D406" s="3" t="n">
        <v>11</v>
      </c>
      <c r="E406" s="3" t="inlineStr">
        <is>
          <t>2 · DISPLAYED</t>
        </is>
      </c>
      <c r="F406" s="3" t="inlineStr">
        <is>
          <t>How is the retirement money split by the tax that will be owed on it?</t>
        </is>
      </c>
      <c r="G406" s="3" t="inlineStr">
        <is>
          <t>accounts: AssetAccount[]</t>
        </is>
      </c>
      <c r="H406" s="3" t="inlineStr">
        <is>
          <t>BucketSplit</t>
        </is>
      </c>
      <c r="I406" s="3" t="inlineStr">
        <is>
          <t>"Healthcare:" — on the Retirement cockpit screen · "Required Minimum Distributions" — on the Retirement cockpit screen · "Required withdrawal — first" — on a card used on more than one screen (DrawSteerSheet) · "Roth conversion window:" — on the Retirement cockpit screen · "Suggested withdrawal order" — on the Retirement cockpit screen · "Where your money sits" — on the Retirement cockpit screen</t>
        </is>
      </c>
      <c r="J406" s="3" t="inlineStr">
        <is>
          <t>None found in this function — anything it assumes comes from the functions it depends on.</t>
        </is>
      </c>
      <c r="K406" s="3" t="inlineStr">
        <is>
          <t>Yes</t>
        </is>
      </c>
      <c r="L406" s="3" t="inlineStr">
        <is>
          <t>MK-NW-F-032 earmarkedAmount · MK-ST-F-055 round2</t>
        </is>
      </c>
      <c r="M406" s="3" t="n">
        <v>7</v>
      </c>
      <c r="N406" s="3" t="inlineStr">
        <is>
          <t>MK-NW-F-032 earmarkedAmount · MK-ST-F-055 round2 · MK-NW-F-030 earmarkDefault · MK-NW-F-011 assetClassOf · MK-NW-F-013 realEstateUseOf · MK-NW-F-008 incomeBearingClassOf · MK-ST-F-010 nameEvidence</t>
        </is>
      </c>
      <c r="O406" s="3" t="inlineStr">
        <is>
          <t>MK-ST-F-010 nameEvidence → MK-NW-F-008 incomeBearingClassOf → MK-NW-F-011 assetClassOf → MK-NW-F-030 earmarkDefault → MK-NW-F-032 earmarkedAmount → MK-PL-F-001 taxBucketSplit
MK-NW-F-013 realEstateUseOf → MK-NW-F-030 earmarkDefault → MK-NW-F-032 earmarkedAmount → MK-PL-F-001 taxBucketSplit
MK-ST-F-055 round2 → MK-NW-F-032 earmarkedAmount → MK-PL-F-001 taxBucketSplit
MK-ST-F-055 round2 → MK-PL-F-001 taxBucketSplit</t>
        </is>
      </c>
      <c r="P406" s="3" t="inlineStr">
        <is>
          <t>—</t>
        </is>
      </c>
      <c r="Q406" s="3" t="inlineStr">
        <is>
          <t>SPLIT_BY_HOW_IT_IS_TAXED</t>
        </is>
      </c>
    </row>
    <row r="407">
      <c r="A407" s="3" t="inlineStr">
        <is>
          <t>MK-PL-F-031</t>
        </is>
      </c>
      <c r="B407" s="3" t="inlineStr">
        <is>
          <t>taxOrganizer</t>
        </is>
      </c>
      <c r="C407" s="3" t="inlineStr">
        <is>
          <t>src/domain/planning/index.ts</t>
        </is>
      </c>
      <c r="D407" s="3" t="n">
        <v>22</v>
      </c>
      <c r="E407" s="3" t="inlineStr">
        <is>
          <t>2 · DISPLAYED</t>
        </is>
      </c>
      <c r="F407" s="3" t="inlineStr">
        <is>
          <t>NOT DETERMINED — the code carries no note saying what this is for, and it has no row in the old inventory. Needs reading.</t>
        </is>
      </c>
      <c r="G407" s="3" t="inlineStr">
        <is>
          <t>op: OnboardingProfile | null · opts: { accounts?: any[]; liabilities?: any[]; actualPassive?: number; year: number }</t>
        </is>
      </c>
      <c r="H407" s="3" t="inlineStr">
        <is>
          <t>TaxOrganizer</t>
        </is>
      </c>
      <c r="I407" s="3" t="inlineStr">
        <is>
          <t>NOT FOUND — a screen calls it, but the words printed beside its answer could not be traced automatically. Needs reading.</t>
        </is>
      </c>
      <c r="J407" s="3" t="inlineStr">
        <is>
          <t>· If balance is missing it counts as zero, so nothing recorded and a real zero look the same.
· Turns a monthly figure into a year by multiplying by twelve.
· Multiplies by 100 — a percentage, or an option contract treated as 100 shares. Worth checking which.
· Rounds the answer to a whole number.
· Leaves some rows out of the answer — check which.</t>
        </is>
      </c>
      <c r="K407" s="3" t="inlineStr">
        <is>
          <t>Yes</t>
        </is>
      </c>
      <c r="L407" s="3" t="inlineStr">
        <is>
          <t>MK-CF-F-070 benefitAnnual · MK-CF-F-072 currentRetirementIncomeMonthly · MK-CF-F-090 effectiveRate · MK-CF-F-068 rentalNetAnnual · MK-ST-F-055 round2 · MK-CF-F-066 rsuAnnual · MK-CF-F-082 salaryAnnual · MK-CF-F-074 tipsAnnual · MK-ST-F-052 toNum</t>
        </is>
      </c>
      <c r="M407" s="3" t="n">
        <v>28</v>
      </c>
      <c r="N407" s="3" t="inlineStr">
        <is>
          <t>MK-CF-F-070 benefitAnnual · MK-CF-F-072 currentRetirementIncomeMonthly · MK-CF-F-090 effectiveRate · MK-CF-F-068 rentalNetAnnual · MK-ST-F-055 round2 · MK-CF-F-066 rsuAnnual · MK-CF-F-082 salaryAnnual · MK-CF-F-074 tipsAnnual · MK-ST-F-052 toNum · MK-CF-F-069 benefitActiveMonths · MK-CF-F-075 retirementIncomeMonthly · MK-CF-F-102 effectiveRateOnGrossFor · MK-CF-F-085 filingStatusOf · MK-CF-F-089 over65CountOf · MK-CF-F-086 stateRateOf · MK-CF-F-084 taxableAnnual · MK-CF-F-067 rentalList · MK-CF-F-062 equityRowValue · MK-CF-F-063 rowVestYear · MK-CF-F-060 salaryGrossByMonth · MK-CF-F-081 salaryActiveMonths · MK-CF-F-101 taxOwedFor · MK-CF-F-071 extraIncome · MK-CF-F-097 grossFromNet · MK-CF-F-100 taxableIncomeFor · MK-CF-F-095 taxOwed · MK-CF-F-099 deductionFor · MK-CF-F-093 taxableIncome</t>
        </is>
      </c>
      <c r="O407" s="3" t="inlineStr">
        <is>
          <t>MK-CF-F-069 benefitActiveMonths → MK-CF-F-070 benefitAnnual → MK-PL-F-031 taxOrganizer
MK-ST-F-052 toNum → MK-CF-F-070 benefitAnnual → MK-PL-F-031 taxOrganizer
MK-ST-F-052 toNum → MK-CF-F-075 retirementIncomeMonthly → MK-CF-F-072 currentRetirementIncomeMonthly → MK-PL-F-031 taxOrganizer
MK-CF-F-099 deductionFor → MK-CF-F-100 taxableIncomeFor → MK-CF-F-101 taxOwedFor → MK-CF-F-102 effectiveRateOnGrossFor → MK-CF-F-090 effectiveRate → MK-PL-F-031 taxOrganizer
MK-CF-F-085 filingStatusOf → MK-CF-F-090 effectiveRate → MK-PL-F-031 taxOrganizer
MK-ST-F-052 toNum → MK-CF-F-089 over65CountOf → MK-CF-F-090 effectiveRate → MK-PL-F-031 taxOrganizer
MK-ST-F-052 toNum → MK-CF-F-086 stateRateOf → MK-CF-F-090 effectiveRate → MK-PL-F-031 taxOrganizer
MK-ST-F-052 toNum → MK-CF-F-075 retirementIncomeMonthly → MK-CF-F-072 currentRetirementIncomeMonthly → MK-CF-F-084 taxableAnnual → MK-CF-F-090 effectiveRate → MK-PL-F-031 taxOrganizer
… and 28 more paths</t>
        </is>
      </c>
      <c r="P407" s="3" t="inlineStr">
        <is>
          <t>—</t>
        </is>
      </c>
      <c r="Q407" s="3" t="inlineStr">
        <is>
          <t>—</t>
        </is>
      </c>
    </row>
    <row r="408">
      <c r="A408" s="3" t="inlineStr">
        <is>
          <t>MK-CF-F-095</t>
        </is>
      </c>
      <c r="B408" s="3" t="inlineStr">
        <is>
          <t>taxOwed</t>
        </is>
      </c>
      <c r="C408" s="3" t="inlineStr">
        <is>
          <t>src/domain/income/tax.ts</t>
        </is>
      </c>
      <c r="D408" s="3" t="n">
        <v>29</v>
      </c>
      <c r="E408" s="3" t="inlineStr">
        <is>
          <t>3 · DEPENDENT</t>
        </is>
      </c>
      <c r="F408" s="3" t="inlineStr">
        <is>
          <t>Federal tax owed: progressive brackets applied to income after the standard deduction.</t>
        </is>
      </c>
      <c r="G408" s="3" t="inlineStr">
        <is>
          <t>gross: number</t>
        </is>
      </c>
      <c r="H408" s="3" t="inlineStr">
        <is>
          <t>number</t>
        </is>
      </c>
      <c r="I408" s="3" t="inlineStr">
        <is>
          <t>—</t>
        </is>
      </c>
      <c r="J408" s="3" t="inlineStr">
        <is>
          <t>None found in this function — anything it assumes comes from the functions it depends on.</t>
        </is>
      </c>
      <c r="K408" s="3" t="inlineStr">
        <is>
          <t>Yes</t>
        </is>
      </c>
      <c r="L408" s="3" t="inlineStr">
        <is>
          <t>MK-CF-F-093 taxableIncome</t>
        </is>
      </c>
      <c r="M408" s="3" t="n">
        <v>1</v>
      </c>
      <c r="N408" s="3" t="inlineStr">
        <is>
          <t>MK-CF-F-093 taxableIncome</t>
        </is>
      </c>
      <c r="O408" s="3" t="inlineStr">
        <is>
          <t>MK-CF-F-093 taxableIncome → MK-CF-F-095 taxOwed</t>
        </is>
      </c>
      <c r="P408" s="3" t="inlineStr">
        <is>
          <t>—</t>
        </is>
      </c>
      <c r="Q408" s="3" t="inlineStr">
        <is>
          <t>TAX_OWED_SINGLE</t>
        </is>
      </c>
    </row>
    <row r="409">
      <c r="A409" s="3" t="inlineStr">
        <is>
          <t>MK-CF-F-101</t>
        </is>
      </c>
      <c r="B409" s="3" t="inlineStr">
        <is>
          <t>taxOwedFor</t>
        </is>
      </c>
      <c r="C409" s="3" t="inlineStr">
        <is>
          <t>src/domain/income/tax.ts</t>
        </is>
      </c>
      <c r="D409" s="3" t="n">
        <v>117</v>
      </c>
      <c r="E409" s="3" t="inlineStr">
        <is>
          <t>3 · DEPENDENT</t>
        </is>
      </c>
      <c r="F409" s="3" t="inlineStr">
        <is>
          <t>Federal tax owed under a filing status, plus an optional user-set FLAT state rate applied to TAXABLE income (E10) — states differ wildly, so one honest user-entered percent beats fifty guessed tables, and it never taxes the deduction.</t>
        </is>
      </c>
      <c r="G409" s="3" t="inlineStr">
        <is>
          <t>gross: number · status: FilingStatus = 'single' · stateRate = 0 · over65 = 0</t>
        </is>
      </c>
      <c r="H409" s="3" t="inlineStr">
        <is>
          <t>number</t>
        </is>
      </c>
      <c r="I409" s="3" t="inlineStr">
        <is>
          <t>—</t>
        </is>
      </c>
      <c r="J409" s="3" t="inlineStr">
        <is>
          <t>None found in this function — anything it assumes comes from the functions it depends on.</t>
        </is>
      </c>
      <c r="K409" s="3" t="inlineStr">
        <is>
          <t>Yes</t>
        </is>
      </c>
      <c r="L409" s="3" t="inlineStr">
        <is>
          <t>MK-CF-F-100 taxableIncomeFor</t>
        </is>
      </c>
      <c r="M409" s="3" t="n">
        <v>2</v>
      </c>
      <c r="N409" s="3" t="inlineStr">
        <is>
          <t>MK-CF-F-100 taxableIncomeFor · MK-CF-F-099 deductionFor</t>
        </is>
      </c>
      <c r="O409" s="3" t="inlineStr">
        <is>
          <t>MK-CF-F-099 deductionFor → MK-CF-F-100 taxableIncomeFor → MK-CF-F-101 taxOwedFor</t>
        </is>
      </c>
      <c r="P409" s="3" t="inlineStr">
        <is>
          <t>—</t>
        </is>
      </c>
      <c r="Q409" s="3" t="inlineStr">
        <is>
          <t>TAX_OWED</t>
        </is>
      </c>
    </row>
    <row r="410">
      <c r="A410" s="3" t="inlineStr">
        <is>
          <t>MK-NW-F-012</t>
        </is>
      </c>
      <c r="B410" s="3" t="inlineStr">
        <is>
          <t>taxTreatmentOf</t>
        </is>
      </c>
      <c r="C410" s="3" t="inlineStr">
        <is>
          <t>src/domain/assets/index.ts</t>
        </is>
      </c>
      <c r="D410" s="3" t="n">
        <v>238</v>
      </c>
      <c r="E410" s="3" t="inlineStr">
        <is>
          <t>2 · DISPLAYED</t>
        </is>
      </c>
      <c r="F410" s="3" t="inlineStr">
        <is>
          <t>HOW the account is taxed (wrapper).</t>
        </is>
      </c>
      <c r="G410" s="3" t="inlineStr">
        <is>
          <t>a: AssetAccount</t>
        </is>
      </c>
      <c r="H410" s="3" t="inlineStr">
        <is>
          <t>TaxTreatment</t>
        </is>
      </c>
      <c r="I410" s="3" t="inlineStr">
        <is>
          <t>"Income" — on the Account detail screen, under "THE HOLDINGS · $"</t>
        </is>
      </c>
      <c r="J410" s="3" t="inlineStr">
        <is>
          <t>None found in this function — anything it assumes comes from the functions it depends on.</t>
        </is>
      </c>
      <c r="K410" s="3" t="inlineStr">
        <is>
          <t>Yes</t>
        </is>
      </c>
      <c r="L410" s="3" t="inlineStr">
        <is>
          <t>—</t>
        </is>
      </c>
      <c r="M410" s="3" t="n">
        <v>0</v>
      </c>
      <c r="N410" s="3" t="inlineStr">
        <is>
          <t>None — no dependent function stands behind it</t>
        </is>
      </c>
      <c r="O410" s="3" t="inlineStr">
        <is>
          <t>No dependent function — it reads its inputs and answers</t>
        </is>
      </c>
      <c r="P410" s="3" t="inlineStr">
        <is>
          <t>—</t>
        </is>
      </c>
      <c r="Q410" s="3" t="inlineStr">
        <is>
          <t>TAX_TREATMENT</t>
        </is>
      </c>
    </row>
    <row r="411">
      <c r="A411" s="3" t="inlineStr">
        <is>
          <t>MK-CF-F-084</t>
        </is>
      </c>
      <c r="B411" s="3" t="inlineStr">
        <is>
          <t>taxableAnnual</t>
        </is>
      </c>
      <c r="C411" s="3" t="inlineStr">
        <is>
          <t>src/domain/income/onboarding.ts</t>
        </is>
      </c>
      <c r="D411" s="3" t="n">
        <v>345</v>
      </c>
      <c r="E411" s="3" t="inlineStr">
        <is>
          <t>2 · DISPLAYED</t>
        </is>
      </c>
      <c r="F411" s="3" t="inlineStr">
        <is>
          <t>Taxable annual income (excludes non-taxable benefits/support/scholarships) — the base for tax estimates.</t>
        </is>
      </c>
      <c r="G411" s="3" t="inlineStr">
        <is>
          <t>op: OnboardingProfile | null · now: Date = new Date()</t>
        </is>
      </c>
      <c r="H411" s="3" t="inlineStr">
        <is>
          <t>number</t>
        </is>
      </c>
      <c r="I411" s="3" t="inlineStr">
        <is>
          <t>"Count money you receive to live on. We won't tax this." — on the setup questions, which appear on more than one screen · "Each month: tax · spending · savings" — on the setup questions, which appear on more than one screen · "How often?" — on the setup questions, which appear on more than one screen · "WHAT'S TAKEN OUT" — on the setup questions, which appear on more than one screen</t>
        </is>
      </c>
      <c r="J411" s="3" t="inlineStr">
        <is>
          <t>· Turns a monthly figure into a year by multiplying by twelve.
· Uses today's date from the device clock, so the answer changes by itself overnight.</t>
        </is>
      </c>
      <c r="K411" s="3" t="inlineStr">
        <is>
          <t>Yes</t>
        </is>
      </c>
      <c r="L411" s="3" t="inlineStr">
        <is>
          <t>MK-CF-F-072 currentRetirementIncomeMonthly · MK-CF-F-071 extraIncome · MK-CF-F-068 rentalNetAnnual · MK-CF-F-066 rsuAnnual · MK-CF-F-082 salaryAnnual · MK-CF-F-074 tipsAnnual · MK-ST-F-052 toNum</t>
        </is>
      </c>
      <c r="M411" s="3" t="n">
        <v>19</v>
      </c>
      <c r="N411" s="3" t="inlineStr">
        <is>
          <t>MK-CF-F-072 currentRetirementIncomeMonthly · MK-CF-F-071 extraIncome · MK-CF-F-068 rentalNetAnnual · MK-CF-F-066 rsuAnnual · MK-CF-F-082 salaryAnnual · MK-CF-F-074 tipsAnnual · MK-ST-F-052 toNum · MK-CF-F-075 retirementIncomeMonthly · MK-CF-F-070 benefitAnnual · MK-ST-F-055 round2 · MK-CF-F-067 rentalList · MK-CF-F-062 equityRowValue · MK-CF-F-063 rowVestYear · MK-CF-F-060 salaryGrossByMonth · MK-CF-F-081 salaryActiveMonths · MK-CF-F-069 benefitActiveMonths · MK-CF-F-097 grossFromNet · MK-CF-F-095 taxOwed · MK-CF-F-093 taxableIncome</t>
        </is>
      </c>
      <c r="O411" s="3" t="inlineStr">
        <is>
          <t>MK-ST-F-052 toNum → MK-CF-F-075 retirementIncomeMonthly → MK-CF-F-072 currentRetirementIncomeMonthly → MK-CF-F-084 taxableAnnual
MK-CF-F-069 benefitActiveMonths → MK-CF-F-070 benefitAnnual → MK-CF-F-071 extraIncome → MK-CF-F-084 taxableAnnual
MK-ST-F-052 toNum → MK-CF-F-070 benefitAnnual → MK-CF-F-071 extraIncome → MK-CF-F-084 taxableAnnual
MK-ST-F-055 round2 → MK-CF-F-071 extraIncome → MK-CF-F-084 taxableAnnual
MK-ST-F-052 toNum → MK-CF-F-071 extraIncome → MK-CF-F-084 taxableAnnual
MK-ST-F-052 toNum → MK-CF-F-067 rentalList → MK-CF-F-068 rentalNetAnnual → MK-CF-F-084 taxableAnnual
MK-ST-F-052 toNum → MK-CF-F-062 equityRowValue → MK-CF-F-066 rsuAnnual → MK-CF-F-084 taxableAnnual
MK-CF-F-063 rowVestYear → MK-CF-F-066 rsuAnnual → MK-CF-F-084 taxableAnnual
… and 9 more paths</t>
        </is>
      </c>
      <c r="P411" s="3" t="inlineStr">
        <is>
          <t>—</t>
        </is>
      </c>
      <c r="Q411" s="3" t="inlineStr">
        <is>
          <t>—</t>
        </is>
      </c>
    </row>
    <row r="412">
      <c r="A412" s="3" t="inlineStr">
        <is>
          <t>MK-CF-F-088</t>
        </is>
      </c>
      <c r="B412" s="3" t="inlineStr">
        <is>
          <t>taxableByCalendarMonth</t>
        </is>
      </c>
      <c r="C412" s="3" t="inlineStr">
        <is>
          <t>src/domain/income/onboarding.ts</t>
        </is>
      </c>
      <c r="D412" s="3" t="n">
        <v>381</v>
      </c>
      <c r="E412" s="3" t="inlineStr">
        <is>
          <t>3 · DEPENDENT</t>
        </is>
      </c>
      <c r="F412" s="3" t="inlineStr">
        <is>
          <t>The calendar-year TAXABLE profile (Jan→Dec) — the same placement rules incomeMonthlyGrid uses, extracted so the rate vector and the grid can never drift apart.</t>
        </is>
      </c>
      <c r="G412" s="3" t="inlineStr">
        <is>
          <t>op: OnboardingProfile | null · now: Date = new Date()</t>
        </is>
      </c>
      <c r="H412" s="3" t="inlineStr">
        <is>
          <t>number[]</t>
        </is>
      </c>
      <c r="I412" s="3" t="inlineStr">
        <is>
          <t>—</t>
        </is>
      </c>
      <c r="J412" s="3" t="inlineStr">
        <is>
          <t>· Treats a year as twelve equal months.
· Uses today's date from the device clock, so the answer changes by itself overnight.</t>
        </is>
      </c>
      <c r="K412" s="3" t="inlineStr">
        <is>
          <t>Yes</t>
        </is>
      </c>
      <c r="L412" s="3" t="inlineStr">
        <is>
          <t>MK-CF-F-072 currentRetirementIncomeMonthly · MK-CF-F-065 equityVestWeights · MK-CF-F-071 extraIncome · MK-CF-F-073 otherIncomeMonth · MK-CF-F-068 rentalNetAnnual · MK-CF-F-066 rsuAnnual · MK-CF-F-060 salaryGrossByMonth · MK-ST-F-052 toNum</t>
        </is>
      </c>
      <c r="M412" s="3" t="n">
        <v>18</v>
      </c>
      <c r="N412" s="3" t="inlineStr">
        <is>
          <t>MK-CF-F-072 currentRetirementIncomeMonthly · MK-CF-F-065 equityVestWeights · MK-CF-F-071 extraIncome · MK-CF-F-073 otherIncomeMonth · MK-CF-F-068 rentalNetAnnual · MK-CF-F-066 rsuAnnual · MK-CF-F-060 salaryGrossByMonth · MK-ST-F-052 toNum · MK-CF-F-075 retirementIncomeMonthly · MK-CF-F-062 equityRowValue · MK-CF-F-070 benefitAnnual · MK-ST-F-055 round2 · MK-CF-F-067 rentalList · MK-CF-F-063 rowVestYear · MK-CF-F-097 grossFromNet · MK-CF-F-069 benefitActiveMonths · MK-CF-F-095 taxOwed · MK-CF-F-093 taxableIncome</t>
        </is>
      </c>
      <c r="O412" s="3" t="inlineStr">
        <is>
          <t>MK-ST-F-052 toNum → MK-CF-F-075 retirementIncomeMonthly → MK-CF-F-072 currentRetirementIncomeMonthly → MK-CF-F-088 taxableByCalendarMonth
MK-ST-F-052 toNum → MK-CF-F-062 equityRowValue → MK-CF-F-065 equityVestWeights → MK-CF-F-088 taxableByCalendarMonth
MK-CF-F-069 benefitActiveMonths → MK-CF-F-070 benefitAnnual → MK-CF-F-071 extraIncome → MK-CF-F-088 taxableByCalendarMonth
MK-ST-F-052 toNum → MK-CF-F-070 benefitAnnual → MK-CF-F-071 extraIncome → MK-CF-F-088 taxableByCalendarMonth
MK-ST-F-055 round2 → MK-CF-F-071 extraIncome → MK-CF-F-088 taxableByCalendarMonth
MK-ST-F-052 toNum → MK-CF-F-071 extraIncome → MK-CF-F-088 taxableByCalendarMonth
MK-ST-F-052 toNum → MK-CF-F-073 otherIncomeMonth → MK-CF-F-088 taxableByCalendarMonth
MK-ST-F-052 toNum → MK-CF-F-067 rentalList → MK-CF-F-068 rentalNetAnnual → MK-CF-F-088 taxableByCalendarMonth
… and 7 more paths</t>
        </is>
      </c>
      <c r="P412" s="3" t="inlineStr">
        <is>
          <t>—</t>
        </is>
      </c>
      <c r="Q412" s="3" t="inlineStr">
        <is>
          <t>—</t>
        </is>
      </c>
    </row>
    <row r="413">
      <c r="A413" s="3" t="inlineStr">
        <is>
          <t>MK-CF-F-093</t>
        </is>
      </c>
      <c r="B413" s="3" t="inlineStr">
        <is>
          <t>taxableIncome</t>
        </is>
      </c>
      <c r="C413" s="3" t="inlineStr">
        <is>
          <t>src/domain/income/tax.ts</t>
        </is>
      </c>
      <c r="D413" s="3" t="n">
        <v>17</v>
      </c>
      <c r="E413" s="3" t="inlineStr">
        <is>
          <t>3 · DEPENDENT</t>
        </is>
      </c>
      <c r="F413" s="3" t="inlineStr">
        <is>
          <t>Taxable income after the standard deduction.</t>
        </is>
      </c>
      <c r="G413" s="3" t="inlineStr">
        <is>
          <t>gross: number</t>
        </is>
      </c>
      <c r="H413" s="3" t="inlineStr">
        <is>
          <t>number</t>
        </is>
      </c>
      <c r="I413" s="3" t="inlineStr">
        <is>
          <t>—</t>
        </is>
      </c>
      <c r="J413" s="3" t="inlineStr">
        <is>
          <t>None found in this function — anything it assumes comes from the functions it depends on.</t>
        </is>
      </c>
      <c r="K413" s="3" t="inlineStr">
        <is>
          <t>Yes</t>
        </is>
      </c>
      <c r="L413" s="3" t="inlineStr">
        <is>
          <t>—</t>
        </is>
      </c>
      <c r="M413" s="3" t="n">
        <v>0</v>
      </c>
      <c r="N413" s="3" t="inlineStr">
        <is>
          <t>None — no dependent function stands behind it</t>
        </is>
      </c>
      <c r="O413" s="3" t="inlineStr">
        <is>
          <t>No dependent function — it reads its inputs and answers</t>
        </is>
      </c>
      <c r="P413" s="3" t="inlineStr">
        <is>
          <t>—</t>
        </is>
      </c>
      <c r="Q413" s="3" t="inlineStr">
        <is>
          <t>TAXABLE_INCOME_SINGLE</t>
        </is>
      </c>
    </row>
    <row r="414">
      <c r="A414" s="3" t="inlineStr">
        <is>
          <t>MK-CF-F-100</t>
        </is>
      </c>
      <c r="B414" s="3" t="inlineStr">
        <is>
          <t>taxableIncomeFor</t>
        </is>
      </c>
      <c r="C414" s="3" t="inlineStr">
        <is>
          <t>src/domain/income/tax.ts</t>
        </is>
      </c>
      <c r="D414" s="3" t="n">
        <v>110</v>
      </c>
      <c r="E414" s="3" t="inlineStr">
        <is>
          <t>3 · DEPENDENT</t>
        </is>
      </c>
      <c r="F414" s="3" t="inlineStr">
        <is>
          <t>What income is taxed, given how this person files?</t>
        </is>
      </c>
      <c r="G414" s="3" t="inlineStr">
        <is>
          <t>gross: number · status: FilingStatus = 'single' · over65 = 0</t>
        </is>
      </c>
      <c r="H414" s="3" t="inlineStr">
        <is>
          <t>number</t>
        </is>
      </c>
      <c r="I414" s="3" t="inlineStr">
        <is>
          <t>—</t>
        </is>
      </c>
      <c r="J414" s="3" t="inlineStr">
        <is>
          <t>None found in this function — anything it assumes comes from the functions it depends on.</t>
        </is>
      </c>
      <c r="K414" s="3" t="inlineStr">
        <is>
          <t>Yes</t>
        </is>
      </c>
      <c r="L414" s="3" t="inlineStr">
        <is>
          <t>MK-CF-F-099 deductionFor</t>
        </is>
      </c>
      <c r="M414" s="3" t="n">
        <v>1</v>
      </c>
      <c r="N414" s="3" t="inlineStr">
        <is>
          <t>MK-CF-F-099 deductionFor</t>
        </is>
      </c>
      <c r="O414" s="3" t="inlineStr">
        <is>
          <t>MK-CF-F-099 deductionFor → MK-CF-F-100 taxableIncomeFor</t>
        </is>
      </c>
      <c r="P414" s="3" t="inlineStr">
        <is>
          <t>MK-MN-M-027 · MK-MN-M-028</t>
        </is>
      </c>
      <c r="Q414" s="3" t="inlineStr">
        <is>
          <t>TAXABLE_INCOME</t>
        </is>
      </c>
    </row>
    <row r="415">
      <c r="A415" s="3" t="inlineStr">
        <is>
          <t>MK-CF-F-074</t>
        </is>
      </c>
      <c r="B415" s="3" t="inlineStr">
        <is>
          <t>tipsAnnual</t>
        </is>
      </c>
      <c r="C415" s="3" t="inlineStr">
        <is>
          <t>src/domain/income/onboarding.ts</t>
        </is>
      </c>
      <c r="D415" s="3" t="n">
        <v>204</v>
      </c>
      <c r="E415" s="3" t="inlineStr">
        <is>
          <t>3 · DEPENDENT</t>
        </is>
      </c>
      <c r="F415" s="3" t="inlineStr">
        <is>
          <t>Tips are part of employment income — they only count in the months the job is active, and the annual figure is prorated like salary (a temp job that ends stops the tips too).</t>
        </is>
      </c>
      <c r="G415" s="3" t="inlineStr">
        <is>
          <t>op: OnboardingProfile | null · now: Date = new Date()</t>
        </is>
      </c>
      <c r="H415" s="3" t="inlineStr">
        <is>
          <t>number</t>
        </is>
      </c>
      <c r="I415" s="3" t="inlineStr">
        <is>
          <t>—</t>
        </is>
      </c>
      <c r="J415" s="3" t="inlineStr">
        <is>
          <t>· Uses today's date from the device clock, so the answer changes by itself overnight.</t>
        </is>
      </c>
      <c r="K415" s="3" t="inlineStr">
        <is>
          <t>Yes</t>
        </is>
      </c>
      <c r="L415" s="3" t="inlineStr">
        <is>
          <t>MK-CF-F-081 salaryActiveMonths · MK-ST-F-052 toNum</t>
        </is>
      </c>
      <c r="M415" s="3" t="n">
        <v>7</v>
      </c>
      <c r="N415" s="3" t="inlineStr">
        <is>
          <t>MK-CF-F-081 salaryActiveMonths · MK-ST-F-052 toNum · MK-CF-F-060 salaryGrossByMonth · MK-CF-F-097 grossFromNet · MK-ST-F-055 round2 · MK-CF-F-095 taxOwed · MK-CF-F-093 taxableIncome</t>
        </is>
      </c>
      <c r="O415" s="3" t="inlineStr">
        <is>
          <t>MK-CF-F-093 taxableIncome → MK-CF-F-095 taxOwed → MK-CF-F-097 grossFromNet → MK-CF-F-060 salaryGrossByMonth → MK-CF-F-081 salaryActiveMonths → MK-CF-F-074 tipsAnnual
MK-ST-F-055 round2 → MK-CF-F-060 salaryGrossByMonth → MK-CF-F-081 salaryActiveMonths → MK-CF-F-074 tipsAnnual
MK-ST-F-052 toNum → MK-CF-F-060 salaryGrossByMonth → MK-CF-F-081 salaryActiveMonths → MK-CF-F-074 tipsAnnual
MK-ST-F-052 toNum → MK-CF-F-074 tipsAnnual</t>
        </is>
      </c>
      <c r="P415" s="3" t="inlineStr">
        <is>
          <t>—</t>
        </is>
      </c>
      <c r="Q415" s="3" t="inlineStr">
        <is>
          <t>TIPS_A_YEAR</t>
        </is>
      </c>
    </row>
    <row r="416">
      <c r="A416" s="3" t="inlineStr">
        <is>
          <t>MK-ST-F-012</t>
        </is>
      </c>
      <c r="B416" s="3" t="inlineStr">
        <is>
          <t>toLedgerRow</t>
        </is>
      </c>
      <c r="C416" s="3" t="inlineStr">
        <is>
          <t>Calculation Module code/engines/ledger.ts</t>
        </is>
      </c>
      <c r="D416" s="3" t="n">
        <v>106</v>
      </c>
      <c r="E416" s="3" t="inlineStr">
        <is>
          <t>3 · DEPENDENT (feeds an action only)</t>
        </is>
      </c>
      <c r="F416" s="3" t="inlineStr">
        <is>
          <t>Read one institution row into one ledger row.</t>
        </is>
      </c>
      <c r="G416" s="3" t="inlineStr">
        <is>
          <t>raw: RawActivity · convention: SignConvention</t>
        </is>
      </c>
      <c r="H416" s="3" t="inlineStr">
        <is>
          <t>LedgerRow</t>
        </is>
      </c>
      <c r="I416" s="3" t="inlineStr">
        <is>
          <t>—</t>
        </is>
      </c>
      <c r="J416" s="3" t="inlineStr">
        <is>
          <t>· Leaves some rows out of the answer — check which.</t>
        </is>
      </c>
      <c r="K416" s="3" t="inlineStr">
        <is>
          <t>No</t>
        </is>
      </c>
      <c r="L416" s="3" t="inlineStr">
        <is>
          <t>MK-ST-F-007 classifyEvent · MK-ST-F-018 readMoney · MK-ST-F-019 signed · MK-ST-F-021 toNumber</t>
        </is>
      </c>
      <c r="M416" s="3" t="n">
        <v>4</v>
      </c>
      <c r="N416" s="3" t="inlineStr">
        <is>
          <t>MK-ST-F-007 classifyEvent · MK-ST-F-018 readMoney · MK-ST-F-019 signed · MK-ST-F-021 toNumber</t>
        </is>
      </c>
      <c r="O416" s="3" t="inlineStr">
        <is>
          <t>MK-ST-F-007 classifyEvent → MK-ST-F-012 toLedgerRow
MK-ST-F-018 readMoney → MK-ST-F-012 toLedgerRow
MK-ST-F-019 signed → MK-ST-F-012 toLedgerRow
MK-ST-F-021 toNumber → MK-ST-F-012 toLedgerRow</t>
        </is>
      </c>
      <c r="P416" s="3" t="inlineStr">
        <is>
          <t>—</t>
        </is>
      </c>
      <c r="Q416" s="3" t="inlineStr">
        <is>
          <t>—</t>
        </is>
      </c>
    </row>
    <row r="417">
      <c r="A417" s="3" t="inlineStr">
        <is>
          <t>MK-ST-F-052</t>
        </is>
      </c>
      <c r="B417" s="3" t="inlineStr">
        <is>
          <t>toNum</t>
        </is>
      </c>
      <c r="C417" s="3" t="inlineStr">
        <is>
          <t>src/domain/_shared/num.ts</t>
        </is>
      </c>
      <c r="D417" s="3" t="n">
        <v>4</v>
      </c>
      <c r="E417" s="3" t="inlineStr">
        <is>
          <t>3 · DEPENDENT</t>
        </is>
      </c>
      <c r="F417" s="3" t="inlineStr">
        <is>
          <t>What number did the person actually type?</t>
        </is>
      </c>
      <c r="G417" s="3" t="inlineStr">
        <is>
          <t>v: any</t>
        </is>
      </c>
      <c r="H417" s="3" t="inlineStr">
        <is>
          <t>number</t>
        </is>
      </c>
      <c r="I417" s="3" t="inlineStr">
        <is>
          <t>—</t>
        </is>
      </c>
      <c r="J417" s="3" t="inlineStr">
        <is>
          <t>None found in this function — anything it assumes comes from the functions it depends on.</t>
        </is>
      </c>
      <c r="K417" s="3" t="inlineStr">
        <is>
          <t>Yes</t>
        </is>
      </c>
      <c r="L417" s="3" t="inlineStr">
        <is>
          <t>—</t>
        </is>
      </c>
      <c r="M417" s="3" t="n">
        <v>0</v>
      </c>
      <c r="N417" s="3" t="inlineStr">
        <is>
          <t>None — no dependent function stands behind it</t>
        </is>
      </c>
      <c r="O417" s="3" t="inlineStr">
        <is>
          <t>No dependent function — it reads its inputs and answers</t>
        </is>
      </c>
      <c r="P417" s="3" t="inlineStr">
        <is>
          <t>—</t>
        </is>
      </c>
      <c r="Q417" s="3" t="inlineStr">
        <is>
          <t>READ_A_NUMBER</t>
        </is>
      </c>
    </row>
    <row r="418">
      <c r="A418" s="3" t="inlineStr">
        <is>
          <t>MK-ST-F-021</t>
        </is>
      </c>
      <c r="B418" s="3" t="inlineStr">
        <is>
          <t>toNumber</t>
        </is>
      </c>
      <c r="C418" s="3" t="inlineStr">
        <is>
          <t>Calculation Module code/engines/money.ts</t>
        </is>
      </c>
      <c r="D418" s="3" t="n">
        <v>73</v>
      </c>
      <c r="E418" s="3" t="inlineStr">
        <is>
          <t>2 · DISPLAYED</t>
        </is>
      </c>
      <c r="F418" s="3" t="inlineStr">
        <is>
          <t>Institution files write money as text: "$8,502.00 ", "($0.53)", "--", "1,234.56".</t>
        </is>
      </c>
      <c r="G418" s="3" t="inlineStr">
        <is>
          <t>raw: number | string | null | undefined</t>
        </is>
      </c>
      <c r="H418" s="3" t="inlineStr">
        <is>
          <t>number | null</t>
        </is>
      </c>
      <c r="I418" s="3" t="inlineStr">
        <is>
          <t>"Income" — on the Account detail screen, under "THE HOLDINGS · $"</t>
        </is>
      </c>
      <c r="J418" s="3" t="inlineStr">
        <is>
          <t>None found in this function — anything it assumes comes from the functions it depends on.</t>
        </is>
      </c>
      <c r="K418" s="3" t="inlineStr">
        <is>
          <t>Yes</t>
        </is>
      </c>
      <c r="L418" s="3" t="inlineStr">
        <is>
          <t>—</t>
        </is>
      </c>
      <c r="M418" s="3" t="n">
        <v>0</v>
      </c>
      <c r="N418" s="3" t="inlineStr">
        <is>
          <t>None — no dependent function stands behind it</t>
        </is>
      </c>
      <c r="O418" s="3" t="inlineStr">
        <is>
          <t>No dependent function — it reads its inputs and answers</t>
        </is>
      </c>
      <c r="P418" s="3" t="inlineStr">
        <is>
          <t>—</t>
        </is>
      </c>
      <c r="Q418" s="3" t="inlineStr">
        <is>
          <t>—</t>
        </is>
      </c>
    </row>
    <row r="419">
      <c r="A419" s="3" t="inlineStr">
        <is>
          <t>MK-XS-F-020</t>
        </is>
      </c>
      <c r="B419" s="3" t="inlineStr">
        <is>
          <t>toReadModel</t>
        </is>
      </c>
      <c r="C419" s="3" t="inlineStr">
        <is>
          <t>src/domain/profile/calc.ts</t>
        </is>
      </c>
      <c r="D419" s="3" t="n">
        <v>31</v>
      </c>
      <c r="E419" s="3" t="inlineStr">
        <is>
          <t>3 · DEPENDENT</t>
        </is>
      </c>
      <c r="F419" s="3" t="inlineStr">
        <is>
          <t>Build the public read-model (profile + derived planning values).</t>
        </is>
      </c>
      <c r="G419" s="3" t="inlineStr">
        <is>
          <t>p: Profile · asOf: Date = new Date()</t>
        </is>
      </c>
      <c r="H419" s="3" t="inlineStr">
        <is>
          <t>ProfileReadModel</t>
        </is>
      </c>
      <c r="I419" s="3" t="inlineStr">
        <is>
          <t>—</t>
        </is>
      </c>
      <c r="J419" s="3" t="inlineStr">
        <is>
          <t>· Uses today's date from the device clock, so the answer changes by itself overnight.</t>
        </is>
      </c>
      <c r="K419" s="3" t="inlineStr">
        <is>
          <t>Yes</t>
        </is>
      </c>
      <c r="L419" s="3" t="inlineStr">
        <is>
          <t>MK-XS-F-017 currentAge · MK-XS-F-019 retirementHorizonYears · MK-XS-F-018 yearsToRetirement</t>
        </is>
      </c>
      <c r="M419" s="3" t="n">
        <v>3</v>
      </c>
      <c r="N419" s="3" t="inlineStr">
        <is>
          <t>MK-XS-F-017 currentAge · MK-XS-F-019 retirementHorizonYears · MK-XS-F-018 yearsToRetirement</t>
        </is>
      </c>
      <c r="O419" s="3" t="inlineStr">
        <is>
          <t>MK-XS-F-017 currentAge → MK-XS-F-020 toReadModel
MK-XS-F-019 retirementHorizonYears → MK-XS-F-020 toReadModel
MK-XS-F-018 yearsToRetirement → MK-XS-F-020 toReadModel</t>
        </is>
      </c>
      <c r="P419" s="3" t="inlineStr">
        <is>
          <t>—</t>
        </is>
      </c>
      <c r="Q419" s="3" t="inlineStr">
        <is>
          <t>—</t>
        </is>
      </c>
    </row>
    <row r="420">
      <c r="A420" s="3" t="inlineStr">
        <is>
          <t>MK-PF-F-015</t>
        </is>
      </c>
      <c r="B420" s="3" t="inlineStr">
        <is>
          <t>topHoldingConcentration</t>
        </is>
      </c>
      <c r="C420" s="3" t="inlineStr">
        <is>
          <t>src/domain/performance/index.ts</t>
        </is>
      </c>
      <c r="D420" s="3" t="n">
        <v>223</v>
      </c>
      <c r="E420" s="3" t="inlineStr">
        <is>
          <t>2 · DISPLAYED</t>
        </is>
      </c>
      <c r="F420" s="3" t="inlineStr">
        <is>
          <t>The holding-concentration FACT (Invest main + the insights engine share this one rule): the largest single holding as a % of invested money, reported only at 25%+ with 2+ holdings — below that it isn't a fact worth a card.</t>
        </is>
      </c>
      <c r="G420" s="3" t="inlineStr">
        <is>
          <t>rows: PerformanceRow[]</t>
        </is>
      </c>
      <c r="H420" s="3" t="inlineStr">
        <is>
          <t>NOT DECLARED — the code does not say what it gives back</t>
        </is>
      </c>
      <c r="I420" s="3" t="inlineStr">
        <is>
          <t>"Activity ›" — on the Performance screen</t>
        </is>
      </c>
      <c r="J420" s="3" t="inlineStr">
        <is>
          <t>· Multiplies by 100 — a percentage, or an option contract treated as 100 shares. Worth checking which.
· Rounds the answer to a whole number.</t>
        </is>
      </c>
      <c r="K420" s="3" t="inlineStr">
        <is>
          <t>Yes</t>
        </is>
      </c>
      <c r="L420" s="3" t="inlineStr">
        <is>
          <t>—</t>
        </is>
      </c>
      <c r="M420" s="3" t="n">
        <v>0</v>
      </c>
      <c r="N420" s="3" t="inlineStr">
        <is>
          <t>None — no dependent function stands behind it</t>
        </is>
      </c>
      <c r="O420" s="3" t="inlineStr">
        <is>
          <t>No dependent function — it reads its inputs and answers</t>
        </is>
      </c>
      <c r="P420" s="3" t="inlineStr">
        <is>
          <t>—</t>
        </is>
      </c>
      <c r="Q420" s="3" t="inlineStr">
        <is>
          <t>CONCENTRATION</t>
        </is>
      </c>
    </row>
    <row r="421">
      <c r="A421" s="3" t="inlineStr">
        <is>
          <t>MK-NW-F-015</t>
        </is>
      </c>
      <c r="B421" s="3" t="inlineStr">
        <is>
          <t>totalAssets</t>
        </is>
      </c>
      <c r="C421" s="3" t="inlineStr">
        <is>
          <t>src/domain/assets/index.ts</t>
        </is>
      </c>
      <c r="D421" s="3" t="n">
        <v>264</v>
      </c>
      <c r="E421" s="3" t="inlineStr">
        <is>
          <t>3 · DEPENDENT</t>
        </is>
      </c>
      <c r="F421" s="3" t="inlineStr">
        <is>
          <t>NOT DETERMINED — the code carries no note saying what this is for, and it has no row in the old inventory. Needs reading.</t>
        </is>
      </c>
      <c r="G421" s="3" t="inlineStr">
        <is>
          <t>accounts: AssetAccount[]</t>
        </is>
      </c>
      <c r="H421" s="3" t="inlineStr">
        <is>
          <t>number</t>
        </is>
      </c>
      <c r="I421" s="3" t="inlineStr">
        <is>
          <t>—</t>
        </is>
      </c>
      <c r="J421" s="3" t="inlineStr">
        <is>
          <t>· If balance is missing it counts as zero, so nothing recorded and a real zero look the same.</t>
        </is>
      </c>
      <c r="K421" s="3" t="inlineStr">
        <is>
          <t>Yes</t>
        </is>
      </c>
      <c r="L421" s="3" t="inlineStr">
        <is>
          <t>MK-ST-F-055 round2</t>
        </is>
      </c>
      <c r="M421" s="3" t="n">
        <v>1</v>
      </c>
      <c r="N421" s="3" t="inlineStr">
        <is>
          <t>MK-ST-F-055 round2</t>
        </is>
      </c>
      <c r="O421" s="3" t="inlineStr">
        <is>
          <t>MK-ST-F-055 round2 → MK-NW-F-015 totalAssets</t>
        </is>
      </c>
      <c r="P421" s="3" t="inlineStr">
        <is>
          <t>—</t>
        </is>
      </c>
      <c r="Q421" s="3" t="inlineStr">
        <is>
          <t>—</t>
        </is>
      </c>
    </row>
    <row r="422">
      <c r="A422" s="3" t="inlineStr">
        <is>
          <t>MK-CF-F-027</t>
        </is>
      </c>
      <c r="B422" s="3" t="inlineStr">
        <is>
          <t>totalDebtBalance</t>
        </is>
      </c>
      <c r="C422" s="3" t="inlineStr">
        <is>
          <t>src/domain/debt/index.ts</t>
        </is>
      </c>
      <c r="D422" s="3" t="n">
        <v>64</v>
      </c>
      <c r="E422" s="3" t="inlineStr">
        <is>
          <t>2 · DISPLAYED</t>
        </is>
      </c>
      <c r="F422" s="3" t="inlineStr">
        <is>
          <t>Σ outstanding debt BALANCE — what you still owe (not a monthly payment).</t>
        </is>
      </c>
      <c r="G422" s="3" t="inlineStr">
        <is>
          <t>debts: Debt[]</t>
        </is>
      </c>
      <c r="H422" s="3" t="inlineStr">
        <is>
          <t>number</t>
        </is>
      </c>
      <c r="I422" s="3" t="inlineStr">
        <is>
          <t>NOT FOUND — a screen calls it, but the words printed beside its answer could not be traced automatically. Needs reading.</t>
        </is>
      </c>
      <c r="J422" s="3" t="inlineStr">
        <is>
          <t>· If remaining balance is missing it counts as zero, so nothing recorded and a real zero look the same.</t>
        </is>
      </c>
      <c r="K422" s="3" t="inlineStr">
        <is>
          <t>Yes</t>
        </is>
      </c>
      <c r="L422" s="3" t="inlineStr">
        <is>
          <t>MK-ST-F-055 round2</t>
        </is>
      </c>
      <c r="M422" s="3" t="n">
        <v>1</v>
      </c>
      <c r="N422" s="3" t="inlineStr">
        <is>
          <t>MK-ST-F-055 round2</t>
        </is>
      </c>
      <c r="O422" s="3" t="inlineStr">
        <is>
          <t>MK-ST-F-055 round2 → MK-CF-F-027 totalDebtBalance</t>
        </is>
      </c>
      <c r="P422" s="3" t="inlineStr">
        <is>
          <t>—</t>
        </is>
      </c>
      <c r="Q422" s="3" t="inlineStr">
        <is>
          <t>—</t>
        </is>
      </c>
    </row>
    <row r="423">
      <c r="A423" s="3" t="inlineStr">
        <is>
          <t>MK-CF-F-024</t>
        </is>
      </c>
      <c r="B423" s="3" t="inlineStr">
        <is>
          <t>totalDebtMonthly</t>
        </is>
      </c>
      <c r="C423" s="3" t="inlineStr">
        <is>
          <t>src/domain/debt/index.ts</t>
        </is>
      </c>
      <c r="D423" s="3" t="n">
        <v>49</v>
      </c>
      <c r="E423" s="3" t="inlineStr">
        <is>
          <t>2 · DISPLAYED</t>
        </is>
      </c>
      <c r="F423" s="3" t="inlineStr">
        <is>
          <t>Total monthly debt obligation across all debts (override-aware).</t>
        </is>
      </c>
      <c r="G423" s="3" t="inlineStr">
        <is>
          <t>debts: Debt[]</t>
        </is>
      </c>
      <c r="H423" s="3" t="inlineStr">
        <is>
          <t>number</t>
        </is>
      </c>
      <c r="I423" s="3" t="inlineStr">
        <is>
          <t>"DEBT-TO-INCOME" — on the Goals screen, under "DEBT-TO-INCOME" · "Income (take-home)" — on the budget screen</t>
        </is>
      </c>
      <c r="J423" s="3" t="inlineStr">
        <is>
          <t>None found in this function — anything it assumes comes from the functions it depends on.</t>
        </is>
      </c>
      <c r="K423" s="3" t="inlineStr">
        <is>
          <t>Yes</t>
        </is>
      </c>
      <c r="L423" s="3" t="inlineStr">
        <is>
          <t>MK-CF-F-023 requiredPayment</t>
        </is>
      </c>
      <c r="M423" s="3" t="n">
        <v>3</v>
      </c>
      <c r="N423" s="3" t="inlineStr">
        <is>
          <t>MK-CF-F-023 requiredPayment · MK-CF-F-022 paymentShape · MK-CF-F-021 defaultPaymentType</t>
        </is>
      </c>
      <c r="O423" s="3" t="inlineStr">
        <is>
          <t>MK-CF-F-021 defaultPaymentType → MK-CF-F-022 paymentShape → MK-CF-F-023 requiredPayment → MK-CF-F-024 totalDebtMonthly</t>
        </is>
      </c>
      <c r="P423" s="3" t="inlineStr">
        <is>
          <t>—</t>
        </is>
      </c>
      <c r="Q423" s="3" t="inlineStr">
        <is>
          <t>DEBT_ACTUAL_TOTAL</t>
        </is>
      </c>
    </row>
    <row r="424">
      <c r="A424" s="3" t="inlineStr">
        <is>
          <t>MK-CF-F-083</t>
        </is>
      </c>
      <c r="B424" s="3" t="inlineStr">
        <is>
          <t>totalGrossAnnual</t>
        </is>
      </c>
      <c r="C424" s="3" t="inlineStr">
        <is>
          <t>src/domain/income/onboarding.ts</t>
        </is>
      </c>
      <c r="D424" s="3" t="n">
        <v>337</v>
      </c>
      <c r="E424" s="3" t="inlineStr">
        <is>
          <t>2 · DISPLAYED</t>
        </is>
      </c>
      <c r="F424" s="3" t="inlineStr">
        <is>
          <t>Total annual income across every inflow (salary for months worked + bonus + signing + equity + net rental + self-employment/investment/benefits/support/scholarship/other).</t>
        </is>
      </c>
      <c r="G424" s="3" t="inlineStr">
        <is>
          <t>op: OnboardingProfile | null · now: Date = new Date()</t>
        </is>
      </c>
      <c r="H424" s="3" t="inlineStr">
        <is>
          <t>number</t>
        </is>
      </c>
      <c r="I424" s="3" t="inlineStr">
        <is>
          <t>"Net Worth" — on the setup questions, which appear on more than one screen · "Operating expense / mo" — on the setup questions, which appear on more than one screen · "Pay off over (years)" — on the setup questions, which appear on more than one screen · "STUDENT LOAN OUTLOOK" — on the Goals screen, under "STUDENT LOAN OUTLOOK" · "Total income / yr" — on the setup questions, which appear on more than one screen · "Total value" — on the setup questions, which appear on more than one screen</t>
        </is>
      </c>
      <c r="J424" s="3" t="inlineStr">
        <is>
          <t>· Turns a monthly figure into a year by multiplying by twelve.
· Uses today's date from the device clock, so the answer changes by itself overnight.</t>
        </is>
      </c>
      <c r="K424" s="3" t="inlineStr">
        <is>
          <t>Yes</t>
        </is>
      </c>
      <c r="L424" s="3" t="inlineStr">
        <is>
          <t>MK-CF-F-072 currentRetirementIncomeMonthly · MK-CF-F-071 extraIncome · MK-CF-F-068 rentalNetAnnual · MK-CF-F-066 rsuAnnual · MK-CF-F-082 salaryAnnual · MK-CF-F-074 tipsAnnual · MK-ST-F-052 toNum</t>
        </is>
      </c>
      <c r="M424" s="3" t="n">
        <v>19</v>
      </c>
      <c r="N424" s="3" t="inlineStr">
        <is>
          <t>MK-CF-F-072 currentRetirementIncomeMonthly · MK-CF-F-071 extraIncome · MK-CF-F-068 rentalNetAnnual · MK-CF-F-066 rsuAnnual · MK-CF-F-082 salaryAnnual · MK-CF-F-074 tipsAnnual · MK-ST-F-052 toNum · MK-CF-F-075 retirementIncomeMonthly · MK-CF-F-070 benefitAnnual · MK-ST-F-055 round2 · MK-CF-F-067 rentalList · MK-CF-F-062 equityRowValue · MK-CF-F-063 rowVestYear · MK-CF-F-060 salaryGrossByMonth · MK-CF-F-081 salaryActiveMonths · MK-CF-F-069 benefitActiveMonths · MK-CF-F-097 grossFromNet · MK-CF-F-095 taxOwed · MK-CF-F-093 taxableIncome</t>
        </is>
      </c>
      <c r="O424" s="3" t="inlineStr">
        <is>
          <t>MK-ST-F-052 toNum → MK-CF-F-075 retirementIncomeMonthly → MK-CF-F-072 currentRetirementIncomeMonthly → MK-CF-F-083 totalGrossAnnual
MK-CF-F-069 benefitActiveMonths → MK-CF-F-070 benefitAnnual → MK-CF-F-071 extraIncome → MK-CF-F-083 totalGrossAnnual
MK-ST-F-052 toNum → MK-CF-F-070 benefitAnnual → MK-CF-F-071 extraIncome → MK-CF-F-083 totalGrossAnnual
MK-ST-F-055 round2 → MK-CF-F-071 extraIncome → MK-CF-F-083 totalGrossAnnual
MK-ST-F-052 toNum → MK-CF-F-071 extraIncome → MK-CF-F-083 totalGrossAnnual
MK-ST-F-052 toNum → MK-CF-F-067 rentalList → MK-CF-F-068 rentalNetAnnual → MK-CF-F-083 totalGrossAnnual
MK-ST-F-052 toNum → MK-CF-F-062 equityRowValue → MK-CF-F-066 rsuAnnual → MK-CF-F-083 totalGrossAnnual
MK-CF-F-063 rowVestYear → MK-CF-F-066 rsuAnnual → MK-CF-F-083 totalGrossAnnual
… and 9 more paths</t>
        </is>
      </c>
      <c r="P424" s="3" t="inlineStr">
        <is>
          <t>MK-CF-M-006 · MK-CF-M-007 · MK-CF-M-008 · MK-CF-M-027 · MK-MN-M-011 · MK-MN-M-012 · MK-MN-M-013</t>
        </is>
      </c>
      <c r="Q424" s="3" t="inlineStr">
        <is>
          <t>TOTAL_INCOME</t>
        </is>
      </c>
    </row>
    <row r="425">
      <c r="A425" s="3" t="inlineStr">
        <is>
          <t>MK-ST-F-016</t>
        </is>
      </c>
      <c r="B425" s="3" t="inlineStr">
        <is>
          <t>totalOf</t>
        </is>
      </c>
      <c r="C425" s="3" t="inlineStr">
        <is>
          <t>Calculation Module code/engines/ledger.ts</t>
        </is>
      </c>
      <c r="D425" s="3" t="n">
        <v>232</v>
      </c>
      <c r="E425" s="3" t="inlineStr">
        <is>
          <t>3 · DEPENDENT (feeds an action only)</t>
        </is>
      </c>
      <c r="F425" s="3" t="inlineStr">
        <is>
          <t>A total, summed SIGNED and EXACT — a reversal reduces its total instead of inflating it.</t>
        </is>
      </c>
      <c r="G425" s="3" t="inlineStr">
        <is>
          <t>rows: LedgerRow[] · total: 'contributions' | 'withdrawals' | 'income' | 'costs'</t>
        </is>
      </c>
      <c r="H425" s="3" t="inlineStr">
        <is>
          <t>Dec</t>
        </is>
      </c>
      <c r="I425" s="3" t="inlineStr">
        <is>
          <t>—</t>
        </is>
      </c>
      <c r="J425" s="3" t="inlineStr">
        <is>
          <t>None found in this function — anything it assumes comes from the functions it depends on.</t>
        </is>
      </c>
      <c r="K425" s="3" t="inlineStr">
        <is>
          <t>No</t>
        </is>
      </c>
      <c r="L425" s="3" t="inlineStr">
        <is>
          <t>MK-ST-F-015 rowsFor</t>
        </is>
      </c>
      <c r="M425" s="3" t="n">
        <v>1</v>
      </c>
      <c r="N425" s="3" t="inlineStr">
        <is>
          <t>MK-ST-F-015 rowsFor</t>
        </is>
      </c>
      <c r="O425" s="3" t="inlineStr">
        <is>
          <t>MK-ST-F-015 rowsFor → MK-ST-F-016 totalOf</t>
        </is>
      </c>
      <c r="P425" s="3" t="inlineStr">
        <is>
          <t>—</t>
        </is>
      </c>
      <c r="Q425" s="3" t="inlineStr">
        <is>
          <t>—</t>
        </is>
      </c>
    </row>
    <row r="426">
      <c r="A426" s="3" t="inlineStr">
        <is>
          <t>MK-PF-F-007</t>
        </is>
      </c>
      <c r="B426" s="3" t="inlineStr">
        <is>
          <t>totalROI</t>
        </is>
      </c>
      <c r="C426" s="3" t="inlineStr">
        <is>
          <t>src/domain/performance/index.ts</t>
        </is>
      </c>
      <c r="D426" s="3" t="n">
        <v>89</v>
      </c>
      <c r="E426" s="3" t="inlineStr">
        <is>
          <t>3 · DEPENDENT</t>
        </is>
      </c>
      <c r="F426" s="3" t="inlineStr">
        <is>
          <t>Total return since purchase = gain / cost basis (decimal).</t>
        </is>
      </c>
      <c r="G426" s="3" t="inlineStr">
        <is>
          <t>p: Position · price: number | null | undefined</t>
        </is>
      </c>
      <c r="H426" s="3" t="inlineStr">
        <is>
          <t>number | null</t>
        </is>
      </c>
      <c r="I426" s="3" t="inlineStr">
        <is>
          <t>—</t>
        </is>
      </c>
      <c r="J426" s="3" t="inlineStr">
        <is>
          <t>· Rounds the answer to a whole number.</t>
        </is>
      </c>
      <c r="K426" s="3" t="inlineStr">
        <is>
          <t>Yes</t>
        </is>
      </c>
      <c r="L426" s="3" t="inlineStr">
        <is>
          <t>MK-PF-F-002 costBasis · MK-PF-F-005 unrealizedGain</t>
        </is>
      </c>
      <c r="M426" s="3" t="n">
        <v>5</v>
      </c>
      <c r="N426" s="3" t="inlineStr">
        <is>
          <t>MK-PF-F-002 costBasis · MK-PF-F-005 unrealizedGain · MK-ST-F-055 round2 · MK-PF-F-004 marketValue · MK-PF-F-001 totalShares</t>
        </is>
      </c>
      <c r="O426" s="3" t="inlineStr">
        <is>
          <t>MK-ST-F-055 round2 → MK-PF-F-002 costBasis → MK-PF-F-007 totalROI
MK-ST-F-055 round2 → MK-PF-F-002 costBasis → MK-PF-F-005 unrealizedGain → MK-PF-F-007 totalROI
MK-ST-F-055 round2 → MK-PF-F-004 marketValue → MK-PF-F-005 unrealizedGain → MK-PF-F-007 totalROI
MK-PF-F-001 totalShares → MK-PF-F-004 marketValue → MK-PF-F-005 unrealizedGain → MK-PF-F-007 totalROI
MK-ST-F-055 round2 → MK-PF-F-005 unrealizedGain → MK-PF-F-007 totalROI</t>
        </is>
      </c>
      <c r="P426" s="3" t="inlineStr">
        <is>
          <t>—</t>
        </is>
      </c>
      <c r="Q426" s="3" t="inlineStr">
        <is>
          <t>HOLDING_TOTAL_ROI</t>
        </is>
      </c>
    </row>
    <row r="427">
      <c r="A427" s="3" t="inlineStr">
        <is>
          <t>MK-PF-F-001</t>
        </is>
      </c>
      <c r="B427" s="3" t="inlineStr">
        <is>
          <t>totalShares</t>
        </is>
      </c>
      <c r="C427" s="3" t="inlineStr">
        <is>
          <t>src/domain/performance/index.ts</t>
        </is>
      </c>
      <c r="D427" s="3" t="n">
        <v>37</v>
      </c>
      <c r="E427" s="3" t="inlineStr">
        <is>
          <t>2 · DISPLAYED</t>
        </is>
      </c>
      <c r="F427" s="3" t="inlineStr">
        <is>
          <t>---- cost basis &amp; value (lot math) ----</t>
        </is>
      </c>
      <c r="G427" s="3" t="inlineStr">
        <is>
          <t>p: Position</t>
        </is>
      </c>
      <c r="H427" s="3" t="inlineStr">
        <is>
          <t>number</t>
        </is>
      </c>
      <c r="I427" s="3" t="inlineStr">
        <is>
          <t>"Quantity" — on the Holding detail screen, under "CURRENT PRICE$" · "Realized from sales" — on the Holding detail screen, under "DIVIDENDS &amp; REALIZED"</t>
        </is>
      </c>
      <c r="J427" s="3" t="inlineStr">
        <is>
          <t>· If shares is missing it counts as zero, so nothing recorded and a real zero look the same.</t>
        </is>
      </c>
      <c r="K427" s="3" t="inlineStr">
        <is>
          <t>Yes</t>
        </is>
      </c>
      <c r="L427" s="3" t="inlineStr">
        <is>
          <t>—</t>
        </is>
      </c>
      <c r="M427" s="3" t="n">
        <v>0</v>
      </c>
      <c r="N427" s="3" t="inlineStr">
        <is>
          <t>None — no dependent function stands behind it</t>
        </is>
      </c>
      <c r="O427" s="3" t="inlineStr">
        <is>
          <t>No dependent function — it reads its inputs and answers</t>
        </is>
      </c>
      <c r="P427" s="3" t="inlineStr">
        <is>
          <t>MK-NW-M-031</t>
        </is>
      </c>
      <c r="Q427" s="3" t="inlineStr">
        <is>
          <t>HOLDING_SHARES</t>
        </is>
      </c>
    </row>
    <row r="428">
      <c r="A428" s="3" t="inlineStr">
        <is>
          <t>MK-ST-F-008</t>
        </is>
      </c>
      <c r="B428" s="3" t="inlineStr">
        <is>
          <t>touches</t>
        </is>
      </c>
      <c r="C428" s="3" t="inlineStr">
        <is>
          <t>Calculation Module code/engines/events.ts</t>
        </is>
      </c>
      <c r="D428" s="3" t="n">
        <v>190</v>
      </c>
      <c r="E428" s="3" t="inlineStr">
        <is>
          <t>3 · DEPENDENT (feeds an action only)</t>
        </is>
      </c>
      <c r="F428" s="3" t="inlineStr">
        <is>
          <t>Does this event add to that total?</t>
        </is>
      </c>
      <c r="G428" s="3" t="inlineStr">
        <is>
          <t>e: CanonicalEvent · total: 'contributions' | 'withdrawals' | 'income' | 'costs' | 'units' | 'costBasis' | 'realisedGain'</t>
        </is>
      </c>
      <c r="H428" s="3" t="inlineStr">
        <is>
          <t>boolean</t>
        </is>
      </c>
      <c r="I428" s="3" t="inlineStr">
        <is>
          <t>—</t>
        </is>
      </c>
      <c r="J428" s="3" t="inlineStr">
        <is>
          <t>None found in this function — anything it assumes comes from the functions it depends on.</t>
        </is>
      </c>
      <c r="K428" s="3" t="inlineStr">
        <is>
          <t>No</t>
        </is>
      </c>
      <c r="L428" s="3" t="inlineStr">
        <is>
          <t>—</t>
        </is>
      </c>
      <c r="M428" s="3" t="n">
        <v>0</v>
      </c>
      <c r="N428" s="3" t="inlineStr">
        <is>
          <t>None — no dependent function stands behind it</t>
        </is>
      </c>
      <c r="O428" s="3" t="inlineStr">
        <is>
          <t>No dependent function — it reads its inputs and answers</t>
        </is>
      </c>
      <c r="P428" s="3" t="inlineStr">
        <is>
          <t>—</t>
        </is>
      </c>
      <c r="Q428" s="3" t="inlineStr">
        <is>
          <t>—</t>
        </is>
      </c>
    </row>
    <row r="429">
      <c r="A429" s="3" t="inlineStr">
        <is>
          <t>MK-XS-F-005</t>
        </is>
      </c>
      <c r="B429" s="3" t="inlineStr">
        <is>
          <t>trendPoints</t>
        </is>
      </c>
      <c r="C429" s="3" t="inlineStr">
        <is>
          <t>src/domain/history.ts</t>
        </is>
      </c>
      <c r="D429" s="3" t="n">
        <v>43</v>
      </c>
      <c r="E429" s="3" t="inlineStr">
        <is>
          <t>2 · DISPLAYED</t>
        </is>
      </c>
      <c r="F429" s="3" t="inlineStr">
        <is>
          <t>Chart series = monthly snapshots + daily points, chronological ('YYYY-MM' sorts before its days).</t>
        </is>
      </c>
      <c r="G429" s="3" t="inlineStr">
        <is>
          <t>Nothing is handed to it</t>
        </is>
      </c>
      <c r="H429" s="3" t="inlineStr">
        <is>
          <t>NOT DECLARED — the code does not say what it gives back</t>
        </is>
      </c>
      <c r="I429" s="3" t="inlineStr">
        <is>
          <t>NOT FOUND — a screen calls it, but the words printed beside its answer could not be traced automatically. Needs reading.</t>
        </is>
      </c>
      <c r="J429" s="3" t="inlineStr">
        <is>
          <t>None found in this function — anything it assumes comes from the functions it depends on.</t>
        </is>
      </c>
      <c r="K429" s="3" t="inlineStr">
        <is>
          <t>Yes</t>
        </is>
      </c>
      <c r="L429" s="3" t="inlineStr">
        <is>
          <t>MK-XS-F-009 readHistory · MK-ST-F-055 round2</t>
        </is>
      </c>
      <c r="M429" s="3" t="n">
        <v>3</v>
      </c>
      <c r="N429" s="3" t="inlineStr">
        <is>
          <t>MK-XS-F-009 readHistory · MK-ST-F-055 round2 · MK-XS-F-008 normalizeSnapshot</t>
        </is>
      </c>
      <c r="O429" s="3" t="inlineStr">
        <is>
          <t>MK-ST-F-055 round2 → MK-XS-F-008 normalizeSnapshot → MK-XS-F-009 readHistory → MK-XS-F-005 trendPoints
MK-ST-F-055 round2 → MK-XS-F-005 trendPoints</t>
        </is>
      </c>
      <c r="P429" s="3" t="inlineStr">
        <is>
          <t>MK-NW-M-001 · MK-NW-M-003</t>
        </is>
      </c>
      <c r="Q429" s="3" t="inlineStr">
        <is>
          <t>TREND_SERIES</t>
        </is>
      </c>
    </row>
    <row r="430">
      <c r="A430" s="3" t="inlineStr">
        <is>
          <t>MK-PL-F-037</t>
        </is>
      </c>
      <c r="B430" s="3" t="inlineStr">
        <is>
          <t>trimHints</t>
        </is>
      </c>
      <c r="C430" s="3" t="inlineStr">
        <is>
          <t>src/domain/planning/multiGoal.ts</t>
        </is>
      </c>
      <c r="D430" s="3" t="n">
        <v>103</v>
      </c>
      <c r="E430" s="3" t="inlineStr">
        <is>
          <t>2 · DISPLAYED</t>
        </is>
      </c>
      <c r="F430" s="3" t="inlineStr">
        <is>
          <t>One hint per active goal: the SAME weigher re-run with that dial reduced — a pre-run of the slider, so applying the hint's amount reproduces its numbers exactly (the pin).</t>
        </is>
      </c>
      <c r="G430" s="3" t="inlineStr">
        <is>
          <t>w: WeighInputs · reduceTo = 0.6</t>
        </is>
      </c>
      <c r="H430" s="3" t="inlineStr">
        <is>
          <t>TrimHint[]</t>
        </is>
      </c>
      <c r="I430" s="3" t="inlineStr">
        <is>
          <t>NOT FOUND — a screen calls it, but the words printed beside its answer could not be traced automatically. Needs reading.</t>
        </is>
      </c>
      <c r="J430" s="3" t="inlineStr">
        <is>
          <t>· Multiplies by 100 — a percentage, or an option contract treated as 100 shares. Worth checking which.
· Rounds the answer to a whole number.
· Leaves some rows out of the answer — check which.</t>
        </is>
      </c>
      <c r="K430" s="3" t="inlineStr">
        <is>
          <t>Yes</t>
        </is>
      </c>
      <c r="L430" s="3" t="inlineStr">
        <is>
          <t>MK-PL-F-036 weighGoals</t>
        </is>
      </c>
      <c r="M430" s="3" t="n">
        <v>11</v>
      </c>
      <c r="N430" s="3" t="inlineStr">
        <is>
          <t>MK-PL-F-036 weighGoals · MK-PL-F-021 monthsToGoal · MK-CF-F-034 payoffPlan · MK-PL-F-035 retireAgeWithContribution · MK-ST-F-055 round2 · MK-PL-F-050 simulate · MK-CF-F-022 paymentShape · MK-PL-F-055 projectNestEgg · MK-ST-F-025 rmdStartAgeFromAge · MK-CF-F-021 defaultPaymentType · MK-ST-F-024 rmdStartAge</t>
        </is>
      </c>
      <c r="O430" s="3" t="inlineStr">
        <is>
          <t>MK-PL-F-021 monthsToGoal → MK-PL-F-036 weighGoals → MK-PL-F-037 trimHints
MK-CF-F-021 defaultPaymentType → MK-CF-F-022 paymentShape → MK-CF-F-034 payoffPlan → MK-PL-F-036 weighGoals → MK-PL-F-037 trimHints
MK-ST-F-055 round2 → MK-CF-F-034 payoffPlan → MK-PL-F-036 weighGoals → MK-PL-F-037 trimHints
MK-ST-F-055 round2 → MK-PL-F-055 projectNestEgg → MK-PL-F-035 retireAgeWithContribution → MK-PL-F-036 weighGoals → MK-PL-F-037 trimHints
MK-ST-F-025 rmdStartAgeFromAge → MK-PL-F-050 simulate → MK-PL-F-055 projectNestEgg → MK-PL-F-035 retireAgeWithContribution → MK-PL-F-036 weighGoals → MK-PL-F-037 trimHints
MK-ST-F-055 round2 → MK-PL-F-050 simulate → MK-PL-F-055 projectNestEgg → MK-PL-F-035 retireAgeWithContribution → MK-PL-F-036 weighGoals → MK-PL-F-037 trimHints
MK-ST-F-055 round2 → MK-PL-F-036 weighGoals → MK-PL-F-037 trimHints
MK-ST-F-024 rmdStartAge → MK-ST-F-025 rmdStartAgeFromAge → MK-PL-F-050 simulate → MK-PL-F-036 weighGoals → MK-PL-F-037 trimHints
… and 1 more paths</t>
        </is>
      </c>
      <c r="P430" s="3" t="inlineStr">
        <is>
          <t>—</t>
        </is>
      </c>
      <c r="Q430" s="3" t="inlineStr">
        <is>
          <t>—</t>
        </is>
      </c>
    </row>
    <row r="431">
      <c r="A431" s="3" t="inlineStr">
        <is>
          <t>MK-CF-F-117</t>
        </is>
      </c>
      <c r="B431" s="3" t="inlineStr">
        <is>
          <t>txnLabel</t>
        </is>
      </c>
      <c r="C431" s="3" t="inlineStr">
        <is>
          <t>src/domain/transactions/index.ts</t>
        </is>
      </c>
      <c r="D431" s="3" t="n">
        <v>224</v>
      </c>
      <c r="E431" s="3" t="inlineStr">
        <is>
          <t>2 · DISPLAYED</t>
        </is>
      </c>
      <c r="F431" s="3" t="inlineStr">
        <is>
          <t>What do we call this kind of row on screen?</t>
        </is>
      </c>
      <c r="G431" s="3" t="inlineStr">
        <is>
          <t>t: TxnType</t>
        </is>
      </c>
      <c r="H431" s="3" t="inlineStr">
        <is>
          <t>string</t>
        </is>
      </c>
      <c r="I431" s="3" t="inlineStr">
        <is>
          <t>"Date" — on the Performance screen</t>
        </is>
      </c>
      <c r="J431" s="3" t="inlineStr">
        <is>
          <t>None found in this function — anything it assumes comes from the functions it depends on.</t>
        </is>
      </c>
      <c r="K431" s="3" t="inlineStr">
        <is>
          <t>Yes</t>
        </is>
      </c>
      <c r="L431" s="3" t="inlineStr">
        <is>
          <t>—</t>
        </is>
      </c>
      <c r="M431" s="3" t="n">
        <v>0</v>
      </c>
      <c r="N431" s="3" t="inlineStr">
        <is>
          <t>None — no dependent function stands behind it</t>
        </is>
      </c>
      <c r="O431" s="3" t="inlineStr">
        <is>
          <t>No dependent function — it reads its inputs and answers</t>
        </is>
      </c>
      <c r="P431" s="3" t="inlineStr">
        <is>
          <t>—</t>
        </is>
      </c>
      <c r="Q431" s="3" t="inlineStr">
        <is>
          <t>LEDGER_ROW_NAME</t>
        </is>
      </c>
    </row>
    <row r="432">
      <c r="A432" s="3" t="inlineStr">
        <is>
          <t>MK-NW-F-047</t>
        </is>
      </c>
      <c r="B432" s="3" t="inlineStr">
        <is>
          <t>uberGroupOf</t>
        </is>
      </c>
      <c r="C432" s="3" t="inlineStr">
        <is>
          <t>src/domain/assets/index.ts</t>
        </is>
      </c>
      <c r="D432" s="3" t="n">
        <v>776</v>
      </c>
      <c r="E432" s="3" t="inlineStr">
        <is>
          <t>1 · ACTION</t>
        </is>
      </c>
      <c r="F432" s="3" t="inlineStr">
        <is>
          <t>NOT DETERMINED — the code carries no note saying what this is for, and it has no row in the old inventory. Needs reading.</t>
        </is>
      </c>
      <c r="G432" s="3" t="inlineStr">
        <is>
          <t>cls: AssetClass</t>
        </is>
      </c>
      <c r="H432" s="3" t="inlineStr">
        <is>
          <t>UberGroup</t>
        </is>
      </c>
      <c r="I432" s="3" t="inlineStr">
        <is>
          <t>—</t>
        </is>
      </c>
      <c r="J432" s="3" t="inlineStr">
        <is>
          <t>None found in this function — anything it assumes comes from the functions it depends on.</t>
        </is>
      </c>
      <c r="K432" s="3" t="inlineStr">
        <is>
          <t>Yes</t>
        </is>
      </c>
      <c r="L432" s="3" t="inlineStr">
        <is>
          <t>—</t>
        </is>
      </c>
      <c r="M432" s="3" t="n">
        <v>0</v>
      </c>
      <c r="N432" s="3" t="inlineStr">
        <is>
          <t>None — no dependent function stands behind it</t>
        </is>
      </c>
      <c r="O432" s="3" t="inlineStr">
        <is>
          <t>No dependent function — it reads its inputs and answers</t>
        </is>
      </c>
      <c r="P432" s="3" t="inlineStr">
        <is>
          <t>—</t>
        </is>
      </c>
      <c r="Q432" s="3" t="inlineStr">
        <is>
          <t>—</t>
        </is>
      </c>
    </row>
    <row r="433">
      <c r="A433" s="3" t="inlineStr">
        <is>
          <t>MK-NW-F-048</t>
        </is>
      </c>
      <c r="B433" s="3" t="inlineStr">
        <is>
          <t>uberGroupRows</t>
        </is>
      </c>
      <c r="C433" s="3" t="inlineStr">
        <is>
          <t>src/domain/assets/index.ts</t>
        </is>
      </c>
      <c r="D433" s="3" t="n">
        <v>779</v>
      </c>
      <c r="E433" s="3" t="inlineStr">
        <is>
          <t>2 · DISPLAYED</t>
        </is>
      </c>
      <c r="F433" s="3" t="inlineStr">
        <is>
          <t>Group per-class totals into the three uber-groups, keeping class order inside each.</t>
        </is>
      </c>
      <c r="G433" s="3" t="inlineStr">
        <is>
          <t>Nothing is handed to it</t>
        </is>
      </c>
      <c r="H433" s="3" t="inlineStr">
        <is>
          <t>NOT DECLARED — the code does not say what it gives back</t>
        </is>
      </c>
      <c r="I433" s="3" t="inlineStr">
        <is>
          <t>NOT FOUND — a screen calls it, but the words printed beside its answer could not be traced automatically. Needs reading.</t>
        </is>
      </c>
      <c r="J433" s="3" t="inlineStr">
        <is>
          <t>· Leaves some rows out of the answer — check which.</t>
        </is>
      </c>
      <c r="K433" s="3" t="inlineStr">
        <is>
          <t>Yes</t>
        </is>
      </c>
      <c r="L433" s="3" t="inlineStr">
        <is>
          <t>MK-ST-F-055 round2 · MK-NW-F-047 uberGroupOf</t>
        </is>
      </c>
      <c r="M433" s="3" t="n">
        <v>2</v>
      </c>
      <c r="N433" s="3" t="inlineStr">
        <is>
          <t>MK-ST-F-055 round2 · MK-NW-F-047 uberGroupOf</t>
        </is>
      </c>
      <c r="O433" s="3" t="inlineStr">
        <is>
          <t>MK-ST-F-055 round2 → MK-NW-F-048 uberGroupRows
MK-NW-F-047 uberGroupOf → MK-NW-F-048 uberGroupRows</t>
        </is>
      </c>
      <c r="P433" s="3" t="inlineStr">
        <is>
          <t>—</t>
        </is>
      </c>
      <c r="Q433" s="3" t="inlineStr">
        <is>
          <t>NET_WORTH_GROUPING</t>
        </is>
      </c>
    </row>
    <row r="434">
      <c r="A434" s="3" t="inlineStr">
        <is>
          <t>MK-ST-F-017</t>
        </is>
      </c>
      <c r="B434" s="3" t="inlineStr">
        <is>
          <t>unclassified</t>
        </is>
      </c>
      <c r="C434" s="3" t="inlineStr">
        <is>
          <t>Calculation Module code/engines/ledger.ts</t>
        </is>
      </c>
      <c r="D434" s="3" t="n">
        <v>237</v>
      </c>
      <c r="E434" s="3" t="inlineStr">
        <is>
          <t>3 · DEPENDENT (feeds an action only)</t>
        </is>
      </c>
      <c r="F434" s="3" t="inlineStr">
        <is>
          <t>Everything we could not name, for the honest line on screen: "12 entries we could not classify".</t>
        </is>
      </c>
      <c r="G434" s="3" t="inlineStr">
        <is>
          <t>rows: LedgerRow[]</t>
        </is>
      </c>
      <c r="H434" s="3" t="inlineStr">
        <is>
          <t>LedgerRow[]</t>
        </is>
      </c>
      <c r="I434" s="3" t="inlineStr">
        <is>
          <t>—</t>
        </is>
      </c>
      <c r="J434" s="3" t="inlineStr">
        <is>
          <t>· Multiplies by 100 — a percentage, or an option contract treated as 100 shares. Worth checking which.
· Rounds the answer to a whole number.
· Leaves some rows out of the answer — check which.</t>
        </is>
      </c>
      <c r="K434" s="3" t="inlineStr">
        <is>
          <t>No</t>
        </is>
      </c>
      <c r="L434" s="3" t="inlineStr">
        <is>
          <t>—</t>
        </is>
      </c>
      <c r="M434" s="3" t="n">
        <v>0</v>
      </c>
      <c r="N434" s="3" t="inlineStr">
        <is>
          <t>None — no dependent function stands behind it</t>
        </is>
      </c>
      <c r="O434" s="3" t="inlineStr">
        <is>
          <t>No dependent function — it reads its inputs and answers</t>
        </is>
      </c>
      <c r="P434" s="3" t="inlineStr">
        <is>
          <t>—</t>
        </is>
      </c>
      <c r="Q434" s="3" t="inlineStr">
        <is>
          <t>—</t>
        </is>
      </c>
    </row>
    <row r="435">
      <c r="A435" s="3" t="inlineStr">
        <is>
          <t>MK-CF-F-114</t>
        </is>
      </c>
      <c r="B435" s="3" t="inlineStr">
        <is>
          <t>undoSnapshot</t>
        </is>
      </c>
      <c r="C435" s="3" t="inlineStr">
        <is>
          <t>src/domain/transactions/index.ts</t>
        </is>
      </c>
      <c r="D435" s="3" t="n">
        <v>185</v>
      </c>
      <c r="E435" s="3" t="inlineStr">
        <is>
          <t>3 · DEPENDENT (feeds an action only)</t>
        </is>
      </c>
      <c r="F435" s="3" t="inlineStr">
        <is>
          <t>Deep copies of the affected accounts, taken BEFORE applyTransaction.</t>
        </is>
      </c>
      <c r="G435" s="3" t="inlineStr">
        <is>
          <t>accounts: AssetAccount[] · t: Transaction</t>
        </is>
      </c>
      <c r="H435" s="3" t="inlineStr">
        <is>
          <t>AssetAccount[]</t>
        </is>
      </c>
      <c r="I435" s="3" t="inlineStr">
        <is>
          <t>—</t>
        </is>
      </c>
      <c r="J435" s="3" t="inlineStr">
        <is>
          <t>· Leaves some rows out of the answer — check which.</t>
        </is>
      </c>
      <c r="K435" s="3" t="inlineStr">
        <is>
          <t>No</t>
        </is>
      </c>
      <c r="L435" s="3" t="inlineStr">
        <is>
          <t>MK-CF-F-113 affectedAccountIds</t>
        </is>
      </c>
      <c r="M435" s="3" t="n">
        <v>1</v>
      </c>
      <c r="N435" s="3" t="inlineStr">
        <is>
          <t>MK-CF-F-113 affectedAccountIds</t>
        </is>
      </c>
      <c r="O435" s="3" t="inlineStr">
        <is>
          <t>MK-CF-F-113 affectedAccountIds → MK-CF-F-114 undoSnapshot</t>
        </is>
      </c>
      <c r="P435" s="3" t="inlineStr">
        <is>
          <t>—</t>
        </is>
      </c>
      <c r="Q435" s="3" t="inlineStr">
        <is>
          <t>—</t>
        </is>
      </c>
    </row>
    <row r="436">
      <c r="A436" s="3" t="inlineStr">
        <is>
          <t>MK-ST-F-032</t>
        </is>
      </c>
      <c r="B436" s="3" t="inlineStr">
        <is>
          <t>unitsOn</t>
        </is>
      </c>
      <c r="C436" s="3" t="inlineStr">
        <is>
          <t>Calculation Module code/engines/snapshots.ts</t>
        </is>
      </c>
      <c r="D436" s="3" t="n">
        <v>177</v>
      </c>
      <c r="E436" s="3" t="inlineStr">
        <is>
          <t>3 · DEPENDENT (feeds an action only)</t>
        </is>
      </c>
      <c r="F436" s="3" t="inlineStr">
        <is>
          <t>How many units of one holding were held on a date — what the trend chart needs and never had.</t>
        </is>
      </c>
      <c r="G436" s="3" t="inlineStr">
        <is>
          <t>days: SnapshotDay[] · accId: string · securityKey: string · date: string</t>
        </is>
      </c>
      <c r="H436" s="3" t="inlineStr">
        <is>
          <t>number | null</t>
        </is>
      </c>
      <c r="I436" s="3" t="inlineStr">
        <is>
          <t>—</t>
        </is>
      </c>
      <c r="J436" s="3" t="inlineStr">
        <is>
          <t>None found in this function — anything it assumes comes from the functions it depends on.</t>
        </is>
      </c>
      <c r="K436" s="3" t="inlineStr">
        <is>
          <t>No</t>
        </is>
      </c>
      <c r="L436" s="3" t="inlineStr">
        <is>
          <t>MK-ST-F-033 onOrBefore</t>
        </is>
      </c>
      <c r="M436" s="3" t="n">
        <v>1</v>
      </c>
      <c r="N436" s="3" t="inlineStr">
        <is>
          <t>MK-ST-F-033 onOrBefore</t>
        </is>
      </c>
      <c r="O436" s="3" t="inlineStr">
        <is>
          <t>MK-ST-F-033 onOrBefore → MK-ST-F-032 unitsOn</t>
        </is>
      </c>
      <c r="P436" s="3" t="inlineStr">
        <is>
          <t>—</t>
        </is>
      </c>
      <c r="Q436" s="3" t="inlineStr">
        <is>
          <t>—</t>
        </is>
      </c>
    </row>
    <row r="437">
      <c r="A437" s="3" t="inlineStr">
        <is>
          <t>MK-PF-F-005</t>
        </is>
      </c>
      <c r="B437" s="3" t="inlineStr">
        <is>
          <t>unrealizedGain</t>
        </is>
      </c>
      <c r="C437" s="3" t="inlineStr">
        <is>
          <t>src/domain/performance/index.ts</t>
        </is>
      </c>
      <c r="D437" s="3" t="n">
        <v>51</v>
      </c>
      <c r="E437" s="3" t="inlineStr">
        <is>
          <t>3 · DEPENDENT</t>
        </is>
      </c>
      <c r="F437" s="3" t="inlineStr">
        <is>
          <t>Unrealized gain = market value − cost basis (null price → 0).</t>
        </is>
      </c>
      <c r="G437" s="3" t="inlineStr">
        <is>
          <t>p: Position · price: number | null | undefined</t>
        </is>
      </c>
      <c r="H437" s="3" t="inlineStr">
        <is>
          <t>number</t>
        </is>
      </c>
      <c r="I437" s="3" t="inlineStr">
        <is>
          <t>—</t>
        </is>
      </c>
      <c r="J437" s="3" t="inlineStr">
        <is>
          <t>None found in this function — anything it assumes comes from the functions it depends on.</t>
        </is>
      </c>
      <c r="K437" s="3" t="inlineStr">
        <is>
          <t>Yes</t>
        </is>
      </c>
      <c r="L437" s="3" t="inlineStr">
        <is>
          <t>MK-PF-F-002 costBasis · MK-PF-F-004 marketValue · MK-ST-F-055 round2</t>
        </is>
      </c>
      <c r="M437" s="3" t="n">
        <v>4</v>
      </c>
      <c r="N437" s="3" t="inlineStr">
        <is>
          <t>MK-PF-F-002 costBasis · MK-PF-F-004 marketValue · MK-ST-F-055 round2 · MK-PF-F-001 totalShares</t>
        </is>
      </c>
      <c r="O437" s="3" t="inlineStr">
        <is>
          <t>MK-ST-F-055 round2 → MK-PF-F-002 costBasis → MK-PF-F-005 unrealizedGain
MK-ST-F-055 round2 → MK-PF-F-004 marketValue → MK-PF-F-005 unrealizedGain
MK-PF-F-001 totalShares → MK-PF-F-004 marketValue → MK-PF-F-005 unrealizedGain
MK-ST-F-055 round2 → MK-PF-F-005 unrealizedGain</t>
        </is>
      </c>
      <c r="P437" s="3" t="inlineStr">
        <is>
          <t>—</t>
        </is>
      </c>
      <c r="Q437" s="3" t="inlineStr">
        <is>
          <t>HOLDING_UNREALISED_GAIN</t>
        </is>
      </c>
    </row>
    <row r="438">
      <c r="A438" s="3" t="inlineStr">
        <is>
          <t>MK-XS-F-047</t>
        </is>
      </c>
      <c r="B438" s="3" t="inlineStr">
        <is>
          <t>unwrapWithPassword</t>
        </is>
      </c>
      <c r="C438" s="3" t="inlineStr">
        <is>
          <t>src/services/dataCrypto.ts</t>
        </is>
      </c>
      <c r="D438" s="3" t="n">
        <v>86</v>
      </c>
      <c r="E438" s="3" t="inlineStr">
        <is>
          <t>3 · DEPENDENT</t>
        </is>
      </c>
      <c r="F438" s="3" t="inlineStr">
        <is>
          <t>Unlock the DEK with the password (null if the password is wrong / was reset).</t>
        </is>
      </c>
      <c r="G438" s="3" t="inlineStr">
        <is>
          <t>env: KeyEnvelope · uid: string · password: string</t>
        </is>
      </c>
      <c r="H438" s="3" t="inlineStr">
        <is>
          <t>string | null</t>
        </is>
      </c>
      <c r="I438" s="3" t="inlineStr">
        <is>
          <t>—</t>
        </is>
      </c>
      <c r="J438" s="3" t="inlineStr">
        <is>
          <t>None found in this function — anything it assumes comes from the functions it depends on.</t>
        </is>
      </c>
      <c r="K438" s="3" t="inlineStr">
        <is>
          <t>Yes</t>
        </is>
      </c>
      <c r="L438" s="3" t="inlineStr">
        <is>
          <t>MK-XS-F-053 decryptWithKey</t>
        </is>
      </c>
      <c r="M438" s="3" t="n">
        <v>2</v>
      </c>
      <c r="N438" s="3" t="inlineStr">
        <is>
          <t>MK-XS-F-053 decryptWithKey · MK-XS-F-051 isEncrypted</t>
        </is>
      </c>
      <c r="O438" s="3" t="inlineStr">
        <is>
          <t>MK-XS-F-051 isEncrypted → MK-XS-F-053 decryptWithKey → MK-XS-F-047 unwrapWithPassword</t>
        </is>
      </c>
      <c r="P438" s="3" t="inlineStr">
        <is>
          <t>—</t>
        </is>
      </c>
      <c r="Q438" s="3" t="inlineStr">
        <is>
          <t>—</t>
        </is>
      </c>
    </row>
    <row r="439">
      <c r="A439" s="3" t="inlineStr">
        <is>
          <t>MK-XS-F-048</t>
        </is>
      </c>
      <c r="B439" s="3" t="inlineStr">
        <is>
          <t>unwrapWithRecovery</t>
        </is>
      </c>
      <c r="C439" s="3" t="inlineStr">
        <is>
          <t>src/services/dataCrypto.ts</t>
        </is>
      </c>
      <c r="D439" s="3" t="n">
        <v>90</v>
      </c>
      <c r="E439" s="3" t="inlineStr">
        <is>
          <t>3 · DEPENDENT</t>
        </is>
      </c>
      <c r="F439" s="3" t="inlineStr">
        <is>
          <t>Unlock the DEK with the recovery code (null if the code is wrong).</t>
        </is>
      </c>
      <c r="G439" s="3" t="inlineStr">
        <is>
          <t>env: KeyEnvelope · uid: string · recoveryCode: string</t>
        </is>
      </c>
      <c r="H439" s="3" t="inlineStr">
        <is>
          <t>string | null</t>
        </is>
      </c>
      <c r="I439" s="3" t="inlineStr">
        <is>
          <t>—</t>
        </is>
      </c>
      <c r="J439" s="3" t="inlineStr">
        <is>
          <t>None found in this function — anything it assumes comes from the functions it depends on.</t>
        </is>
      </c>
      <c r="K439" s="3" t="inlineStr">
        <is>
          <t>Yes</t>
        </is>
      </c>
      <c r="L439" s="3" t="inlineStr">
        <is>
          <t>MK-XS-F-053 decryptWithKey</t>
        </is>
      </c>
      <c r="M439" s="3" t="n">
        <v>2</v>
      </c>
      <c r="N439" s="3" t="inlineStr">
        <is>
          <t>MK-XS-F-053 decryptWithKey · MK-XS-F-051 isEncrypted</t>
        </is>
      </c>
      <c r="O439" s="3" t="inlineStr">
        <is>
          <t>MK-XS-F-051 isEncrypted → MK-XS-F-053 decryptWithKey → MK-XS-F-048 unwrapWithRecovery</t>
        </is>
      </c>
      <c r="P439" s="3" t="inlineStr">
        <is>
          <t>—</t>
        </is>
      </c>
      <c r="Q439" s="3" t="inlineStr">
        <is>
          <t>—</t>
        </is>
      </c>
    </row>
    <row r="440">
      <c r="A440" s="3" t="inlineStr">
        <is>
          <t>MK-CF-F-019</t>
        </is>
      </c>
      <c r="B440" s="3" t="inlineStr">
        <is>
          <t>upcomingBills</t>
        </is>
      </c>
      <c r="C440" s="3" t="inlineStr">
        <is>
          <t>src/domain/cashflow/index.ts</t>
        </is>
      </c>
      <c r="D440" s="3" t="n">
        <v>65</v>
      </c>
      <c r="E440" s="3" t="inlineStr">
        <is>
          <t>2 · DISPLAYED</t>
        </is>
      </c>
      <c r="F440" s="3" t="inlineStr">
        <is>
          <t>NOT DETERMINED — the code carries no note saying what this is for, and it has no row in the old inventory. Needs reading.</t>
        </is>
      </c>
      <c r="G440" s="3" t="inlineStr">
        <is>
          <t>Nothing is handed to it</t>
        </is>
      </c>
      <c r="H440" s="3" t="inlineStr">
        <is>
          <t>NOT DECLARED — the code does not say what it gives back</t>
        </is>
      </c>
      <c r="I440" s="3" t="inlineStr">
        <is>
          <t>"Bill calendar" — on the Bill calendar screen · "If you can't pay everything, pay these first" — on the Bill calendar screen</t>
        </is>
      </c>
      <c r="J440" s="3" t="inlineStr">
        <is>
          <t>· If buffer days is missing it uses 2.
· If ask lead days is missing it uses 10.
· If horizon days is missing it uses 365.
· Treats a year as twelve equal months.
· Turns a monthly figure into a year by multiplying by twelve.
· Treats a year as 365 days.
· Uses today's date from the device clock, so the answer changes by itself overnight.
· Leaves some rows out of the answer — check which.</t>
        </is>
      </c>
      <c r="K440" s="3" t="inlineStr">
        <is>
          <t>Yes</t>
        </is>
      </c>
      <c r="L440" s="3" t="inlineStr">
        <is>
          <t>MK-CF-F-070 benefitAnnual · MK-CF-F-072 currentRetirementIncomeMonthly · MK-CF-F-090 effectiveRate · MK-CF-F-061 grossSalaryMonthly · MK-CF-F-068 rentalNetAnnual · MK-ST-F-055 round2 · MK-CF-F-004 spendBuckets · MK-CF-F-084 taxableAnnual · MK-ST-F-052 toNum · MK-CF-F-083 totalGrossAnnual</t>
        </is>
      </c>
      <c r="M440" s="3" t="n">
        <v>32</v>
      </c>
      <c r="N440" s="3" t="inlineStr">
        <is>
          <t>MK-CF-F-070 benefitAnnual · MK-CF-F-072 currentRetirementIncomeMonthly · MK-CF-F-090 effectiveRate · MK-CF-F-061 grossSalaryMonthly · MK-CF-F-068 rentalNetAnnual · MK-ST-F-055 round2 · MK-CF-F-004 spendBuckets · MK-CF-F-084 taxableAnnual · MK-ST-F-052 toNum · MK-CF-F-083 totalGrossAnnual · MK-CF-F-069 benefitActiveMonths · MK-CF-F-075 retirementIncomeMonthly · MK-CF-F-102 effectiveRateOnGrossFor · MK-CF-F-085 filingStatusOf · MK-CF-F-089 over65CountOf · MK-CF-F-086 stateRateOf · MK-CF-F-060 salaryGrossByMonth · MK-CF-F-067 rentalList · MK-CF-F-003 categoryMonthly · MK-CF-F-071 extraIncome · MK-CF-F-066 rsuAnnual · MK-CF-F-082 salaryAnnual · MK-CF-F-074 tipsAnnual · MK-CF-F-101 taxOwedFor · MK-CF-F-097 grossFromNet · MK-CF-F-062 equityRowValue · MK-CF-F-063 rowVestYear · MK-CF-F-081 salaryActiveMonths · MK-CF-F-100 taxableIncomeFor · MK-CF-F-095 taxOwed · MK-CF-F-099 deductionFor · MK-CF-F-093 taxableIncome</t>
        </is>
      </c>
      <c r="O440" s="3" t="inlineStr">
        <is>
          <t>MK-CF-F-069 benefitActiveMonths → MK-CF-F-070 benefitAnnual → MK-CF-F-019 upcomingBills
MK-ST-F-052 toNum → MK-CF-F-070 benefitAnnual → MK-CF-F-019 upcomingBills
MK-ST-F-052 toNum → MK-CF-F-075 retirementIncomeMonthly → MK-CF-F-072 currentRetirementIncomeMonthly → MK-CF-F-019 upcomingBills
MK-CF-F-099 deductionFor → MK-CF-F-100 taxableIncomeFor → MK-CF-F-101 taxOwedFor → MK-CF-F-102 effectiveRateOnGrossFor → MK-CF-F-090 effectiveRate → MK-CF-F-019 upcomingBills
MK-CF-F-085 filingStatusOf → MK-CF-F-090 effectiveRate → MK-CF-F-019 upcomingBills
MK-ST-F-052 toNum → MK-CF-F-089 over65CountOf → MK-CF-F-090 effectiveRate → MK-CF-F-019 upcomingBills
MK-ST-F-052 toNum → MK-CF-F-086 stateRateOf → MK-CF-F-090 effectiveRate → MK-CF-F-019 upcomingBills
MK-ST-F-052 toNum → MK-CF-F-075 retirementIncomeMonthly → MK-CF-F-072 currentRetirementIncomeMonthly → MK-CF-F-084 taxableAnnual → MK-CF-F-090 effectiveRate → MK-CF-F-019 upcomingBills
… and 58 more paths</t>
        </is>
      </c>
      <c r="P440" s="3" t="inlineStr">
        <is>
          <t>—</t>
        </is>
      </c>
      <c r="Q440" s="3" t="inlineStr">
        <is>
          <t>—</t>
        </is>
      </c>
    </row>
    <row r="441">
      <c r="A441" s="3" t="inlineStr">
        <is>
          <t>MK-XS-F-114</t>
        </is>
      </c>
      <c r="B441" s="3" t="inlineStr">
        <is>
          <t>usdCash</t>
        </is>
      </c>
      <c r="C441" s="3" t="inlineStr">
        <is>
          <t>src/services/sync/snaptradeClient.ts</t>
        </is>
      </c>
      <c r="D441" s="3" t="n">
        <v>51</v>
      </c>
      <c r="E441" s="3" t="inlineStr">
        <is>
          <t>3 · DEPENDENT</t>
        </is>
      </c>
      <c r="F441" s="3" t="inlineStr">
        <is>
          <t>USD cash across the balances list (v1 is USD-only; other currencies are ignored, not guessed).</t>
        </is>
      </c>
      <c r="G441" s="3" t="inlineStr">
        <is>
          <t>balances: HoldingsPayload['balances'] | null | undefined</t>
        </is>
      </c>
      <c r="H441" s="3" t="inlineStr">
        <is>
          <t>number</t>
        </is>
      </c>
      <c r="I441" s="3" t="inlineStr">
        <is>
          <t>—</t>
        </is>
      </c>
      <c r="J441" s="3" t="inlineStr">
        <is>
          <t>· If cash is missing it uses 0.
· Leaves some rows out of the answer — check which.</t>
        </is>
      </c>
      <c r="K441" s="3" t="inlineStr">
        <is>
          <t>Yes</t>
        </is>
      </c>
      <c r="L441" s="3" t="inlineStr">
        <is>
          <t>—</t>
        </is>
      </c>
      <c r="M441" s="3" t="n">
        <v>0</v>
      </c>
      <c r="N441" s="3" t="inlineStr">
        <is>
          <t>None — no dependent function stands behind it</t>
        </is>
      </c>
      <c r="O441" s="3" t="inlineStr">
        <is>
          <t>No dependent function — it reads its inputs and answers</t>
        </is>
      </c>
      <c r="P441" s="3" t="inlineStr">
        <is>
          <t>—</t>
        </is>
      </c>
      <c r="Q441" s="3" t="inlineStr">
        <is>
          <t>—</t>
        </is>
      </c>
    </row>
    <row r="442">
      <c r="A442" s="3" t="inlineStr">
        <is>
          <t>MK-CF-F-091</t>
        </is>
      </c>
      <c r="B442" s="3" t="inlineStr">
        <is>
          <t>userCapGainsRates</t>
        </is>
      </c>
      <c r="C442" s="3" t="inlineStr">
        <is>
          <t>src/domain/income/onboarding.ts</t>
        </is>
      </c>
      <c r="D442" s="3" t="n">
        <v>420</v>
      </c>
      <c r="E442" s="3" t="inlineStr">
        <is>
          <t>3 · DEPENDENT (feeds an action only)</t>
        </is>
      </c>
      <c r="F442" s="3" t="inlineStr">
        <is>
          <t>PRD F3#17 — the user's OWN capital-gains rates (long: 0/15/20 ladder by filing status; short: their marginal bracket), each plus the flat state rate.</t>
        </is>
      </c>
      <c r="G442" s="3" t="inlineStr">
        <is>
          <t>op: OnboardingProfile | null</t>
        </is>
      </c>
      <c r="H442" s="3" t="inlineStr">
        <is>
          <t>NOT DECLARED — the code does not say what it gives back</t>
        </is>
      </c>
      <c r="I442" s="3" t="inlineStr">
        <is>
          <t>—</t>
        </is>
      </c>
      <c r="J442" s="3" t="inlineStr">
        <is>
          <t>None found in this function — anything it assumes comes from the functions it depends on.</t>
        </is>
      </c>
      <c r="K442" s="3" t="inlineStr">
        <is>
          <t>No</t>
        </is>
      </c>
      <c r="L442" s="3" t="inlineStr">
        <is>
          <t>MK-CF-F-085 filingStatusOf · MK-CF-F-104 ltcgRateFor · MK-CF-F-103 marginalBracketFor · MK-ST-F-039 on · MK-CF-F-089 over65CountOf · MK-CF-F-086 stateRateOf · MK-CF-F-083 totalGrossAnnual</t>
        </is>
      </c>
      <c r="M442" s="3" t="n">
        <v>28</v>
      </c>
      <c r="N442" s="3" t="inlineStr">
        <is>
          <t>MK-CF-F-085 filingStatusOf · MK-CF-F-104 ltcgRateFor · MK-CF-F-103 marginalBracketFor · MK-ST-F-039 on · MK-CF-F-089 over65CountOf · MK-CF-F-086 stateRateOf · MK-CF-F-083 totalGrossAnnual · MK-CF-F-100 taxableIncomeFor · MK-ST-F-052 toNum · MK-CF-F-072 currentRetirementIncomeMonthly · MK-CF-F-071 extraIncome · MK-CF-F-068 rentalNetAnnual · MK-CF-F-066 rsuAnnual · MK-CF-F-082 salaryAnnual · MK-CF-F-074 tipsAnnual · MK-CF-F-099 deductionFor · MK-CF-F-075 retirementIncomeMonthly · MK-CF-F-070 benefitAnnual · MK-ST-F-055 round2 · MK-CF-F-067 rentalList · MK-CF-F-062 equityRowValue · MK-CF-F-063 rowVestYear · MK-CF-F-060 salaryGrossByMonth · MK-CF-F-081 salaryActiveMonths · MK-CF-F-069 benefitActiveMonths · MK-CF-F-097 grossFromNet · MK-CF-F-095 taxOwed · MK-CF-F-093 taxableIncome</t>
        </is>
      </c>
      <c r="O442" s="3" t="inlineStr">
        <is>
          <t>MK-CF-F-085 filingStatusOf → MK-CF-F-091 userCapGainsRates
MK-CF-F-099 deductionFor → MK-CF-F-100 taxableIncomeFor → MK-CF-F-104 ltcgRateFor → MK-CF-F-091 userCapGainsRates
MK-CF-F-099 deductionFor → MK-CF-F-100 taxableIncomeFor → MK-CF-F-103 marginalBracketFor → MK-CF-F-091 userCapGainsRates
MK-ST-F-039 on → MK-CF-F-091 userCapGainsRates
MK-ST-F-052 toNum → MK-CF-F-089 over65CountOf → MK-CF-F-091 userCapGainsRates
MK-ST-F-052 toNum → MK-CF-F-086 stateRateOf → MK-CF-F-091 userCapGainsRates
MK-ST-F-052 toNum → MK-CF-F-075 retirementIncomeMonthly → MK-CF-F-072 currentRetirementIncomeMonthly → MK-CF-F-083 totalGrossAnnual → MK-CF-F-091 userCapGainsRates
MK-CF-F-069 benefitActiveMonths → MK-CF-F-070 benefitAnnual → MK-CF-F-071 extraIncome → MK-CF-F-083 totalGrossAnnual → MK-CF-F-091 userCapGainsRates
… and 15 more paths</t>
        </is>
      </c>
      <c r="P442" s="3" t="inlineStr">
        <is>
          <t>—</t>
        </is>
      </c>
      <c r="Q442" s="3" t="inlineStr">
        <is>
          <t>—</t>
        </is>
      </c>
    </row>
    <row r="443">
      <c r="A443" s="3" t="inlineStr">
        <is>
          <t>MK-PF-F-024</t>
        </is>
      </c>
      <c r="B443" s="3" t="inlineStr">
        <is>
          <t>userFlows</t>
        </is>
      </c>
      <c r="C443" s="3" t="inlineStr">
        <is>
          <t>src/domain/performance/moneyWeighted.ts</t>
        </is>
      </c>
      <c r="D443" s="3" t="n">
        <v>27</v>
      </c>
      <c r="E443" s="3" t="inlineStr">
        <is>
          <t>3 · DEPENDENT</t>
        </is>
      </c>
      <c r="F443" s="3" t="inlineStr">
        <is>
          <t>The user's dated flows for a measured set of accounts, investor-sign convention: money the user PUT IN is negative, money TAKEN OUT is positive.</t>
        </is>
      </c>
      <c r="G443" s="3" t="inlineStr">
        <is>
          <t>transactions: Transaction[] · accountIds: Set&lt;string&gt;</t>
        </is>
      </c>
      <c r="H443" s="3" t="inlineStr">
        <is>
          <t>NOT DECLARED — the code does not say what it gives back</t>
        </is>
      </c>
      <c r="I443" s="3" t="inlineStr">
        <is>
          <t>—</t>
        </is>
      </c>
      <c r="J443" s="3" t="inlineStr">
        <is>
          <t>· If amount is missing it counts as zero, so nothing recorded and a real zero look the same.
· If shares is missing it counts as zero, so nothing recorded and a real zero look the same.
· If price is missing it counts as zero, so nothing recorded and a real zero look the same.
· Leaves some rows out of the answer — check which.</t>
        </is>
      </c>
      <c r="K443" s="3" t="inlineStr">
        <is>
          <t>Yes</t>
        </is>
      </c>
      <c r="L443" s="3" t="inlineStr">
        <is>
          <t>—</t>
        </is>
      </c>
      <c r="M443" s="3" t="n">
        <v>0</v>
      </c>
      <c r="N443" s="3" t="inlineStr">
        <is>
          <t>None — no dependent function stands behind it</t>
        </is>
      </c>
      <c r="O443" s="3" t="inlineStr">
        <is>
          <t>No dependent function — it reads its inputs and answers</t>
        </is>
      </c>
      <c r="P443" s="3" t="inlineStr">
        <is>
          <t>—</t>
        </is>
      </c>
      <c r="Q443" s="3" t="inlineStr">
        <is>
          <t>PERSONAL_FLOWS</t>
        </is>
      </c>
    </row>
    <row r="444">
      <c r="A444" s="3" t="inlineStr">
        <is>
          <t>MK-NW-F-003</t>
        </is>
      </c>
      <c r="B444" s="3" t="inlineStr">
        <is>
          <t>valueFreshness</t>
        </is>
      </c>
      <c r="C444" s="3" t="inlineStr">
        <is>
          <t>src/domain/assets/index.ts</t>
        </is>
      </c>
      <c r="D444" s="3" t="n">
        <v>97</v>
      </c>
      <c r="E444" s="3" t="inlineStr">
        <is>
          <t>2 · DISPLAYED</t>
        </is>
      </c>
      <c r="F444" s="3" t="inlineStr">
        <is>
          <t>Manual-value freshness (FCC): how old a hand-entered value is, and whether it needs a nudge.</t>
        </is>
      </c>
      <c r="G444" s="3" t="inlineStr">
        <is>
          <t>a: AssetAccount · now: Date = new Date()</t>
        </is>
      </c>
      <c r="H444" s="3" t="inlineStr">
        <is>
          <t>NOT DECLARED — the code does not say what it gives back</t>
        </is>
      </c>
      <c r="I444" s="3" t="inlineStr">
        <is>
          <t>NOT FOUND — a screen calls it, but the words printed beside its answer could not be traced automatically. Needs reading.</t>
        </is>
      </c>
      <c r="J444" s="3" t="inlineStr">
        <is>
          <t>· Turns a monthly figure into a year by multiplying by twelve.
· Uses today's date from the device clock, so the answer changes by itself overnight.</t>
        </is>
      </c>
      <c r="K444" s="3" t="inlineStr">
        <is>
          <t>Yes</t>
        </is>
      </c>
      <c r="L444" s="3" t="inlineStr">
        <is>
          <t>—</t>
        </is>
      </c>
      <c r="M444" s="3" t="n">
        <v>0</v>
      </c>
      <c r="N444" s="3" t="inlineStr">
        <is>
          <t>None — no dependent function stands behind it</t>
        </is>
      </c>
      <c r="O444" s="3" t="inlineStr">
        <is>
          <t>No dependent function — it reads its inputs and answers</t>
        </is>
      </c>
      <c r="P444" s="3" t="inlineStr">
        <is>
          <t>MK-NW-M-018 · MK-PL-M-016</t>
        </is>
      </c>
      <c r="Q444" s="3" t="inlineStr">
        <is>
          <t>HAND_VALUE_AGE</t>
        </is>
      </c>
    </row>
    <row r="445">
      <c r="A445" s="3" t="inlineStr">
        <is>
          <t>MK-ST-F-031</t>
        </is>
      </c>
      <c r="B445" s="3" t="inlineStr">
        <is>
          <t>valueOn</t>
        </is>
      </c>
      <c r="C445" s="3" t="inlineStr">
        <is>
          <t>Calculation Module code/engines/snapshots.ts</t>
        </is>
      </c>
      <c r="D445" s="3" t="n">
        <v>165</v>
      </c>
      <c r="E445" s="3" t="inlineStr">
        <is>
          <t>2 · DISPLAYED</t>
        </is>
      </c>
      <c r="F445" s="3" t="inlineStr">
        <is>
          <t>── reading ───────────────────────────────────────────────────────────────────────────────────── What one account was worth on a date — the figure the old code had to back-solve.</t>
        </is>
      </c>
      <c r="G445" s="3" t="inlineStr">
        <is>
          <t>days: SnapshotDay[] · accountIds: Set&lt;string&gt; · date: string</t>
        </is>
      </c>
      <c r="H445" s="3" t="inlineStr">
        <is>
          <t>number | null</t>
        </is>
      </c>
      <c r="I445" s="3" t="inlineStr">
        <is>
          <t>NOT FOUND — a screen calls it, but the words printed beside its answer could not be traced automatically. Needs reading.</t>
        </is>
      </c>
      <c r="J445" s="3" t="inlineStr">
        <is>
          <t>· If typed value is missing it uses 0.
· Leaves some rows out of the answer — check which.</t>
        </is>
      </c>
      <c r="K445" s="3" t="inlineStr">
        <is>
          <t>Yes</t>
        </is>
      </c>
      <c r="L445" s="3" t="inlineStr">
        <is>
          <t>MK-ST-F-033 onOrBefore · MK-ST-F-055 round2</t>
        </is>
      </c>
      <c r="M445" s="3" t="n">
        <v>2</v>
      </c>
      <c r="N445" s="3" t="inlineStr">
        <is>
          <t>MK-ST-F-033 onOrBefore · MK-ST-F-055 round2</t>
        </is>
      </c>
      <c r="O445" s="3" t="inlineStr">
        <is>
          <t>MK-ST-F-033 onOrBefore → MK-ST-F-031 valueOn
MK-ST-F-055 round2 → MK-ST-F-031 valueOn</t>
        </is>
      </c>
      <c r="P445" s="3" t="inlineStr">
        <is>
          <t>—</t>
        </is>
      </c>
      <c r="Q445" s="3" t="inlineStr">
        <is>
          <t>—</t>
        </is>
      </c>
    </row>
    <row r="446">
      <c r="A446" s="3" t="inlineStr">
        <is>
          <t>MK-PL-F-065</t>
        </is>
      </c>
      <c r="B446" s="3" t="inlineStr">
        <is>
          <t>volOf</t>
        </is>
      </c>
      <c r="C446" s="3" t="inlineStr">
        <is>
          <t>src/domain/retirement/willItLast.ts</t>
        </is>
      </c>
      <c r="D446" s="3" t="n">
        <v>19</v>
      </c>
      <c r="E446" s="3" t="inlineStr">
        <is>
          <t>2 · DISPLAYED</t>
        </is>
      </c>
      <c r="F446" s="3" t="inlineStr">
        <is>
          <t>Same volatility convention as the cockpit: higher return ⇒ more volatility.</t>
        </is>
      </c>
      <c r="G446" s="3" t="inlineStr">
        <is>
          <t>ret: number</t>
        </is>
      </c>
      <c r="H446" s="3" t="inlineStr">
        <is>
          <t>NOT DECLARED — the code does not say what it gives back</t>
        </is>
      </c>
      <c r="I446" s="3" t="inlineStr">
        <is>
          <t>NOT FOUND — a screen calls it, but the words printed beside its answer could not be traced automatically. Needs reading.</t>
        </is>
      </c>
      <c r="J446" s="3" t="inlineStr">
        <is>
          <t>· Never lets the answer fall below 5% or rise above 20%.</t>
        </is>
      </c>
      <c r="K446" s="3" t="inlineStr">
        <is>
          <t>Yes</t>
        </is>
      </c>
      <c r="L446" s="3" t="inlineStr">
        <is>
          <t>MK-PL-F-050 simulate</t>
        </is>
      </c>
      <c r="M446" s="3" t="n">
        <v>4</v>
      </c>
      <c r="N446" s="3" t="inlineStr">
        <is>
          <t>MK-PL-F-050 simulate · MK-ST-F-025 rmdStartAgeFromAge · MK-ST-F-055 round2 · MK-ST-F-024 rmdStartAge</t>
        </is>
      </c>
      <c r="O446" s="3" t="inlineStr">
        <is>
          <t>MK-ST-F-024 rmdStartAge → MK-ST-F-025 rmdStartAgeFromAge → MK-PL-F-050 simulate → MK-PL-F-065 volOf
MK-ST-F-055 round2 → MK-PL-F-050 simulate → MK-PL-F-065 volOf</t>
        </is>
      </c>
      <c r="P446" s="3" t="inlineStr">
        <is>
          <t>—</t>
        </is>
      </c>
      <c r="Q446" s="3" t="inlineStr">
        <is>
          <t>SWING_FROM_RETURN</t>
        </is>
      </c>
    </row>
    <row r="447">
      <c r="A447" s="3" t="inlineStr">
        <is>
          <t>MK-PL-F-012</t>
        </is>
      </c>
      <c r="B447" s="3" t="inlineStr">
        <is>
          <t>waterfall</t>
        </is>
      </c>
      <c r="C447" s="3" t="inlineStr">
        <is>
          <t>src/domain/goals/index.ts</t>
        </is>
      </c>
      <c r="D447" s="3" t="n">
        <v>35</v>
      </c>
      <c r="E447" s="3" t="inlineStr">
        <is>
          <t>3 · DEPENDENT</t>
        </is>
      </c>
      <c r="F447" s="3" t="inlineStr">
        <is>
          <t>NOT DETERMINED — the code carries no note saying what this is for, and it has no row in the old inventory. Needs reading.</t>
        </is>
      </c>
      <c r="G447" s="3" t="inlineStr">
        <is>
          <t>Nothing is handed to it</t>
        </is>
      </c>
      <c r="H447" s="3" t="inlineStr">
        <is>
          <t>NOT DECLARED — the code does not say what it gives back</t>
        </is>
      </c>
      <c r="I447" s="3" t="inlineStr">
        <is>
          <t>—</t>
        </is>
      </c>
      <c r="J447" s="3" t="inlineStr">
        <is>
          <t>· If emergency gap is missing it uses 0.
· If toxic debt is missing it uses 0.
· If employer match monthly is missing it uses 0.</t>
        </is>
      </c>
      <c r="K447" s="3" t="inlineStr">
        <is>
          <t>Yes</t>
        </is>
      </c>
      <c r="L447" s="3" t="inlineStr">
        <is>
          <t>MK-ST-F-055 round2</t>
        </is>
      </c>
      <c r="M447" s="3" t="n">
        <v>1</v>
      </c>
      <c r="N447" s="3" t="inlineStr">
        <is>
          <t>MK-ST-F-055 round2</t>
        </is>
      </c>
      <c r="O447" s="3" t="inlineStr">
        <is>
          <t>MK-ST-F-055 round2 → MK-PL-F-012 waterfall</t>
        </is>
      </c>
      <c r="P447" s="3" t="inlineStr">
        <is>
          <t>—</t>
        </is>
      </c>
      <c r="Q447" s="3" t="inlineStr">
        <is>
          <t>—</t>
        </is>
      </c>
    </row>
    <row r="448">
      <c r="A448" s="3" t="inlineStr">
        <is>
          <t>MK-PL-F-036</t>
        </is>
      </c>
      <c r="B448" s="3" t="inlineStr">
        <is>
          <t>weighGoals</t>
        </is>
      </c>
      <c r="C448" s="3" t="inlineStr">
        <is>
          <t>src/domain/planning/multiGoal.ts</t>
        </is>
      </c>
      <c r="D448" s="3" t="n">
        <v>53</v>
      </c>
      <c r="E448" s="3" t="inlineStr">
        <is>
          <t>2 · DISPLAYED</t>
        </is>
      </c>
      <c r="F448" s="3" t="inlineStr">
        <is>
          <t>Run the whole combination once.</t>
        </is>
      </c>
      <c r="G448" s="3" t="inlineStr">
        <is>
          <t>w: WeighInputs</t>
        </is>
      </c>
      <c r="H448" s="3" t="inlineStr">
        <is>
          <t>WeighResult</t>
        </is>
      </c>
      <c r="I448" s="3" t="inlineStr">
        <is>
          <t>NOT FOUND — a screen calls it, but the words printed beside its answer could not be traced automatically. Needs reading.</t>
        </is>
      </c>
      <c r="J448" s="3" t="inlineStr">
        <is>
          <t>· If extra debt monthly is missing it uses 0.
· If saved is missing it uses 0.
· If monthly amount is missing it counts as zero, so nothing recorded and a real zero look the same.
· Turns a monthly figure into a year by multiplying by twelve.
· Uses today's date from the device clock, so the answer changes by itself overnight.
· Leaves some rows out of the answer — check which.</t>
        </is>
      </c>
      <c r="K448" s="3" t="inlineStr">
        <is>
          <t>Yes</t>
        </is>
      </c>
      <c r="L448" s="3" t="inlineStr">
        <is>
          <t>MK-PL-F-021 monthsToGoal · MK-CF-F-034 payoffPlan · MK-PL-F-035 retireAgeWithContribution · MK-ST-F-055 round2 · MK-PL-F-050 simulate</t>
        </is>
      </c>
      <c r="M448" s="3" t="n">
        <v>10</v>
      </c>
      <c r="N448" s="3" t="inlineStr">
        <is>
          <t>MK-PL-F-021 monthsToGoal · MK-CF-F-034 payoffPlan · MK-PL-F-035 retireAgeWithContribution · MK-ST-F-055 round2 · MK-PL-F-050 simulate · MK-CF-F-022 paymentShape · MK-PL-F-055 projectNestEgg · MK-ST-F-025 rmdStartAgeFromAge · MK-CF-F-021 defaultPaymentType · MK-ST-F-024 rmdStartAge</t>
        </is>
      </c>
      <c r="O448" s="3" t="inlineStr">
        <is>
          <t>MK-PL-F-021 monthsToGoal → MK-PL-F-036 weighGoals
MK-CF-F-021 defaultPaymentType → MK-CF-F-022 paymentShape → MK-CF-F-034 payoffPlan → MK-PL-F-036 weighGoals
MK-ST-F-055 round2 → MK-CF-F-034 payoffPlan → MK-PL-F-036 weighGoals
MK-ST-F-055 round2 → MK-PL-F-055 projectNestEgg → MK-PL-F-035 retireAgeWithContribution → MK-PL-F-036 weighGoals
MK-ST-F-024 rmdStartAge → MK-ST-F-025 rmdStartAgeFromAge → MK-PL-F-050 simulate → MK-PL-F-055 projectNestEgg → MK-PL-F-035 retireAgeWithContribution → MK-PL-F-036 weighGoals
MK-ST-F-055 round2 → MK-PL-F-050 simulate → MK-PL-F-055 projectNestEgg → MK-PL-F-035 retireAgeWithContribution → MK-PL-F-036 weighGoals
MK-ST-F-055 round2 → MK-PL-F-036 weighGoals
MK-ST-F-024 rmdStartAge → MK-ST-F-025 rmdStartAgeFromAge → MK-PL-F-050 simulate → MK-PL-F-036 weighGoals
… and 1 more paths</t>
        </is>
      </c>
      <c r="P448" s="3" t="inlineStr">
        <is>
          <t>—</t>
        </is>
      </c>
      <c r="Q448" s="3" t="inlineStr">
        <is>
          <t>—</t>
        </is>
      </c>
    </row>
    <row r="449">
      <c r="A449" s="3" t="inlineStr">
        <is>
          <t>MK-PL-F-067</t>
        </is>
      </c>
      <c r="B449" s="3" t="inlineStr">
        <is>
          <t>willItLastInputs</t>
        </is>
      </c>
      <c r="C449" s="3" t="inlineStr">
        <is>
          <t>src/domain/retirement/willItLast.ts</t>
        </is>
      </c>
      <c r="D449" s="3" t="n">
        <v>62</v>
      </c>
      <c r="E449" s="3" t="inlineStr">
        <is>
          <t>2 · DISPLAYED</t>
        </is>
      </c>
      <c r="F449" s="3" t="inlineStr">
        <is>
          <t>What goes into working out the odds?</t>
        </is>
      </c>
      <c r="G449" s="3" t="inlineStr">
        <is>
          <t>a: WillItLastArgs</t>
        </is>
      </c>
      <c r="H449" s="3" t="inlineStr">
        <is>
          <t>RetirementInputs | null</t>
        </is>
      </c>
      <c r="I449" s="3" t="inlineStr">
        <is>
          <t>NOT FOUND — a screen calls it, but the words printed beside its answer could not be traced automatically. Needs reading.</t>
        </is>
      </c>
      <c r="J449" s="3" t="inlineStr">
        <is>
          <t>· If inflation rate is missing it uses 2.5.
· If social security claim age is missing it uses 67.
· If monthly is missing it uses 0.
· If salary growth is missing it uses 0.
· Turns a monthly figure into a year by multiplying by twelve.
· Uses today's date from the device clock, so the answer changes by itself overnight.
· Rounds the answer to a whole number.
· Leaves some rows out of the answer — check which.</t>
        </is>
      </c>
      <c r="K449" s="3" t="inlineStr">
        <is>
          <t>Yes</t>
        </is>
      </c>
      <c r="L449" s="3" t="inlineStr">
        <is>
          <t>MK-NW-F-037 blendedReturn · MK-NW-F-035 blendedVolatility · MK-CF-F-102 effectiveRateOnGrossFor · MK-CF-F-085 filingStatusOf · MK-CF-F-076 guaranteedOutsideStreams · MK-NW-F-041 monthlyContributionsFromOnboarding · MK-CF-F-089 over65CountOf · MK-NW-F-004 portfolioActualReturn · MK-NW-F-033 retirementEarmarkedValue · MK-PL-F-049 retirementSpendMonthly · MK-PL-F-060 ssBenefitAt · MK-CF-F-086 stateRateOf · MK-PL-F-001 taxBucketSplit · MK-CF-F-083 totalGrossAnnual · MK-PL-F-065 volOf</t>
        </is>
      </c>
      <c r="M449" s="3" t="n">
        <v>53</v>
      </c>
      <c r="N449" s="3" t="inlineStr">
        <is>
          <t>MK-NW-F-037 blendedReturn · MK-NW-F-035 blendedVolatility · MK-CF-F-102 effectiveRateOnGrossFor · MK-CF-F-085 filingStatusOf · MK-CF-F-076 guaranteedOutsideStreams · MK-NW-F-041 monthlyContributionsFromOnboarding · MK-CF-F-089 over65CountOf · MK-NW-F-004 portfolioActualReturn · MK-NW-F-033 retirementEarmarkedValue · MK-PL-F-049 retirementSpendMonthly · MK-PL-F-060 ssBenefitAt · MK-CF-F-086 stateRateOf · MK-PL-F-001 taxBucketSplit · MK-CF-F-083 totalGrossAnnual · MK-PL-F-065 volOf · MK-NW-F-034 benchmarkReturn · MK-NW-F-032 earmarkedAmount · MK-NW-F-031 primaryCarIdOf · MK-CF-F-101 taxOwedFor · MK-ST-F-052 toNum · MK-CF-F-078 employerMatchMonthly · MK-ST-F-055 round2 · MK-PL-F-047 colFactor · MK-PL-F-058 ssClaimFactorFor · MK-CF-F-072 currentRetirementIncomeMonthly · MK-CF-F-071 extraIncome · MK-CF-F-068 rentalNetAnnual · MK-CF-F-066 rsuAnnual · MK-CF-F-082 salaryAnnual · MK-CF-F-074 tipsAnnual · MK-PL-F-050 simulate · MK-NW-F-007 assetKind · MK-NW-F-030 earmarkDefault · MK-NW-F-011 assetClassOf · MK-CF-F-100 taxableIncomeFor · MK-PL-F-057 fullRetirementAge · MK-CF-F-075 retirementIncomeMonthly · MK-CF-F-070 benefitAnnual · MK-CF-F-067 rentalList · MK-CF-F-062 equityRowValue · MK-CF-F-063 rowVestYear · MK-CF-F-060 salaryGrossByMonth · MK-CF-F-081 salaryActiveMonths · MK-ST-F-025 rmdStartAgeFromAge · MK-NW-F-013 realEstateUseOf · MK-NW-F-008 incomeBearingClassOf · MK-CF-F-099 deductionFor · MK-CF-F-069 benefitActiveMonths · MK-CF-F-097 grossFromNet · MK-ST-F-024 rmdStartAge · MK-ST-F-010 nameEvidence · MK-CF-F-095 taxOwed · MK-CF-F-093 taxableIncome</t>
        </is>
      </c>
      <c r="O449" s="3" t="inlineStr">
        <is>
          <t>MK-NW-F-008 incomeBearingClassOf → MK-NW-F-011 assetClassOf → MK-NW-F-007 assetKind → MK-NW-F-034 benchmarkReturn → MK-NW-F-037 blendedReturn → MK-PL-F-067 willItLastInputs
MK-NW-F-008 incomeBearingClassOf → MK-NW-F-011 assetClassOf → MK-NW-F-030 earmarkDefault → MK-NW-F-032 earmarkedAmount → MK-NW-F-037 blendedReturn → MK-PL-F-067 willItLastInputs
MK-NW-F-013 realEstateUseOf → MK-NW-F-030 earmarkDefault → MK-NW-F-032 earmarkedAmount → MK-NW-F-037 blendedReturn → MK-PL-F-067 willItLastInputs
MK-ST-F-055 round2 → MK-NW-F-032 earmarkedAmount → MK-NW-F-037 blendedReturn → MK-PL-F-067 willItLastInputs
MK-ST-F-010 nameEvidence → MK-NW-F-008 incomeBearingClassOf → MK-NW-F-011 assetClassOf → MK-NW-F-031 primaryCarIdOf → MK-NW-F-037 blendedReturn → MK-PL-F-067 willItLastInputs
MK-NW-F-008 incomeBearingClassOf → MK-NW-F-011 assetClassOf → MK-NW-F-030 earmarkDefault → MK-NW-F-032 earmarkedAmount → MK-NW-F-035 blendedVolatility → MK-PL-F-067 willItLastInputs
MK-NW-F-013 realEstateUseOf → MK-NW-F-030 earmarkDefault → MK-NW-F-032 earmarkedAmount → MK-NW-F-035 blendedVolatility → MK-PL-F-067 willItLastInputs
MK-ST-F-055 round2 → MK-NW-F-032 earmarkedAmount → MK-NW-F-035 blendedVolatility → MK-PL-F-067 willItLastInputs
… and 43 more paths</t>
        </is>
      </c>
      <c r="P449" s="3" t="inlineStr">
        <is>
          <t>MK-PL-M-008 · MK-PL-M-011 · MK-PL-M-029</t>
        </is>
      </c>
      <c r="Q449" s="3" t="inlineStr">
        <is>
          <t>WILL_IT_LAST_INPUTS</t>
        </is>
      </c>
    </row>
    <row r="450">
      <c r="A450" s="3" t="inlineStr">
        <is>
          <t>MK-ST-F-038</t>
        </is>
      </c>
      <c r="B450" s="3" t="inlineStr">
        <is>
          <t>windowBounds</t>
        </is>
      </c>
      <c r="C450" s="3" t="inlineStr">
        <is>
          <t>Calculation Module code/engines/window-return.ts</t>
        </is>
      </c>
      <c r="D450" s="3" t="n">
        <v>42</v>
      </c>
      <c r="E450" s="3" t="inlineStr">
        <is>
          <t>2 · DISPLAYED</t>
        </is>
      </c>
      <c r="F450" s="3" t="inlineStr">
        <is>
          <t>NOT DETERMINED — the code carries no note saying what this is for, and it has no row in the old inventory. Needs reading.</t>
        </is>
      </c>
      <c r="G450" s="3" t="inlineStr">
        <is>
          <t>start: string · end: string</t>
        </is>
      </c>
      <c r="H450" s="3" t="inlineStr">
        <is>
          <t>WindowBounds</t>
        </is>
      </c>
      <c r="I450" s="3" t="inlineStr">
        <is>
          <t>NOT FOUND — a screen calls it, but the words printed beside its answer could not be traced automatically. Needs reading.</t>
        </is>
      </c>
      <c r="J450" s="3" t="inlineStr">
        <is>
          <t>· Rounds the answer to a whole number.</t>
        </is>
      </c>
      <c r="K450" s="3" t="inlineStr">
        <is>
          <t>Yes</t>
        </is>
      </c>
      <c r="L450" s="3" t="inlineStr">
        <is>
          <t>—</t>
        </is>
      </c>
      <c r="M450" s="3" t="n">
        <v>0</v>
      </c>
      <c r="N450" s="3" t="inlineStr">
        <is>
          <t>None — no dependent function stands behind it</t>
        </is>
      </c>
      <c r="O450" s="3" t="inlineStr">
        <is>
          <t>No dependent function — it reads its inputs and answers</t>
        </is>
      </c>
      <c r="P450" s="3" t="inlineStr">
        <is>
          <t>—</t>
        </is>
      </c>
      <c r="Q450" s="3" t="inlineStr">
        <is>
          <t>—</t>
        </is>
      </c>
    </row>
    <row r="451">
      <c r="A451" s="3" t="inlineStr">
        <is>
          <t>MK-PL-F-052</t>
        </is>
      </c>
      <c r="B451" s="3" t="inlineStr">
        <is>
          <t>withSsStream</t>
        </is>
      </c>
      <c r="C451" s="3" t="inlineStr">
        <is>
          <t>src/domain/retirement/index.ts</t>
        </is>
      </c>
      <c r="D451" s="3" t="n">
        <v>287</v>
      </c>
      <c r="E451" s="3" t="inlineStr">
        <is>
          <t>2 · DISPLAYED</t>
        </is>
      </c>
      <c r="F451" s="3" t="inlineStr">
        <is>
          <t>An input set with its Social Security stream replaced — the ONE way a decision screen patches a claim scenario, so the flat streams ride along untouched and the legacy fields stay in step for anything still reading them.</t>
        </is>
      </c>
      <c r="G451" s="3" t="inlineStr">
        <is>
          <t>inp: RetirementInputs · monthly: number · claimAge: number</t>
        </is>
      </c>
      <c r="H451" s="3" t="inlineStr">
        <is>
          <t>RetirementInputs</t>
        </is>
      </c>
      <c r="I451" s="3" t="inlineStr">
        <is>
          <t>NOT FOUND — a screen calls it, but the words printed beside its answer could not be traced automatically. Needs reading.</t>
        </is>
      </c>
      <c r="J451" s="3" t="inlineStr">
        <is>
          <t>· Leaves some rows out of the answer — check which.</t>
        </is>
      </c>
      <c r="K451" s="3" t="inlineStr">
        <is>
          <t>Yes</t>
        </is>
      </c>
      <c r="L451" s="3" t="inlineStr">
        <is>
          <t>—</t>
        </is>
      </c>
      <c r="M451" s="3" t="n">
        <v>0</v>
      </c>
      <c r="N451" s="3" t="inlineStr">
        <is>
          <t>None — no dependent function stands behind it</t>
        </is>
      </c>
      <c r="O451" s="3" t="inlineStr">
        <is>
          <t>No dependent function — it reads its inputs and answers</t>
        </is>
      </c>
      <c r="P451" s="3" t="inlineStr">
        <is>
          <t>—</t>
        </is>
      </c>
      <c r="Q451" s="3" t="inlineStr">
        <is>
          <t>—</t>
        </is>
      </c>
    </row>
    <row r="452">
      <c r="A452" s="3" t="inlineStr">
        <is>
          <t>MK-PL-F-004</t>
        </is>
      </c>
      <c r="B452" s="3" t="inlineStr">
        <is>
          <t>withdrawalOrder</t>
        </is>
      </c>
      <c r="C452" s="3" t="inlineStr">
        <is>
          <t>src/domain/decumulation/index.ts</t>
        </is>
      </c>
      <c r="D452" s="3" t="n">
        <v>81</v>
      </c>
      <c r="E452" s="3" t="inlineStr">
        <is>
          <t>2 · DISPLAYED</t>
        </is>
      </c>
      <c r="F452" s="3" t="inlineStr">
        <is>
          <t>NOT DETERMINED — the code carries no note saying what this is for, and it has no row in the old inventory. Needs reading.</t>
        </is>
      </c>
      <c r="G452" s="3" t="inlineStr">
        <is>
          <t>split: BucketSplit · age = 0 · userOrder?: DrawBucket[] | null</t>
        </is>
      </c>
      <c r="H452" s="3" t="inlineStr">
        <is>
          <t>OrderStep[]</t>
        </is>
      </c>
      <c r="I452" s="3" t="inlineStr">
        <is>
          <t>"Why this order?" — on the Cash flow screen · "Why? ›" — on the Cash flow screen, under "BIG-TICKET RADAR"</t>
        </is>
      </c>
      <c r="J452" s="3" t="inlineStr">
        <is>
          <t>· Leaves some rows out of the answer — check which.</t>
        </is>
      </c>
      <c r="K452" s="3" t="inlineStr">
        <is>
          <t>Yes</t>
        </is>
      </c>
      <c r="L452" s="3" t="inlineStr">
        <is>
          <t>MK-ST-F-039 on · MK-PL-F-007 rmdAtAge · MK-PL-F-005 rmdStartAgeFor</t>
        </is>
      </c>
      <c r="M452" s="3" t="n">
        <v>7</v>
      </c>
      <c r="N452" s="3" t="inlineStr">
        <is>
          <t>MK-ST-F-039 on · MK-PL-F-007 rmdAtAge · MK-PL-F-005 rmdStartAgeFor · MK-PL-F-006 rmdDivisor · MK-ST-F-055 round2 · MK-ST-F-025 rmdStartAgeFromAge · MK-ST-F-024 rmdStartAge</t>
        </is>
      </c>
      <c r="O452" s="3" t="inlineStr">
        <is>
          <t>MK-ST-F-039 on → MK-PL-F-004 withdrawalOrder
MK-PL-F-006 rmdDivisor → MK-PL-F-007 rmdAtAge → MK-PL-F-004 withdrawalOrder
MK-ST-F-055 round2 → MK-PL-F-007 rmdAtAge → MK-PL-F-004 withdrawalOrder
MK-ST-F-024 rmdStartAge → MK-ST-F-025 rmdStartAgeFromAge → MK-PL-F-005 rmdStartAgeFor → MK-PL-F-004 withdrawalOrder</t>
        </is>
      </c>
      <c r="P452" s="3" t="inlineStr">
        <is>
          <t>—</t>
        </is>
      </c>
      <c r="Q452" s="3" t="inlineStr">
        <is>
          <t>—</t>
        </is>
      </c>
    </row>
    <row r="453">
      <c r="A453" s="3" t="inlineStr">
        <is>
          <t>MK-PL-F-002</t>
        </is>
      </c>
      <c r="B453" s="3" t="inlineStr">
        <is>
          <t>withdrawalPlan</t>
        </is>
      </c>
      <c r="C453" s="3" t="inlineStr">
        <is>
          <t>src/domain/decumulation/index.ts</t>
        </is>
      </c>
      <c r="D453" s="3" t="n">
        <v>34</v>
      </c>
      <c r="E453" s="3" t="inlineStr">
        <is>
          <t>2 · DISPLAYED</t>
        </is>
      </c>
      <c r="F453" s="3" t="inlineStr">
        <is>
          <t>NOT DETERMINED — the code carries no note saying what this is for, and it has no row in the old inventory. Needs reading.</t>
        </is>
      </c>
      <c r="G453" s="3" t="inlineStr">
        <is>
          <t>spendMonthly: number · guaranteedMonthly: number · nestEgg: number</t>
        </is>
      </c>
      <c r="H453" s="3" t="inlineStr">
        <is>
          <t>WithdrawalPlan</t>
        </is>
      </c>
      <c r="I453" s="3" t="inlineStr">
        <is>
          <t>"From your portfolio" — on the Retirement cockpit screen · "WILL YOUR MONEY LAST?" — on the Retirement cockpit screen, under "RETIREMENT · WHERE YOU STAND" · "You plan to spend" — on the Retirement cockpit screen</t>
        </is>
      </c>
      <c r="J453" s="3" t="inlineStr">
        <is>
          <t>· Turns a monthly figure into a year by multiplying by twelve.
· Rounds the answer to a whole number.</t>
        </is>
      </c>
      <c r="K453" s="3" t="inlineStr">
        <is>
          <t>Yes</t>
        </is>
      </c>
      <c r="L453" s="3" t="inlineStr">
        <is>
          <t>MK-ST-F-055 round2</t>
        </is>
      </c>
      <c r="M453" s="3" t="n">
        <v>1</v>
      </c>
      <c r="N453" s="3" t="inlineStr">
        <is>
          <t>MK-ST-F-055 round2</t>
        </is>
      </c>
      <c r="O453" s="3" t="inlineStr">
        <is>
          <t>MK-ST-F-055 round2 → MK-PL-F-002 withdrawalPlan</t>
        </is>
      </c>
      <c r="P453" s="3" t="inlineStr">
        <is>
          <t>—</t>
        </is>
      </c>
      <c r="Q453" s="3" t="inlineStr">
        <is>
          <t>—</t>
        </is>
      </c>
    </row>
    <row r="454">
      <c r="A454" s="3" t="inlineStr">
        <is>
          <t>MK-NW-F-010</t>
        </is>
      </c>
      <c r="B454" s="3" t="inlineStr">
        <is>
          <t>wrapperAccount</t>
        </is>
      </c>
      <c r="C454" s="3" t="inlineStr">
        <is>
          <t>src/domain/assets/index.ts</t>
        </is>
      </c>
      <c r="D454" s="3" t="n">
        <v>208</v>
      </c>
      <c r="E454" s="3" t="inlineStr">
        <is>
          <t>2 · DISPLAYED</t>
        </is>
      </c>
      <c r="F454" s="3" t="inlineStr">
        <is>
          <t>The person picked how this account is taxed — what does that make it?</t>
        </is>
      </c>
      <c r="G454" s="3" t="inlineStr">
        <is>
          <t>w?: AddWrapper | null</t>
        </is>
      </c>
      <c r="H454" s="3" t="inlineStr">
        <is>
          <t>NOT DECLARED — the code does not say what it gives back</t>
        </is>
      </c>
      <c r="I454" s="3" t="inlineStr">
        <is>
          <t>NOT FOUND — a screen calls it, but the words printed beside its answer could not be traced automatically. Needs reading.</t>
        </is>
      </c>
      <c r="J454" s="3" t="inlineStr">
        <is>
          <t>None found in this function — anything it assumes comes from the functions it depends on.</t>
        </is>
      </c>
      <c r="K454" s="3" t="inlineStr">
        <is>
          <t>Yes</t>
        </is>
      </c>
      <c r="L454" s="3" t="inlineStr">
        <is>
          <t>—</t>
        </is>
      </c>
      <c r="M454" s="3" t="n">
        <v>0</v>
      </c>
      <c r="N454" s="3" t="inlineStr">
        <is>
          <t>None — no dependent function stands behind it</t>
        </is>
      </c>
      <c r="O454" s="3" t="inlineStr">
        <is>
          <t>No dependent function — it reads its inputs and answers</t>
        </is>
      </c>
      <c r="P454" s="3" t="inlineStr">
        <is>
          <t>—</t>
        </is>
      </c>
      <c r="Q454" s="3" t="inlineStr">
        <is>
          <t>TAX_TYPE_TO_ACCOUNT</t>
        </is>
      </c>
    </row>
    <row r="455">
      <c r="A455" s="3" t="inlineStr">
        <is>
          <t>MK-NW-F-023</t>
        </is>
      </c>
      <c r="B455" s="3" t="inlineStr">
        <is>
          <t>wrapperWord</t>
        </is>
      </c>
      <c r="C455" s="3" t="inlineStr">
        <is>
          <t>src/domain/assets/index.ts</t>
        </is>
      </c>
      <c r="D455" s="3" t="n">
        <v>315</v>
      </c>
      <c r="E455" s="3" t="inlineStr">
        <is>
          <t>1 · ACTION</t>
        </is>
      </c>
      <c r="F455" s="3" t="inlineStr">
        <is>
          <t>NOT DETERMINED — the code carries no note saying what this is for, and it has no row in the old inventory. Needs reading.</t>
        </is>
      </c>
      <c r="G455" s="3" t="inlineStr">
        <is>
          <t>kind?: string</t>
        </is>
      </c>
      <c r="H455" s="3" t="inlineStr">
        <is>
          <t>string</t>
        </is>
      </c>
      <c r="I455" s="3" t="inlineStr">
        <is>
          <t>—</t>
        </is>
      </c>
      <c r="J455" s="3" t="inlineStr">
        <is>
          <t>None found in this function — anything it assumes comes from the functions it depends on.</t>
        </is>
      </c>
      <c r="K455" s="3" t="inlineStr">
        <is>
          <t>Yes</t>
        </is>
      </c>
      <c r="L455" s="3" t="inlineStr">
        <is>
          <t>—</t>
        </is>
      </c>
      <c r="M455" s="3" t="n">
        <v>0</v>
      </c>
      <c r="N455" s="3" t="inlineStr">
        <is>
          <t>None — no dependent function stands behind it</t>
        </is>
      </c>
      <c r="O455" s="3" t="inlineStr">
        <is>
          <t>No dependent function — it reads its inputs and answers</t>
        </is>
      </c>
      <c r="P455" s="3" t="inlineStr">
        <is>
          <t>—</t>
        </is>
      </c>
      <c r="Q455" s="3" t="inlineStr">
        <is>
          <t>—</t>
        </is>
      </c>
    </row>
    <row r="456">
      <c r="A456" s="3" t="inlineStr">
        <is>
          <t>MK-NW-F-058</t>
        </is>
      </c>
      <c r="B456" s="3" t="inlineStr">
        <is>
          <t>yearsToMaturity</t>
        </is>
      </c>
      <c r="C456" s="3" t="inlineStr">
        <is>
          <t>src/domain/bonds/index.ts</t>
        </is>
      </c>
      <c r="D456" s="3" t="n">
        <v>24</v>
      </c>
      <c r="E456" s="3" t="inlineStr">
        <is>
          <t>2 · DISPLAYED</t>
        </is>
      </c>
      <c r="F456" s="3" t="inlineStr">
        <is>
          <t>How long until this bond pays back?</t>
        </is>
      </c>
      <c r="G456" s="3" t="inlineStr">
        <is>
          <t>maturity: string · now: Date = new Date()</t>
        </is>
      </c>
      <c r="H456" s="3" t="inlineStr">
        <is>
          <t>number</t>
        </is>
      </c>
      <c r="I456" s="3" t="inlineStr">
        <is>
          <t>"Matures" — on the Account detail screen</t>
        </is>
      </c>
      <c r="J456" s="3" t="inlineStr">
        <is>
          <t>· Uses today's date from the device clock, so the answer changes by itself overnight.</t>
        </is>
      </c>
      <c r="K456" s="3" t="inlineStr">
        <is>
          <t>Yes</t>
        </is>
      </c>
      <c r="L456" s="3" t="inlineStr">
        <is>
          <t>—</t>
        </is>
      </c>
      <c r="M456" s="3" t="n">
        <v>0</v>
      </c>
      <c r="N456" s="3" t="inlineStr">
        <is>
          <t>None — no dependent function stands behind it</t>
        </is>
      </c>
      <c r="O456" s="3" t="inlineStr">
        <is>
          <t>No dependent function — it reads its inputs and answers</t>
        </is>
      </c>
      <c r="P456" s="3" t="inlineStr">
        <is>
          <t>MK-NW-M-025</t>
        </is>
      </c>
      <c r="Q456" s="3" t="inlineStr">
        <is>
          <t>BOND_YEARS_LEFT</t>
        </is>
      </c>
    </row>
    <row r="457">
      <c r="A457" s="3" t="inlineStr">
        <is>
          <t>MK-XS-F-018</t>
        </is>
      </c>
      <c r="B457" s="3" t="inlineStr">
        <is>
          <t>yearsToRetirement</t>
        </is>
      </c>
      <c r="C457" s="3" t="inlineStr">
        <is>
          <t>src/domain/profile/calc.ts</t>
        </is>
      </c>
      <c r="D457" s="3" t="n">
        <v>18</v>
      </c>
      <c r="E457" s="3" t="inlineStr">
        <is>
          <t>3 · DEPENDENT</t>
        </is>
      </c>
      <c r="F457" s="3" t="inlineStr">
        <is>
          <t>Years until the target retirement age (never negative).</t>
        </is>
      </c>
      <c r="G457" s="3" t="inlineStr">
        <is>
          <t>age: number | null · targetRetirementAge: number | null</t>
        </is>
      </c>
      <c r="H457" s="3" t="inlineStr">
        <is>
          <t>number | null</t>
        </is>
      </c>
      <c r="I457" s="3" t="inlineStr">
        <is>
          <t>—</t>
        </is>
      </c>
      <c r="J457" s="3" t="inlineStr">
        <is>
          <t>None found in this function — anything it assumes comes from the functions it depends on.</t>
        </is>
      </c>
      <c r="K457" s="3" t="inlineStr">
        <is>
          <t>Yes</t>
        </is>
      </c>
      <c r="L457" s="3" t="inlineStr">
        <is>
          <t>—</t>
        </is>
      </c>
      <c r="M457" s="3" t="n">
        <v>0</v>
      </c>
      <c r="N457" s="3" t="inlineStr">
        <is>
          <t>None — no dependent function stands behind it</t>
        </is>
      </c>
      <c r="O457" s="3" t="inlineStr">
        <is>
          <t>No dependent function — it reads its inputs and answers</t>
        </is>
      </c>
      <c r="P457" s="3" t="inlineStr">
        <is>
          <t>—</t>
        </is>
      </c>
      <c r="Q457" s="3" t="inlineStr">
        <is>
          <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c r="A2" s="4"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c r="A3" s="3" t="inlineStr">
        <is>
          <t>1 · ACTION</t>
        </is>
      </c>
      <c r="B3" s="3" t="n">
        <v>40</v>
      </c>
      <c r="C3" s="3" t="n">
        <v>8</v>
      </c>
      <c r="D3" s="3" t="n">
        <v>0</v>
      </c>
      <c r="E3" s="3" t="n">
        <v>17</v>
      </c>
      <c r="F3" s="3" t="n">
        <v>6</v>
      </c>
    </row>
    <row r="4">
      <c r="A4" s="3" t="inlineStr">
        <is>
          <t>2 · DISPLAYED</t>
        </is>
      </c>
      <c r="B4" s="3" t="n">
        <v>228</v>
      </c>
      <c r="C4" s="3" t="n">
        <v>31</v>
      </c>
      <c r="D4" s="3" t="n">
        <v>0</v>
      </c>
      <c r="E4" s="3" t="n">
        <v>49</v>
      </c>
      <c r="F4" s="3" t="n">
        <v>22</v>
      </c>
    </row>
    <row r="5">
      <c r="A5" s="3" t="inlineStr">
        <is>
          <t>2 · DISPLAYED (presentation only)</t>
        </is>
      </c>
      <c r="B5" s="3" t="n">
        <v>3</v>
      </c>
      <c r="C5" s="3" t="n">
        <v>0</v>
      </c>
      <c r="D5" s="3" t="n">
        <v>0</v>
      </c>
      <c r="E5" s="3" t="n">
        <v>0</v>
      </c>
      <c r="F5" s="3" t="n">
        <v>0</v>
      </c>
    </row>
    <row r="6">
      <c r="A6" s="3" t="inlineStr">
        <is>
          <t>3 · DEPENDENT</t>
        </is>
      </c>
      <c r="B6" s="3" t="n">
        <v>97</v>
      </c>
      <c r="C6" s="3" t="n">
        <v>7</v>
      </c>
      <c r="D6" s="3" t="n">
        <v>0</v>
      </c>
      <c r="E6" s="3" t="n">
        <v>6</v>
      </c>
      <c r="F6" s="3" t="n">
        <v>1</v>
      </c>
    </row>
    <row r="7">
      <c r="A7" s="3" t="inlineStr">
        <is>
          <t>3 · DEPENDENT (feeds an action only)</t>
        </is>
      </c>
      <c r="B7" s="3" t="n">
        <v>74</v>
      </c>
      <c r="C7" s="3" t="n">
        <v>9</v>
      </c>
      <c r="D7" s="3" t="n">
        <v>0</v>
      </c>
      <c r="E7" s="3" t="n">
        <v>16</v>
      </c>
      <c r="F7" s="3" t="n">
        <v>7</v>
      </c>
    </row>
    <row r="8">
      <c r="A8" s="3" t="inlineStr">
        <is>
          <t>4 · BRINGS DATA IN</t>
        </is>
      </c>
      <c r="B8" s="3" t="n">
        <v>13</v>
      </c>
      <c r="C8" s="3" t="n">
        <v>4</v>
      </c>
      <c r="D8" s="3" t="n">
        <v>0</v>
      </c>
      <c r="E8" s="3" t="n">
        <v>2</v>
      </c>
      <c r="F8" s="3" t="n">
        <v>2</v>
      </c>
    </row>
    <row r="9">
      <c r="A9" s="6" t="inlineStr">
        <is>
          <t>TOTAL</t>
        </is>
      </c>
      <c r="B9" s="3" t="n">
        <v>455</v>
      </c>
      <c r="C9" s="3" t="n">
        <v>59</v>
      </c>
      <c r="D9" s="3" t="n">
        <v>0</v>
      </c>
      <c r="E9" s="3" t="n">
        <v>90</v>
      </c>
      <c r="F9" s="3" t="n">
        <v>38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2026-08-26T03:46:30Z</dcterms:created>
  <dcterms:modified xsi:type="dcterms:W3CDTF">2026-08-26T03:47:03Z</dcterms:modified>
</cp:coreProperties>
</file>