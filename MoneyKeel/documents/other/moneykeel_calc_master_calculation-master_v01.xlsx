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'home'!$A$1:$AO$17</definedName>
    <definedName name="_xlnm._FilterDatabase" localSheetId="5" hidden="1">'networth'!$A$1:$AO$69</definedName>
    <definedName name="_xlnm._FilterDatabase" localSheetId="6" hidden="1">'performance'!$A$1:$AO$25</definedName>
    <definedName name="_xlnm._FilterDatabase" localSheetId="7" hidden="1">'plan'!$A$1:$AO$46</definedName>
    <definedName name="_xlnm._FilterDatabase" localSheetId="8" hidden="1">'cashflow'!$A$1:$AO$64</definedName>
    <definedName name="_xlnm._FilterDatabase" localSheetId="9" hidden="1">'menu'!$A$1:$AO$43</definedName>
    <definedName name="_xlnm._FilterDatabase" localSheetId="10" hidden="1">'inputs'!$A$1:$J$66</definedName>
    <definedName name="_xlnm._FilterDatabase" localSheetId="11" hidden="1">'database'!$A$1:$G$31</definedName>
    <definedName name="_xlnm._FilterDatabase" localSheetId="12" hidden="1">'core_screens'!$A$1:$D$50</definedName>
    <definedName name="_xlnm._FilterDatabase" localSheetId="13" hidden="1">'reconciliation'!$A$1:$E$68</definedName>
    <definedName name="_xlnm._FilterDatabase" localSheetId="14" hidden="1">'engines-old-tab'!$A$1:$F$70</definedName>
    <definedName name="_xlnm._FilterDatabase" localSheetId="15" hidden="1">'functions_from_code'!$A$1:$Y$686</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40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2026-10-02</t>
        </is>
      </c>
    </row>
    <row r="5" ht="30" customHeight="1">
      <c r="A5" s="4" t="inlineStr">
        <is>
          <t>Date file last modified</t>
        </is>
      </c>
      <c r="B5" s="3" t="inlineStr">
        <is>
          <t>2026-10-02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202 of 202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684, read from the code on this build. PARTIAL for figures: 35 of 202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35 of 202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684 functions carry both forms on this build: 23 no arithmetic · 20 not read · 327 partly read · 90 read by hand 2026-08-26 · 224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Uses today's date from the device clock, so the answer changes by itself overnight.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MK-PL-F-012 — If emergency gap is missing it uses 0.
12. MK-PL-F-012 — If toxic debt is missing it uses 0.
13. MK-PL-F-012 — If employer match monthly is missing it uses 0.
14. MK-PL-F-012 — Never lets surplus fall below 0.
15. MK-PL-F-012 — Never lets need fall below 0.
16. MK-CF-F-008 — Treats a year as twelve equal months.
17. MK-CF-F-008 — Turns a monthly figure into a year by multiplying by twelve.
18. MK-CF-F-176 — If r[i] is missing it counts as zero, so nothing recorded and a real zero look the same.
19. MK-CF-F-177 — Uses today's date from the device clock, so the answer changes by itself overnight.
20. MK-CF-F-089 — Uses today's date from the device clock, so the answer changes by itself overnight.
21. MK-CF-F-098 — Never lets g fall below 0.
22. MK-CF-F-098 — Never lets state rate fall below 0.
23. MK-CF-F-180 — Uses a built-in total of 0.
24. MK-CF-F-082 — Uses today's date from the device clock, so the answer changes by itself overnight.
25. MK-CF-F-084 — Turns a monthly figure into a year by multiplying by twelve.
… and 41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2026-10-02</t>
        </is>
      </c>
      <c r="AH6" s="3" t="inlineStr"/>
      <c r="AI6" s="3" t="inlineStr"/>
      <c r="AJ6"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wealth generated ÷ the money that was working in the window, counting each contribution for the part of the window it was there;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REFUSES WHEN TIMING WOULD DRIVE IT: where money moved in or out in amounts large enough that WHEN it moved decides the percentage, the screen shows the dollar walk instead.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7"/>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/itemize</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/look-back</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60" customHeight="1">
      <c r="A15" s="3" t="inlineStr"/>
      <c r="B15" s="3" t="inlineStr">
        <is>
          <t>Home</t>
        </is>
      </c>
      <c r="C15" s="3" t="inlineStr">
        <is>
          <t>/onboarding</t>
        </is>
      </c>
      <c r="D15" s="3" t="inlineStr">
        <is>
          <t>—</t>
        </is>
      </c>
      <c r="E15" s="3" t="inlineStr">
        <is>
          <t>—</t>
        </is>
      </c>
      <c r="F15" s="3" t="inlineStr">
        <is>
          <t>—</t>
        </is>
      </c>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DETERMINED</t>
        </is>
      </c>
      <c r="Y15" s="3" t="inlineStr">
        <is>
          <t>READ 2026-08-22 — no calculated figure on this screen</t>
        </is>
      </c>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/paycheck-months</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/performance</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the same screen as /invest, reached by a second route</t>
        </is>
      </c>
      <c r="Z17" s="3" t="n"/>
      <c r="AA17" s="3" t="n"/>
      <c r="AB17" s="3" t="n"/>
      <c r="AC17" s="3" t="n"/>
      <c r="AD17" s="3" t="n"/>
      <c r="AE17" s="3" t="n"/>
      <c r="AF17" s="3" t="n"/>
      <c r="AG17" s="3" t="n"/>
      <c r="AH17" s="3" t="n"/>
      <c r="AI17" s="3" t="n"/>
      <c r="AJ17" s="3" t="n"/>
      <c r="AK17" s="3" t="n"/>
      <c r="AL17" s="3" t="n"/>
      <c r="AM17" s="3" t="n"/>
      <c r="AN17" s="3" t="n"/>
      <c r="AO17" s="3" t="n"/>
    </row>
  </sheetData>
  <autoFilter ref="A1:AO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69"/>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2026-10-02</t>
        </is>
      </c>
      <c r="AH7" s="3" t="inlineStr"/>
      <c r="AI7" s="3" t="inlineStr"/>
      <c r="AJ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today’s investable total ÷ the first investable figure recorded on or after that day, minus 1</t>
        </is>
      </c>
      <c r="I8" s="3" t="inlineStr">
        <is>
          <t>today’s investable total ÷ the first investable figure recorded on or after that day, minus 1</t>
        </is>
      </c>
      <c r="J8" s="3" t="inlineStr">
        <is>
          <t>MK-NW-I-001 your accounts
MK-NW-I-003 the recorded history</t>
        </is>
      </c>
      <c r="K8" s="3" t="inlineStr">
        <is>
          <t>a percentage, two decimals</t>
        </is>
      </c>
      <c r="L8" s="3" t="inlineStr">
        <is>
          <t>The record does not reach back that far, so it shows nothing rather than a made-up change.</t>
        </is>
      </c>
      <c r="M8" s="3" t="inlineStr">
        <is>
          <t>one figure per household</t>
        </is>
      </c>
      <c r="N8" s="3" t="inlineStr">
        <is>
          <t>as of today</t>
        </is>
      </c>
      <c r="O8"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8" s="3" t="inlineStr">
        <is>
          <t>Declared by MK-NW-O-003 theNetWorth</t>
        </is>
      </c>
      <c r="Q8" s="3" t="inlineStr">
        <is>
          <t>No recorded day on or after the baseline → no figure. A movement from a day nobody recorded is not a movement.</t>
        </is>
      </c>
      <c r="R8" s="3" t="inlineStr">
        <is>
          <t>No recorded day on or after the baseline → no figure. A movement from a day nobody recorded is not a movement.</t>
        </is>
      </c>
      <c r="S8" s="3" t="inlineStr"/>
      <c r="T8" s="3" t="inlineStr">
        <is>
          <t>No recorded day on or after the baseline → no figure. A movement from a day nobody recorded is not a movement.</t>
        </is>
      </c>
      <c r="U8" s="3" t="inlineStr"/>
      <c r="V8" s="9" t="inlineStr">
        <is>
          <t>Q17 — "Return on cash + investments" counts money you paid in as a gain. Is the LABEL wrong, or the FORMULA? Fixing the formula means removing deposits and withdrawals before measuring.</t>
        </is>
      </c>
      <c r="W8" s="9" t="inlineStr"/>
      <c r="X8" s="3" t="inlineStr"/>
      <c r="Y8" s="3" t="inlineStr"/>
      <c r="Z8" s="3" t="inlineStr">
        <is>
          <t>DECLARED IN THE CODE (rule 11) — printed from the door, not typed. RULED 2026-09-27</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2026-10-02</t>
        </is>
      </c>
      <c r="AH8" s="3" t="inlineStr"/>
      <c r="AI8" s="3" t="inlineStr"/>
      <c r="AJ8"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GIVES: 7.33%
(the test re-runs this through MK-NW-O-003 theNetWorth on every build)</t>
        </is>
      </c>
      <c r="AO8" s="9" t="inlineStr">
        <is>
          <t>WAITING ON YOU — question Q17 · 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9" t="inlineStr">
        <is>
          <t>Q32 — The trend survives on a new device but the walk behind it does not. Should the trend say so, or show quietly?</t>
        </is>
      </c>
      <c r="W9" s="9" t="inlineStr"/>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2026-10-02</t>
        </is>
      </c>
      <c r="AH9" s="3" t="inlineStr"/>
      <c r="AI9" s="3" t="inlineStr"/>
      <c r="AJ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question Q32 · 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2026-10-02</t>
        </is>
      </c>
      <c r="AH10" s="3" t="inlineStr"/>
      <c r="AI10" s="3" t="inlineStr"/>
      <c r="AJ10"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2026-10-02</t>
        </is>
      </c>
      <c r="AH11" s="3" t="inlineStr"/>
      <c r="AI11" s="3" t="inlineStr"/>
      <c r="AJ1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2026-10-02</t>
        </is>
      </c>
      <c r="AH12" s="3" t="inlineStr"/>
      <c r="AI12" s="3" t="inlineStr"/>
      <c r="AJ1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9"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9"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GIVES: $142,000
(the test re-runs this through MK-NW-O-003 theNetWorth on every build)</t>
        </is>
      </c>
      <c r="AO13" s="9" t="inlineStr">
        <is>
          <t>WAITING ON YOU — question Q10, Q11, Q12, Q13 · 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9" t="inlineStr">
        <is>
          <t>Q14 — What should a MIXED account be called on screen, when it holds several classes at once?</t>
        </is>
      </c>
      <c r="W14" s="9" t="inlineStr"/>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question Q14 · 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2026-10-02</t>
        </is>
      </c>
      <c r="AH15" s="3" t="inlineStr"/>
      <c r="AI15" s="3" t="inlineStr"/>
      <c r="AJ1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2026-10-02</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2026-10-02</t>
        </is>
      </c>
      <c r="AH17" s="3" t="inlineStr"/>
      <c r="AI17" s="3" t="inlineStr"/>
      <c r="AJ17"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MK-CF-F-201, MK-NW-F-011, MK-NW-O-001
37. MK-XS-I-059 the month a bonus lands — read by MK-CF-F-088, MK-CF-F-092
38. MK-XS-I-060 how a person is paid — weekly, fortnightly, monthly — read by MK-CF-F-130
39. MK-XS-I-064 the unit beside a quantity — shares, coins, contracts, ounces or units — read by MK-CF-F-003, MK-CF-F-008, MK-CF-F-201,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t>
        </is>
      </c>
      <c r="R19" s="3" t="inlineStr">
        <is>
          <t>ONE essentials figure across all three screens (his ruling G21, 2026-09-08): the average of what has been logged, over the months logged.</t>
        </is>
      </c>
      <c r="S19" s="3" t="inlineStr"/>
      <c r="T19" s="3" t="inlineStr">
        <is>
          <t>ONE essentials figure across all three screens (his ruling G21, 2026-09-08): the average of what has been logged, over the months logged.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2026-10-02</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MK-NW-F-011 (assetClassOf) → AssetClass
3. MK-CF-F-189 (essentialsFromLoggedSpending) → EssentialsAverage | null
4.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2026-10-02</t>
        </is>
      </c>
      <c r="AH20" s="3" t="inlineStr"/>
      <c r="AI20" s="3" t="inlineStr"/>
      <c r="AJ20" s="3" t="inlineStr">
        <is>
          <t>1. MK-XS-I-001 account balance — read by MK-NW-F-016, MK-NW-F-027, MK-ST-F-027
2. MK-XS-I-002 account type (taxable, pre-tax, Roth) — read by MK-NW-F-011
3. MK-XS-I-004 holding quantity (shares) — read by MK-NW-F-027, MK-ST-F-027
4. MK-XS-I-005 holding price — read by MK-NW-F-027, MK-ST-F-027
5. MK-XS-I-007 purchase price and date (per lot) — read by MK-ST-F-027
6. MK-XS-I-010 transaction words (the institution's own wording) — read by MK-NW-F-027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MK-NW-F-027, MK-ST-F-027
14. MK-XS-I-055 the wrapper an account sits in — ISA, 401(k), IRA and the rest — read by MK-NW-F-011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2026-10-02</t>
        </is>
      </c>
      <c r="AH23" s="3" t="inlineStr"/>
      <c r="AI23" s="3" t="inlineStr"/>
      <c r="AJ23"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2026-10-02</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2026-10-02</t>
        </is>
      </c>
      <c r="AH25" s="3" t="inlineStr"/>
      <c r="AI25" s="3" t="inlineStr"/>
      <c r="AJ2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2026-10-02</t>
        </is>
      </c>
      <c r="AH26" s="3" t="inlineStr"/>
      <c r="AI26" s="3" t="inlineStr"/>
      <c r="AJ2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2026-10-02</t>
        </is>
      </c>
      <c r="AH27" s="3" t="inlineStr"/>
      <c r="AI27" s="3" t="inlineStr"/>
      <c r="AJ27"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2026-10-02</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2026-10-02</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2026-10-02</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2026-10-02</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2026-10-02</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$23,000–$24,000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2026-10-02</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2026-10-02</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2026-10-02</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MK-PF-F-002 (costBasis) → number
2.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2026-10-02</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2026-10-02</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2026-10-02</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2026-10-02</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2026-10-02</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(under 1 yr)</t>
        </is>
      </c>
      <c r="E43" s="3" t="inlineStr">
        <is>
          <t>gain__shortterm_under_1_yr</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2026-10-02</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2026-10-02</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2026-10-02</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2026-10-02</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2026-10-02</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2026-10-02</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t>
        </is>
      </c>
      <c r="I52" s="3" t="inlineStr">
        <is>
          <t>your cash ÷ (everything you budget for a month + the debt payments you cannot stop)</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required payment on every debt — except a mortgage, when a Rent / Mortgage budget already carries it</t>
        </is>
      </c>
      <c r="I53" s="3" t="inlineStr">
        <is>
          <t>the required payment on every debt — except a mortgage, when a Rent / Mortgage budget already carries it</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3" s="3" t="inlineStr">
        <is>
          <t>Declared by MK-NW-O-004 theEmergencyFund</t>
        </is>
      </c>
      <c r="Q53" s="3" t="inlineStr">
        <is>
          <t>FOUNDER 2026-09-28: "What about credit card debt, HELOC, car loan?" They were in NEITHER figure. You can skip dinner out; you cannot skip a car payment.
A mortgage is never counted twice: where the Rent / Mortgage budget carries it, its minimum is left out.</t>
        </is>
      </c>
      <c r="R53" s="3" t="inlineStr">
        <is>
          <t>FOUNDER 2026-09-28: "What about credit card debt, HELOC, car loan?" They were in NEITHER figure. You can skip dinner out; you cannot skip a car payment.
A mortgage is never counted twice: where the Rent / Mortgage budget carries it, its minimum is left out.</t>
        </is>
      </c>
      <c r="S53" s="3" t="inlineStr"/>
      <c r="T53" s="3" t="inlineStr">
        <is>
          <t>FOUNDER 2026-09-28: "What about credit card debt, HELOC, car loan?" They were in NEITHER figure. You can skip dinner out; you cannot skip a car payment.
A mortgage is never counted twice: where the Rent / Mortgage budget carries it, its minimum is left out.</t>
        </is>
      </c>
      <c r="U53" s="3" t="inlineStr">
        <is>
          <t>WHEN THE TWO MORTGAGE FIGURES DISAGREE (founder, 2026-09-28: "when budget is $2,300 rent / mortgage, why is debt $2,400/month for mortgage?"). A mortgage can be entered twice — as the Rent / Mortgage budget line and as a Mortgage debt — and this figure leaves the mortgage out so the home is not counted twice. That means the door takes the BUDGET figure and ignores the debt's own minimum, so someone who budgets $2,300 for a mortgage that costs $2,400 is read $100/month light on both runways. Counting both would overstate the whole payment, which is far worse, so the choice stands — but the app does not yet TELL them the two disagree. WAITING ON YOU: should the screen say so, and which figure should win?</t>
        </is>
      </c>
      <c r="V53" s="3" t="inlineStr"/>
      <c r="W53" s="3" t="inlineStr"/>
      <c r="X53" s="3" t="inlineStr"/>
      <c r="Y53" s="3" t="inlineStr"/>
      <c r="Z53" s="3" t="inlineStr">
        <is>
          <t>DECLARED IN THE CODE (rule 11) — printed from the door, not typed. RULED 2026-09-28</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MK-CF-F-009 (monthlyEssentials) → number
6. MK-CF-F-002 (plannedMonthlySpend) → number
7. MK-CF-F-023 (requiredPayment) → number</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MK-NW-F-016, MK-NW-F-027, MK-NW-F-056, MK-NW-F-078, MK-NW-O-001, MK-NW-O-004, MK
2. MK-XS-I-002 account type (taxable, pre-tax, Roth) — read by MK-NW-F-011,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MK-NW-F-027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MK-PL-F-012
21. MK-XS-I-028 assumed return — read by MK-NW-O-001, MK-NW-O-004
22. MK-XS-I-030 tax filing status and age — read by MK-CF-F-085, MK-CF-F-089, MK-CF-F-098, MK-CF-F-099, MK-CF-F-100, MK-CF-F-101, MK
23. MK-XS-I-031 daily and monthly snapshots — read by MK-ST-F-036
24. MK-XS-I-032 expenses categories the person set up — read by MK-CF-F-004, MK-CF-F-008, MK-CF-F-009,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MK-CF-F-180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MK-CF-F-181, MK-CF-F-206
35. MK-XS-I-048 the person’s own asset-class answer — read by MK-NW-F-011, MK-NW-F-027,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MK-XS-I-059 the month a bonus lands — read by MK-CF-F-088, MK-CF-F-092
40. MK-XS-I-060 how a person is paid — weekly, fortnightly, monthly — read by MK-CF-F-130
41. MK-XS-I-064 the unit beside a quantity — shares, coins, contracts, ounces or units — read by MK-CF-F-003, MK-CF-F-008, MK-CF-F-009, MK-NW-F-078
42.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MK-NW-F-002, MK-NW-F-031, MK-NW-F-032, MK-NW-O-005, MK-ST-F-027
2. MK-XS-I-002 account type (taxable, pre-tax, Roth) — read by MK-NW-F-001, MK-NW-F-011, MK-NW-F-037, MK-NW-O-005
3. MK-XS-I-003 institution name — read by MK-NW-O-005
4. MK-XS-I-004 holding quantity (shares) — read by MK-ST-F-027
5. MK-XS-I-005 holding price — read by MK-ST-F-027
6. MK-XS-I-007 purchase price and date (per lot) — read by MK-ST-F-027
7. MK-XS-I-013 bond maturity date — read by MK-NW-F-001,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MK-NW-F-001, MK-NW-F-002, MK-NW-F-011, MK-NW-F-030, MK-NW-F-031, MK-NW-F-034,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MK-CF-F-132 (map) → NOT DECLARED — the code does not say what it gives back
8.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2026-10-02</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2026-10-02</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MK-PF-F-002 (costBasis) → number
3. MK-CF-F-132 (map) → NOT DECLARED — the code does not say what it gives back
4. MK-PF-F-004 (marketValue) → number
5. MK-PF-F-028 (realizedFromLedger) → NOT DECLARED — the code does not say what it gives back
6.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2026-10-02</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MK-PF-F-002, MK-PF-F-004,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2026-10-02</t>
        </is>
      </c>
      <c r="AH68" s="3" t="inlineStr"/>
      <c r="AI68" s="3" t="inlineStr"/>
      <c r="AJ68" s="3" t="inlineStr">
        <is>
          <t>1. MK-XS-I-001 account balance — read by MK-NW-F-027, MK-NW-O-002, MK-ST-F-027
2. MK-XS-I-002 account type (taxable, pre-tax, Roth) — read by MK-NW-F-011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MK-NW-F-027, MK-ST-F-013
9. MK-XS-I-013 bond maturity date — read by MK-NW-F-011, MK-ST-F-010
10. MK-XS-I-024 logged expenses — read by MK-NW-O-002
11. MK-XS-I-034 option positions — contracts, strike, expiry, put or call — read by MK-NW-F-027
12. MK-XS-I-048 the person’s own asset-class answer — read by MK-NW-F-011, MK-NW-F-027, MK-ST-F-027
13. MK-XS-I-055 the wrapper an account sits in — ISA, 401(k), IRA and the rest — read by MK-NW-F-011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2026-10-02</t>
        </is>
      </c>
      <c r="AH69" s="3" t="inlineStr"/>
      <c r="AI69" s="3" t="inlineStr"/>
      <c r="AJ69"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GIVES: $18K
(the test re-runs this through MK-NW-O-003 theNetWorth on every build)</t>
        </is>
      </c>
      <c r="AO69" s="3" t="inlineStr">
        <is>
          <t>NOTHING OPEN</t>
        </is>
      </c>
    </row>
  </sheetData>
  <autoFilter ref="A1:AO6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MK-ST-F-027 (accountId) → string
2. MK-CF-F-155 (cash) → number
3. MK-ST-F-056 (has) → NOT DECLARED — the code does not say what it gives back
4.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2026-10-02</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and $46,600 on 28 Sep 2026, with $6,000 paid in on 1 Apr and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2026-10-02</t>
        </is>
      </c>
      <c r="AH8" s="3" t="inlineStr"/>
      <c r="AI8" s="3" t="inlineStr"/>
      <c r="AJ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and $46,600 on 28 Sep 2026, with $6,000 paid in on 1 Apr and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2026-10-02</t>
        </is>
      </c>
      <c r="AH9" s="3" t="inlineStr"/>
      <c r="AI9" s="3" t="inlineStr"/>
      <c r="AJ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and $46,600 on 28 Sep 2026, with $6,000 paid in on 1 Apr and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MK-ST-F-027 (accountId) → string
2. MK-CF-F-155 (cash) → number
3. MK-ST-F-056 (has) → NOT DECLARED — the code does not say what it gives back
4.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2026-10-02</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and $46,600 on 28 Sep 2026, with $6,000 paid in on 1 Apr and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2026-10-02</t>
        </is>
      </c>
      <c r="AH11" s="3" t="inlineStr"/>
      <c r="AI11" s="3" t="inlineStr"/>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and $46,600 on 28 Sep 2026, with $6,000 paid in on 1 Apr and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percentage,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2026-10-02</t>
        </is>
      </c>
      <c r="AH12" s="3" t="inlineStr"/>
      <c r="AI12" s="3" t="inlineStr"/>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2026-10-02</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2026-10-02</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2026-10-02</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2026-10-02</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2026-10-02</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2026-10-02</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and $46,600 on 28 Sep 2026, with $6,000 paid in on 1 Apr and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2026-10-02</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and $46,600 on 28 Sep 2026, with $6,000 paid in on 1 Apr and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2026-10-02</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and $46,600 on 28 Sep 2026, with $6,000 paid in on 1 Apr and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t>
        </is>
      </c>
      <c r="D21" s="3" t="inlineStr">
        <is>
          <t>Return</t>
        </is>
      </c>
      <c r="E21" s="3" t="inlineStr">
        <is>
          <t>return</t>
        </is>
      </c>
      <c r="F21" s="3" t="inlineStr">
        <is>
          <t>thePerformance</t>
        </is>
      </c>
      <c r="G21" s="3" t="inlineStr">
        <is>
          <t>MK-NW-O-008</t>
        </is>
      </c>
      <c r="H21" s="3" t="inlineStr">
        <is>
          <t>(ending − beginning − net flows) ÷ (beginning + Σ each flow × the share of the window it was invested for) — Modified Dietz; a window longer than a year is turned into a yearly rate</t>
        </is>
      </c>
      <c r="I21" s="3" t="inlineStr">
        <is>
          <t>(ending − beginning − net flows) ÷ (beginning + Σ each flow × the share of the window it was invested for) — Modified Dietz; a window longer than a year is turned into a yearly rate</t>
        </is>
      </c>
      <c r="J21" s="3" t="inlineStr">
        <is>
          <t>MK-NW-I-003 the recorded history
MK-NW-I-004 the activity records</t>
        </is>
      </c>
      <c r="K21" s="3" t="inlineStr">
        <is>
          <t>a return with its sign, two decimals</t>
        </is>
      </c>
      <c r="L21" s="3" t="inlineStr">
        <is>
          <t>Money moved in and out in amounts where WHEN it moved would decide a window return, so none is shown; the rate per year stands in its place.</t>
        </is>
      </c>
      <c r="M21" s="3" t="inlineStr">
        <is>
          <t>one account</t>
        </is>
      </c>
      <c r="N21" s="3" t="inlineStr">
        <is>
          <t>as of today</t>
        </is>
      </c>
      <c r="O21"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1" s="3" t="inlineStr">
        <is>
          <t>Declared by MK-NW-O-008 thePerformance</t>
        </is>
      </c>
      <c r="Q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R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S21" s="3" t="inlineStr"/>
      <c r="T21" s="3" t="inlineStr">
        <is>
          <t>TWO DECIMALS AND ITS SIGN, always (Q49): +6.67%, −0.57% — never +6.7%, never a bare 6.67%.
WHEN MONEY MOVED WOULD DECIDE THE FIGURE, IT REFUSES (Q52): the screen shows — and the exact rate per year stands in its place, with a sentence saying why.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2026-10-01</t>
        </is>
      </c>
      <c r="AA21" s="3" t="inlineStr"/>
      <c r="AB21" s="3" t="inlineStr"/>
      <c r="AC21" s="3" t="inlineStr"/>
      <c r="AD21" s="3" t="inlineStr"/>
      <c r="AE21" s="3" t="inlineStr"/>
      <c r="AF21" s="3" t="inlineStr">
        <is>
          <t>ACTIVE</t>
        </is>
      </c>
      <c r="AG21" s="3" t="inlineStr">
        <is>
          <t>2026-10-02</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(ending − beginning − net flows) ÷ (beginning + Σ each flow × the share of the window it was invested for) — Modified Dietz over every investment account; a window longer than a year becomes a yearly rate</t>
        </is>
      </c>
      <c r="I22" s="3" t="inlineStr">
        <is>
          <t>(ending − beginning − net flows) ÷ (beginning + Σ each flow × the share of the window it was invested for) — Modified Dietz over every investment account; a window longer than a year becomes a yearly rate</t>
        </is>
      </c>
      <c r="J22" s="3" t="inlineStr">
        <is>
          <t>MK-NW-I-003 the recorded history
MK-NW-I-004 the activity records</t>
        </is>
      </c>
      <c r="K22" s="3" t="inlineStr">
        <is>
          <t>a return with its sign, two decimals</t>
        </is>
      </c>
      <c r="L22" s="3" t="inlineStr">
        <is>
          <t>Money moved in and out in amounts where WHEN it moved would decide a window return, so none is shown; the rate per year stands in its place.</t>
        </is>
      </c>
      <c r="M22" s="3" t="inlineStr">
        <is>
          <t>every account together</t>
        </is>
      </c>
      <c r="N22" s="3" t="inlineStr">
        <is>
          <t>as of today</t>
        </is>
      </c>
      <c r="O22"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2" s="3" t="inlineStr">
        <is>
          <t>Declared by MK-NW-O-008 thePerformance</t>
        </is>
      </c>
      <c r="Q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R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S22" s="3" t="inlineStr"/>
      <c r="T22" s="3" t="inlineStr">
        <is>
          <t>TWO DECIMALS AND ITS SIGN, always (Q49).
WHEN MONEY MOVED WOULD DECIDE THE FIGURE, IT REFUSES (Q52) and the exact rate per year stands in its place (mark 16, v17).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2026-10-01</t>
        </is>
      </c>
      <c r="AA22" s="3" t="inlineStr"/>
      <c r="AB22" s="3" t="inlineStr"/>
      <c r="AC22" s="3" t="inlineStr"/>
      <c r="AD22" s="3" t="inlineStr"/>
      <c r="AE22" s="3" t="inlineStr"/>
      <c r="AF22" s="3" t="inlineStr">
        <is>
          <t>ACTIVE</t>
        </is>
      </c>
      <c r="AG22" s="3" t="inlineStr">
        <is>
          <t>2026-10-02</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2026-10-02</t>
        </is>
      </c>
      <c r="AH23" s="3" t="inlineStr"/>
      <c r="AI23" s="3" t="inlineStr"/>
      <c r="AJ23"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and $46,600 on 28 Sep 2026, with $6,000 paid in on 1 Apr and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2026-10-02</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and $46,600 on 28 Sep 2026, with $6,000 paid in on 1 Apr and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MK-XS-F-011 (buildChangeWalk) → NOT DECLARED — the code does not say what it gives back
2. MK-CF-F-132 (map) → NOT DECLARED — the code does not say what it gives back
3. MK-ST-F-064 (modifiedDietzOverWindow) → NOT DECLARED — the code does not say what it gives back
4. MK-ST-F-013 (personalFlowTotals) → PersonalFlowTotals
5. MK-NW-F-102 (rateWhereItRefuses) → NOT DECLARED — the code does not say what it gives back
6. MK-ST-F-030 (record) → SnapshotDay[]
7. MK-ST-F-021 (toNumber) → number | null
8. MK-ST-F-031 (valueOn) → number | null
9.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2026-10-02</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MK-PF-F-024, MK-ST-F-027
5. MK-XS-I-005 holding price — read by MK-ST-F-027
6. MK-XS-I-007 purchase price and date (per lot) — read by MK-ST-F-027
7. MK-XS-I-008 transaction amount — read by MK-NW-F-102, MK-NW-O-008, MK-PF-F-024
8. MK-XS-I-009 transaction date — read by MK-NW-F-102, MK-NW-O-008, MK-PF-F-024
9. MK-XS-I-010 transaction words (the institution's own wording) — read by MK-ST-F-013
10. MK-XS-I-011 bond face value — read by MK-NW-F-056, MK-NW-F-057, MK-NW-F-060, MK-NW-F-061, MK-NW-F-064, MK-NW-F-069, MK
11. MK-XS-I-012 bond coupon rate — read by MK-NW-F-056, MK-NW-F-057, MK-NW-F-064, MK-NW-F-071, MK-NW-F-072, MK-NW-F-078, MK
12. MK-XS-I-013 bond maturity date — read by MK-NW-F-011, MK-NW-F-056, MK-NW-F-058, MK-NW-F-060, MK-NW-F-061, MK-NW-F-069, MK
13. MK-XS-I-024 logged expenses — read by MK-NW-F-102, MK-NW-O-008, MK-PF-F-024, MK-PF-F-025, MK-PF-F-026
14. MK-XS-I-028 assumed return — read by MK-NW-O-001
15. MK-XS-I-031 daily and monthly snapshots — read by MK-ST-F-030, MK-ST-F-031
16. MK-XS-I-048 the person’s own asset-class answer — read by MK-NW-F-011, MK-ST-F-027
17. MK-XS-I-049 bond price — what the bond is worth today — read by MK-NW-F-056, MK-NW-F-057, MK-NW-F-059, MK-NW-F-060, MK-NW-F-061, MK-NW-F-064, MK
18. MK-XS-I-055 the wrapper an account sits in — ISA, 401(k), IRA and the rest — read by MK-NW-F-011, MK-NW-O-001
19. MK-XS-I-064 the unit beside a quantity — shares, coins, contracts, ounces or units — read by MK-NW-F-078
20.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No dependent function — it reads its inputs and answers</t>
        </is>
      </c>
      <c r="Q17" s="3" t="inlineStr">
        <is>
          <t>1. MK-NW-F-003 — Turns a monthly figure into a year by multiplying by twelve.
2. MK-NW-F-003 — Uses today's date from the device clock, so the answer changes by itself overnight.</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/paycheck-months</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64"/>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MK-CF-M-006</t>
        </is>
      </c>
      <c r="B2" s="3" t="inlineStr">
        <is>
          <t>Cashflow</t>
        </is>
      </c>
      <c r="C2" s="3" t="inlineStr">
        <is>
          <t>NA</t>
        </is>
      </c>
      <c r="D2" s="3" t="inlineStr">
        <is>
          <t>YOUR SOURCES — Base salary</t>
        </is>
      </c>
      <c r="E2" s="3" t="inlineStr">
        <is>
          <t>op.baseSalary</t>
        </is>
      </c>
      <c r="F2" s="3" t="inlineStr">
        <is>
          <t>totalGrossAnnual</t>
        </is>
      </c>
      <c r="G2" s="3" t="inlineStr">
        <is>
          <t>MK-CF-O-004</t>
        </is>
      </c>
      <c r="H2" s="3" t="inlineStr">
        <is>
          <t>gross a year = salary + self-employment + bonus + equity vesting + rental + other;  take-home /month = (gross − tax withheld − pre-tax contributions) ÷ 12</t>
        </is>
      </c>
      <c r="I2"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 s="3" t="inlineStr">
        <is>
          <t>each part → its own function above  [NOT AN INPUT — another function’s answer; see the dependency column]</t>
        </is>
      </c>
      <c r="K2" s="3" t="inlineStr">
        <is>
          <t>US dollars · held to the cent · shown as whole dollars  [derived by rule — confirm]</t>
        </is>
      </c>
      <c r="L2" s="3" t="inlineStr">
        <is>
          <t>$0, and under it the one line "Nothing entered yet. Add your income ›" (mock approved 2026-09-12). A real zero that was entered shows a plain $0 with no line.</t>
        </is>
      </c>
      <c r="M2" s="3" t="inlineStr">
        <is>
          <t>One figure per person — or per household when two people share one record  [derived by rule — confirm]</t>
        </is>
      </c>
      <c r="N2" s="3" t="inlineStr">
        <is>
          <t>As of today, from the latest figures held  [derived by rule — confirm]</t>
        </is>
      </c>
      <c r="O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B30 [CLASH] — THE QUESTION DOES NOT SAY WHAT IT MEANS. The income screen offers a Gross / Take-home toggle and asks "Take-home pay each month". Most people read take-home as AFTER TAX; the app stores it as after tax AND after the 401(k) — its own code calls that "available" and keeps a separate "net (after tax)" concept the question never offers. So someone entering an after-tax figure has their 401(k) removed a second time. Founder wording 2026-08-27: ask for "the amount that lands in your bank account", which nobody confuses.
3.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4. B31 [CLASH] — NOBODY HAS EVER SET A FILING STATUS. filingStatusOf reads op.filingStatus, no screen anywhere writes it, so the fallback fires every time and EVERYONE is taxed as a single filer — including the couple who just told the app they have a spouse. Five surfaces read it and all five get single: every month's withholding rate, the effective rate, the Roth conversion, the retirement tax rate, and the base-pay estimate. On $84,000 a married couple is shown $328 a month less than lands in their bank; at $200,000 it is $866. The app already asks whether they have a spouse and still taxes them alone.
5. B32 [CLASH] — THE HOUSEHOLD'S INCOME IS ONE PERSON'S. Net worth is a household, the debts are a household, the expenses is a household — the income is not. There is exactly one salary field, and whoEarns (You / Spouse / Both) only LABELS whose it is; there is no second amount anywhere, and none of the extra-income fields is a second wage. So a couple sees one income against two people's expenses and two people's debts, and their surplus reads far worse than it is on every screen that uses it. Separately, the joint tax bracket is worked out from that one income: on $84,000 with a spouse earning $54,000 the marginal band should be 22% and reads 12%, which alone puts take-home $168 a month too high.
6. B33 [CLASH] — THE OVER-65 ADDITION COUNTS ONE PERSON ON A JOINT RETURN. over65CountOf reads the person's own birth year and returns 0 or 1 — a couple where both are 65 or older is counted as one, so the standard deduction is short by $1,650. Recorded in the 2026-08-20 brief as deliberately conservative because a partner's age was never captured; the filing-status question is where it can be captured, which removes the reason.
7.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 s="3" t="inlineStr">
        <is>
          <t>HAS A FUNCTION — traceable from the screen to the code.</t>
        </is>
      </c>
      <c r="AD2" s="3" t="inlineStr">
        <is>
          <t>B27 — Base salary · This month — take-home shown up to $1,600/mo adrift from what was typed
B30 — Base salary — the question invites the wrong figure, which is then double-deducted
B29 — Base salary — three copies of the match arithmetic, free to drift apart
B31 — Base salary · This month — every couple taxed as a single filer, $328–$866/mo too low
B32 — Base salary · This month · Expenses — the household's income is one person's, so the surplus reads far worse than it is
B33 — Base salary — a couple both over 65 is counted as one, $1,650 of deduction short</t>
        </is>
      </c>
      <c r="AE2" s="3" t="inlineStr">
        <is>
          <t>B27 — FIXED 2026-09-01
B30 — FIXED 2026-09-11
B29 — FIXED 2026-08-27
B31 — FIXED 2026-08-27
B32 — FIXED 2026-09-01
B33 — FIXED 2026-09-08
B17 — FIXED 2026-09-12
G32 / Q48 — 2026-09-09: the 'division with nothing on the bottom' boilerplate is gone; this cell now states the row's real refusal. Where it says 'built', the screen already does it; the rest follow the empty-state mock.</t>
        </is>
      </c>
      <c r="AF2" s="3" t="inlineStr">
        <is>
          <t>ACTIVE</t>
        </is>
      </c>
      <c r="AG2" s="3" t="inlineStr">
        <is>
          <t>2026-09-30</t>
        </is>
      </c>
      <c r="AH2" s="3" t="n"/>
      <c r="AI2" s="3" t="n"/>
      <c r="AJ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(Q-CF-1 — one question, one function)</t>
        </is>
      </c>
    </row>
    <row r="3" ht="60" customHeight="1">
      <c r="A3" s="3" t="inlineStr">
        <is>
          <t>MK-CF-M-029</t>
        </is>
      </c>
      <c r="B3" s="3" t="inlineStr">
        <is>
          <t>Cashflow</t>
        </is>
      </c>
      <c r="C3" s="3" t="inlineStr">
        <is>
          <t>NA</t>
        </is>
      </c>
      <c r="D3" s="3" t="inlineStr">
        <is>
          <t>YOUR BASE PAY — your tax band, on everything you are taxed on</t>
        </is>
      </c>
      <c r="E3" s="3" t="inlineStr">
        <is>
          <t>band</t>
        </is>
      </c>
      <c r="F3" s="3" t="inlineStr">
        <is>
          <t>effectiveRate</t>
        </is>
      </c>
      <c r="G3" s="3" t="inlineStr">
        <is>
          <t>MK-CF-F-090</t>
        </is>
      </c>
      <c r="H3" s="3" t="inlineStr"/>
      <c r="I3" s="3" t="inlineStr"/>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MK-CF-F-181 (rateInForce) → RateInForce</t>
        </is>
      </c>
      <c r="P3"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Q3" s="3" t="inlineStr">
        <is>
          <t>1. MK-CF-F-181 — Turns a monthly figure into a year by multiplying by twelve.
2. MK-CF-F-181 — Rounds the answer to a whole number.
3. MK-CF-F-180 — Uses a built-in total of 0.
4. MK-CF-F-089 — Uses today's date from the device clock, so the answer changes by itself overnight.
5. MK-CF-F-082 — Uses today's date from the device clock, so the answer changes by itself overnight.
6. MK-CF-F-084 — Turns a monthly figure into a year by multiplying by twelve.
7. MK-CF-F-084 — Uses today's date from the device clock, so the answer changes by itself overnight.
8. MK-CF-F-101 — Never lets state rate fall below 0.
9. MK-CF-F-101 — The 2026 bands per filing status are the Reference tab's statutory table (IRS Rev. Proc. 2025-32 §4.01), checked by statutory_constants.test.ts.
10. MK-CF-F-068 — Turns a monthly figure into a year by multiplying by twelve.
11. MK-CF-F-074 — Uses today's date from the device clock, so the answer changes by itself overnight.
12. MK-CF-F-176 — If r[i] is missing it counts as zero, so nothing recorded and a real zero look the same.
13. MK-CF-F-177 — Uses today's date from the device clock, so the answer changes by itself overnight.
14. MK-CF-F-063 — Uses today's date from the device clock, so the answer changes by itself overnight.
15. MK-CF-F-081 — Uses today's date from the device clock, so the answer changes by itself overnight.
16. MK-CF-F-099 — Never lets over65 fall below 0.
17. MK-CF-F-099 — 2026 standard deduction $16,100 single · $32,200 married · $16,100 filing separately · $24,150 head of household; 65+ add-on $2,050 single / head of household · $1,650 per person married (IRS Rev. Proc. 2025-32 §3.18).
18. MK-CF-F-099 — Plus the senior deduction of MK-CF-F-187 — $6,000 per person 65+, phased out 6% above $75,000 / $150,000, tax years 2025–2028 (P.L. 119-21 §70103).
19. MK-CF-F-130 — If salary freq] is missing it uses 12.
20. MK-ST-F-036 — If cash is missing it uses 0.
21. MK-CF-F-167 — Uses today's date from the device clock, so the answer changes by itself overnight.
22. MK-CF-F-150 — Uses a built-in s h o w f i r s t of 5.
23. MK-CF-F-187 — Never lets over65 fall below 0.
24. MK-CF-F-187 — Uses the published figures: $6,000 per person 65+, phased out at 6% above $75,000 ($150,000 joint), 2025–2028 (P.L. 119-21 §70103; checked 2026-09-08; lapses after 2028 — the statutory test fails when the tax year rolls past it).
25. MK-CF-F-187 — Takes the income handed to it as modified adjusted gross income — the untaxed part of Social Security and other adjustments are not modelled.
… and 3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DECOMMISSIONED 2026-08-28 — it was here and is not any more. Kept so the number is never reused and earlier work can still be traced.</t>
        </is>
      </c>
      <c r="AG3" s="3" t="inlineStr">
        <is>
          <t>2026-08-28</t>
        </is>
      </c>
      <c r="AH3" s="3" t="n"/>
      <c r="AI3" s="3" t="n"/>
      <c r="AJ3" s="3" t="inlineStr">
        <is>
          <t>1. MK-XS-I-004 holding quantity (shares) — read by MK-CF-F-062
2. MK-XS-I-016 debt minimum payment — read by MK-CF-F-023
3. MK-XS-I-017 birth year — read by MK-CF-F-089
4. MK-XS-I-020 Social Security monthly amount — read by MK-CF-F-072, MK-CF-F-075
5. MK-XS-I-022 pension monthly amount — read by MK-CF-F-072, MK-CF-F-075
6. MK-XS-I-023 salary and other income — read by MK-CF-F-074, MK-CF-F-082, MK-CF-F-084, MK-CF-F-165, MK-CF-F-172, MK-CF-F-181
7. MK-XS-I-024 logged expenses — read by MK-CF-F-067, MK-CF-F-068, MK-CF-F-150, MK-CF-F-151, MK-CF-F-153, MK-CF-O-002
8. MK-XS-I-030 tax filing status and age — read by MK-CF-F-085, MK-CF-F-089, MK-CF-F-099, MK-CF-F-100, MK-CF-F-101, MK-CF-F-102, MK
9. MK-XS-I-031 daily and monthly snapshots — read by MK-ST-F-036
10. MK-XS-I-034 option positions — contracts, strike, expiry, put or call — read by MK-CF-F-062
11. MK-XS-I-035 annuity income — read by MK-CF-F-072, MK-CF-F-075
12. MK-XS-I-036 other guaranteed income — read by MK-CF-F-072, MK-CF-F-075
13. MK-XS-I-037 required-withdrawal income stream (ri_rmd) — read by MK-CF-F-075
14. MK-XS-I-038 withdrawal income stream (ri_withdrawals) — read by MK-CF-F-075
15. MK-XS-I-039 how often each income arrives — read by MK-CF-F-071, MK-CF-F-072, MK-CF-F-074, MK-CF-F-075, MK-CF-F-130, MK-CF-F-180
16. MK-XS-I-040 whether a stream is already being received — read by MK-CF-F-072
17. MK-XS-I-041 the payment the person chose to make on a debt — read by MK-CF-F-023
18. MK-XS-I-042 how a stream is paid — monthly, yearly or one lump — read by MK-CF-F-021, MK-CF-F-022, MK-CF-F-023, MK-CF-F-149, MK-CF-F-150, MK-CF-F-152
19. MK-XS-I-043 their own retirement contribution — read by MK-CF-F-181
20. MK-XS-I-055 the wrapper an account sits in — ISA, 401(k), IRA and the rest — read by MK-CF-F-075
21. MK-XS-I-060 how a person is paid — weekly, fortnightly, monthly — read by MK-CF-F-130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(Q-CF-1 — one question, one function)</t>
        </is>
      </c>
    </row>
    <row r="4" ht="60" customHeight="1">
      <c r="A4" s="3" t="inlineStr">
        <is>
          <t>MK-CF-M-007</t>
        </is>
      </c>
      <c r="B4" s="3" t="inlineStr">
        <is>
          <t>Cashflow</t>
        </is>
      </c>
      <c r="C4" s="3" t="inlineStr">
        <is>
          <t>NA</t>
        </is>
      </c>
      <c r="D4" s="3" t="inlineStr">
        <is>
          <t>YOUR SOURCES — Self-employment</t>
        </is>
      </c>
      <c r="E4" s="3" t="inlineStr">
        <is>
          <t>op.seAmount</t>
        </is>
      </c>
      <c r="F4" s="3" t="inlineStr">
        <is>
          <t>totalGrossAnnual</t>
        </is>
      </c>
      <c r="G4" s="3" t="inlineStr">
        <is>
          <t>MK-CF-O-004</t>
        </is>
      </c>
      <c r="H4" s="3" t="inlineStr">
        <is>
          <t>gross a year = salary + self-employment + bonus + equity vesting + rental + other;  take-home /month = (gross − tax withheld − pre-tax contributions) ÷ 12</t>
        </is>
      </c>
      <c r="I4"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4" s="3" t="inlineStr">
        <is>
          <t>each part → its own function above  [NOT AN INPUT — another function’s answer; see the dependency column]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As of today, from the latest figures held  [derived by rule — confirm]</t>
        </is>
      </c>
      <c r="O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4"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4" s="3" t="inlineStr">
        <is>
          <t>HAS A FUNCTION — traceable from the screen to the code.</t>
        </is>
      </c>
      <c r="AD4" s="3" t="inlineStr"/>
      <c r="AE4" s="3" t="inlineStr">
        <is>
          <t>B17 — FIXED 2026-09-12
G32 / Q48 — 2026-09-09: the 'division with nothing on the bottom' boilerplate is gone; this cell now states the row's real refusal. Where it says 'built', the screen already does it; the rest follow the empty-state mock.</t>
        </is>
      </c>
      <c r="AF4" s="3" t="inlineStr">
        <is>
          <t>ACTIVE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t>
        </is>
      </c>
    </row>
    <row r="5" ht="60" customHeight="1">
      <c r="A5" s="3" t="inlineStr">
        <is>
          <t>MK-CF-M-008</t>
        </is>
      </c>
      <c r="B5" s="3" t="inlineStr">
        <is>
          <t>Cashflow</t>
        </is>
      </c>
      <c r="C5" s="3" t="inlineStr">
        <is>
          <t>NA</t>
        </is>
      </c>
      <c r="D5" s="3" t="inlineStr">
        <is>
          <t>YOUR SOURCES — Bonus</t>
        </is>
      </c>
      <c r="E5" s="3" t="inlineStr">
        <is>
          <t>op.bonusAnnual</t>
        </is>
      </c>
      <c r="F5" s="3" t="inlineStr">
        <is>
          <t>totalGrossAnnual</t>
        </is>
      </c>
      <c r="G5" s="3" t="inlineStr">
        <is>
          <t>MK-CF-O-004</t>
        </is>
      </c>
      <c r="H5" s="3" t="inlineStr">
        <is>
          <t>gross a year = salary + self-employment + bonus + equity vesting + rental + other;  take-home /month = (gross − tax withheld − pre-tax contributions) ÷ 12</t>
        </is>
      </c>
      <c r="I5"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5" s="3" t="inlineStr">
        <is>
          <t>each part → its own function above  [NOT AN INPUT — another function’s answer; see the dependency column]</t>
        </is>
      </c>
      <c r="K5" s="3" t="inlineStr">
        <is>
          <t>US dollars · held to the cent · shown as whole dollars  [derived by rule — confirm]</t>
        </is>
      </c>
      <c r="L5" s="3" t="inlineStr">
        <is>
          <t>$0, and under it the one line "Nothing entered yet. Add your income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5"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5" s="3" t="inlineStr">
        <is>
          <t>HAS A FUNCTION — traceable from the screen to the code.</t>
        </is>
      </c>
      <c r="AD5" s="3" t="inlineStr"/>
      <c r="AE5" s="3" t="inlineStr">
        <is>
          <t>B17 — FIXED 2026-09-12
G32 / Q48 — 2026-09-09: the 'division with nothing on the bottom' boilerplate is gone; this cell now states the row's real refusal. Where it says 'built', the screen already does it; the rest follow the empty-state mock.</t>
        </is>
      </c>
      <c r="AF5" s="3" t="inlineStr">
        <is>
          <t>ACTIVE</t>
        </is>
      </c>
      <c r="AG5" s="3" t="inlineStr">
        <is>
          <t>2026-09-30</t>
        </is>
      </c>
      <c r="AH5" s="3" t="n"/>
      <c r="AI5" s="3" t="n"/>
      <c r="AJ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(Q-CF-1 — one question, one function)</t>
        </is>
      </c>
    </row>
    <row r="6" ht="60" customHeight="1">
      <c r="A6" s="3" t="inlineStr">
        <is>
          <t>MK-CF-M-009</t>
        </is>
      </c>
      <c r="B6" s="3" t="inlineStr">
        <is>
          <t>Cashflow</t>
        </is>
      </c>
      <c r="C6" s="3" t="inlineStr">
        <is>
          <t>NA</t>
        </is>
      </c>
      <c r="D6" s="3" t="inlineStr">
        <is>
          <t>YOUR SOURCES — Stock vesting (equity)</t>
        </is>
      </c>
      <c r="E6" s="3" t="inlineStr">
        <is>
          <t>rsuTotal</t>
        </is>
      </c>
      <c r="F6" s="3" t="inlineStr">
        <is>
          <t>NOT ON RECORD — no function is recorded for this figure</t>
        </is>
      </c>
      <c r="G6" s="3" t="inlineStr"/>
      <c r="H6" s="3" t="inlineStr">
        <is>
          <t>equity a year ÷ the vest months it lands in, by the stated weights</t>
        </is>
      </c>
      <c r="I6" s="3" t="inlineStr">
        <is>
          <t>Spreads stock that vests across the months it actually vests in, rather than smoothing it over the year.</t>
        </is>
      </c>
      <c r="J6" s="3" t="inlineStr">
        <is>
          <t>NOT DETERMINED — no input list on record for this function</t>
        </is>
      </c>
      <c r="K6" s="3" t="inlineStr">
        <is>
          <t>US dollars · held to the cent · shown as whole dollars  [derived by rule — confirm]</t>
        </is>
      </c>
      <c r="L6" s="3" t="inlineStr">
        <is>
          <t>$0, and under it the one line "Nothing entered yet. Add your income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(Q-CF-1 — one question, one function)</t>
        </is>
      </c>
    </row>
    <row r="7" ht="60" customHeight="1">
      <c r="A7" s="3" t="inlineStr">
        <is>
          <t>MK-CF-M-010</t>
        </is>
      </c>
      <c r="B7" s="3" t="inlineStr">
        <is>
          <t>Cashflow</t>
        </is>
      </c>
      <c r="C7" s="3" t="inlineStr">
        <is>
          <t>NA</t>
        </is>
      </c>
      <c r="D7" s="3" t="inlineStr">
        <is>
          <t>YOUR SOURCES — Rental property</t>
        </is>
      </c>
      <c r="E7" s="3" t="inlineStr">
        <is>
          <t>rentalTotal</t>
        </is>
      </c>
      <c r="F7" s="3" t="inlineStr">
        <is>
          <t>rentalNetAnnual</t>
        </is>
      </c>
      <c r="G7" s="3" t="inlineStr">
        <is>
          <t>MK-CF-F-068</t>
        </is>
      </c>
      <c r="H7" s="3" t="inlineStr">
        <is>
          <t>rental take-home /year = rent received − running costs</t>
        </is>
      </c>
      <c r="I7" s="3" t="inlineStr">
        <is>
          <t>(income − costs) each month, added across properties, × 12.
A property that costs more than it earns REDUCES income rather than being floored at zero — a loss-making rental is a real fact about a plan.</t>
        </is>
      </c>
      <c r="J7" s="3" t="inlineStr">
        <is>
          <t>each rental → rentalList  [MK-XS-I-023]</t>
        </is>
      </c>
      <c r="K7" s="3" t="inlineStr">
        <is>
          <t>US dollars · held to the cent · shown as whole dollars  [derived by rule — confirm]</t>
        </is>
      </c>
      <c r="L7" s="3" t="inlineStr">
        <is>
          <t>NOT DETERMINED — this function has not been read for its refusal yet.</t>
        </is>
      </c>
      <c r="M7" s="3" t="inlineStr">
        <is>
          <t>One figure per person — or per household when two people share one record  [derived by rule — confirm]</t>
        </is>
      </c>
      <c r="N7" s="3" t="inlineStr">
        <is>
          <t>As of today, from the latest figures held  [derived by rule — confirm]</t>
        </is>
      </c>
      <c r="O7" s="3" t="inlineStr">
        <is>
          <t>1. MK-CF-O-002 (expenses) → Expenses
2. MK-CF-F-067 (rentalList) → NOT DECLARED — the code does not say what it gives back</t>
        </is>
      </c>
      <c r="P7"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Q7" s="3" t="inlineStr">
        <is>
          <t>1. MK-CF-F-068 — Turns a monthly figure into a year by multiplying by twelve.
2. MK-CF-F-150 — Uses a built-in s h o w f i r s t of 5.
3. MK-CF-F-023 — If monthly payment is missing it uses 0.</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1. B20 [CLASH] — The file says "rental take-home /year = rent received − running costs". The code (rentalNetAnnual) is Σ(income − expenses) × 12 — the inputs are MONTHLY and the twelve is what makes it a year. As written, the file's formula gives a month and calls it a year.</t>
        </is>
      </c>
      <c r="AC7" s="3" t="inlineStr">
        <is>
          <t>HAS A FUNCTION — traceable from the screen to the code.</t>
        </is>
      </c>
      <c r="AD7" s="3" t="inlineStr"/>
      <c r="AE7" s="3" t="inlineStr">
        <is>
          <t>B20 — FIXED 2026-08-27</t>
        </is>
      </c>
      <c r="AF7" s="3" t="inlineStr">
        <is>
          <t>ACTIVE</t>
        </is>
      </c>
      <c r="AG7" s="3" t="inlineStr">
        <is>
          <t>2026-09-30</t>
        </is>
      </c>
      <c r="AH7" s="3" t="n"/>
      <c r="AI7" s="3" t="n"/>
      <c r="AJ7" s="3" t="inlineStr">
        <is>
          <t>1. MK-XS-I-016 debt minimum payment — read by MK-CF-F-023
2. MK-XS-I-024 logged expenses — read by MK-CF-F-067, MK-CF-F-068, MK-CF-F-150, MK-CF-F-151, MK-CF-F-153,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(Q-CF-1 — one question, one function)</t>
        </is>
      </c>
    </row>
    <row r="8" ht="60" customHeight="1">
      <c r="A8" s="3" t="inlineStr">
        <is>
          <t>MK-CF-M-011</t>
        </is>
      </c>
      <c r="B8" s="3" t="inlineStr">
        <is>
          <t>Cashflow</t>
        </is>
      </c>
      <c r="C8" s="3" t="inlineStr">
        <is>
          <t>NA</t>
        </is>
      </c>
      <c r="D8" s="3" t="inlineStr">
        <is>
          <t>YOUR SOURCES — Social Security · pension</t>
        </is>
      </c>
      <c r="E8" s="3" t="inlineStr">
        <is>
          <t>guaranteed</t>
        </is>
      </c>
      <c r="F8" s="3" t="inlineStr">
        <is>
          <t>currentRetirementIncomeMonthly</t>
        </is>
      </c>
      <c r="G8" s="3" t="inlineStr">
        <is>
          <t>MK-CF-F-072</t>
        </is>
      </c>
      <c r="H8" s="3" t="inlineStr">
        <is>
          <t>guaranteed income now = Σ(streams already being received)</t>
        </is>
      </c>
      <c r="I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8" s="3" t="inlineStr">
        <is>
          <t>1. do they receive it now → incomeSources  [MK-XS-I-040]
2. the amounts → retirementIncomeMonthly  [MK-XS-I-008]</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As of today, from the latest figures held  [derived by rule — confirm]</t>
        </is>
      </c>
      <c r="O8" s="3" t="inlineStr">
        <is>
          <t>MK-CF-F-075 (retirementIncomeMonthly) → number</t>
        </is>
      </c>
      <c r="P8" s="3" t="inlineStr">
        <is>
          <t>MK-XS-F-122 n → MK-ST-F-052 toNum → MK-CF-F-075 retirementIncomeMonthly → MK-CF-F-072 currentRetirementIncomeMonthly</t>
        </is>
      </c>
      <c r="Q8" s="3" t="inlineStr">
        <is>
          <t>None found anywhere in this chain</t>
        </is>
      </c>
      <c r="R8" s="3" t="inlineStr"/>
      <c r="S8" s="3" t="inlineStr"/>
      <c r="T8" s="3" t="inlineStr">
        <is>
          <t>NOT DETERMINED — no assumption recorded for this figure yet.</t>
        </is>
      </c>
      <c r="U8" s="3" t="inlineStr">
        <is>
          <t>THE SURVIVING IDENTIFIER for this figure. Folded in: MK-PL-M-018, MK-PL-M-032, MK-CF-M-024. Guaranteed income being received now. Shown four ways: "You receive $X/mo" on Social Security timing, "incl. Social Security $X/mo" on the cockpit, as a source on Cash flow, and as a list on Monthly income. One figure, four identifiers.</t>
        </is>
      </c>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AGREES — the figure's arithmetic and the arithmetic of the function it names say the same thing. Checked 2026-08-26.</t>
        </is>
      </c>
      <c r="AC8" s="3" t="inlineStr">
        <is>
          <t>HAS A FUNCTION — traceable from the screen to the code.</t>
        </is>
      </c>
      <c r="AD8" s="3" t="inlineStr"/>
      <c r="AE8" s="3" t="inlineStr">
        <is>
          <t>No finding on this row. That is not a statement that the row is right — only that nothing has been written against it.
G32 / Q48 — RULED 2026-09-09: $0 stays, with the sentence '$0 — nothing entered yet.' and this row's door ('Add your income ›'). File written; the screen follows the approved empty-state mock (one pattern, one screen), then every screen.</t>
        </is>
      </c>
      <c r="AF8" s="3" t="inlineStr">
        <is>
          <t>ACTIVE</t>
        </is>
      </c>
      <c r="AG8" s="3" t="inlineStr">
        <is>
          <t>2026-09-30</t>
        </is>
      </c>
      <c r="AH8" s="3" t="n"/>
      <c r="AI8" s="3" t="n"/>
      <c r="AJ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(Q-PL-2 — one question, one function)</t>
        </is>
      </c>
    </row>
    <row r="9" ht="60" customHeight="1">
      <c r="A9" s="3" t="inlineStr">
        <is>
          <t>MK-CF-M-013</t>
        </is>
      </c>
      <c r="B9" s="3" t="inlineStr">
        <is>
          <t>Cashflow</t>
        </is>
      </c>
      <c r="C9" s="3" t="inlineStr">
        <is>
          <t>NA</t>
        </is>
      </c>
      <c r="D9" s="3" t="inlineStr">
        <is>
          <t>&lt;MONTH&gt; · $X SPENT</t>
        </is>
      </c>
      <c r="E9" s="3" t="inlineStr">
        <is>
          <t>spent</t>
        </is>
      </c>
      <c r="F9" s="3" t="inlineStr">
        <is>
          <t>spendBuckets</t>
        </is>
      </c>
      <c r="G9" s="3" t="inlineStr">
        <is>
          <t>MK-CF-F-004</t>
        </is>
      </c>
      <c r="H9" s="3" t="inlineStr">
        <is>
          <t>spent in a bucket = Σ(expenses this month in that bucket);  debt payments are excluded</t>
        </is>
      </c>
      <c r="I9" s="3" t="inlineStr">
        <is>
          <t>If the person answered category by category, total each category into its bucket. If they gave three summary figures instead, use those. Nothing answered is zero — never a guessed household average, which would put a number in their plan that nobody chose.</t>
        </is>
      </c>
      <c r="J9" s="3" t="inlineStr">
        <is>
          <t>1. the categories → spendCats  [MK-XS-I-032]
2. or the three summary figures → b_fixed, b_nonmonthly, b_flexible  [NOT AN INPUT — another function’s answer; see the dependency column]</t>
        </is>
      </c>
      <c r="K9" s="3" t="inlineStr">
        <is>
          <t>US dollars · held to the cent · shown as whole dollars  [derived by rule — confirm]</t>
        </is>
      </c>
      <c r="L9" s="3" t="inlineStr">
        <is>
          <t>$0, and under it the one line "Nothing entered yet. Log your expenses ›" (mock approved 2026-09-12). A real zero that was entered shows a plain $0 with no line.</t>
        </is>
      </c>
      <c r="M9" s="3" t="inlineStr">
        <is>
          <t>One figure per month  [derived by rule — confirm]</t>
        </is>
      </c>
      <c r="N9" s="3" t="inlineStr">
        <is>
          <t>As of today, from the latest figures held  [derived by rule — confirm]</t>
        </is>
      </c>
      <c r="O9" s="3" t="inlineStr">
        <is>
          <t>1. MK-CF-F-003 (categoryMonthly) → number
2. MK-ST-F-052 (toNum) → number</t>
        </is>
      </c>
      <c r="P9"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9"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9" s="3" t="inlineStr">
        <is>
          <t>HAS A FUNCTION — traceable from the screen to the code.</t>
        </is>
      </c>
      <c r="AD9" s="3" t="inlineStr"/>
      <c r="AE9" s="3" t="inlineStr">
        <is>
          <t>B02 — NOT A DEFECT 2026-08-26
G32 / Q48 — RULED 2026-09-09: $0 stays, with the sentence '$0 — nothing entered yet.' and this row's door ('Log your expenses ›'). File written; the screen follows the approved empty-state mock (one pattern, one screen), then every screen.</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(Q-CF-2 — one question, one function)</t>
        </is>
      </c>
    </row>
    <row r="10" ht="60" customHeight="1">
      <c r="A10" s="3" t="inlineStr">
        <is>
          <t>MK-CF-M-014</t>
        </is>
      </c>
      <c r="B10" s="3" t="inlineStr">
        <is>
          <t>Cashflow</t>
        </is>
      </c>
      <c r="C10" s="3" t="inlineStr">
        <is>
          <t>NA</t>
        </is>
      </c>
      <c r="D10" s="3" t="inlineStr">
        <is>
          <t>each expense and its amount</t>
        </is>
      </c>
      <c r="E10" s="3" t="inlineStr">
        <is>
          <t>e.amount</t>
        </is>
      </c>
      <c r="F10" s="3" t="inlineStr">
        <is>
          <t>spendBuckets</t>
        </is>
      </c>
      <c r="G10" s="3" t="inlineStr">
        <is>
          <t>MK-CF-F-004</t>
        </is>
      </c>
      <c r="H10" s="3" t="inlineStr">
        <is>
          <t>spent in a bucket = Σ(expenses this month in that bucket);  debt payments are excluded</t>
        </is>
      </c>
      <c r="I10" s="3" t="inlineStr">
        <is>
          <t>If the person answered category by category, total each category into its bucket. If they gave three summary figures instead, use those. Nothing answered is zero — never a guessed household average, which would put a number in their plan that nobody chose.</t>
        </is>
      </c>
      <c r="J10" s="3" t="inlineStr">
        <is>
          <t>1. the categories → spendCats  [MK-XS-I-032]
2. or the three summary figures → b_fixed, b_nonmonthly, b_flexible  [NOT AN INPUT — another function’s answer; see the dependency column]</t>
        </is>
      </c>
      <c r="K10" s="3" t="inlineStr">
        <is>
          <t>US dollars · held to the cent · shown as whole dollars  [derived by rule — confirm]</t>
        </is>
      </c>
      <c r="L10" s="3" t="inlineStr">
        <is>
          <t>$0, and under it the one line "Nothing entered yet. Log your expenses ›" (mock approved 2026-09-12). A real zero that was entered shows a plain $0 with no line.</t>
        </is>
      </c>
      <c r="M10" s="3" t="inlineStr">
        <is>
          <t>One figure per person — or per household when two people share one record  [derived by rule — confirm]</t>
        </is>
      </c>
      <c r="N10" s="3" t="inlineStr">
        <is>
          <t>As of today, from the latest figures held  [derived by rule — confirm]</t>
        </is>
      </c>
      <c r="O10" s="3" t="inlineStr">
        <is>
          <t>1. MK-CF-F-003 (categoryMonthly) → number
2. MK-ST-F-052 (toNum) → number</t>
        </is>
      </c>
      <c r="P10"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Q10"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0" s="3" t="inlineStr">
        <is>
          <t>HAS A FUNCTION — traceable from the screen to the code.</t>
        </is>
      </c>
      <c r="AD10" s="3" t="inlineStr"/>
      <c r="AE10" s="3" t="inlineStr">
        <is>
          <t>B02 — NOT A DEFECT 2026-08-26
G32 / Q48 — RULED 2026-09-09: $0 stays, with the sentence '$0 — nothing entered yet.' and this row's door ('Log your expenses ›'). File written; the screen follows the approved empty-state mock (one pattern, one screen), then every screen.</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(Q-CF-2 — one question, one function)</t>
        </is>
      </c>
    </row>
    <row r="11" ht="60" customHeight="1">
      <c r="A11" s="3" t="inlineStr">
        <is>
          <t>MK-CF-M-015</t>
        </is>
      </c>
      <c r="B11" s="3" t="inlineStr">
        <is>
          <t>Cashflow</t>
        </is>
      </c>
      <c r="C11" s="3" t="inlineStr">
        <is>
          <t>NA</t>
        </is>
      </c>
      <c r="D11" s="3" t="inlineStr">
        <is>
          <t>BY CATEGORY VS PLAN — $X of $Y</t>
        </is>
      </c>
      <c r="E11" s="3" t="inlineStr">
        <is>
          <t>b.spent / b.planned</t>
        </is>
      </c>
      <c r="F11" s="3" t="inlineStr">
        <is>
          <t>plannedMonthlySpend</t>
        </is>
      </c>
      <c r="G11" s="3" t="inlineStr">
        <is>
          <t>MK-CF-F-002</t>
        </is>
      </c>
      <c r="H11" s="3" t="inlineStr">
        <is>
          <t>planned a month = Σ(each category’s planned amount);  remaining = planned − spent</t>
        </is>
      </c>
      <c r="I11"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11" s="3" t="inlineStr">
        <is>
          <t>1. the categories → SPENDING_BY_KIND  [MK-XS-I-032]
2. the single figure → monthlySpending  [MK-XS-I-024, MK-XS-I-030]</t>
        </is>
      </c>
      <c r="K11" s="3" t="inlineStr">
        <is>
          <t>US dollars · held to the cent · shown as whole dollars  [derived by rule — confirm]</t>
        </is>
      </c>
      <c r="L11" s="3" t="inlineStr">
        <is>
          <t>$0, and under it the one line "Nothing entered yet. Log your expenses ›" (mock approved 2026-09-12). A real zero that was entered shows a plain $0 with no line.</t>
        </is>
      </c>
      <c r="M11" s="3" t="inlineStr">
        <is>
          <t>One figure per category  [derived by rule — confirm]</t>
        </is>
      </c>
      <c r="N11" s="3" t="inlineStr">
        <is>
          <t>As of today, from the latest figures held  [derived by rule — confirm]</t>
        </is>
      </c>
      <c r="O11" s="3" t="inlineStr">
        <is>
          <t>1. MK-CF-F-092 (incomeMonthlyGrid) → NOT DECLARED — the code does not say what it gives back
2. MK-CF-F-004 (spendBuckets) → NOT DECLARED — the code does not say what it gives back
3. MK-XS-F-027 (takeHomeMonthly) → number
4. MK-ST-F-052 (toNum) → number</t>
        </is>
      </c>
      <c r="P11"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11"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11" s="3" t="inlineStr"/>
      <c r="S11" s="3" t="inlineStr"/>
      <c r="T11"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1" s="3" t="inlineStr">
        <is>
          <t>THE SURVIVING IDENTIFIER for this figure. Folded in: MK-MN-M-007. Expenses against plan for a category — the same comparison on Cash flow and on the expense screen. CONFIRM: the expense screen adds the amount being typed, which may make it a different figure.</t>
        </is>
      </c>
      <c r="V11" s="3" t="inlineStr"/>
      <c r="W11" s="3" t="inlineStr"/>
      <c r="X11" s="3" t="inlineStr"/>
      <c r="Y11" s="3" t="inlineStr">
        <is>
          <t>NOT DETERMINED</t>
        </is>
      </c>
      <c r="Z11" s="3" t="inlineStr">
        <is>
          <t>VERIFIED 2026-08-22</t>
        </is>
      </c>
      <c r="AA11"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11" s="3" t="inlineStr">
        <is>
          <t>HAS A FUNCTION — traceable from the screen to the code.</t>
        </is>
      </c>
      <c r="AD11" s="3" t="inlineStr">
        <is>
          <t>B26 — This month · Expenses — the pace bar measures against nothing when no categories are set</t>
        </is>
      </c>
      <c r="AE11" s="3" t="inlineStr">
        <is>
          <t>B26 — OPEN — RE-VERIFY ON DEVICE 2026-09-12
G32 / Q48 — RULED 2026-09-09: $0 stays, with the sentence '$0 — nothing entered yet.' and this row's door ('Log your expenses ›'). File written; the screen follows the approved empty-state mock (one pattern, one screen), then every screen.</t>
        </is>
      </c>
      <c r="AF11" s="3" t="inlineStr">
        <is>
          <t>ACTIVE</t>
        </is>
      </c>
      <c r="AG11" s="3" t="inlineStr">
        <is>
          <t>2026-09-30</t>
        </is>
      </c>
      <c r="AH11" s="3" t="n"/>
      <c r="AI11" s="3" t="n"/>
      <c r="AJ1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(Q-CF-2 — one question, one function) · OPEN FINDING B26</t>
        </is>
      </c>
    </row>
    <row r="12" ht="60" customHeight="1">
      <c r="A12" s="3" t="inlineStr">
        <is>
          <t>MK-CF-M-018</t>
        </is>
      </c>
      <c r="B12" s="3" t="inlineStr">
        <is>
          <t>Cashflow</t>
        </is>
      </c>
      <c r="C12" s="3" t="inlineStr">
        <is>
          <t>NA</t>
        </is>
      </c>
      <c r="D12" s="3" t="inlineStr">
        <is>
          <t>THIS MONTH — In (take-home)</t>
        </is>
      </c>
      <c r="E12" s="3" t="inlineStr">
        <is>
          <t>inflow</t>
        </is>
      </c>
      <c r="F12" s="3" t="inlineStr">
        <is>
          <t>incomeMonthlyGrid</t>
        </is>
      </c>
      <c r="G12" s="3" t="inlineStr">
        <is>
          <t>MK-CF-F-092</t>
        </is>
      </c>
      <c r="H12" s="3" t="inlineStr">
        <is>
          <t>money in month m = salary(m) + tips(m) + self-employment(m) + rental after costs(m) + investment income(m) + other income(m) + bonus(m) + signing bonus(m) + equity vesting(m) + benefits(m) + family support(m) − withholding(m) − pre-tax contributions(m)</t>
        </is>
      </c>
      <c r="I12" s="3" t="inlineStr">
        <is>
          <t>Builds twelve months of money in, one month at a time. Salary comes from the per-month table, equity lands in the months it vests, the bonus lands in its own month, and each month has its own withholding rate.</t>
        </is>
      </c>
      <c r="J12" s="3" t="inlineStr">
        <is>
          <t>NOT DETERMINED — no input list on record for this function</t>
        </is>
      </c>
      <c r="K12" s="3" t="inlineStr">
        <is>
          <t>US dollars · held to the cent · shown as whole dollars  [derived by rule — confirm]</t>
        </is>
      </c>
      <c r="L12" s="3" t="inlineStr">
        <is>
          <t>A division: with nothing on the bottom there is no answer, and the line must not appear as zero. NOT YET CONFIRMED against the function.</t>
        </is>
      </c>
      <c r="M12" s="3" t="inlineStr">
        <is>
          <t>One figure per month  [derived by rule — confirm]</t>
        </is>
      </c>
      <c r="N12" s="3" t="inlineStr">
        <is>
          <t>This calendar month, to today  [derived by rule — confirm]</t>
        </is>
      </c>
      <c r="O12" s="3" t="inlineStr">
        <is>
          <t>1. MK-CF-F-069 (benefitActiveMonths) → number[]
2. MK-CF-F-072 (currentRetirementIncomeMonthly) → number
3. MK-CF-F-065 (equityVestWeights) → number[] | null
4. MK-CF-F-071 (extraIncome) → NOT DECLARED — the code does not say what it gives back
5. MK-ST-F-056 (has) → NOT DECLARED — the code does not say what it gives back
6. MK-CF-F-206 (householdK401ByMonth) → number[]
7. MK-CF-F-132 (map) → NOT DECLARED — the code does not say what it gives back
8. MK-CF-F-087 (monthlyTaxRates) → number[]
9. MK-CF-F-073 (otherIncomeMonth) → number
10. MK-CF-F-181 (rateInForce) → RateInForce
11. MK-CF-F-068 (rentalNetAnnual) → number
12. MK-CF-F-066 (rsuAnnual) → number
13. MK-CF-F-060 (salaryGrossByMonth) → number[]
14. MK-CF-F-077 (scholarshipByCalendarMonth) → number[]
15. MK-CF-F-088 (taxableByCalendarMonth) → number[]
16. MK-ST-F-052 (toNum) → number
17. MK-PL-F-012 (waterfall) → NOT DECLARED — the code does not say what it gives back</t>
        </is>
      </c>
      <c r="P12"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Q12"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MK-CF-F-176 — If r[i] is missing it counts as zero, so nothing recorded and a real zero look the same.
15. MK-CF-F-177 — Uses today's date from the device clock, so the answer changes by itself overnight.
16. MK-CF-F-089 — Uses today's date from the device clock, so the answer changes by itself overnight.
17. MK-CF-F-098 — Never lets g fall below 0.
18. MK-CF-F-098 — Never lets state rate fall below 0.
19. MK-CF-F-180 — Uses a built-in total of 0.
20. MK-CF-F-082 — Uses today's date from the device clock, so the answer changes by itself overnight.
21. MK-CF-F-084 — Turns a monthly figure into a year by multiplying by twelve.
22. MK-CF-F-084 — Uses today's date from the device clock, so the answer changes by itself overnight.
23. MK-CF-F-063 — Uses today's date from the device clock, so the answer changes by itself overnight.
24. MK-CF-F-130 — If salary freq] is missing it uses 12.
25. MK-ST-F-036 — If cash is missing it uses 0.
… and 40 more, on the functions tab</t>
        </is>
      </c>
      <c r="R12" s="3" t="inlineStr"/>
      <c r="S12" s="3" t="inlineStr"/>
      <c r="T12" s="3" t="inlineStr">
        <is>
          <t>NOT DETERMINED — no assumption recorded for this figure yet.</t>
        </is>
      </c>
      <c r="U12" s="3" t="inlineStr">
        <is>
          <t>THE SAME FIGURE AS MK-XS-M-006 — Money in this month. "In (take-home)" on Cash flow is the same figure as "Income" on Home.</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12" s="3" t="inlineStr">
        <is>
          <t>HAS A FUNCTION — traceable from the screen to the code.</t>
        </is>
      </c>
      <c r="AD12" s="3" t="inlineStr">
        <is>
          <t>B27 — Base salary · This month — take-home shown up to $1,600/mo adrift from what was typed
B34 — This month · Expenses — dividends counted as spendable, so surplus reads $250/mo too high</t>
        </is>
      </c>
      <c r="AE12" s="3" t="inlineStr">
        <is>
          <t>B27 — FIXED 2026-09-01
B34 — OPEN — YOUR DECISION 2026-09-12
B25 — FIXED 2026-09-12</t>
        </is>
      </c>
      <c r="AF12" s="3" t="inlineStr">
        <is>
          <t>SUPERSEDED BY MK-XS-M-006 — the same figure under another identifier. This number is retired and is never handed to anything else.</t>
        </is>
      </c>
      <c r="AG12" s="3" t="inlineStr">
        <is>
          <t>2026-08-27</t>
        </is>
      </c>
      <c r="AH12" s="3" t="n"/>
      <c r="AI12" s="3" t="n"/>
      <c r="AJ1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(Q-CF-2 — one question, one function) · OPEN FINDING B34</t>
        </is>
      </c>
    </row>
    <row r="13" ht="60" customHeight="1">
      <c r="A13" s="3" t="inlineStr">
        <is>
          <t>MK-CF-M-019</t>
        </is>
      </c>
      <c r="B13" s="3" t="inlineStr">
        <is>
          <t>Cashflow</t>
        </is>
      </c>
      <c r="C13" s="3" t="inlineStr">
        <is>
          <t>NA</t>
        </is>
      </c>
      <c r="D13" s="3" t="inlineStr">
        <is>
          <t>THIS MONTH — Out (bills + debt)</t>
        </is>
      </c>
      <c r="E13" s="3" t="inlineStr">
        <is>
          <t>outflow</t>
        </is>
      </c>
      <c r="F13" s="3" t="inlineStr">
        <is>
          <t>1. spendBuckets
2. requiredPayment</t>
        </is>
      </c>
      <c r="G13" s="3" t="inlineStr">
        <is>
          <t>1. MK-CF-F-004
2. MK-CF-F-023</t>
        </is>
      </c>
      <c r="H13" s="3" t="inlineStr">
        <is>
          <t>money out = Σ(expenses this month) + Σ(required debt payments)</t>
        </is>
      </c>
      <c r="I13" s="3" t="inlineStr">
        <is>
          <t>If the person answered category by category, total each category into its bucket. If they gave three summary figures instead, use those. Nothing answered is zero — never a guessed household average, which would put a number in their plan that nobody chose. · Due in full → 0. It is a dated bill, and calling it a monthly payment overstates what a person is committed to. Otherwise the LARGER of the minimum and whatever payment they have chosen, so overpaying on purpose shows up.</t>
        </is>
      </c>
      <c r="J13" s="3" t="inlineStr">
        <is>
          <t>1. the categories → spendCats  [MK-XS-I-032]
2. or the three summary figures → b_fixed, b_nonmonthly, b_flexible  [NOT AN INPUT — another function’s answer; see the dependency column]
3. shape → paymentShape  [MK-XS-I-042]
4. minimum → minimum_monthly_payment  [MK-XS-I-016]
5. chosen → monthly_payment  [MK-XS-I-041]</t>
        </is>
      </c>
      <c r="K13" s="3" t="inlineStr">
        <is>
          <t>US dollars · held to the cent · shown as whole dollars  [derived by rule — confirm]</t>
        </is>
      </c>
      <c r="L13" s="3" t="inlineStr">
        <is>
          <t>$0, and under it the one line "Nothing entered yet. Add your bills ›" (mock approved 2026-09-12). A real zero that was entered shows a plain $0 with no line.</t>
        </is>
      </c>
      <c r="M13" s="3" t="inlineStr">
        <is>
          <t>One figure per debt, and one total per person  [derived by rule — confirm]</t>
        </is>
      </c>
      <c r="N13" s="3" t="inlineStr">
        <is>
          <t>This calendar month, to today  [derived by rule — confirm]</t>
        </is>
      </c>
      <c r="O13" s="3" t="inlineStr">
        <is>
          <t>1. MK-CF-F-003 (categoryMonthly) → number
2. MK-ST-F-052 (toNum) → number
3. MK-CF-F-022 (paymentShape) → NonNullable&lt;Debt['payment_type']&gt;</t>
        </is>
      </c>
      <c r="P13"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
10. MK-CF-F-021 defaultPaymentType → MK-CF-F-022 paymentShape → MK-CF-F-023 requiredPayment</t>
        </is>
      </c>
      <c r="Q13" s="3" t="inlineStr">
        <is>
          <t>1. MK-CF-F-003 — Turns a monthly figure into a year by multiplying by twelve.
2. MK-CF-F-092 — Uses today's date from the device clock, so the answer changes by itself overnight.
3. MK-CF-F-065 — Uses a built-in total v of 0.
4. MK-CF-F-087 — Uses today's date from the device clock, so the answer changes by itself overnight.
5. MK-CF-F-181 — Turns a monthly figure into a year by multiplying by twelve.
6. MK-CF-F-181 — Rounds the answer to a whole number.
7. MK-CF-F-068 — Turns a monthly figure into a year by multiplying by twelve.
8. MK-CF-F-088 — Uses today's date from the device clock, so the answer changes by itself overnight.
9. MK-CF-F-088 — Never lets t fall below 0.
10. MK-PL-F-012 — If emergency gap is missing it uses 0.
11. MK-PL-F-012 — If toxic debt is missing it uses 0.
12. MK-PL-F-012 — If employer match monthly is missing it uses 0.
13. MK-PL-F-012 — Never lets surplus fall below 0.
14. MK-PL-F-012 — Never lets need fall below 0.
15. MK-CF-F-008 — Treats a year as twelve equal months.
16. MK-CF-F-008 — Turns a monthly figure into a year by multiplying by twelve.
17. MK-CF-F-176 — If r[i] is missing it counts as zero, so nothing recorded and a real zero look the same.
18. MK-CF-F-177 — Uses today's date from the device clock, so the answer changes by itself overnight.
19. MK-CF-F-089 — Uses today's date from the device clock, so the answer changes by itself overnight.
20. MK-CF-F-098 — Never lets g fall below 0.
21. MK-CF-F-098 — Never lets state rate fall below 0.
22. MK-CF-F-180 — Uses a built-in total of 0.
23. MK-CF-F-082 — Uses today's date from the device clock, so the answer changes by itself overnight.
24. MK-CF-F-084 — Turns a monthly figure into a year by multiplying by twelve.
25. MK-CF-F-084 — Uses today's date from the device clock, so the answer changes by itself overnight.
… and 40 more, on the functions tab</t>
        </is>
      </c>
      <c r="R13" s="3" t="inlineStr"/>
      <c r="S13" s="3" t="inlineStr"/>
      <c r="T13" s="3" t="inlineStr">
        <is>
          <t>NOT DETERMINED — no assumption recorded for this figure yet.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3" s="3" t="inlineStr"/>
      <c r="V13" s="3" t="inlineStr"/>
      <c r="W13" s="3" t="inlineStr"/>
      <c r="X13" s="3" t="inlineStr"/>
      <c r="Y13" s="3" t="inlineStr">
        <is>
          <t>NOT DETERMINED</t>
        </is>
      </c>
      <c r="Z13" s="3" t="inlineStr">
        <is>
          <t>VERIFIED 2026-08-22</t>
        </is>
      </c>
      <c r="AA1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1. B01 [CLASH] — The file says the required payment is "the stated minimum, or interest + 1% of balance when none is stated". The code (requiredPayment, src/domain/debt/index.ts:44) is the LARGER of the stated minimum and the payment the person chose, falling back to the stated minimum — and ZERO for a debt due in full as a lump. There is no interest term and no 1% anywhere in the debt code. The file describes a rule that was never built.
2. B02 [CLASH] — The file says "spent in a bucket = Σ(expenses this month in that bucket)". The code (spendBuckets, src/domain/budget/index.ts:72) reads the PLANNED categories the person set up, or the older planned fields — it never looks at a logged expense at all. Planned is being shown where spent is promised. One of these figures is labelled "Using $X/mo from your LOGGED expenses" on screen, which makes it a wrong word in front of the person as well as a wrong number. This is the same class as bug B-24.</t>
        </is>
      </c>
      <c r="AC13" s="3" t="inlineStr">
        <is>
          <t>HAS A FUNCTION — traceable from the screen to the code.</t>
        </is>
      </c>
      <c r="AD13" s="3" t="inlineStr">
        <is>
          <t>B01 — This month — a debt with no stated minimum shows $0/mo and prefills the pay dialog with $0</t>
        </is>
      </c>
      <c r="AE13" s="3" t="inlineStr">
        <is>
          <t>B01 — FIXED 2026-09-08
B02 — NOT A DEFECT 2026-08-26
G32 / Q48 — RULED 2026-09-09: $0 stays, with the sentence '$0 — nothing entered yet.' and this row's door ('Add your bills ›'). File written; the screen follows the approved empty-state mock (one pattern, one screen), then every screen.</t>
        </is>
      </c>
      <c r="AF13" s="3" t="inlineStr">
        <is>
          <t>ACTIVE</t>
        </is>
      </c>
      <c r="AG13" s="3" t="inlineStr">
        <is>
          <t>2026-09-30</t>
        </is>
      </c>
      <c r="AH13" s="3" t="n"/>
      <c r="AI13" s="3" t="n"/>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RULED, NOT CODED (Q-CF-2 — one question, one function)</t>
        </is>
      </c>
    </row>
    <row r="14" ht="60" customHeight="1">
      <c r="A14" s="3" t="inlineStr">
        <is>
          <t>MK-CF-M-020</t>
        </is>
      </c>
      <c r="B14" s="3" t="inlineStr">
        <is>
          <t>Cashflow</t>
        </is>
      </c>
      <c r="C14" s="3" t="inlineStr">
        <is>
          <t>NA</t>
        </is>
      </c>
      <c r="D14" s="3" t="inlineStr">
        <is>
          <t>THIS MONTH — free to use</t>
        </is>
      </c>
      <c r="E14" s="3" t="inlineStr">
        <is>
          <t>free</t>
        </is>
      </c>
      <c r="F14" s="3" t="inlineStr">
        <is>
          <t>Worked out on the screen itself — no function behind it</t>
        </is>
      </c>
      <c r="G14" s="3" t="inlineStr"/>
      <c r="H14" s="3" t="inlineStr">
        <is>
          <t>free to use = money in − money out − Σ(monthly amounts the Plan committed)</t>
        </is>
      </c>
      <c r="I14" s="3" t="inlineStr">
        <is>
          <t>Worked out on the screen itself, with no function behind it — a place a second definition can appear.</t>
        </is>
      </c>
      <c r="J14" s="3" t="inlineStr">
        <is>
          <t>NOT DETERMINED — no input list on record for this function</t>
        </is>
      </c>
      <c r="K14" s="3" t="inlineStr">
        <is>
          <t>US dollars · held to the cent · shown as whole dollars  [derived by rule — confirm]</t>
        </is>
      </c>
      <c r="L14" s="3" t="inlineStr">
        <is>
          <t>Inherits the refusal of the figures it is built from: if either side is missing, this line is not shown.</t>
        </is>
      </c>
      <c r="M14" s="3" t="inlineStr">
        <is>
          <t>One figure per month  [derived by rule — confirm]</t>
        </is>
      </c>
      <c r="N14" s="3" t="inlineStr">
        <is>
          <t>This calendar month, to today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7" t="inlineStr">
        <is>
          <t>RULED, NOT CODED (Q-CF-2 — one question, one function)</t>
        </is>
      </c>
    </row>
    <row r="15" ht="60" customHeight="1">
      <c r="A15" s="3" t="inlineStr">
        <is>
          <t>MK-CF-M-021</t>
        </is>
      </c>
      <c r="B15" s="3" t="inlineStr">
        <is>
          <t>Cashflow</t>
        </is>
      </c>
      <c r="C15" s="3" t="inlineStr">
        <is>
          <t>NA</t>
        </is>
      </c>
      <c r="D15" s="3" t="inlineStr">
        <is>
          <t>&lt;goal&gt; · from your Plan</t>
        </is>
      </c>
      <c r="E15" s="3" t="inlineStr">
        <is>
          <t>c.monthlyAmount</t>
        </is>
      </c>
      <c r="F15" s="3" t="inlineStr">
        <is>
          <t>NOT ON RECORD — no function is recorded for this figure</t>
        </is>
      </c>
      <c r="G15" s="3" t="inlineStr"/>
      <c r="H15" s="3" t="inlineStr">
        <is>
          <t>Σ(monthly amount of each goal the Plan has committed to)</t>
        </is>
      </c>
      <c r="I15" s="3" t="inlineStr">
        <is>
          <t>The monthly amounts the Plan has already promised to goals, so cash flow can show what is genuinely free.</t>
        </is>
      </c>
      <c r="J15" s="3" t="inlineStr">
        <is>
          <t>NOT DETERMINED — no input list on record for this function</t>
        </is>
      </c>
      <c r="K15" s="3" t="inlineStr">
        <is>
          <t>US dollars · held to the cent · shown as whole dollars  [derived by rule — confirm]</t>
        </is>
      </c>
      <c r="L15" s="3" t="inlineStr">
        <is>
          <t>$0, and under it the one line "Nothing entered yet. Add a goal ›" (mock approved 2026-09-12). A real zero that was entered shows a plain $0 with no line.</t>
        </is>
      </c>
      <c r="M15" s="3" t="inlineStr">
        <is>
          <t>One figure per goal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7" t="inlineStr">
        <is>
          <t>RULED, NOT CODED (Q-PL-6 — one question, one function)</t>
        </is>
      </c>
    </row>
    <row r="16" ht="60" customHeight="1">
      <c r="A16" s="3" t="inlineStr">
        <is>
          <t>MK-CF-M-022</t>
        </is>
      </c>
      <c r="B16" s="3" t="inlineStr">
        <is>
          <t>Cashflow</t>
        </is>
      </c>
      <c r="C16" s="3" t="inlineStr">
        <is>
          <t>NA</t>
        </is>
      </c>
      <c r="D16" s="3" t="inlineStr">
        <is>
          <t>YOUR FUTURE PAYCHECK — At &lt;age&gt;: ~$X / mo</t>
        </is>
      </c>
      <c r="E16" s="3" t="inlineStr">
        <is>
          <t>projection.monthly</t>
        </is>
      </c>
      <c r="F16" s="3" t="inlineStr">
        <is>
          <t>1. buildPaycheckYear (the draw from savings)
2. guaranteedOutsideStreams (summed)
3. simulate (the projected pot it draws from)</t>
        </is>
      </c>
      <c r="G16" s="3" t="inlineStr">
        <is>
          <t>1. MK-CF-F-107
2. MK-CF-F-076
3. MK-PL-F-050</t>
        </is>
      </c>
      <c r="H16"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16"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16" s="3" t="inlineStr">
        <is>
          <t>the same inputs → inp  [MK-XS-I-001]</t>
        </is>
      </c>
      <c r="K16" s="3" t="inlineStr">
        <is>
          <t>Age in whole years  [derived by rule — confirm]</t>
        </is>
      </c>
      <c r="L16" s="3" t="inlineStr">
        <is>
          <t>No figure when there is nothing to grow, or when retirement is not ahead of the person.</t>
        </is>
      </c>
      <c r="M16" s="3" t="inlineStr">
        <is>
          <t>One figure per person — or per household when two people share one record  [derived by rule — confirm]</t>
        </is>
      </c>
      <c r="N16" s="3" t="inlineStr">
        <is>
          <t>As of today, from the latest figures held  [derived by rule — confirm]</t>
        </is>
      </c>
      <c r="O16"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1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16"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16" s="3" t="inlineStr"/>
      <c r="S16" s="3" t="inlineStr">
        <is>
          <t>The Net worth screen builds this projection WITHOUT the person's big costs, while Cash flow, Budget, Goals and Social Security timing all include them. Same person, same day, two different nest eggs. Seen in the code; not yet confirmed on screen.</t>
        </is>
      </c>
      <c r="T16"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16" s="3" t="inlineStr"/>
      <c r="V16" s="3" t="inlineStr"/>
      <c r="W16" s="3" t="inlineStr"/>
      <c r="X16" s="3" t="inlineStr"/>
      <c r="Y16" s="3" t="inlineStr">
        <is>
          <t>NOT DETERMINED</t>
        </is>
      </c>
      <c r="Z16" s="3" t="inlineStr">
        <is>
          <t>VERIFIED 2026-08-22</t>
        </is>
      </c>
      <c r="AA16"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16" s="3" t="inlineStr">
        <is>
          <t>HAS A FUNCTION — traceable from the screen to the code.</t>
        </is>
      </c>
      <c r="AD16" s="3" t="inlineStr">
        <is>
          <t>B11 — This month — the future-paycheck figure omits contribution growth the code applies</t>
        </is>
      </c>
      <c r="AE16" s="3" t="inlineStr">
        <is>
          <t>A44 — NOT A DEFECT 2026-08-26
B11 — FIXED 2026-09-12
G17 — the draw from savings behind this figure now runs 1,000 futures (was 300). Closed 2026-09-08.
G14 — CLOSED 2026-09-08: the row now names the three real producers and states the draw rule. File matches code; no code change.</t>
        </is>
      </c>
      <c r="AF16" s="3" t="inlineStr">
        <is>
          <t>ACTIVE</t>
        </is>
      </c>
      <c r="AG16" s="3" t="inlineStr">
        <is>
          <t>2026-09-27</t>
        </is>
      </c>
      <c r="AH16" s="3" t="n"/>
      <c r="AI16" s="3" t="n"/>
      <c r="AJ16"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MK-PL-F-012
21. MK-XS-I-028 assumed return — read by MK-CF-F-106, MK-NW-O-001, MK-PL-F-050
22. MK-XS-I-029 inflation rate — read by MK-CF-F-106, MK-PL-F-050
23. MK-XS-I-030 tax filing status and age — read by MK-CF-F-085, MK-CF-F-089, MK-CF-F-098, MK-CF-F-099, MK-CF-F-100, MK-CF-F-101, MK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7" t="inlineStr">
        <is>
          <t>RULED, NOT CODED (Q-PL-2 — one question, one function)</t>
        </is>
      </c>
    </row>
    <row r="17" ht="60" customHeight="1">
      <c r="A17" s="3" t="inlineStr">
        <is>
          <t>MK-CF-M-023</t>
        </is>
      </c>
      <c r="B17" s="3" t="inlineStr">
        <is>
          <t>Cashflow</t>
        </is>
      </c>
      <c r="C17" s="3" t="inlineStr">
        <is>
          <t>NA</t>
        </is>
      </c>
      <c r="D17" s="3" t="inlineStr">
        <is>
          <t>YOUR FUTURE PAYCHECK — Social Security · pension</t>
        </is>
      </c>
      <c r="E17" s="3" t="inlineStr">
        <is>
          <t>projection.guaranteed</t>
        </is>
      </c>
      <c r="F17" s="3" t="inlineStr">
        <is>
          <t>guaranteedOutsideStreams (summed)</t>
        </is>
      </c>
      <c r="G17" s="3" t="inlineStr">
        <is>
          <t>MK-CF-F-076</t>
        </is>
      </c>
      <c r="H17" s="3" t="inlineStr">
        <is>
          <t>guaranteed income a month = Social Security + pension + annuity + other stated income — the four OUTSIDE sources, each converted to a monthly figure</t>
        </is>
      </c>
      <c r="I17"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17" s="3" t="inlineStr">
        <is>
          <t>1. Social Security → ri_ss [MK-XS-I-020]
2. pension → ri_pension [MK-XS-I-022]
3. annuity → ri_annuities [MK-XS-I-035]
4. other → ri_other [MK-XS-I-036]
5. how often each arrives → the matching frequency [MK-XS-I-039]</t>
        </is>
      </c>
      <c r="K17" s="3" t="inlineStr">
        <is>
          <t>US dollars · held to the cent · shown as whole dollars  [derived by rule — confirm]</t>
        </is>
      </c>
      <c r="L17" s="3" t="inlineStr">
        <is>
          <t>NOT DETERMINED — this function has not been read for its refusal yet.</t>
        </is>
      </c>
      <c r="M17" s="3" t="inlineStr">
        <is>
          <t>One figure per person — or per household when two people share one record  [derived by rule — confirm]</t>
        </is>
      </c>
      <c r="N17" s="3" t="inlineStr">
        <is>
          <t>As of today, from the latest figures held  [derived by rule — confirm]</t>
        </is>
      </c>
      <c r="O17" s="3" t="inlineStr">
        <is>
          <t>MK-ST-F-052 (toNum) → number</t>
        </is>
      </c>
      <c r="P17" s="3" t="inlineStr">
        <is>
          <t>MK-XS-F-122 n → MK-ST-F-052 toNum → MK-CF-F-075 retirementIncomeMonthly</t>
        </is>
      </c>
      <c r="Q17" s="3" t="inlineStr">
        <is>
          <t>None found anywhere in this chain</t>
        </is>
      </c>
      <c r="R17" s="3" t="inlineStr"/>
      <c r="S17" s="3" t="inlineStr"/>
      <c r="T17" s="3" t="inlineStr">
        <is>
          <t>NOT DETERMINED — no assumption recorded for this figure yet.
[Founder] brief Q-38 (2026-08-20): the paycheck DISPLAY shows every line; the plan's guaranteed INPUT — and this card's guaranteed line, which sits beside a savings draw — takes outside money only.</t>
        </is>
      </c>
      <c r="U17" s="3" t="inlineStr"/>
      <c r="V17" s="3" t="inlineStr"/>
      <c r="W17" s="3"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AGREES — the figure's arithmetic and the arithmetic of the function it names say the same thing. Checked 2026-08-26.</t>
        </is>
      </c>
      <c r="AC17" s="3" t="inlineStr">
        <is>
          <t>HAS A FUNCTION — traceable from the screen to the code.</t>
        </is>
      </c>
      <c r="AD17" s="3" t="inlineStr"/>
      <c r="AE17" s="3" t="inlineStr">
        <is>
          <t>No finding on this row. That is not a statement that the row is right — only that nothing has been written against it.
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17" s="3" t="inlineStr">
        <is>
          <t>ACTIVE</t>
        </is>
      </c>
      <c r="AG17" s="3" t="inlineStr">
        <is>
          <t>2026-09-30</t>
        </is>
      </c>
      <c r="AH17" s="3" t="n"/>
      <c r="AI17" s="3" t="n"/>
      <c r="AJ17"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7" t="inlineStr">
        <is>
          <t>RULED, NOT CODED (Q-PL-2 — one question, one function)</t>
        </is>
      </c>
    </row>
    <row r="18" ht="60" customHeight="1">
      <c r="A18" s="3" t="inlineStr">
        <is>
          <t>MK-CF-M-024</t>
        </is>
      </c>
      <c r="B18" s="3" t="inlineStr">
        <is>
          <t>Cashflow</t>
        </is>
      </c>
      <c r="C18" s="3" t="inlineStr">
        <is>
          <t>/monthly-income</t>
        </is>
      </c>
      <c r="D18" s="3" t="inlineStr">
        <is>
          <t>each source of guaranteed income</t>
        </is>
      </c>
      <c r="E18" s="3" t="inlineStr">
        <is>
          <t>g.amount</t>
        </is>
      </c>
      <c r="F18" s="3" t="inlineStr">
        <is>
          <t>currentRetirementIncomeMonthly</t>
        </is>
      </c>
      <c r="G18" s="3" t="inlineStr">
        <is>
          <t>MK-CF-F-072</t>
        </is>
      </c>
      <c r="H18" s="3" t="inlineStr">
        <is>
          <t>guaranteed income now = Σ(streams already being received)</t>
        </is>
      </c>
      <c r="I18"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8" s="3" t="inlineStr">
        <is>
          <t>1. do they receive it now → incomeSources  [MK-XS-I-040]
2. the amounts → retirementIncomeMonthly  [MK-XS-I-008]</t>
        </is>
      </c>
      <c r="K18" s="3" t="inlineStr">
        <is>
          <t>US dollars · held to the cent · shown as whole dollars  [derived by rule — confirm]</t>
        </is>
      </c>
      <c r="L18" s="3" t="inlineStr">
        <is>
          <t>Adds up to $0 when there is nothing to add. Zero and "nothing recorded yet" look identical on screen — worth a decision.</t>
        </is>
      </c>
      <c r="M18" s="3" t="inlineStr">
        <is>
          <t>One figure per person — or per household when two people share one record  [derived by rule — confirm]</t>
        </is>
      </c>
      <c r="N18" s="3" t="inlineStr">
        <is>
          <t>As of today, from the latest figures held  [derived by rule — confirm]</t>
        </is>
      </c>
      <c r="O18" s="3" t="inlineStr">
        <is>
          <t>MK-CF-F-075 (retirementIncomeMonthly) → number</t>
        </is>
      </c>
      <c r="P18" s="3" t="inlineStr">
        <is>
          <t>MK-XS-F-122 n → MK-ST-F-052 toNum → MK-CF-F-075 retirementIncomeMonthly → MK-CF-F-072 currentRetirementIncomeMonthly</t>
        </is>
      </c>
      <c r="Q18" s="3" t="inlineStr">
        <is>
          <t>None found anywhere in this chain</t>
        </is>
      </c>
      <c r="R18" s="3" t="inlineStr"/>
      <c r="S18" s="3" t="inlineStr"/>
      <c r="T18" s="3" t="inlineStr">
        <is>
          <t>NOT DETERMINED — no assumption recorded for this figure yet.</t>
        </is>
      </c>
      <c r="U18" s="3" t="inlineStr">
        <is>
          <t>THE SAME FIGURE AS MK-CF-M-011 — Guaranteed income being received now. Shown four ways: "You receive $X/mo" on Social Security timing, "incl. Social Security $X/mo" on the cockpit, as a source on Cash flow, and as a list on Monthly income. One figure, four identifiers.</t>
        </is>
      </c>
      <c r="V18" s="3" t="inlineStr"/>
      <c r="W18" s="3" t="inlineStr"/>
      <c r="X18" s="3" t="inlineStr"/>
      <c r="Y18" s="3" t="inlineStr">
        <is>
          <t>NOT DETERMINED</t>
        </is>
      </c>
      <c r="Z18" s="3" t="inlineStr">
        <is>
          <t>VERIFIED 2026-08-22</t>
        </is>
      </c>
      <c r="AA1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No finding on this row. That is not a statement that the row is right — only that nothing has been written against it.</t>
        </is>
      </c>
      <c r="AF18" s="3" t="inlineStr">
        <is>
          <t>SUPERSEDED BY MK-CF-M-011 — the same figure under another identifier. This number is retired and is never handed to anything else.</t>
        </is>
      </c>
      <c r="AG18" s="3" t="inlineStr">
        <is>
          <t>2026-09-30</t>
        </is>
      </c>
      <c r="AH18" s="3" t="n"/>
      <c r="AI18" s="3" t="n"/>
      <c r="AJ18"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7" t="inlineStr">
        <is>
          <t>RULED, NOT CODED (Q-PL-2 — one question, one function)</t>
        </is>
      </c>
    </row>
    <row r="19" ht="60" customHeight="1">
      <c r="A19" s="3" t="inlineStr">
        <is>
          <t>MK-CF-M-025</t>
        </is>
      </c>
      <c r="B19" s="3" t="inlineStr">
        <is>
          <t>Cashflow</t>
        </is>
      </c>
      <c r="C19" s="3" t="inlineStr">
        <is>
          <t>/month-detail</t>
        </is>
      </c>
      <c r="D19" s="3" t="inlineStr">
        <is>
          <t>what came in and went out that month</t>
        </is>
      </c>
      <c r="E19" s="3" t="inlineStr">
        <is>
          <t>cell</t>
        </is>
      </c>
      <c r="F19" s="3" t="inlineStr">
        <is>
          <t>NOT ON RECORD — no function is recorded for this figure</t>
        </is>
      </c>
      <c r="G19" s="3" t="inlineStr"/>
      <c r="H19" s="3" t="inlineStr">
        <is>
          <t>see the by-month grid</t>
        </is>
      </c>
      <c r="I19" s="3" t="inlineStr">
        <is>
          <t>The month-by-month view of money in and money out.</t>
        </is>
      </c>
      <c r="J19" s="3" t="inlineStr">
        <is>
          <t>NOT DETERMINED — no input list on record for this function</t>
        </is>
      </c>
      <c r="K19" s="3" t="inlineStr">
        <is>
          <t>US dollars · held to the cent · shown as whole dollars  [derived by rule — confirm]</t>
        </is>
      </c>
      <c r="L19" s="3" t="inlineStr">
        <is>
          <t>NOT DETERMINED — this function has not been read for its refusal yet.</t>
        </is>
      </c>
      <c r="M19" s="3" t="inlineStr">
        <is>
          <t>One figure per month  [derived by rule — confirm]</t>
        </is>
      </c>
      <c r="N19" s="3" t="inlineStr">
        <is>
          <t>As of today, from the latest figures held  [derived by rule — confirm]</t>
        </is>
      </c>
      <c r="O19" s="3" t="inlineStr">
        <is>
          <t>No function on record — nothing to chain</t>
        </is>
      </c>
      <c r="P19" s="3" t="inlineStr">
        <is>
          <t>No function on record — nothing to chain</t>
        </is>
      </c>
      <c r="Q19" s="3" t="inlineStr">
        <is>
          <t>No function on record — assumptions unknown</t>
        </is>
      </c>
      <c r="R19" s="3" t="inlineStr"/>
      <c r="S19" s="3" t="inlineStr"/>
      <c r="T19" s="3" t="inlineStr">
        <is>
          <t>NOT DETERMINED — no assumption recorded for this figure yet.</t>
        </is>
      </c>
      <c r="U19" s="3" t="inlineStr"/>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B24 [NOT COMPARABLE] — This figure names no function, so its formula cannot be checked against anything. 69 of the 163 figures are in this position — the audit covers the 94 that name one.</t>
        </is>
      </c>
      <c r="AC19"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9" s="3" t="inlineStr"/>
      <c r="AE19" s="3" t="inlineStr">
        <is>
          <t>No finding on this row. That is not a statement that the row is right — only that nothing has been written against it.</t>
        </is>
      </c>
      <c r="AF19" s="3" t="inlineStr">
        <is>
          <t>ACTIVE</t>
        </is>
      </c>
      <c r="AG19" s="3" t="inlineStr">
        <is>
          <t>2026-08-27</t>
        </is>
      </c>
      <c r="AH19" s="3" t="n"/>
      <c r="AI19" s="3" t="n"/>
      <c r="AJ19" s="3" t="inlineStr">
        <is>
          <t>No function on record — nothing to read from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(Q-CF-2 — one question, one function)</t>
        </is>
      </c>
    </row>
    <row r="20" ht="60" customHeight="1">
      <c r="A20" s="3" t="inlineStr">
        <is>
          <t>MK-CF-M-027</t>
        </is>
      </c>
      <c r="B20" s="3" t="inlineStr">
        <is>
          <t>Cashflow</t>
        </is>
      </c>
      <c r="C20" s="3" t="inlineStr">
        <is>
          <t>/income-manager</t>
        </is>
      </c>
      <c r="D20" s="3" t="inlineStr">
        <is>
          <t>each income source and its amount</t>
        </is>
      </c>
      <c r="E20" s="3" t="inlineStr">
        <is>
          <t>sources</t>
        </is>
      </c>
      <c r="F20" s="3" t="inlineStr">
        <is>
          <t>totalGrossAnnual</t>
        </is>
      </c>
      <c r="G20" s="3" t="inlineStr">
        <is>
          <t>MK-CF-O-004</t>
        </is>
      </c>
      <c r="H20" s="3" t="inlineStr">
        <is>
          <t>gross a year = salary + self-employment + bonus + equity vesting + rental + other;  take-home /month = (gross − tax withheld − pre-tax contributions) ÷ 12</t>
        </is>
      </c>
      <c r="I2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20" s="3" t="inlineStr">
        <is>
          <t>each part → its own function above  [NOT AN INPUT — another function’s answer; see the dependency column]</t>
        </is>
      </c>
      <c r="K20" s="3" t="inlineStr">
        <is>
          <t>US dollars · held to the cent · shown as whole dollars  [derived by rule — confirm]</t>
        </is>
      </c>
      <c r="L20" s="3" t="inlineStr">
        <is>
          <t>$0, and under it the one line "Nothing entered yet. Add your income ›" (mock approved 2026-09-12). A real zero that was entered shows a plain $0 with no line.</t>
        </is>
      </c>
      <c r="M20" s="3" t="inlineStr">
        <is>
          <t>One figure per person — or per household when two people share one record  [derived by rule — confirm]</t>
        </is>
      </c>
      <c r="N20" s="3" t="inlineStr">
        <is>
          <t>As of today, from the latest figures held  [derived by rule — confirm]</t>
        </is>
      </c>
      <c r="O2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2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2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20" s="3" t="inlineStr"/>
      <c r="S20" s="3" t="inlineStr"/>
      <c r="T20" s="3" t="inlineStr">
        <is>
          <t>NOT DETERMINED — no assumption recorded for this figure yet.</t>
        </is>
      </c>
      <c r="U20" s="3" t="inlineStr"/>
      <c r="V20" s="3" t="inlineStr"/>
      <c r="W20" s="3" t="inlineStr"/>
      <c r="X20" s="3" t="inlineStr"/>
      <c r="Y20" s="3" t="inlineStr">
        <is>
          <t>NOT DETERMINED</t>
        </is>
      </c>
      <c r="Z20" s="3" t="inlineStr">
        <is>
          <t>VERIFIED 2026-08-22</t>
        </is>
      </c>
      <c r="AA2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20" s="3" t="inlineStr">
        <is>
          <t>HAS A FUNCTION — traceable from the screen to the code.</t>
        </is>
      </c>
      <c r="AD20" s="3" t="inlineStr"/>
      <c r="AE20" s="3" t="inlineStr">
        <is>
          <t>B17 — FIXED 2026-09-12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2026-09-30</t>
        </is>
      </c>
      <c r="AH20" s="3" t="n"/>
      <c r="AI20" s="3" t="n"/>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7" t="inlineStr">
        <is>
          <t>RULED, NOT CODED (Q-CF-1 — one question, one function)</t>
        </is>
      </c>
    </row>
    <row r="21" ht="45" customHeight="1">
      <c r="A21" s="3" t="inlineStr"/>
      <c r="B21" s="3" t="inlineStr">
        <is>
          <t>Cashflow</t>
        </is>
      </c>
      <c r="C21" s="3" t="inlineStr">
        <is>
          <t>/account-detail</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60" customHeight="1">
      <c r="A22" s="3" t="inlineStr"/>
      <c r="B22" s="3" t="inlineStr">
        <is>
          <t>Cashflow</t>
        </is>
      </c>
      <c r="C22" s="3" t="inlineStr">
        <is>
          <t>/add-account</t>
        </is>
      </c>
      <c r="D22" s="3" t="inlineStr">
        <is>
          <t>—</t>
        </is>
      </c>
      <c r="E22" s="3" t="inlineStr">
        <is>
          <t>—</t>
        </is>
      </c>
      <c r="F22" s="3" t="inlineStr">
        <is>
          <t>—</t>
        </is>
      </c>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DETERMINED</t>
        </is>
      </c>
      <c r="Y22" s="3" t="inlineStr">
        <is>
          <t>READ 2026-08-22 — no calculated figure on this screen</t>
        </is>
      </c>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Cashflow</t>
        </is>
      </c>
      <c r="C23" s="3" t="inlineStr">
        <is>
          <t>/bill-calendar</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45" customHeight="1">
      <c r="A24" s="3" t="inlineStr"/>
      <c r="B24" s="3" t="inlineStr">
        <is>
          <t>Cashflow</t>
        </is>
      </c>
      <c r="C24" s="3" t="inlineStr">
        <is>
          <t>/bonds</t>
        </is>
      </c>
      <c r="D24" s="3" t="inlineStr"/>
      <c r="E24" s="3" t="inlineStr"/>
      <c r="F24" s="3" t="inlineStr"/>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STARTED — screen not yet read</t>
        </is>
      </c>
      <c r="Y24" s="3" t="n"/>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Cashflow</t>
        </is>
      </c>
      <c r="C25" s="3" t="inlineStr">
        <is>
          <t>/holding-detail</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Cashflow</t>
        </is>
      </c>
      <c r="C26" s="3" t="inlineStr">
        <is>
          <t>/itemize</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Cashflow</t>
        </is>
      </c>
      <c r="C27" s="3" t="inlineStr">
        <is>
          <t>/look-back</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Cashflow</t>
        </is>
      </c>
      <c r="C28" s="3" t="inlineStr">
        <is>
          <t>/onboarding</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Cashflow</t>
        </is>
      </c>
      <c r="C29" s="3" t="inlineStr">
        <is>
          <t>/paycheck-months</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c r="B30" s="3" t="inlineStr">
        <is>
          <t>Cashflow</t>
        </is>
      </c>
      <c r="C30" s="3" t="inlineStr">
        <is>
          <t>/performance</t>
        </is>
      </c>
      <c r="D30" s="3" t="inlineStr">
        <is>
          <t>—</t>
        </is>
      </c>
      <c r="E30" s="3" t="inlineStr">
        <is>
          <t>—</t>
        </is>
      </c>
      <c r="F30" s="3" t="inlineStr">
        <is>
          <t>—</t>
        </is>
      </c>
      <c r="G30" s="3" t="inlineStr"/>
      <c r="H30" s="3" t="inlineStr"/>
      <c r="I30" s="3" t="inlineStr"/>
      <c r="J30" s="3" t="inlineStr"/>
      <c r="K30" s="3" t="inlineStr"/>
      <c r="L30" s="3" t="inlineStr"/>
      <c r="M30" s="3" t="inlineStr"/>
      <c r="N30" s="3" t="inlineStr"/>
      <c r="O30" s="3" t="inlineStr"/>
      <c r="P30" s="3" t="inlineStr"/>
      <c r="Q30" s="3" t="inlineStr"/>
      <c r="R30" s="3" t="inlineStr"/>
      <c r="S30" s="3" t="inlineStr"/>
      <c r="T30" s="3" t="inlineStr"/>
      <c r="U30" s="3" t="inlineStr"/>
      <c r="V30" s="3" t="inlineStr"/>
      <c r="W30" s="3" t="inlineStr"/>
      <c r="X30" s="3" t="inlineStr">
        <is>
          <t>NOT DETERMINED</t>
        </is>
      </c>
      <c r="Y30" s="3" t="inlineStr">
        <is>
          <t>READ 2026-08-22 — the same screen as /invest, reached by a second route</t>
        </is>
      </c>
      <c r="Z30" s="3" t="n"/>
      <c r="AA30" s="3" t="n"/>
      <c r="AB30" s="3" t="n"/>
      <c r="AC30" s="3" t="n"/>
      <c r="AD30" s="3" t="n"/>
      <c r="AE30" s="3" t="n"/>
      <c r="AF30" s="3" t="n"/>
      <c r="AG30" s="3" t="n"/>
      <c r="AH30" s="3" t="n"/>
      <c r="AI30" s="3" t="n"/>
      <c r="AJ30" s="3" t="n"/>
      <c r="AK30" s="3" t="n"/>
      <c r="AL30" s="3" t="n"/>
      <c r="AM30" s="3" t="n"/>
      <c r="AN30" s="3" t="n"/>
      <c r="AO30" s="3" t="n"/>
    </row>
    <row r="31" ht="60" customHeight="1">
      <c r="A31" s="3" t="inlineStr">
        <is>
          <t>MK-CF-M-001</t>
        </is>
      </c>
      <c r="B31" s="3" t="inlineStr">
        <is>
          <t>Cashflow</t>
        </is>
      </c>
      <c r="C31" s="3" t="inlineStr">
        <is>
          <t>/cashflow</t>
        </is>
      </c>
      <c r="D31" s="3" t="inlineStr">
        <is>
          <t>Expenses</t>
        </is>
      </c>
      <c r="E31" s="3" t="inlineStr">
        <is>
          <t>expenses</t>
        </is>
      </c>
      <c r="F31" s="3" t="inlineStr">
        <is>
          <t>theMonth</t>
        </is>
      </c>
      <c r="G31" s="3" t="inlineStr">
        <is>
          <t>MK-CF-O-010</t>
        </is>
      </c>
      <c r="H31" s="3" t="inlineStr">
        <is>
          <t>your budget — the per-category plan added up</t>
        </is>
      </c>
      <c r="I31" s="3" t="inlineStr">
        <is>
          <t>your budget — the per-category plan added up</t>
        </is>
      </c>
      <c r="J31" s="3" t="inlineStr">
        <is>
          <t>MK-CF-I-001 your logged expenses</t>
        </is>
      </c>
      <c r="K31" s="3" t="inlineStr">
        <is>
          <t>dollars, whole a month</t>
        </is>
      </c>
      <c r="L31" s="3" t="inlineStr">
        <is>
          <t>$0, and under it the one line "Nothing entered yet. Add your income ›" (mock approved 2026-09-12). A real zero that was entered shows a plain $0 with no line.</t>
        </is>
      </c>
      <c r="M31" s="3" t="inlineStr">
        <is>
          <t>one figure per household</t>
        </is>
      </c>
      <c r="N31" s="3" t="inlineStr">
        <is>
          <t>a month</t>
        </is>
      </c>
      <c r="O31" s="3" t="inlineStr">
        <is>
          <t>1. MK-CF-F-203 (MONTH) → NOT DECLARED — the code does not say what it gives back
2. MK-CF-F-155 (cash) → number
3. MK-CF-O-002 (expenses) → Expenses
4. MK-CF-O-003 (thisMonth) → ThisMonth</t>
        </is>
      </c>
      <c r="P31" s="3" t="inlineStr">
        <is>
          <t>Declared by MK-CF-O-010 theMonth</t>
        </is>
      </c>
      <c r="Q31" s="3" t="inlineStr">
        <is>
          <t>One line on This month, and the Expenses tab is its detail — not a second answer to the same question (his correction, 2026-09-28).</t>
        </is>
      </c>
      <c r="R31" s="3" t="inlineStr">
        <is>
          <t>One line on This month, and the Expenses tab is its detail — not a second answer to the same question (his correction, 2026-09-28).</t>
        </is>
      </c>
      <c r="S31" s="3" t="inlineStr"/>
      <c r="T31" s="3" t="inlineStr">
        <is>
          <t>One line on This month, and the Expenses tab is its detail — not a second answer to the same question (his correction, 2026-09-28).</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RULED 2026-09-09: $0 stays, with the sentence '$0 — nothing entered yet.' and this row's door ('Add your income ›'). File written; the screen follows the approved empty-state mock (one pattern, one screen), then every screen.</t>
        </is>
      </c>
      <c r="AF31" s="3" t="inlineStr">
        <is>
          <t>ACTIVE</t>
        </is>
      </c>
      <c r="AG31" s="3" t="inlineStr">
        <is>
          <t>2026-10-02</t>
        </is>
      </c>
      <c r="AH31" s="3" t="inlineStr"/>
      <c r="AI31" s="3" t="inlineStr"/>
      <c r="AJ3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MK-CF-O-010 theMonth</t>
        </is>
      </c>
      <c r="AN31" s="3" t="inlineStr">
        <is>
          <t>September 2026: $7,200 take-home; a $2,400 mortgage and a $250 car loan due; a $3,400 budget ($2,300 rent, $700 groceries, $400 eating out). Logged so far: $2,300 rent, $512 groceries, $186 eating out, and the $250 car loan paid.
GIVES: -$3,400/month
(the test re-runs this through MK-CF-O-010 theMonth on every build)</t>
        </is>
      </c>
      <c r="AO31" s="7" t="inlineStr">
        <is>
          <t>RULED, NOT CODED (Q-CF-2 — one question, one function)</t>
        </is>
      </c>
    </row>
    <row r="32" ht="60" customHeight="1">
      <c r="A32" s="3" t="inlineStr">
        <is>
          <t>MK-CF-M-002</t>
        </is>
      </c>
      <c r="B32" s="3" t="inlineStr">
        <is>
          <t>Cashflow</t>
        </is>
      </c>
      <c r="C32" s="3" t="inlineStr">
        <is>
          <t>/cashflow · /home</t>
        </is>
      </c>
      <c r="D32" s="3">
        <f> Planned surplus</f>
        <v/>
      </c>
      <c r="E32" s="3" t="inlineStr">
        <is>
          <t>planned_surplus</t>
        </is>
      </c>
      <c r="F32" s="3" t="inlineStr">
        <is>
          <t>theMonth</t>
        </is>
      </c>
      <c r="G32" s="3" t="inlineStr">
        <is>
          <t>MK-CF-O-010</t>
        </is>
      </c>
      <c r="H32" s="3" t="inlineStr">
        <is>
          <t>the inflow, less every debt payment due, less the budget, less each big-ticket item</t>
        </is>
      </c>
      <c r="I32" s="3" t="inlineStr">
        <is>
          <t>the inflow, less every debt payment due, less the budget, less each big-ticket item</t>
        </is>
      </c>
      <c r="J32" s="3" t="inlineStr">
        <is>
          <t>MK-XS-I-023 salary and other income
MK-NW-I-002 your debts
MK-CF-I-001 your logged expenses</t>
        </is>
      </c>
      <c r="K32" s="3" t="inlineStr">
        <is>
          <t>dollars, whole a month</t>
        </is>
      </c>
      <c r="L32" s="3" t="inlineStr">
        <is>
          <t>$0, and under it the one line "Nothing entered yet. Add your bills ›" (mock approved 2026-09-12). A real zero that was entered shows a plain $0 with no line.</t>
        </is>
      </c>
      <c r="M32" s="3" t="inlineStr">
        <is>
          <t>one figure per household</t>
        </is>
      </c>
      <c r="N32" s="3" t="inlineStr">
        <is>
          <t>a month</t>
        </is>
      </c>
      <c r="O32" s="3" t="inlineStr">
        <is>
          <t>1. MK-CF-F-203 (MONTH) → NOT DECLARED — the code does not say what it gives back
2. MK-CF-F-155 (cash) → number
3. MK-CF-O-002 (expenses) → Expenses
4. MK-CF-O-003 (thisMonth) → ThisMonth</t>
        </is>
      </c>
      <c r="P32" s="3" t="inlineStr">
        <is>
          <t>Declared by MK-CF-O-010 theMonth</t>
        </is>
      </c>
      <c r="Q32" s="3" t="inlineStr">
        <is>
          <t>EVERY ROW SHOWN IS A ROW DEDUCTED (his rule under the approved design): nothing appears on This month without being in the sum.</t>
        </is>
      </c>
      <c r="R32" s="3" t="inlineStr">
        <is>
          <t>EVERY ROW SHOWN IS A ROW DEDUCTED (his rule under the approved design): nothing appears on This month without being in the sum.</t>
        </is>
      </c>
      <c r="S32" s="3" t="inlineStr"/>
      <c r="T32"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G32 / Q48 — RULED 2026-09-09: $0 stays, with the sentence '$0 — nothing entered yet.' and this row's door ('Add your bills ›'). File written; the screen follows the approved empty-state mock (one pattern, one screen), then every screen.</t>
        </is>
      </c>
      <c r="AF32" s="3" t="inlineStr">
        <is>
          <t>ACTIVE</t>
        </is>
      </c>
      <c r="AG32" s="3" t="inlineStr">
        <is>
          <t>2026-10-02</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MK-CF-O-010 theMonth</t>
        </is>
      </c>
      <c r="AN32" s="3" t="inlineStr">
        <is>
          <t>September 2026: $7,200 take-home; a $2,400 mortgage and a $250 car loan due; a $3,400 budget ($2,300 rent, $700 groceries, $400 eating out). Logged so far: $2,300 rent, $512 groceries, $186 eating out, and the $250 car loan paid.
GIVES: $1,150/month
(the test re-runs this through MK-CF-O-010 theMonth on every build)</t>
        </is>
      </c>
      <c r="AO32" s="7" t="inlineStr">
        <is>
          <t>RULED, NOT CODED (Q-CF-2 — one question, one function)</t>
        </is>
      </c>
    </row>
    <row r="33" ht="60" customHeight="1">
      <c r="A33" s="3" t="inlineStr">
        <is>
          <t>MK-CF-M-003</t>
        </is>
      </c>
      <c r="B33" s="3" t="inlineStr">
        <is>
          <t>Cashflow</t>
        </is>
      </c>
      <c r="C33" s="3" t="inlineStr">
        <is>
          <t>/cashflow · /month-detail</t>
        </is>
      </c>
      <c r="D33" s="3">
        <f> Actual surplus so far</f>
        <v/>
      </c>
      <c r="E33" s="3" t="inlineStr">
        <is>
          <t>actual_surplus_so_far</t>
        </is>
      </c>
      <c r="F33" s="3" t="inlineStr">
        <is>
          <t>theMonth</t>
        </is>
      </c>
      <c r="G33" s="3" t="inlineStr">
        <is>
          <t>MK-CF-O-010</t>
        </is>
      </c>
      <c r="H33" s="3" t="inlineStr">
        <is>
          <t>the inflow received, less each debt actually paid, less everything logged by hand and imported</t>
        </is>
      </c>
      <c r="I33" s="3" t="inlineStr">
        <is>
          <t>the inflow received, less each debt actually paid, less everything logged by hand and imported</t>
        </is>
      </c>
      <c r="J33" s="3" t="inlineStr">
        <is>
          <t>MK-NW-I-004 the activity records
MK-CF-I-001 your logged expenses</t>
        </is>
      </c>
      <c r="K33" s="3" t="inlineStr">
        <is>
          <t>dollars, whole a month</t>
        </is>
      </c>
      <c r="L33" s="3" t="inlineStr">
        <is>
          <t>Nothing logged and no card linked — it says so and offers the door.</t>
        </is>
      </c>
      <c r="M33" s="3" t="inlineStr">
        <is>
          <t>one figure per household</t>
        </is>
      </c>
      <c r="N33" s="3" t="inlineStr">
        <is>
          <t>a month</t>
        </is>
      </c>
      <c r="O33" s="3" t="inlineStr">
        <is>
          <t>1. MK-CF-F-203 (MONTH) → NOT DECLARED — the code does not say what it gives back
2. MK-CF-F-155 (cash) → number
3. MK-CF-O-002 (expenses) → Expenses
4. MK-CF-O-003 (thisMonth) → ThisMonth</t>
        </is>
      </c>
      <c r="P33" s="3" t="inlineStr">
        <is>
          <t>Declared by MK-CF-O-010 theMonth</t>
        </is>
      </c>
      <c r="Q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33" s="3" t="inlineStr"/>
      <c r="T33"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2026-10-02</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MK-CF-O-010 theMonth</t>
        </is>
      </c>
      <c r="AN33" s="3" t="inlineStr">
        <is>
          <t>September 2026: $7,200 take-home; a $2,400 mortgage and a $250 car loan due; a $3,400 budget ($2,300 rent, $700 groceries, $400 eating out). Logged so far: $2,300 rent, $512 groceries, $186 eating out, and the $250 car loan paid.
GIVES: $3,952/month
(the test re-runs this through MK-CF-O-010 theMonth on every build)</t>
        </is>
      </c>
      <c r="AO33" s="7" t="inlineStr">
        <is>
          <t>RULED, NOT CODED (Q-CF-2 — one question, one function)</t>
        </is>
      </c>
    </row>
    <row r="34" ht="60" customHeight="1">
      <c r="A34" s="3" t="inlineStr">
        <is>
          <t>MK-CF-M-004</t>
        </is>
      </c>
      <c r="B34" s="3" t="inlineStr">
        <is>
          <t>Cashflow</t>
        </is>
      </c>
      <c r="C34" s="3" t="inlineStr">
        <is>
          <t>/cashflow</t>
        </is>
      </c>
      <c r="D34" s="3" t="inlineStr">
        <is>
          <t>each row of the month — what it is and what it costs</t>
        </is>
      </c>
      <c r="E34" s="3" t="inlineStr">
        <is>
          <t>each_row_of_the_month__what_it_is_and_wh</t>
        </is>
      </c>
      <c r="F34" s="3" t="inlineStr">
        <is>
          <t>theMonth</t>
        </is>
      </c>
      <c r="G34" s="3" t="inlineStr">
        <is>
          <t>MK-CF-F-194</t>
        </is>
      </c>
      <c r="H34" s="3" t="inlineStr">
        <is>
          <t>outflow = expenses this month + debt actually paid this month  (a month with a saved snapshot: its expenses + debt paid; a month without one: the expenses logged so far)</t>
        </is>
      </c>
      <c r="I34" s="3" t="inlineStr">
        <is>
          <t>This month's outflow: everything logged as an expense plus every debt payment actually made — from one function (MK-CF-F-194 monthOutflow), never added on the screen. The label says what is inside: "Outflow (expenses + debt)".</t>
        </is>
      </c>
      <c r="J34" s="3" t="inlineStr">
        <is>
          <t>MK-XS-I-023 salary and other income
MK-NW-I-002 your debts
MK-CF-I-001 your logged expenses</t>
        </is>
      </c>
      <c r="K34" s="3" t="inlineStr">
        <is>
          <t>dollars, whole</t>
        </is>
      </c>
      <c r="L34" s="3" t="inlineStr">
        <is>
          <t>$0, and under it the one line "Nothing entered yet. Log your expenses ›" (mock approved 2026-09-12). A real zero that was entered shows a plain $0 with no line.</t>
        </is>
      </c>
      <c r="M34" s="3" t="inlineStr">
        <is>
          <t>one row</t>
        </is>
      </c>
      <c r="N34" s="3" t="inlineStr">
        <is>
          <t>as of today</t>
        </is>
      </c>
      <c r="O34" s="3" t="inlineStr">
        <is>
          <t>None — it reads its inputs and answers</t>
        </is>
      </c>
      <c r="P34" s="3" t="inlineStr">
        <is>
          <t>Declared by MK-CF-O-010 theMonth</t>
        </is>
      </c>
      <c r="Q34" s="3" t="inlineStr">
        <is>
          <t>Drawn from the approved design (cash-flow_v01): the flow is SPELLED OUT, not summarised into three numbers.</t>
        </is>
      </c>
      <c r="R34" s="3" t="inlineStr">
        <is>
          <t>Drawn from the approved design (cash-flow_v01): the flow is SPELLED OUT, not summarised into three numbers.</t>
        </is>
      </c>
      <c r="S34" s="3" t="inlineStr"/>
      <c r="T34"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34" s="3" t="inlineStr"/>
      <c r="V34"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34" s="9" t="inlineStr">
        <is>
          <t>count them</t>
        </is>
      </c>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2026-10-02</t>
        </is>
      </c>
      <c r="AH34" s="3" t="inlineStr"/>
      <c r="AI34" s="3" t="inlineStr"/>
      <c r="AJ34" s="3" t="inlineStr">
        <is>
          <t>NONE — no function in this chain reads a stored input the sweep knows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MK-CF-O-010 theMonth</t>
        </is>
      </c>
      <c r="AN34" s="3" t="inlineStr">
        <is>
          <t>September 2026: $7,200 take-home; a $2,400 mortgage and a $250 car loan due; a $3,400 budget ($2,300 rent, $700 groceries, $400 eating out). Logged so far: $2,300 rent, $512 groceries, $186 eating out, and the $250 car loan paid.
GIVES: -$250
(the test re-runs this through MK-CF-O-010 theMonth on every build)</t>
        </is>
      </c>
      <c r="AO34" s="9" t="inlineStr">
        <is>
          <t>WAITING ON YOU — question Q50 · RULED, NOT CODED (Q-CF-2 — one question, one function)</t>
        </is>
      </c>
    </row>
    <row r="35" ht="60" customHeight="1">
      <c r="A35" s="3" t="inlineStr">
        <is>
          <t>MK-CF-M-012</t>
        </is>
      </c>
      <c r="B35" s="3" t="inlineStr">
        <is>
          <t>Cashflow</t>
        </is>
      </c>
      <c r="C35" s="3" t="inlineStr">
        <is>
          <t>/cashflow</t>
        </is>
      </c>
      <c r="D35" s="3" t="inlineStr">
        <is>
          <t>RECEIVED · &lt;month&gt; — each payment</t>
        </is>
      </c>
      <c r="E35" s="3" t="inlineStr">
        <is>
          <t>received__month__each_payment</t>
        </is>
      </c>
      <c r="F35" s="3" t="inlineStr">
        <is>
          <t>whatsComing</t>
        </is>
      </c>
      <c r="G35" s="3" t="inlineStr">
        <is>
          <t>MK-CF-O-008</t>
        </is>
      </c>
      <c r="H35" s="3" t="inlineStr">
        <is>
          <t>the income records dated inside the month</t>
        </is>
      </c>
      <c r="I35" s="3" t="inlineStr">
        <is>
          <t>the income records dated inside the month</t>
        </is>
      </c>
      <c r="J35" s="3" t="inlineStr">
        <is>
          <t>MK-NW-I-004 the activity records</t>
        </is>
      </c>
      <c r="K35" s="3" t="inlineStr">
        <is>
          <t>dollars, whole</t>
        </is>
      </c>
      <c r="L35" s="3" t="inlineStr">
        <is>
          <t>Nothing received yet this month.</t>
        </is>
      </c>
      <c r="M35" s="3" t="inlineStr">
        <is>
          <t>one payment</t>
        </is>
      </c>
      <c r="N35" s="3" t="inlineStr">
        <is>
          <t>as of today</t>
        </is>
      </c>
      <c r="O35" s="3" t="inlineStr">
        <is>
          <t>MK-CF-F-019 (upcomingBills) → NOT DECLARED — the code does not say what it gives back</t>
        </is>
      </c>
      <c r="P35" s="3" t="inlineStr">
        <is>
          <t>Declared by MK-CF-O-008 whatsComing</t>
        </is>
      </c>
      <c r="Q35" s="3" t="inlineStr">
        <is>
          <t>NONE RECORDED — the declaration names none.</t>
        </is>
      </c>
      <c r="R35" s="3" t="inlineStr">
        <is>
          <t>NONE RECORDED — the declaration names none.</t>
        </is>
      </c>
      <c r="S35" s="3" t="inlineStr"/>
      <c r="T35" s="3" t="inlineStr">
        <is>
          <t>NONE RECORDED — the declaration names none.</t>
        </is>
      </c>
      <c r="U35" s="3" t="inlineStr"/>
      <c r="V35" s="3" t="inlineStr"/>
      <c r="W35" s="3" t="inlineStr"/>
      <c r="X35" s="3" t="inlineStr"/>
      <c r="Y35" s="3" t="inlineStr"/>
      <c r="Z35" s="3" t="inlineStr">
        <is>
          <t>DECLARED IN THE CODE (rule 11) — printed from the door, not typed. RULED 2026-09-27</t>
        </is>
      </c>
      <c r="AA35" s="3" t="inlineStr"/>
      <c r="AB35" s="3" t="inlineStr"/>
      <c r="AC35" s="3" t="inlineStr"/>
      <c r="AD35" s="3" t="inlineStr"/>
      <c r="AE35" s="3" t="inlineStr"/>
      <c r="AF35" s="3" t="inlineStr">
        <is>
          <t>ACTIVE</t>
        </is>
      </c>
      <c r="AG35" s="3" t="inlineStr">
        <is>
          <t>2026-10-02</t>
        </is>
      </c>
      <c r="AH35" s="3" t="inlineStr"/>
      <c r="AI35" s="3" t="inlineStr"/>
      <c r="AJ3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MK-CF-O-008 whatsComing</t>
        </is>
      </c>
      <c r="AN35" s="3" t="inlineStr">
        <is>
          <t>NONE YET — no worked example is declared for this figure, so nothing re-runs it (step 6)</t>
        </is>
      </c>
      <c r="AO35" s="7" t="inlineStr">
        <is>
          <t>RULED, NOT CODED (Q-CF-3 — one question, one function)</t>
        </is>
      </c>
    </row>
    <row r="36" ht="60" customHeight="1">
      <c r="A36" s="3" t="inlineStr">
        <is>
          <t>MK-CF-M-016</t>
        </is>
      </c>
      <c r="B36" s="3" t="inlineStr">
        <is>
          <t>Cashflow</t>
        </is>
      </c>
      <c r="C36" s="3" t="inlineStr">
        <is>
          <t>/cashflow · /bill-calendar</t>
        </is>
      </c>
      <c r="D36" s="3" t="inlineStr">
        <is>
          <t>BIG-TICKET RADAR — &lt;bill&gt; · due &lt;month&gt;</t>
        </is>
      </c>
      <c r="E36" s="3" t="inlineStr">
        <is>
          <t>bigticket_radar__bill__due_month</t>
        </is>
      </c>
      <c r="F36" s="3" t="inlineStr">
        <is>
          <t>whatsComing</t>
        </is>
      </c>
      <c r="G36" s="3" t="inlineStr">
        <is>
          <t>MK-CF-O-008</t>
        </is>
      </c>
      <c r="H36" s="3" t="inlineStr">
        <is>
          <t>the dated bills above the everyday size, in date order</t>
        </is>
      </c>
      <c r="I36" s="3" t="inlineStr">
        <is>
          <t>the dated bills above the everyday size, in date order</t>
        </is>
      </c>
      <c r="J36" s="3" t="inlineStr">
        <is>
          <t>MK-CF-I-002 your bills</t>
        </is>
      </c>
      <c r="K36" s="3" t="inlineStr">
        <is>
          <t>dollars, whole</t>
        </is>
      </c>
      <c r="L36" s="3" t="inlineStr">
        <is>
          <t>Nothing unusual ahead — the section keeps its heading and says so.</t>
        </is>
      </c>
      <c r="M36" s="3" t="inlineStr">
        <is>
          <t>one bill</t>
        </is>
      </c>
      <c r="N36" s="3" t="inlineStr">
        <is>
          <t>as of today</t>
        </is>
      </c>
      <c r="O36" s="3" t="inlineStr">
        <is>
          <t>MK-CF-F-019 (upcomingBills) → NOT DECLARED — the code does not say what it gives back</t>
        </is>
      </c>
      <c r="P36" s="3" t="inlineStr">
        <is>
          <t>Declared by MK-CF-O-008 whatsComing</t>
        </is>
      </c>
      <c r="Q36" s="3" t="inlineStr">
        <is>
          <t>A regular monthly debt is never a radar item: a warning you see every month stops being a warning.</t>
        </is>
      </c>
      <c r="R36" s="3" t="inlineStr">
        <is>
          <t>A regular monthly debt is never a radar item: a warning you see every month stops being a warning.</t>
        </is>
      </c>
      <c r="S36" s="3" t="inlineStr"/>
      <c r="T36" s="3" t="inlineStr">
        <is>
          <t>A regular monthly debt is never a radar item: a warning you see every month stops being a warning.</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c r="AF36" s="3" t="inlineStr">
        <is>
          <t>ACTIVE</t>
        </is>
      </c>
      <c r="AG36" s="3" t="inlineStr">
        <is>
          <t>2026-10-02</t>
        </is>
      </c>
      <c r="AH36" s="3" t="inlineStr"/>
      <c r="AI36" s="3" t="inlineStr"/>
      <c r="AJ3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MK-CF-O-008 whatsComing</t>
        </is>
      </c>
      <c r="AN36" s="3" t="inlineStr">
        <is>
          <t>On 28 Sep 2026, with $8,000 in the account: car insurance of $1,400 due 15 Oct and property tax of $4,800 due 1 Nov. Nothing else is dated.
GIVES: $1,400
(the test re-runs this through MK-CF-O-008 whatsComing on every build)</t>
        </is>
      </c>
      <c r="AO36" s="7" t="inlineStr">
        <is>
          <t>RULED, NOT CODED (Q-CF-3 — one question, one function)</t>
        </is>
      </c>
    </row>
    <row r="37" ht="60" customHeight="1">
      <c r="A37" s="3" t="inlineStr">
        <is>
          <t>MK-CF-M-017</t>
        </is>
      </c>
      <c r="B37" s="3" t="inlineStr">
        <is>
          <t>Cashflow</t>
        </is>
      </c>
      <c r="C37" s="3" t="inlineStr">
        <is>
          <t>/worth-a-look</t>
        </is>
      </c>
      <c r="D37" s="3" t="inlineStr">
        <is>
          <t>well above your usual &lt;category&gt;</t>
        </is>
      </c>
      <c r="E37" s="3" t="inlineStr">
        <is>
          <t>well_above_your_usual_category</t>
        </is>
      </c>
      <c r="F37" s="3" t="inlineStr">
        <is>
          <t>whatsComing</t>
        </is>
      </c>
      <c r="G37" s="3" t="inlineStr">
        <is>
          <t>MK-CF-O-008</t>
        </is>
      </c>
      <c r="H37" s="3" t="inlineStr">
        <is>
          <t>this expense against the typical one in its category, over the months logged</t>
        </is>
      </c>
      <c r="I37" s="3" t="inlineStr">
        <is>
          <t>this expense against the typical one in its category, over the months logged</t>
        </is>
      </c>
      <c r="J37" s="3" t="inlineStr">
        <is>
          <t>MK-CF-I-001 your logged expenses</t>
        </is>
      </c>
      <c r="K37" s="3" t="inlineStr">
        <is>
          <t>a sentence</t>
        </is>
      </c>
      <c r="L37" s="3" t="inlineStr">
        <is>
          <t>Too little history to call anything unusual.</t>
        </is>
      </c>
      <c r="M37" s="3" t="inlineStr">
        <is>
          <t>one expense</t>
        </is>
      </c>
      <c r="N37" s="3" t="inlineStr">
        <is>
          <t>as of today</t>
        </is>
      </c>
      <c r="O37" s="3" t="inlineStr">
        <is>
          <t>MK-CF-F-019 (upcomingBills) → NOT DECLARED — the code does not say what it gives back</t>
        </is>
      </c>
      <c r="P37" s="3" t="inlineStr">
        <is>
          <t>Declared by MK-CF-O-008 whatsComing</t>
        </is>
      </c>
      <c r="Q37" s="3" t="inlineStr">
        <is>
          <t>There must BE a usual to compare against: with too little logged, nothing is flagged. A first month’s expenses are not unusual, they are all there is.</t>
        </is>
      </c>
      <c r="R37" s="3" t="inlineStr">
        <is>
          <t>There must BE a usual to compare against: with too little logged, nothing is flagged. A first month’s expenses are not unusual, they are all there is.</t>
        </is>
      </c>
      <c r="S37" s="3" t="inlineStr"/>
      <c r="T37" s="3" t="inlineStr">
        <is>
          <t>There must BE a usual to compare against: with too little logged, nothing is flagged. A first month’s expenses are not unusual, they are all there is.</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c r="AF37" s="3" t="inlineStr">
        <is>
          <t>ACTIVE</t>
        </is>
      </c>
      <c r="AG37" s="3" t="inlineStr">
        <is>
          <t>2026-10-02</t>
        </is>
      </c>
      <c r="AH37" s="3" t="inlineStr"/>
      <c r="AI37" s="3" t="inlineStr"/>
      <c r="AJ3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MK-CF-O-008 whatsComing</t>
        </is>
      </c>
      <c r="AN37" s="3" t="inlineStr">
        <is>
          <t>NONE YET — no worked example is declared for this figure, so nothing re-runs it (step 6)</t>
        </is>
      </c>
      <c r="AO37" s="7" t="inlineStr">
        <is>
          <t>RULED, NOT CODED (Q-CF-3 — one question, one function)</t>
        </is>
      </c>
    </row>
    <row r="38" ht="60" customHeight="1">
      <c r="A38" s="3" t="inlineStr">
        <is>
          <t>MK-CF-M-026</t>
        </is>
      </c>
      <c r="B38" s="3" t="inlineStr">
        <is>
          <t>Cashflow</t>
        </is>
      </c>
      <c r="C38" s="3" t="inlineStr">
        <is>
          <t>/paycheck-months</t>
        </is>
      </c>
      <c r="D38" s="3" t="inlineStr">
        <is>
          <t>the months a paycheck lands</t>
        </is>
      </c>
      <c r="E38" s="3" t="inlineStr">
        <is>
          <t>the_months_a_paycheck_lands</t>
        </is>
      </c>
      <c r="F38" s="3" t="inlineStr">
        <is>
          <t>whatsComing</t>
        </is>
      </c>
      <c r="G38" s="3" t="inlineStr">
        <is>
          <t>MK-CF-O-008</t>
        </is>
      </c>
      <c r="H38" s="3" t="inlineStr">
        <is>
          <t>the pay dates that fall in each month, counted</t>
        </is>
      </c>
      <c r="I38" s="3" t="inlineStr">
        <is>
          <t>the pay dates that fall in each month, counted</t>
        </is>
      </c>
      <c r="J38" s="3" t="inlineStr">
        <is>
          <t>MK-XS-I-023 salary and other income</t>
        </is>
      </c>
      <c r="K38" s="3" t="inlineStr">
        <is>
          <t>a sentence</t>
        </is>
      </c>
      <c r="L38" s="3" t="inlineStr">
        <is>
          <t>Paid monthly — every month carries one, so there is nothing to point out.</t>
        </is>
      </c>
      <c r="M38" s="3" t="inlineStr">
        <is>
          <t>one month</t>
        </is>
      </c>
      <c r="N38" s="3" t="inlineStr">
        <is>
          <t>as of today</t>
        </is>
      </c>
      <c r="O38" s="3" t="inlineStr">
        <is>
          <t>MK-CF-F-019 (upcomingBills) → NOT DECLARED — the code does not say what it gives back</t>
        </is>
      </c>
      <c r="P38" s="3" t="inlineStr">
        <is>
          <t>Declared by MK-CF-O-008 whatsComing</t>
        </is>
      </c>
      <c r="Q38" s="3" t="inlineStr">
        <is>
          <t>NONE RECORDED — the declaration names none.</t>
        </is>
      </c>
      <c r="R38" s="3" t="inlineStr">
        <is>
          <t>NONE RECORDED — the declaration names none.</t>
        </is>
      </c>
      <c r="S38" s="3" t="inlineStr"/>
      <c r="T38" s="3" t="inlineStr">
        <is>
          <t>NONE RECORDED — the declaration names none.</t>
        </is>
      </c>
      <c r="U38" s="3" t="inlineStr"/>
      <c r="V38" s="9" t="inlineStr">
        <is>
          <t>Q30 — The draw from savings is shown as one figure a month. Should it hold steady in today's dollars, or rise with inflation each year?</t>
        </is>
      </c>
      <c r="W38" s="9" t="inlineStr">
        <is>
          <t>rise with inflation each year</t>
        </is>
      </c>
      <c r="X38" s="3" t="inlineStr"/>
      <c r="Y38" s="3" t="inlineStr"/>
      <c r="Z38" s="3" t="inlineStr">
        <is>
          <t>DECLARED IN THE CODE (rule 11) — printed from the door, not typed. RULED 2026-09-27</t>
        </is>
      </c>
      <c r="AA38" s="3" t="inlineStr"/>
      <c r="AB38" s="3" t="inlineStr"/>
      <c r="AC38" s="3" t="inlineStr"/>
      <c r="AD38" s="3" t="inlineStr"/>
      <c r="AE38" s="3" t="inlineStr"/>
      <c r="AF38" s="3" t="inlineStr">
        <is>
          <t>ACTIVE</t>
        </is>
      </c>
      <c r="AG38" s="3" t="inlineStr">
        <is>
          <t>2026-10-02</t>
        </is>
      </c>
      <c r="AH38" s="3" t="inlineStr"/>
      <c r="AI38" s="3" t="inlineStr"/>
      <c r="AJ3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MK-CF-O-008 whatsComing</t>
        </is>
      </c>
      <c r="AN38" s="3" t="inlineStr">
        <is>
          <t>NONE YET — no worked example is declared for this figure, so nothing re-runs it (step 6)</t>
        </is>
      </c>
      <c r="AO38" s="9" t="inlineStr">
        <is>
          <t>WAITING ON YOU — question Q30 · RULED, NOT CODED (Q-CF-3 — one question, one function)</t>
        </is>
      </c>
    </row>
    <row r="39" ht="60" customHeight="1">
      <c r="A39" s="3" t="inlineStr">
        <is>
          <t>MK-CF-M-028</t>
        </is>
      </c>
      <c r="B39" s="3" t="inlineStr">
        <is>
          <t>Cashflow</t>
        </is>
      </c>
      <c r="C39" s="3" t="inlineStr">
        <is>
          <t>/bill-calendar</t>
        </is>
      </c>
      <c r="D39" s="3" t="inlineStr">
        <is>
          <t>each bill and the day it falls</t>
        </is>
      </c>
      <c r="E39" s="3" t="inlineStr">
        <is>
          <t>each_bill_and_the_day_it_falls</t>
        </is>
      </c>
      <c r="F39" s="3" t="inlineStr">
        <is>
          <t>whatsComing</t>
        </is>
      </c>
      <c r="G39" s="3" t="inlineStr">
        <is>
          <t>MK-CF-O-008</t>
        </is>
      </c>
      <c r="H39" s="3" t="inlineStr">
        <is>
          <t>each dated bill in the window, in date order, with the running balance after it</t>
        </is>
      </c>
      <c r="I39" s="3" t="inlineStr">
        <is>
          <t>each dated bill in the window, in date order, with the running balance after it</t>
        </is>
      </c>
      <c r="J39" s="3" t="inlineStr">
        <is>
          <t>MK-CF-I-002 your bills
MK-NW-I-001 your accounts</t>
        </is>
      </c>
      <c r="K39" s="3" t="inlineStr">
        <is>
          <t>dollars, whole</t>
        </is>
      </c>
      <c r="L39" s="3" t="inlineStr">
        <is>
          <t>$0, and under it the one line "Nothing entered yet. Add your bills ›" (mock approved 2026-09-12). A real zero that was entered shows a plain $0 with no line.</t>
        </is>
      </c>
      <c r="M39" s="3" t="inlineStr">
        <is>
          <t>one bill</t>
        </is>
      </c>
      <c r="N39" s="3" t="inlineStr">
        <is>
          <t>as of today</t>
        </is>
      </c>
      <c r="O39" s="3" t="inlineStr">
        <is>
          <t>MK-CF-F-019 (upcomingBills) → NOT DECLARED — the code does not say what it gives back</t>
        </is>
      </c>
      <c r="P39" s="3" t="inlineStr">
        <is>
          <t>Declared by MK-CF-O-008 whatsComing</t>
        </is>
      </c>
      <c r="Q39" s="3" t="inlineStr">
        <is>
          <t>A bill with NO date is not on the calendar — a date nobody gave would be read as one they did. It is still counted in the month’s total.</t>
        </is>
      </c>
      <c r="R39" s="3" t="inlineStr">
        <is>
          <t>A bill with NO date is not on the calendar — a date nobody gave would be read as one they did. It is still counted in the month’s total.</t>
        </is>
      </c>
      <c r="S39" s="3" t="inlineStr"/>
      <c r="T39" s="3" t="inlineStr">
        <is>
          <t>A bill with NO date is not on the calendar — a date nobody gave would be read as one they did. It is still counted in the month’s total.</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G32 / Q48 — RULED 2026-09-09: $0 stays, with the sentence '$0 — nothing entered yet.' and this row's door ('Add your bills ›'). File written; the screen follows the approved empty-state mock (one pattern, one screen), then every screen.</t>
        </is>
      </c>
      <c r="AF39" s="3" t="inlineStr">
        <is>
          <t>ACTIVE</t>
        </is>
      </c>
      <c r="AG39" s="3" t="inlineStr">
        <is>
          <t>2026-10-02</t>
        </is>
      </c>
      <c r="AH39" s="3" t="inlineStr"/>
      <c r="AI39" s="3" t="inlineStr"/>
      <c r="AJ39"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MK-CF-O-008 whatsComing</t>
        </is>
      </c>
      <c r="AN39" s="3" t="inlineStr">
        <is>
          <t>On 28 Sep 2026, with $8,000 in the account: car insurance of $1,400 due 15 Oct and property tax of $4,800 due 1 Nov. Nothing else is dated.
GIVES: $4,800
(the test re-runs this through MK-CF-O-008 whatsComing on every build)</t>
        </is>
      </c>
      <c r="AO39" s="7" t="inlineStr">
        <is>
          <t>RULED, NOT CODED (Q-CF-3 — one question, one function)</t>
        </is>
      </c>
    </row>
    <row r="40" ht="60" customHeight="1">
      <c r="A40" s="3" t="inlineStr">
        <is>
          <t>MK-CF-M-030</t>
        </is>
      </c>
      <c r="B40" s="3" t="inlineStr">
        <is>
          <t>Cashflow</t>
        </is>
      </c>
      <c r="C40" s="3" t="inlineStr">
        <is>
          <t>/base-pay</t>
        </is>
      </c>
      <c r="D40" s="3" t="inlineStr">
        <is>
          <t>Each person’s pay</t>
        </is>
      </c>
      <c r="E40" s="3" t="inlineStr">
        <is>
          <t>each_persons_pay</t>
        </is>
      </c>
      <c r="F40" s="3" t="inlineStr">
        <is>
          <t>basePay</t>
        </is>
      </c>
      <c r="G40" s="3" t="inlineStr">
        <is>
          <t>MK-CF-O-001</t>
        </is>
      </c>
      <c r="H40" s="3" t="inlineStr">
        <is>
          <t>gross a year = the sum of every earner’s wage, each annualised from the rhythm they are paid in</t>
        </is>
      </c>
      <c r="I40" s="3" t="inlineStr">
        <is>
          <t>gross a year = the sum of every earner’s wage, each annualised from the rhythm they are paid in</t>
        </is>
      </c>
      <c r="J40" s="3" t="inlineStr">
        <is>
          <t>MK-CF-I-001 wage
MK-CF-I-002 how often it is paid
MK-XS-I-021 spouse wage</t>
        </is>
      </c>
      <c r="K40" s="3" t="inlineStr">
        <is>
          <t>dollars, whole a year</t>
        </is>
      </c>
      <c r="L40" s="3" t="inlineStr">
        <is>
          <t>Shows $0 until a wage is entered; the screen offers the door to enter one.</t>
        </is>
      </c>
      <c r="M40" s="3" t="inlineStr">
        <is>
          <t>one figure per household</t>
        </is>
      </c>
      <c r="N40" s="3" t="inlineStr">
        <is>
          <t>a year</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A wage entered for a rhythm is annualised by that rhythm, never by a flat twelve.</t>
        </is>
      </c>
      <c r="R40" s="3" t="inlineStr">
        <is>
          <t>A wage entered for a rhythm is annualised by that rhythm, never by a flat twelve.</t>
        </is>
      </c>
      <c r="S40" s="3" t="inlineStr"/>
      <c r="T40" s="3" t="inlineStr">
        <is>
          <t>A wage entered for a rhythm is annualised by that rhythm, never by a flat twelve.</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2026-10-02</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40" s="7" t="inlineStr">
        <is>
          <t>RULED, NOT CODED (Q-CF-1 — one question, one function)</t>
        </is>
      </c>
    </row>
    <row r="41" ht="60" customHeight="1">
      <c r="A41" s="3" t="inlineStr">
        <is>
          <t>MK-CF-M-031</t>
        </is>
      </c>
      <c r="B41" s="3" t="inlineStr">
        <is>
          <t>Cashflow</t>
        </is>
      </c>
      <c r="C41" s="3" t="inlineStr">
        <is>
          <t>/base-pay · /cashflow</t>
        </is>
      </c>
      <c r="D41" s="3" t="inlineStr">
        <is>
          <t>Take-home</t>
        </is>
      </c>
      <c r="E41" s="3" t="inlineStr">
        <is>
          <t>takehome</t>
        </is>
      </c>
      <c r="F41" s="3" t="inlineStr">
        <is>
          <t>basePay</t>
        </is>
      </c>
      <c r="G41" s="3" t="inlineStr">
        <is>
          <t>MK-CF-O-001</t>
        </is>
      </c>
      <c r="H41" s="3" t="inlineStr">
        <is>
          <t>for one earner: what they entered, or their gross less federal tax less their own 401(k). For the household: the sum of the earners’ figures, never a second calculation.</t>
        </is>
      </c>
      <c r="I41" s="3" t="inlineStr">
        <is>
          <t>for one earner: what they entered, or their gross less federal tax less their own 401(k). For the household: the sum of the earners’ figures, never a second calculation.</t>
        </is>
      </c>
      <c r="J41" s="3" t="inlineStr">
        <is>
          <t>MK-CF-I-001 wage
MK-CF-I-003 take-home as entered
MK-CF-I-004 401(k) contribution
MK-CF-I-005 tax rate as entered</t>
        </is>
      </c>
      <c r="K41" s="3" t="inlineStr">
        <is>
          <t>dollars, whole a month</t>
        </is>
      </c>
      <c r="L41" s="3" t="inlineStr">
        <is>
          <t>Shows $0 until a wage is entered.</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Federal income tax only when it is calculated — no Social Security, Medicare or state tax (MK-CF-D-001).</t>
        </is>
      </c>
      <c r="R41" s="3" t="inlineStr">
        <is>
          <t>Federal income tax only when it is calculated — no Social Security, Medicare or state tax (MK-CF-D-001).</t>
        </is>
      </c>
      <c r="S41" s="3" t="inlineStr"/>
      <c r="T41" s="3" t="inlineStr">
        <is>
          <t>Federal income tax only when it is calculated — no Social Security, Medicare or state tax (MK-CF-D-001).</t>
        </is>
      </c>
      <c r="U41" s="3" t="inlineStr">
        <is>
          <t>ONE figure over two sets: one earner, and the household — so a total and its parts cannot disagree (rule 2). It wears ≈ whenever the figure was calculated rather than entered.</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2026-10-02</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41" s="7" t="inlineStr">
        <is>
          <t>RULED, NOT CODED (Q-CF-1 — one question, one function)</t>
        </is>
      </c>
    </row>
    <row r="42" ht="60" customHeight="1">
      <c r="A42" s="3" t="inlineStr">
        <is>
          <t>MK-CF-M-032</t>
        </is>
      </c>
      <c r="B42" s="3" t="inlineStr">
        <is>
          <t>Cashflow</t>
        </is>
      </c>
      <c r="C42" s="3" t="inlineStr">
        <is>
          <t>/base-pay</t>
        </is>
      </c>
      <c r="D42" s="3" t="inlineStr">
        <is>
          <t>Federal tax bracket</t>
        </is>
      </c>
      <c r="E42" s="3" t="inlineStr">
        <is>
          <t>federal_tax_bracket</t>
        </is>
      </c>
      <c r="F42" s="3" t="inlineStr">
        <is>
          <t>basePay</t>
        </is>
      </c>
      <c r="G42" s="3" t="inlineStr">
        <is>
          <t>MK-CF-O-001</t>
        </is>
      </c>
      <c r="H42" s="3" t="inlineStr">
        <is>
          <t>the published bracket the household’s gross falls in, for their filing status</t>
        </is>
      </c>
      <c r="I42" s="3" t="inlineStr">
        <is>
          <t>the published bracket the household’s gross falls in, for their filing status</t>
        </is>
      </c>
      <c r="J42" s="3" t="inlineStr">
        <is>
          <t>MK-CF-M-030 gross a year
MK-XS-I-024 filing status</t>
        </is>
      </c>
      <c r="K42" s="3" t="inlineStr">
        <is>
          <t>a percentage, whole</t>
        </is>
      </c>
      <c r="L42" s="3" t="inlineStr">
        <is>
          <t>The row is not shown until a wage is entered.</t>
        </is>
      </c>
      <c r="M42" s="3" t="inlineStr">
        <is>
          <t>one figure per household</t>
        </is>
      </c>
      <c r="N42" s="3" t="inlineStr">
        <is>
          <t>as of today</t>
        </is>
      </c>
      <c r="O42"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2" s="3" t="inlineStr">
        <is>
          <t>Declared by MK-CF-O-001 basePay</t>
        </is>
      </c>
      <c r="Q42" s="3" t="inlineStr">
        <is>
          <t>Filing status is assumed to be jointly when two people earn and nobody has said (MK-CF-D-004).</t>
        </is>
      </c>
      <c r="R42" s="3" t="inlineStr">
        <is>
          <t>Filing status is assumed to be jointly when two people earn and nobody has said (MK-CF-D-004).</t>
        </is>
      </c>
      <c r="S42" s="3" t="inlineStr"/>
      <c r="T42" s="3" t="inlineStr">
        <is>
          <t>Filing status is assumed to be jointly when two people earn and nobody has said (MK-CF-D-004).</t>
        </is>
      </c>
      <c r="U42" s="3" t="inlineStr"/>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2026-10-02</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MK-CF-O-001 basePay</t>
        </is>
      </c>
      <c r="AN42"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42" s="7" t="inlineStr">
        <is>
          <t>RULED, NOT CODED (Q-CF-1 — one question, one function)</t>
        </is>
      </c>
    </row>
    <row r="43" ht="60" customHeight="1">
      <c r="A43" s="3" t="inlineStr">
        <is>
          <t>MK-CF-M-033</t>
        </is>
      </c>
      <c r="B43" s="3" t="inlineStr">
        <is>
          <t>Cashflow</t>
        </is>
      </c>
      <c r="C43" s="3" t="inlineStr">
        <is>
          <t>/base-pay</t>
        </is>
      </c>
      <c r="D43" s="3" t="inlineStr">
        <is>
          <t>Calculated federal tax</t>
        </is>
      </c>
      <c r="E43" s="3" t="inlineStr">
        <is>
          <t>calculated_federal_tax</t>
        </is>
      </c>
      <c r="F43" s="3" t="inlineStr">
        <is>
          <t>basePay</t>
        </is>
      </c>
      <c r="G43" s="3" t="inlineStr">
        <is>
          <t>MK-CF-O-001</t>
        </is>
      </c>
      <c r="H43" s="3" t="inlineStr">
        <is>
          <t>tax a month = federal tax on (gross less the standard deduction, at the published bands) ÷ 12</t>
        </is>
      </c>
      <c r="I43" s="3" t="inlineStr">
        <is>
          <t>tax a month = federal tax on (gross less the standard deduction, at the published bands) ÷ 12</t>
        </is>
      </c>
      <c r="J43" s="3" t="inlineStr">
        <is>
          <t>MK-CF-M-030 gross a year
MK-XS-I-024 filing status
MK-XS-I-025 how many are over 65</t>
        </is>
      </c>
      <c r="K43" s="3" t="inlineStr">
        <is>
          <t>dollars, whole a month</t>
        </is>
      </c>
      <c r="L43" s="3" t="inlineStr">
        <is>
          <t>The row appears only when the figure is ours; an entered take-home already has tax inside it.</t>
        </is>
      </c>
      <c r="M43" s="3" t="inlineStr">
        <is>
          <t>one figure per household</t>
        </is>
      </c>
      <c r="N43" s="3" t="inlineStr">
        <is>
          <t>a month</t>
        </is>
      </c>
      <c r="O43"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3" s="3" t="inlineStr">
        <is>
          <t>Declared by MK-CF-O-001 basePay</t>
        </is>
      </c>
      <c r="Q43" s="3" t="inlineStr">
        <is>
          <t>Assumes the standard deduction, never itemised (MK-CF-D-002).</t>
        </is>
      </c>
      <c r="R43" s="3" t="inlineStr">
        <is>
          <t>Assumes the standard deduction, never itemised (MK-CF-D-002).</t>
        </is>
      </c>
      <c r="S43" s="3" t="inlineStr"/>
      <c r="T43" s="3" t="inlineStr">
        <is>
          <t>Assumes the standard deduction, never itemised (MK-CF-D-002).</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MK-CF-O-001 basePay</t>
        </is>
      </c>
      <c r="AN43"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43" s="7" t="inlineStr">
        <is>
          <t>RULED, NOT CODED (Q-CF-1 — one question, one function)</t>
        </is>
      </c>
    </row>
    <row r="44" ht="60" customHeight="1">
      <c r="A44" s="3" t="inlineStr">
        <is>
          <t>MK-CF-M-034</t>
        </is>
      </c>
      <c r="B44" s="3" t="inlineStr">
        <is>
          <t>Cashflow</t>
        </is>
      </c>
      <c r="C44" s="3" t="inlineStr">
        <is>
          <t>/base-pay</t>
        </is>
      </c>
      <c r="D44" s="3" t="inlineStr">
        <is>
          <t>Your 401(k)s</t>
        </is>
      </c>
      <c r="E44" s="3" t="inlineStr">
        <is>
          <t>your_401ks</t>
        </is>
      </c>
      <c r="F44" s="3" t="inlineStr">
        <is>
          <t>basePay</t>
        </is>
      </c>
      <c r="G44" s="3" t="inlineStr">
        <is>
          <t>MK-CF-O-001</t>
        </is>
      </c>
      <c r="H44" s="3" t="inlineStr">
        <is>
          <t>401(k) a month = the sum of every earner’s own contribution, the employer’s match excluded</t>
        </is>
      </c>
      <c r="I44" s="3" t="inlineStr">
        <is>
          <t>401(k) a month = the sum of every earner’s own contribution, the employer’s match excluded</t>
        </is>
      </c>
      <c r="J44" s="3" t="inlineStr">
        <is>
          <t>MK-CF-I-004 401(k) contribution</t>
        </is>
      </c>
      <c r="K44" s="3" t="inlineStr">
        <is>
          <t>dollars, whole a month</t>
        </is>
      </c>
      <c r="L44" s="3" t="inlineStr">
        <is>
          <t>The row is hidden when nobody contributes.</t>
        </is>
      </c>
      <c r="M44" s="3" t="inlineStr">
        <is>
          <t>one figure per household</t>
        </is>
      </c>
      <c r="N44" s="3" t="inlineStr">
        <is>
          <t>a month</t>
        </is>
      </c>
      <c r="O44"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4" s="3" t="inlineStr">
        <is>
          <t>Declared by MK-CF-O-001 basePay</t>
        </is>
      </c>
      <c r="Q44" s="3" t="inlineStr">
        <is>
          <t>The employer’s match is not counted here — it is not taken out of take-home (MK-CF-D-003).</t>
        </is>
      </c>
      <c r="R44" s="3" t="inlineStr">
        <is>
          <t>The employer’s match is not counted here — it is not taken out of take-home (MK-CF-D-003).</t>
        </is>
      </c>
      <c r="S44" s="3" t="inlineStr"/>
      <c r="T44" s="3" t="inlineStr">
        <is>
          <t>The employer’s match is not counted here — it is not taken out of take-home (MK-CF-D-003).</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2026-10-02</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MK-CF-O-001 basePay</t>
        </is>
      </c>
      <c r="AN44"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44" s="7" t="inlineStr">
        <is>
          <t>RULED, NOT CODED (Q-CF-1 — one question, one function)</t>
        </is>
      </c>
    </row>
    <row r="45" ht="60" customHeight="1">
      <c r="A45" s="3" t="inlineStr">
        <is>
          <t>MK-CF-M-035</t>
        </is>
      </c>
      <c r="B45" s="3" t="inlineStr">
        <is>
          <t>Cashflow</t>
        </is>
      </c>
      <c r="C45" s="3" t="inlineStr">
        <is>
          <t>/base-pay</t>
        </is>
      </c>
      <c r="D45" s="3" t="inlineStr">
        <is>
          <t>The take-home above is higher than it will really be</t>
        </is>
      </c>
      <c r="E45" s="3" t="inlineStr">
        <is>
          <t>the_takehome_above_is_higher_than_it_wil</t>
        </is>
      </c>
      <c r="F45" s="3" t="inlineStr">
        <is>
          <t>basePay</t>
        </is>
      </c>
      <c r="G45" s="3" t="inlineStr">
        <is>
          <t>MK-CF-O-001</t>
        </is>
      </c>
      <c r="H45" s="3" t="inlineStr">
        <is>
          <t>overstated by = Σ over earners of (Social Security 6.2% of the wage up to the wage base + Medicare 1.45% of the whole wage + 0.9% of the wage above the additional-tax threshold) ÷ 12</t>
        </is>
      </c>
      <c r="I45" s="3" t="inlineStr">
        <is>
          <t>overstated by = Σ over earners of (Social Security 6.2% of the wage up to the wage base + Medicare 1.45% of the whole wage + 0.9% of the wage above the additional-tax threshold) ÷ 12</t>
        </is>
      </c>
      <c r="J45" s="3" t="inlineStr">
        <is>
          <t>MK-CF-I-001 wage
MK-ST-I-030 Social Security wage base
MK-ST-I-031 Medicare additional-tax threshold</t>
        </is>
      </c>
      <c r="K45" s="3" t="inlineStr">
        <is>
          <t>dollars, whole a month</t>
        </is>
      </c>
      <c r="L45" s="3" t="inlineStr">
        <is>
          <t>The warning appears only when the take-home is ours and estimated.</t>
        </is>
      </c>
      <c r="M45" s="3" t="inlineStr">
        <is>
          <t>one figure per household</t>
        </is>
      </c>
      <c r="N45" s="3" t="inlineStr">
        <is>
          <t>a month</t>
        </is>
      </c>
      <c r="O4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5" s="3" t="inlineStr">
        <is>
          <t>Declared by MK-CF-O-001 basePay</t>
        </is>
      </c>
      <c r="Q45" s="3" t="inlineStr">
        <is>
          <t>State tax is not in this figure, because we do not know their state (MK-CF-D-005).</t>
        </is>
      </c>
      <c r="R45" s="3" t="inlineStr">
        <is>
          <t>State tax is not in this figure, because we do not know their state (MK-CF-D-005).</t>
        </is>
      </c>
      <c r="S45" s="3" t="inlineStr"/>
      <c r="T45" s="3" t="inlineStr">
        <is>
          <t>State tax is not in this figure, because we do not know their state (MK-CF-D-005).</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2026-10-02</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MK-CF-O-001 basePay</t>
        </is>
      </c>
      <c r="AN45"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5" s="7" t="inlineStr">
        <is>
          <t>RULED, NOT CODED (Q-CF-1 — one question, one function)</t>
        </is>
      </c>
    </row>
    <row r="46" ht="60" customHeight="1">
      <c r="A46" s="3" t="inlineStr">
        <is>
          <t>MK-CF-M-036</t>
        </is>
      </c>
      <c r="B46" s="3" t="inlineStr">
        <is>
          <t>Cashflow</t>
        </is>
      </c>
      <c r="C46" s="3" t="inlineStr">
        <is>
          <t>/base-pay</t>
        </is>
      </c>
      <c r="D46" s="3" t="inlineStr">
        <is>
          <t>Everything else taken out</t>
        </is>
      </c>
      <c r="E46" s="3" t="inlineStr">
        <is>
          <t>everything_else_taken_out</t>
        </is>
      </c>
      <c r="F46" s="3" t="inlineStr">
        <is>
          <t>basePay</t>
        </is>
      </c>
      <c r="G46" s="3" t="inlineStr">
        <is>
          <t>MK-CF-O-001</t>
        </is>
      </c>
      <c r="H46" s="3" t="inlineStr">
        <is>
          <t>for one earner: everything else = (their gross a year − their 401(k) a year − their take-home /year) ÷ 12. For the household: the sum of the earners’ figures, never a second subtraction.</t>
        </is>
      </c>
      <c r="I46" s="3" t="inlineStr">
        <is>
          <t>for one earner: everything else = (their gross a year − their 401(k) a year − their take-home /year) ÷ 12. For the household: the sum of the earners’ figures, never a second subtraction.</t>
        </is>
      </c>
      <c r="J46" s="3" t="inlineStr">
        <is>
          <t>MK-CF-I-001 wage
MK-CF-I-003 take-home as entered
MK-CF-I-004 401(k) contribution</t>
        </is>
      </c>
      <c r="K46" s="3" t="inlineStr">
        <is>
          <t>dollars, whole a month</t>
        </is>
      </c>
      <c r="L46" s="3" t="inlineStr">
        <is>
          <t>The row is hidden for anyone whose take-home was calculated rather than entered; the household row is hidden unless every earner entered one.</t>
        </is>
      </c>
      <c r="M46" s="3" t="inlineStr">
        <is>
          <t>one figure per household</t>
        </is>
      </c>
      <c r="N46" s="3" t="inlineStr">
        <is>
          <t>a month</t>
        </is>
      </c>
      <c r="O4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6" s="3" t="inlineStr">
        <is>
          <t>Declared by MK-CF-O-001 basePay</t>
        </is>
      </c>
      <c r="Q46" s="3" t="inlineStr">
        <is>
          <t>Shown only when the person entered their own take-home, so the difference is theirs and not ours.
The household figure is the sum of the earners’, so a total and its parts cannot disagree (rule 2).</t>
        </is>
      </c>
      <c r="R46" s="3" t="inlineStr">
        <is>
          <t>Shown only when the person entered their own take-home, so the difference is theirs and not ours.
The household figure is the sum of the earners’, so a total and its parts cannot disagree (rule 2).</t>
        </is>
      </c>
      <c r="S46" s="3" t="inlineStr"/>
      <c r="T46" s="3" t="inlineStr">
        <is>
          <t>Shown only when the person entered their own take-home, so the difference is theirs and not ours.
The household figure is the sum of the earners’, so a total and its parts cannot disagree (rule 2).</t>
        </is>
      </c>
      <c r="U46" s="3" t="inlineStr">
        <is>
          <t>ONE figure over two sets: one earner, and the household. Moved off the screen into this door on 2026-09-14 — the base-pay card used to do the subtraction itself (rule 5).</t>
        </is>
      </c>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2026-10-02</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MK-CF-O-001 basePay</t>
        </is>
      </c>
      <c r="AN46" s="3" t="inlineStr">
        <is>
          <t>Two earners filing jointly: $4,200 every two weeks ($109,200/year) and $5,000/month ($60,000), paying $1,200 and $400/month into their 401(k)s — $14,100/month of wages in all. Each has typed what actually lands: $2,700 a period and $3,400/month.
GIVES: $3,250/month
(the test re-runs this through MK-CF-O-001 basePay on every build)</t>
        </is>
      </c>
      <c r="AO46" s="7" t="inlineStr">
        <is>
          <t>RULED, NOT CODED (Q-CF-1 — one question, one function)</t>
        </is>
      </c>
    </row>
    <row r="47" ht="60" customHeight="1">
      <c r="A47" s="3" t="inlineStr">
        <is>
          <t>MK-CF-M-037</t>
        </is>
      </c>
      <c r="B47" s="3" t="inlineStr">
        <is>
          <t>Cashflow</t>
        </is>
      </c>
      <c r="C47" s="3" t="inlineStr">
        <is>
          <t>/income-summary</t>
        </is>
      </c>
      <c r="D47" s="3" t="inlineStr">
        <is>
          <t>Take-home each month</t>
        </is>
      </c>
      <c r="E47" s="3" t="inlineStr">
        <is>
          <t>takehome_each_month</t>
        </is>
      </c>
      <c r="F47" s="3" t="inlineStr">
        <is>
          <t>incomeSummary</t>
        </is>
      </c>
      <c r="G47" s="3" t="inlineStr">
        <is>
          <t>MK-CF-O-004</t>
        </is>
      </c>
      <c r="H47" s="3" t="inlineStr">
        <is>
          <t>take-home a usual month = Σ of every source’s take-home in a usual month; a source that lands in one month of the year is not spread across twelve</t>
        </is>
      </c>
      <c r="I47" s="3" t="inlineStr">
        <is>
          <t>take-home a usual month = Σ of every source’s take-home in a usual month; a source that lands in one month of the year is not spread across twelve</t>
        </is>
      </c>
      <c r="J47" s="3" t="inlineStr">
        <is>
          <t>MK-CF-M-031 household take-home
MK-CF-I-006 other income
MK-CF-I-007 rental income
MK-CF-I-008 retirement income</t>
        </is>
      </c>
      <c r="K47" s="3" t="inlineStr">
        <is>
          <t>dollars, whole a month</t>
        </is>
      </c>
      <c r="L47" s="3" t="inlineStr">
        <is>
          <t>Shows $0 on a fresh account, with the door to enter income — never a dash.</t>
        </is>
      </c>
      <c r="M47" s="3" t="inlineStr">
        <is>
          <t>one figure per household</t>
        </is>
      </c>
      <c r="N47" s="3" t="inlineStr">
        <is>
          <t>a month</t>
        </is>
      </c>
      <c r="O47"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7" s="3" t="inlineStr">
        <is>
          <t>Declared by MK-CF-O-004 incomeSummary</t>
        </is>
      </c>
      <c r="Q47" s="3" t="inlineStr">
        <is>
          <t>A once-a-year source keeps its own month and is shown separately, never averaged in.</t>
        </is>
      </c>
      <c r="R47" s="3" t="inlineStr">
        <is>
          <t>A once-a-year source keeps its own month and is shown separately, never averaged in.</t>
        </is>
      </c>
      <c r="S47" s="3" t="inlineStr"/>
      <c r="T47" s="3" t="inlineStr">
        <is>
          <t>A once-a-year source keeps its own month and is shown separately, never averaged in.</t>
        </is>
      </c>
      <c r="U47"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2026-10-02</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$9,398/month
(the test re-runs this through MK-CF-O-004 incomeSummary on every build)</t>
        </is>
      </c>
      <c r="AO47" s="7" t="inlineStr">
        <is>
          <t>RULED, NOT CODED (Q-CF-1 — one question, one function)</t>
        </is>
      </c>
    </row>
    <row r="48" ht="60" customHeight="1">
      <c r="A48" s="3" t="inlineStr">
        <is>
          <t>MK-CF-M-038</t>
        </is>
      </c>
      <c r="B48" s="3" t="inlineStr">
        <is>
          <t>Cashflow</t>
        </is>
      </c>
      <c r="C48" s="3" t="inlineStr">
        <is>
          <t>/income-summary</t>
        </is>
      </c>
      <c r="D48" s="3" t="inlineStr">
        <is>
          <t>each source of take-home</t>
        </is>
      </c>
      <c r="E48" s="3" t="inlineStr">
        <is>
          <t>each_source_of_takehome</t>
        </is>
      </c>
      <c r="F48" s="3" t="inlineStr">
        <is>
          <t>incomeSummary</t>
        </is>
      </c>
      <c r="G48" s="3" t="inlineStr">
        <is>
          <t>MK-CF-O-004</t>
        </is>
      </c>
      <c r="H48" s="3" t="inlineStr">
        <is>
          <t>one line per source: the earner’s take-home, or the source’s monthly amount</t>
        </is>
      </c>
      <c r="I48" s="3" t="inlineStr">
        <is>
          <t>one line per source: the earner’s take-home, or the source’s monthly amount</t>
        </is>
      </c>
      <c r="J48" s="3" t="inlineStr">
        <is>
          <t>MK-CF-M-031 household take-home
MK-CF-I-006 other income
MK-CF-I-007 rental income</t>
        </is>
      </c>
      <c r="K48" s="3" t="inlineStr">
        <is>
          <t>dollars, whole a month</t>
        </is>
      </c>
      <c r="L48" s="3" t="inlineStr">
        <is>
          <t>The list is replaced by the door to enter income when nothing is entered.</t>
        </is>
      </c>
      <c r="M48" s="3" t="inlineStr">
        <is>
          <t>one figure per household</t>
        </is>
      </c>
      <c r="N48" s="3" t="inlineStr">
        <is>
          <t>a month</t>
        </is>
      </c>
      <c r="O4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2026-10-02</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$5,898/month
(the test re-runs this through MK-CF-O-004 incomeSummary on every build)</t>
        </is>
      </c>
      <c r="AO48" s="7" t="inlineStr">
        <is>
          <t>RULED, NOT CODED (Q-CF-1 — one question, one function)</t>
        </is>
      </c>
    </row>
    <row r="49" ht="60" customHeight="1">
      <c r="A49" s="3" t="inlineStr">
        <is>
          <t>MK-CF-M-039</t>
        </is>
      </c>
      <c r="B49" s="3" t="inlineStr">
        <is>
          <t>Cashflow</t>
        </is>
      </c>
      <c r="C49" s="3" t="inlineStr">
        <is>
          <t>/income-summary</t>
        </is>
      </c>
      <c r="D49" s="3" t="inlineStr">
        <is>
          <t>its own month, never spread</t>
        </is>
      </c>
      <c r="E49" s="3" t="inlineStr">
        <is>
          <t>its_own_month_never_spread</t>
        </is>
      </c>
      <c r="F49" s="3" t="inlineStr">
        <is>
          <t>incomeSummary</t>
        </is>
      </c>
      <c r="G49" s="3" t="inlineStr">
        <is>
          <t>MK-CF-O-004</t>
        </is>
      </c>
      <c r="H49" s="3" t="inlineStr">
        <is>
          <t>the standout month = the source whose whole year lands in a single month, with that amount and that month</t>
        </is>
      </c>
      <c r="I49" s="3" t="inlineStr">
        <is>
          <t>the standout month = the source whose whole year lands in a single month, with that amount and that month</t>
        </is>
      </c>
      <c r="J49" s="3" t="inlineStr">
        <is>
          <t>MK-CF-I-009 bonus
MK-CF-I-010 equity vesting</t>
        </is>
      </c>
      <c r="K49" s="3" t="inlineStr">
        <is>
          <t>dollars, whole</t>
        </is>
      </c>
      <c r="L49" s="3" t="inlineStr">
        <is>
          <t>The line is hidden when no source behaves this way.</t>
        </is>
      </c>
      <c r="M49" s="3" t="inlineStr">
        <is>
          <t>one figure per household</t>
        </is>
      </c>
      <c r="N49" s="3" t="inlineStr">
        <is>
          <t>as of today</t>
        </is>
      </c>
      <c r="O4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49" s="3" t="inlineStr">
        <is>
          <t>Declared by MK-CF-O-004 incomeSummary</t>
        </is>
      </c>
      <c r="Q49" s="3" t="inlineStr">
        <is>
          <t>A lump that lands once is never averaged across the year (founder, 2026-08-28).</t>
        </is>
      </c>
      <c r="R49" s="3" t="inlineStr">
        <is>
          <t>A lump that lands once is never averaged across the year (founder, 2026-08-28).</t>
        </is>
      </c>
      <c r="S49" s="3" t="inlineStr"/>
      <c r="T49" s="3" t="inlineStr">
        <is>
          <t>A lump that lands once is never averaged across the year (founder, 2026-08-28).</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2026-10-02</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NONE YET — no worked example is declared for this figure, so nothing re-runs it (step 6)</t>
        </is>
      </c>
      <c r="AO49" s="7" t="inlineStr">
        <is>
          <t>RULED, NOT CODED (Q-CF-1 — one question, one function)</t>
        </is>
      </c>
    </row>
    <row r="50" ht="60" customHeight="1">
      <c r="A50" s="3" t="inlineStr">
        <is>
          <t>MK-CF-M-040</t>
        </is>
      </c>
      <c r="B50" s="3" t="inlineStr">
        <is>
          <t>Cashflow</t>
        </is>
      </c>
      <c r="C50" s="3" t="inlineStr">
        <is>
          <t>/income-summary</t>
        </is>
      </c>
      <c r="D50" s="3" t="inlineStr">
        <is>
          <t>is not here — it is reinvested where it is earned</t>
        </is>
      </c>
      <c r="E50" s="3" t="inlineStr">
        <is>
          <t>is_not_here__it_is_reinvested_where_it_i</t>
        </is>
      </c>
      <c r="F50" s="3" t="inlineStr">
        <is>
          <t>incomeSummary</t>
        </is>
      </c>
      <c r="G50" s="3" t="inlineStr">
        <is>
          <t>MK-CF-O-004</t>
        </is>
      </c>
      <c r="H50" s="3" t="inlineStr">
        <is>
          <t>taxed but not landed = interest and dividends earned inside accounts, which stay where they are earned</t>
        </is>
      </c>
      <c r="I50" s="3" t="inlineStr">
        <is>
          <t>taxed but not landed = interest and dividends earned inside accounts, which stay where they are earned</t>
        </is>
      </c>
      <c r="J50" s="3" t="inlineStr">
        <is>
          <t>MK-CF-I-011 interest and dividends</t>
        </is>
      </c>
      <c r="K50" s="3" t="inlineStr">
        <is>
          <t>dollars, whole a month</t>
        </is>
      </c>
      <c r="L50" s="3" t="inlineStr">
        <is>
          <t>The sentence is hidden when there is none.</t>
        </is>
      </c>
      <c r="M50" s="3" t="inlineStr">
        <is>
          <t>one figure per household</t>
        </is>
      </c>
      <c r="N50" s="3" t="inlineStr">
        <is>
          <t>a month</t>
        </is>
      </c>
      <c r="O5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0" s="3" t="inlineStr">
        <is>
          <t>Declared by MK-CF-O-004 incomeSummary</t>
        </is>
      </c>
      <c r="Q50" s="3" t="inlineStr">
        <is>
          <t>NONE RECORDED — the declaration names none.</t>
        </is>
      </c>
      <c r="R50" s="3" t="inlineStr">
        <is>
          <t>NONE RECORDED — the declaration names none.</t>
        </is>
      </c>
      <c r="S50" s="3" t="inlineStr"/>
      <c r="T50" s="3" t="inlineStr">
        <is>
          <t>NONE RECORDED — the declaration names none.</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2026-10-02</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MK-CF-O-004 incomeSummary</t>
        </is>
      </c>
      <c r="AN50" s="3" t="inlineStr">
        <is>
          <t>NONE YET — no worked example is declared for this figure, so nothing re-runs it (step 6)</t>
        </is>
      </c>
      <c r="AO50" s="7" t="inlineStr">
        <is>
          <t>RULED, NOT CODED (Q-CF-1 — one question, one function)</t>
        </is>
      </c>
    </row>
    <row r="51" ht="60" customHeight="1">
      <c r="A51" s="3" t="inlineStr">
        <is>
          <t>MK-CF-M-041</t>
        </is>
      </c>
      <c r="B51" s="3" t="inlineStr">
        <is>
          <t>Cashflow</t>
        </is>
      </c>
      <c r="C51" s="3" t="inlineStr">
        <is>
          <t>/income-summary</t>
        </is>
      </c>
      <c r="D51" s="3" t="inlineStr">
        <is>
          <t>What it is taxed on</t>
        </is>
      </c>
      <c r="E51" s="3" t="inlineStr">
        <is>
          <t>what_it_is_taxed_on</t>
        </is>
      </c>
      <c r="F51" s="3" t="inlineStr">
        <is>
          <t>incomeSummary</t>
        </is>
      </c>
      <c r="G51" s="3" t="inlineStr">
        <is>
          <t>MK-CF-O-004</t>
        </is>
      </c>
      <c r="H51" s="3" t="inlineStr">
        <is>
          <t>gross a year = Σ of every taxable source over the year, wages included at gross</t>
        </is>
      </c>
      <c r="I51" s="3" t="inlineStr">
        <is>
          <t>gross a year = Σ of every taxable source over the year, wages included at gross</t>
        </is>
      </c>
      <c r="J51" s="3" t="inlineStr">
        <is>
          <t>MK-CF-M-030 gross a year
MK-CF-I-006 other income
MK-CF-I-007 rental income
MK-CF-I-011 interest and dividends</t>
        </is>
      </c>
      <c r="K51" s="3" t="inlineStr">
        <is>
          <t>dollars, whole a year</t>
        </is>
      </c>
      <c r="L51" s="3" t="inlineStr">
        <is>
          <t>Shows $0 on a fresh account, with the door to enter income.</t>
        </is>
      </c>
      <c r="M51" s="3" t="inlineStr">
        <is>
          <t>one figure per household</t>
        </is>
      </c>
      <c r="N51" s="3" t="inlineStr">
        <is>
          <t>a year</t>
        </is>
      </c>
      <c r="O51"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1" s="3" t="inlineStr">
        <is>
          <t>Declared by MK-CF-O-004 incomeSummary</t>
        </is>
      </c>
      <c r="Q51" s="3" t="inlineStr">
        <is>
          <t>NONE RECORDED — the declaration names none.</t>
        </is>
      </c>
      <c r="R51" s="3" t="inlineStr">
        <is>
          <t>NONE RECORDED — the declaration names none.</t>
        </is>
      </c>
      <c r="S51" s="3" t="inlineStr"/>
      <c r="T51" s="3" t="inlineStr">
        <is>
          <t>NONE RECORDED — the declaration names none.</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2026-10-02</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MK-CF-O-004 incomeSummary</t>
        </is>
      </c>
      <c r="AN51" s="3" t="inlineStr">
        <is>
          <t>Two earners filing jointly: $4,200 every two weeks ($109,200/year) and $5,000/month ($60,000), paying $1,200 and $400/month into their 401(k)s, with the tax rate typed at 22%.
GIVES: $169,200/year
(the test re-runs this through MK-CF-O-004 incomeSummary on every build)</t>
        </is>
      </c>
      <c r="AO51" s="7" t="inlineStr">
        <is>
          <t>RULED, NOT CODED (Q-CF-1 — one question, one function)</t>
        </is>
      </c>
    </row>
    <row r="52" ht="60" customHeight="1">
      <c r="A52" s="3" t="inlineStr">
        <is>
          <t>MK-CF-M-042</t>
        </is>
      </c>
      <c r="B52" s="3" t="inlineStr">
        <is>
          <t>Cashflow</t>
        </is>
      </c>
      <c r="C52" s="3" t="inlineStr">
        <is>
          <t>/income-summary</t>
        </is>
      </c>
      <c r="D52" s="3" t="inlineStr">
        <is>
          <t>each taxed source</t>
        </is>
      </c>
      <c r="E52" s="3" t="inlineStr">
        <is>
          <t>each_taxed_source</t>
        </is>
      </c>
      <c r="F52" s="3" t="inlineStr">
        <is>
          <t>incomeSummary</t>
        </is>
      </c>
      <c r="G52" s="3" t="inlineStr">
        <is>
          <t>MK-CF-O-004</t>
        </is>
      </c>
      <c r="H52" s="3" t="inlineStr">
        <is>
          <t>one line per taxable source, at its yearly amount</t>
        </is>
      </c>
      <c r="I52" s="3" t="inlineStr">
        <is>
          <t>one line per taxable source, at its yearly amount</t>
        </is>
      </c>
      <c r="J52" s="3" t="inlineStr">
        <is>
          <t>MK-CF-M-041 gross a year</t>
        </is>
      </c>
      <c r="K52" s="3" t="inlineStr">
        <is>
          <t>dollars, whole a year</t>
        </is>
      </c>
      <c r="L52" s="3" t="inlineStr">
        <is>
          <t>The list is replaced by the door to enter income when nothing is entered.</t>
        </is>
      </c>
      <c r="M52" s="3" t="inlineStr">
        <is>
          <t>one figure per household</t>
        </is>
      </c>
      <c r="N52" s="3" t="inlineStr">
        <is>
          <t>a year</t>
        </is>
      </c>
      <c r="O52"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2" s="3" t="inlineStr">
        <is>
          <t>Declared by MK-CF-O-004 incomeSummary</t>
        </is>
      </c>
      <c r="Q52" s="3" t="inlineStr">
        <is>
          <t>NONE RECORDED — the declaration names none.</t>
        </is>
      </c>
      <c r="R52" s="3" t="inlineStr">
        <is>
          <t>NONE RECORDED — the declaration names none.</t>
        </is>
      </c>
      <c r="S52" s="3" t="inlineStr"/>
      <c r="T52" s="3" t="inlineStr">
        <is>
          <t>NONE RECORDED — the declaration names none.</t>
        </is>
      </c>
      <c r="U52" s="3" t="inlineStr"/>
      <c r="V52" s="3" t="inlineStr"/>
      <c r="W52" s="3" t="inlineStr"/>
      <c r="X52" s="3" t="inlineStr"/>
      <c r="Y52" s="3" t="inlineStr"/>
      <c r="Z52" s="3" t="inlineStr">
        <is>
          <t>DECLARED IN THE CODE (rule 11) — printed from the door, not typed. RULED 2026-09-14</t>
        </is>
      </c>
      <c r="AA52" s="3" t="inlineStr"/>
      <c r="AB52" s="3" t="inlineStr"/>
      <c r="AC52" s="3" t="inlineStr"/>
      <c r="AD52" s="3" t="inlineStr"/>
      <c r="AE52" s="3" t="inlineStr"/>
      <c r="AF52" s="3" t="inlineStr">
        <is>
          <t>ACTIVE</t>
        </is>
      </c>
      <c r="AG52" s="3" t="inlineStr">
        <is>
          <t>2026-10-02</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2026-09-14; the figure, its formula, inputs and refusal live in MK-CF-O-004 incomeSummary</t>
        </is>
      </c>
      <c r="AN52" s="3" t="inlineStr">
        <is>
          <t>Two earners filing jointly: $4,200 every two weeks ($109,200/year) and $5,000/month ($60,000), paying $1,200 and $400/month into their 401(k)s, with the tax rate typed at 22%.
GIVES: $109,200/year
(the test re-runs this through MK-CF-O-004 incomeSummary on every build)</t>
        </is>
      </c>
      <c r="AO52" s="7" t="inlineStr">
        <is>
          <t>RULED, NOT CODED (Q-CF-1 — one question, one function)</t>
        </is>
      </c>
    </row>
    <row r="53" ht="60" customHeight="1">
      <c r="A53" s="3" t="inlineStr">
        <is>
          <t>MK-CF-M-043</t>
        </is>
      </c>
      <c r="B53" s="3" t="inlineStr">
        <is>
          <t>Cashflow</t>
        </is>
      </c>
      <c r="C53" s="3" t="inlineStr">
        <is>
          <t>/income-summary</t>
        </is>
      </c>
      <c r="D53" s="3" t="inlineStr">
        <is>
          <t>Federal tax bracket</t>
        </is>
      </c>
      <c r="E53" s="3" t="inlineStr">
        <is>
          <t>federal_tax_bracket</t>
        </is>
      </c>
      <c r="F53" s="3" t="inlineStr">
        <is>
          <t>incomeSummary</t>
        </is>
      </c>
      <c r="G53" s="3" t="inlineStr">
        <is>
          <t>MK-CF-O-004</t>
        </is>
      </c>
      <c r="H53" s="3" t="inlineStr">
        <is>
          <t>the published bracket that the whole year’s gross falls in, for their filing status</t>
        </is>
      </c>
      <c r="I53" s="3" t="inlineStr">
        <is>
          <t>the published bracket that the whole year’s gross falls in, for their filing status</t>
        </is>
      </c>
      <c r="J53" s="3" t="inlineStr">
        <is>
          <t>MK-CF-M-041 gross a year
MK-XS-I-024 filing status</t>
        </is>
      </c>
      <c r="K53" s="3" t="inlineStr">
        <is>
          <t>a percentage, whole</t>
        </is>
      </c>
      <c r="L53" s="3" t="inlineStr">
        <is>
          <t>The row is not shown until income is entered.</t>
        </is>
      </c>
      <c r="M53" s="3" t="inlineStr">
        <is>
          <t>one figure per household</t>
        </is>
      </c>
      <c r="N53" s="3" t="inlineStr">
        <is>
          <t>as of today</t>
        </is>
      </c>
      <c r="O53"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3" s="3" t="inlineStr">
        <is>
          <t>Declared by MK-CF-O-004 incomeSummary</t>
        </is>
      </c>
      <c r="Q53" s="3" t="inlineStr">
        <is>
          <t>NONE RECORDED — the declaration names none.</t>
        </is>
      </c>
      <c r="R53" s="3" t="inlineStr">
        <is>
          <t>NONE RECORDED — the declaration names none.</t>
        </is>
      </c>
      <c r="S53" s="3" t="inlineStr"/>
      <c r="T53" s="3" t="inlineStr">
        <is>
          <t>NONE RECORDED — the declaration names none.</t>
        </is>
      </c>
      <c r="U53" s="3" t="inlineStr">
        <is>
          <t>The same concept as MK-CF-M-032 on the base-pay screen, over a wider base: that one counts wages, this one counts every source. Conflict C-5 on the orchestrator map asks whether they stay two figures.</t>
        </is>
      </c>
      <c r="V53" s="3" t="inlineStr"/>
      <c r="W53" s="3" t="inlineStr"/>
      <c r="X53" s="3" t="inlineStr"/>
      <c r="Y53" s="3" t="inlineStr"/>
      <c r="Z53" s="3" t="inlineStr">
        <is>
          <t>DECLARED IN THE CODE (rule 11) — printed from the door, not typed. RULED 2026-09-14</t>
        </is>
      </c>
      <c r="AA53" s="3" t="inlineStr"/>
      <c r="AB53" s="3" t="inlineStr"/>
      <c r="AC53" s="3" t="inlineStr"/>
      <c r="AD53" s="3" t="inlineStr"/>
      <c r="AE53" s="3" t="inlineStr"/>
      <c r="AF53" s="3" t="inlineStr">
        <is>
          <t>ACTIVE</t>
        </is>
      </c>
      <c r="AG53" s="3" t="inlineStr">
        <is>
          <t>2026-10-02</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2026-09-14; the figure, its formula, inputs and refusal live in MK-CF-O-004 incomeSummary</t>
        </is>
      </c>
      <c r="AN53" s="3" t="inlineStr">
        <is>
          <t>Two earners filing jointly: $4,200 every two weeks ($109,200/year) and $5,000/month ($60,000), paying $1,200 and $400/month into their 401(k)s, with the tax rate typed at 22%.
GIVES: 22%
(the test re-runs this through MK-CF-O-004 incomeSummary on every build)</t>
        </is>
      </c>
      <c r="AO53" s="7" t="inlineStr">
        <is>
          <t>RULED, NOT CODED (Q-CF-1 — one question, one function)</t>
        </is>
      </c>
    </row>
    <row r="54" ht="60" customHeight="1">
      <c r="A54" s="3" t="inlineStr">
        <is>
          <t>MK-CF-M-044</t>
        </is>
      </c>
      <c r="B54" s="3" t="inlineStr">
        <is>
          <t>Cashflow</t>
        </is>
      </c>
      <c r="C54" s="3" t="inlineStr">
        <is>
          <t>/income-summary</t>
        </is>
      </c>
      <c r="D54" s="3" t="inlineStr">
        <is>
          <t>Calculated federal tax</t>
        </is>
      </c>
      <c r="E54" s="3" t="inlineStr">
        <is>
          <t>calculated_federal_tax</t>
        </is>
      </c>
      <c r="F54" s="3" t="inlineStr">
        <is>
          <t>incomeSummary</t>
        </is>
      </c>
      <c r="G54" s="3" t="inlineStr">
        <is>
          <t>MK-CF-O-004</t>
        </is>
      </c>
      <c r="H54" s="3" t="inlineStr">
        <is>
          <t>tax a year = the rate in force × the year’s gross; when it is ours, federal tax on gross less the standard deduction at the published bands</t>
        </is>
      </c>
      <c r="I54" s="3" t="inlineStr">
        <is>
          <t>tax a year = the rate in force × the year’s gross; when it is ours, federal tax on gross less the standard deduction at the published bands</t>
        </is>
      </c>
      <c r="J54" s="3" t="inlineStr">
        <is>
          <t>MK-CF-M-041 gross a year
MK-CF-I-005 tax rate as entered
MK-XS-I-024 filing status</t>
        </is>
      </c>
      <c r="K54" s="3" t="inlineStr">
        <is>
          <t>dollars, whole a year</t>
        </is>
      </c>
      <c r="L54" s="3" t="inlineStr">
        <is>
          <t>The row is not shown until income is entered.</t>
        </is>
      </c>
      <c r="M54" s="3" t="inlineStr">
        <is>
          <t>one figure per household</t>
        </is>
      </c>
      <c r="N54" s="3" t="inlineStr">
        <is>
          <t>a year</t>
        </is>
      </c>
      <c r="O54"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54" s="3" t="inlineStr">
        <is>
          <t>Declared by MK-CF-O-004 incomeSummary</t>
        </is>
      </c>
      <c r="Q54" s="3" t="inlineStr">
        <is>
          <t>When it is ours it assumes the standard deduction and is federal only (MK-CF-D-002).</t>
        </is>
      </c>
      <c r="R54" s="3" t="inlineStr">
        <is>
          <t>When it is ours it assumes the standard deduction and is federal only (MK-CF-D-002).</t>
        </is>
      </c>
      <c r="S54" s="3" t="inlineStr"/>
      <c r="T54" s="3" t="inlineStr">
        <is>
          <t>When it is ours it assumes the standard deduction and is federal only (MK-CF-D-002).</t>
        </is>
      </c>
      <c r="U54" s="3" t="inlineStr"/>
      <c r="V54" s="3" t="inlineStr"/>
      <c r="W54" s="3" t="inlineStr"/>
      <c r="X54" s="3" t="inlineStr"/>
      <c r="Y54" s="3" t="inlineStr"/>
      <c r="Z54" s="3" t="inlineStr">
        <is>
          <t>DECLARED IN THE CODE (rule 11) — printed from the door, not typed. RULED 2026-09-14</t>
        </is>
      </c>
      <c r="AA54" s="3" t="inlineStr"/>
      <c r="AB54" s="3" t="inlineStr"/>
      <c r="AC54" s="3" t="inlineStr"/>
      <c r="AD54" s="3" t="inlineStr"/>
      <c r="AE54" s="3" t="inlineStr"/>
      <c r="AF54" s="3" t="inlineStr">
        <is>
          <t>ACTIVE</t>
        </is>
      </c>
      <c r="AG54" s="3" t="inlineStr">
        <is>
          <t>2026-10-02</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2026-09-14; the figure, its formula, inputs and refusal live in MK-CF-O-004 incomeSummary</t>
        </is>
      </c>
      <c r="AN54" s="3" t="inlineStr">
        <is>
          <t>Two earners filing jointly: $4,200 every two weeks ($109,200/year) and $5,000/month ($60,000), paying $1,200 and $400/month into their 401(k)s, with the tax rate typed at 22%.
GIVES: $37,224/year
(the test re-runs this through MK-CF-O-004 incomeSummary on every build)</t>
        </is>
      </c>
      <c r="AO54" s="7" t="inlineStr">
        <is>
          <t>RULED, NOT CODED (Q-CF-1 — one question, one function)</t>
        </is>
      </c>
    </row>
    <row r="55" ht="60" customHeight="1">
      <c r="A55" s="3" t="inlineStr">
        <is>
          <t>MK-CF-M-045</t>
        </is>
      </c>
      <c r="B55" s="3" t="inlineStr">
        <is>
          <t>Cashflow</t>
        </is>
      </c>
      <c r="C55" s="3" t="inlineStr">
        <is>
          <t>/base-pay</t>
        </is>
      </c>
      <c r="D55" s="3" t="inlineStr">
        <is>
          <t>Social Security takes 6.2% of a wage up to</t>
        </is>
      </c>
      <c r="E55" s="3" t="inlineStr">
        <is>
          <t>social_security_takes_62_of_a_wage_up_to</t>
        </is>
      </c>
      <c r="F55" s="3" t="inlineStr">
        <is>
          <t>basePay</t>
        </is>
      </c>
      <c r="G55" s="3" t="inlineStr">
        <is>
          <t>MK-CF-O-001</t>
        </is>
      </c>
      <c r="H55" s="3" t="inlineStr">
        <is>
          <t>the published wage base for the tax year</t>
        </is>
      </c>
      <c r="I55" s="3" t="inlineStr">
        <is>
          <t>the published wage base for the tax year</t>
        </is>
      </c>
      <c r="J55" s="3" t="inlineStr">
        <is>
          <t>MK-ST-I-030 Social Security wage base</t>
        </is>
      </c>
      <c r="K55" s="3" t="inlineStr">
        <is>
          <t>dollars, whole a year</t>
        </is>
      </c>
      <c r="L55" s="3" t="inlineStr">
        <is>
          <t>Never absent — it is a published figure, not a calculation.</t>
        </is>
      </c>
      <c r="M55" s="3" t="inlineStr">
        <is>
          <t>one figure per household</t>
        </is>
      </c>
      <c r="N55" s="3" t="inlineStr">
        <is>
          <t>a year</t>
        </is>
      </c>
      <c r="O5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5" s="3" t="inlineStr">
        <is>
          <t>Declared by MK-CF-O-001 basePay</t>
        </is>
      </c>
      <c r="Q55" s="3" t="inlineStr">
        <is>
          <t>Published figure — the source and the year it applies to are on the master file’s Reference tab (guard D4).</t>
        </is>
      </c>
      <c r="R55" s="3" t="inlineStr">
        <is>
          <t>Published figure — the source and the year it applies to are on the master file’s Reference tab (guard D4).</t>
        </is>
      </c>
      <c r="S55" s="3" t="inlineStr"/>
      <c r="T55" s="3" t="inlineStr">
        <is>
          <t>Published figure — the source and the year it applies to are on the master file’s Reference tab (guard D4).</t>
        </is>
      </c>
      <c r="U55" s="3" t="inlineStr"/>
      <c r="V55" s="3" t="inlineStr"/>
      <c r="W55" s="3" t="inlineStr"/>
      <c r="X55" s="3" t="inlineStr"/>
      <c r="Y55" s="3" t="inlineStr"/>
      <c r="Z55" s="3" t="inlineStr">
        <is>
          <t>DECLARED IN THE CODE (rule 11) — printed from the door, not typed. RULED 2026-09-14</t>
        </is>
      </c>
      <c r="AA55" s="3" t="inlineStr"/>
      <c r="AB55" s="3" t="inlineStr"/>
      <c r="AC55" s="3" t="inlineStr"/>
      <c r="AD55" s="3" t="inlineStr"/>
      <c r="AE55" s="3" t="inlineStr"/>
      <c r="AF55" s="3" t="inlineStr">
        <is>
          <t>ACTIVE</t>
        </is>
      </c>
      <c r="AG55" s="3" t="inlineStr">
        <is>
          <t>2026-10-02</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2026-09-14; the figure, its formula, inputs and refusal live in MK-CF-O-001 basePay</t>
        </is>
      </c>
      <c r="AN55"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5" s="7" t="inlineStr">
        <is>
          <t>RULED, NOT CODED (Q-CF-1 — one question, one function)</t>
        </is>
      </c>
    </row>
    <row r="56" ht="60" customHeight="1">
      <c r="A56" s="3" t="inlineStr">
        <is>
          <t>MK-CF-M-046</t>
        </is>
      </c>
      <c r="B56" s="3" t="inlineStr">
        <is>
          <t>Cashflow</t>
        </is>
      </c>
      <c r="C56" s="3" t="inlineStr">
        <is>
          <t>/base-pay</t>
        </is>
      </c>
      <c r="D56" s="3" t="inlineStr">
        <is>
          <t>Medicare 1.45% of everything, 0.9% more above</t>
        </is>
      </c>
      <c r="E56" s="3" t="inlineStr">
        <is>
          <t>medicare_145_of_everything_09_more_above</t>
        </is>
      </c>
      <c r="F56" s="3" t="inlineStr">
        <is>
          <t>basePay</t>
        </is>
      </c>
      <c r="G56" s="3" t="inlineStr">
        <is>
          <t>MK-CF-O-001</t>
        </is>
      </c>
      <c r="H56" s="3" t="inlineStr">
        <is>
          <t>the published additional-Medicare-tax threshold for the tax year</t>
        </is>
      </c>
      <c r="I56" s="3" t="inlineStr">
        <is>
          <t>the published additional-Medicare-tax threshold for the tax year</t>
        </is>
      </c>
      <c r="J56" s="3" t="inlineStr">
        <is>
          <t>MK-ST-I-031 Medicare additional-tax threshold</t>
        </is>
      </c>
      <c r="K56" s="3" t="inlineStr">
        <is>
          <t>dollars, whole a year</t>
        </is>
      </c>
      <c r="L56" s="3" t="inlineStr">
        <is>
          <t>Never absent — it is a published figure, not a calculation.</t>
        </is>
      </c>
      <c r="M56" s="3" t="inlineStr">
        <is>
          <t>one figure per household</t>
        </is>
      </c>
      <c r="N56" s="3" t="inlineStr">
        <is>
          <t>a year</t>
        </is>
      </c>
      <c r="O5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6" s="3" t="inlineStr">
        <is>
          <t>Declared by MK-CF-O-001 basePay</t>
        </is>
      </c>
      <c r="Q56" s="3" t="inlineStr">
        <is>
          <t>Published figure — the source and the year it applies to are on the master file’s Reference tab (guard D4).</t>
        </is>
      </c>
      <c r="R56" s="3" t="inlineStr">
        <is>
          <t>Published figure — the source and the year it applies to are on the master file’s Reference tab (guard D4).</t>
        </is>
      </c>
      <c r="S56" s="3" t="inlineStr"/>
      <c r="T56" s="3" t="inlineStr">
        <is>
          <t>Published figure — the source and the year it applies to are on the master file’s Reference tab (guard D4).</t>
        </is>
      </c>
      <c r="U56" s="3" t="inlineStr"/>
      <c r="V56" s="3" t="inlineStr"/>
      <c r="W56" s="3" t="inlineStr"/>
      <c r="X56" s="3" t="inlineStr"/>
      <c r="Y56" s="3" t="inlineStr"/>
      <c r="Z56" s="3" t="inlineStr">
        <is>
          <t>DECLARED IN THE CODE (rule 11) — printed from the door, not typed. RULED 2026-09-14</t>
        </is>
      </c>
      <c r="AA56" s="3" t="inlineStr"/>
      <c r="AB56" s="3" t="inlineStr"/>
      <c r="AC56" s="3" t="inlineStr"/>
      <c r="AD56" s="3" t="inlineStr"/>
      <c r="AE56" s="3" t="inlineStr"/>
      <c r="AF56" s="3" t="inlineStr">
        <is>
          <t>ACTIVE</t>
        </is>
      </c>
      <c r="AG56" s="3" t="inlineStr">
        <is>
          <t>2026-10-02</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2026-09-14; the figure, its formula, inputs and refusal live in MK-CF-O-001 basePay</t>
        </is>
      </c>
      <c r="AN56"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6" s="7" t="inlineStr">
        <is>
          <t>RULED, NOT CODED (Q-CF-1 — one question, one function)</t>
        </is>
      </c>
    </row>
    <row r="57" ht="60" customHeight="1">
      <c r="A57" s="3" t="inlineStr">
        <is>
          <t>MK-CF-M-047</t>
        </is>
      </c>
      <c r="B57" s="3" t="inlineStr">
        <is>
          <t>Cashflow</t>
        </is>
      </c>
      <c r="C57" s="3" t="inlineStr">
        <is>
          <t>/cashflow · /month-detail</t>
        </is>
      </c>
      <c r="D57" s="3" t="inlineStr">
        <is>
          <t>Expected inflow</t>
        </is>
      </c>
      <c r="E57" s="3" t="inlineStr">
        <is>
          <t>expected_inflow</t>
        </is>
      </c>
      <c r="F57" s="3" t="inlineStr">
        <is>
          <t>thisMonth</t>
        </is>
      </c>
      <c r="G57" s="3" t="inlineStr">
        <is>
          <t>MK-CF-O-003</t>
        </is>
      </c>
      <c r="H57" s="3" t="inlineStr">
        <is>
          <t>expected inflow = Σ of every income source that lands in this month, at its take-home amount; a source that lands once a year counts only in the month it lands</t>
        </is>
      </c>
      <c r="I57" s="3" t="inlineStr">
        <is>
          <t>expected inflow = Σ of every income source that lands in this month, at its take-home amount; a source that lands once a year counts only in the month it lands</t>
        </is>
      </c>
      <c r="J57" s="3" t="inlineStr">
        <is>
          <t>MK-CF-M-037 take-home each month
MK-CF-I-006 other income
MK-CF-I-007 rental income
MK-CF-I-008 retirement income</t>
        </is>
      </c>
      <c r="K57" s="3" t="inlineStr">
        <is>
          <t>dollars, whole a month</t>
        </is>
      </c>
      <c r="L57" s="3" t="inlineStr">
        <is>
          <t>Shows $0 until income is entered, with the door to enter it.</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A month is a real calendar month, never a twelfth of a year (founder, 2026-08-28).</t>
        </is>
      </c>
      <c r="R57" s="3" t="inlineStr">
        <is>
          <t>A month is a real calendar month, never a twelfth of a year (founder, 2026-08-28).</t>
        </is>
      </c>
      <c r="S57" s="3" t="inlineStr"/>
      <c r="T57" s="3" t="inlineStr">
        <is>
          <t>A month is a real calendar month, never a twelfth of a year (founder, 2026-08-28).</t>
        </is>
      </c>
      <c r="U57" s="3" t="inlineStr"/>
      <c r="V57" s="3" t="inlineStr"/>
      <c r="W57" s="3" t="inlineStr">
        <is>
          <t>yes</t>
        </is>
      </c>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2026-10-02</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$7,200/month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MK-CF-M-048</t>
        </is>
      </c>
      <c r="B58" s="3" t="inlineStr">
        <is>
          <t>Cashflow</t>
        </is>
      </c>
      <c r="C58" s="3" t="inlineStr">
        <is>
          <t>/cashflow · /month-detail</t>
        </is>
      </c>
      <c r="D58" s="3" t="inlineStr">
        <is>
          <t>Planned outflow (expenses + debt)</t>
        </is>
      </c>
      <c r="E58" s="3" t="inlineStr">
        <is>
          <t>planned_outflow_expenses__debt</t>
        </is>
      </c>
      <c r="F58" s="3" t="inlineStr">
        <is>
          <t>thisMonth</t>
        </is>
      </c>
      <c r="G58" s="3" t="inlineStr">
        <is>
          <t>MK-CF-O-003</t>
        </is>
      </c>
      <c r="H58" s="3" t="inlineStr">
        <is>
          <t>planned outflow = planned everyday expenses + Σ of the debt payments due this month + Σ of the big bills that fall in this month</t>
        </is>
      </c>
      <c r="I58" s="3" t="inlineStr">
        <is>
          <t>planned outflow = planned everyday expenses + Σ of the debt payments due this month + Σ of the big bills that fall in this month</t>
        </is>
      </c>
      <c r="J58" s="3" t="inlineStr">
        <is>
          <t>MK-CF-I-012 planned expenses
MK-CF-I-013 debt payment
MK-CF-I-014 big bill</t>
        </is>
      </c>
      <c r="K58" s="3" t="inlineStr">
        <is>
          <t>dollars, whole a month</t>
        </is>
      </c>
      <c r="L58" s="3" t="inlineStr">
        <is>
          <t>Shows $0 until expenses or debts are entered.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A debt payment is counted as an outflow, not as saving (founder, 2026-06-21).
A bill that falls once a year is shown in its own month, never spread.</t>
        </is>
      </c>
      <c r="R58" s="3" t="inlineStr">
        <is>
          <t>A debt payment is counted as an outflow, not as saving (founder, 2026-06-21).
A bill that falls once a year is shown in its own month, never spread.</t>
        </is>
      </c>
      <c r="S58" s="3" t="inlineStr"/>
      <c r="T58" s="3" t="inlineStr">
        <is>
          <t>A debt payment is counted as an outflow, not as saving (founder, 2026-06-21).
A bill that falls once a year is shown in its own month, never spread.</t>
        </is>
      </c>
      <c r="U58" s="3" t="inlineStr"/>
      <c r="V58" s="3" t="inlineStr"/>
      <c r="W58" s="3" t="inlineStr">
        <is>
          <t>yes</t>
        </is>
      </c>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2026-10-02</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-$6,050/month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MK-CF-M-049</t>
        </is>
      </c>
      <c r="B59" s="3" t="inlineStr">
        <is>
          <t>Cashflow</t>
        </is>
      </c>
      <c r="C59" s="3" t="inlineStr">
        <is>
          <t>/cashflow · /month-detail</t>
        </is>
      </c>
      <c r="D59" s="3">
        <f> Planned surplus</f>
        <v/>
      </c>
      <c r="E59" s="3" t="inlineStr">
        <is>
          <t>planned_surplus</t>
        </is>
      </c>
      <c r="F59" s="3" t="inlineStr">
        <is>
          <t>thisMonth</t>
        </is>
      </c>
      <c r="G59" s="3" t="inlineStr">
        <is>
          <t>MK-CF-O-003</t>
        </is>
      </c>
      <c r="H59" s="3" t="inlineStr">
        <is>
          <t>planned surplus = expected inflow − planned outflow</t>
        </is>
      </c>
      <c r="I59" s="3" t="inlineStr">
        <is>
          <t>planned surplus = expected inflow − planned outflow</t>
        </is>
      </c>
      <c r="J59" s="3" t="inlineStr">
        <is>
          <t>MK-CF-M-047 expected inflow
MK-CF-M-048 planned outflow</t>
        </is>
      </c>
      <c r="K59" s="3" t="inlineStr">
        <is>
          <t>dollars, whole a month</t>
        </is>
      </c>
      <c r="L59" s="3" t="inlineStr">
        <is>
          <t>Shows $0 until both sides are entered.</t>
        </is>
      </c>
      <c r="M59" s="3" t="inlineStr">
        <is>
          <t>one figure per household per month</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is>
          <t>The Cash flow screen used to subtract this itself (rule 5). It is the door’s figure now.</t>
        </is>
      </c>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2026-10-02</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$1,150/month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MK-CF-M-050</t>
        </is>
      </c>
      <c r="B60" s="3" t="inlineStr">
        <is>
          <t>Cashflow</t>
        </is>
      </c>
      <c r="C60" s="3" t="inlineStr">
        <is>
          <t>/cashflow · /month-detail</t>
        </is>
      </c>
      <c r="D60" s="3" t="inlineStr">
        <is>
          <t>each planned line</t>
        </is>
      </c>
      <c r="E60" s="3" t="inlineStr">
        <is>
          <t>each_planned_line</t>
        </is>
      </c>
      <c r="F60" s="3" t="inlineStr">
        <is>
          <t>thisMonth</t>
        </is>
      </c>
      <c r="G60" s="3" t="inlineStr">
        <is>
          <t>MK-CF-O-003</t>
        </is>
      </c>
      <c r="H60" s="3" t="inlineStr">
        <is>
          <t>one line per source or commitment that falls in this month, at its amount for this month</t>
        </is>
      </c>
      <c r="I60" s="3" t="inlineStr">
        <is>
          <t>one line per source or commitment that falls in this month, at its amount for this month</t>
        </is>
      </c>
      <c r="J60" s="3" t="inlineStr">
        <is>
          <t>MK-CF-M-047 expected inflow
MK-CF-M-048 planned outflow</t>
        </is>
      </c>
      <c r="K60" s="3" t="inlineStr">
        <is>
          <t>dollars, whole a month</t>
        </is>
      </c>
      <c r="L60" s="3" t="inlineStr">
        <is>
          <t>The list is replaced by the door to enter income or expenses when nothing is entered.</t>
        </is>
      </c>
      <c r="M60" s="3" t="inlineStr">
        <is>
          <t>one figure per line per month</t>
        </is>
      </c>
      <c r="N60" s="3" t="inlineStr">
        <is>
          <t>a month</t>
        </is>
      </c>
      <c r="O60" s="3" t="inlineStr">
        <is>
          <t>1. MK-CF-F-005 (actualMonthFlow) → MonthBlock
2. MK-CF-F-156 (plannedMonthFlow) → MonthBlock</t>
        </is>
      </c>
      <c r="P60" s="3" t="inlineStr">
        <is>
          <t>Declared by MK-CF-O-003 thisMonth</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DRAFT — declared in the code and printed here, WAITING FOR YOUR VERDICT before the screens move behind the door (rule 10)</t>
        </is>
      </c>
      <c r="AA60" s="3" t="inlineStr"/>
      <c r="AB60" s="3" t="inlineStr"/>
      <c r="AC60" s="3" t="inlineStr"/>
      <c r="AD60" s="3" t="inlineStr"/>
      <c r="AE60" s="3" t="inlineStr"/>
      <c r="AF60" s="3" t="inlineStr">
        <is>
          <t>ACTIVE</t>
        </is>
      </c>
      <c r="AG60" s="3" t="inlineStr">
        <is>
          <t>2026-10-02</t>
        </is>
      </c>
      <c r="AH60" s="3" t="inlineStr"/>
      <c r="AI60" s="3" t="inlineStr"/>
      <c r="AJ6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RULED? NOT YET — read this row and say yes, or say what changes. Nothing moves behind MK-CF-O-003 thisMonth until you do.</t>
        </is>
      </c>
      <c r="AN60" s="3" t="inlineStr">
        <is>
          <t>September 2026: $7,200 take-home; a $2,400 mortgage and a $250 car loan due; a $3,400 budget. Logged so far: $2,300 rent, $512 groceries, $186 eating out, and the $250 car loan paid.
GIVES: -$2,400/month
(the test re-runs this through MK-CF-O-003 thisMonth on every build)</t>
        </is>
      </c>
      <c r="AO60" s="9" t="inlineStr">
        <is>
          <t>WAITING ON YOU — row to approve: say yes in YOUR ANSWER, or say what changes · RULED, NOT CODED (Q-CF-2 — one question, one function)</t>
        </is>
      </c>
    </row>
    <row r="61" ht="60" customHeight="1">
      <c r="A61" s="3" t="inlineStr">
        <is>
          <t>MK-CF-M-051</t>
        </is>
      </c>
      <c r="B61" s="3" t="inlineStr">
        <is>
          <t>Cashflow</t>
        </is>
      </c>
      <c r="C61" s="3" t="inlineStr">
        <is>
          <t>/cashflow · /month-detail · /home</t>
        </is>
      </c>
      <c r="D61" s="3" t="inlineStr">
        <is>
          <t>Inflow</t>
        </is>
      </c>
      <c r="E61" s="3" t="inlineStr">
        <is>
          <t>inflow</t>
        </is>
      </c>
      <c r="F61" s="3" t="inlineStr">
        <is>
          <t>thisMonth</t>
        </is>
      </c>
      <c r="G61" s="3" t="inlineStr">
        <is>
          <t>MK-CF-O-003</t>
        </is>
      </c>
      <c r="H61" s="3" t="inlineStr">
        <is>
          <t>inflow so far = Σ of the income recorded as received in this month up to today</t>
        </is>
      </c>
      <c r="I61" s="3" t="inlineStr">
        <is>
          <t>inflow so far = Σ of the income recorded as received in this month up to today</t>
        </is>
      </c>
      <c r="J61" s="3" t="inlineStr">
        <is>
          <t>MK-CF-I-015 income recorded as received</t>
        </is>
      </c>
      <c r="K61" s="3" t="inlineStr">
        <is>
          <t>dollars, whole a month</t>
        </is>
      </c>
      <c r="L61" s="3" t="inlineStr">
        <is>
          <t>Shows $0 until something is recorded as received.</t>
        </is>
      </c>
      <c r="M61" s="3" t="inlineStr">
        <is>
          <t>one figure per household per month</t>
        </is>
      </c>
      <c r="N61" s="3" t="inlineStr">
        <is>
          <t>a month</t>
        </is>
      </c>
      <c r="O61" s="3" t="inlineStr">
        <is>
          <t>1. MK-CF-F-005 (actualMonthFlow) → MonthBlock
2. MK-CF-F-156 (plannedMonthFlow) → MonthBlock</t>
        </is>
      </c>
      <c r="P61" s="3" t="inlineStr">
        <is>
          <t>Declared by MK-CF-O-003 thisMonth</t>
        </is>
      </c>
      <c r="Q61" s="3" t="inlineStr">
        <is>
          <t>Nothing is assumed to have arrived; a source counts only once it is recorded (founder, 2026-08-28).</t>
        </is>
      </c>
      <c r="R61" s="3" t="inlineStr">
        <is>
          <t>Nothing is assumed to have arrived; a source counts only once it is recorded (founder, 2026-08-28).</t>
        </is>
      </c>
      <c r="S61" s="3" t="inlineStr"/>
      <c r="T61" s="3" t="inlineStr">
        <is>
          <t>Nothing is assumed to have arrived; a source counts only once it is recorded (founder, 2026-08-28).</t>
        </is>
      </c>
      <c r="U61" s="3" t="inlineStr">
        <is>
          <t>The words beside it name what is inside it — "Inflow (income (take-home) + rent)" — his cluster 5 ruling of 2026-09-10.</t>
        </is>
      </c>
      <c r="V61" s="3" t="inlineStr"/>
      <c r="W61" s="3" t="inlineStr"/>
      <c r="X61" s="3" t="inlineStr"/>
      <c r="Y61" s="3" t="inlineStr"/>
      <c r="Z61" s="3" t="inlineStr">
        <is>
          <t>DRAFT — declared in the code and printed here, WAITING FOR YOUR VERDICT before the screens move behind the door (rule 10)</t>
        </is>
      </c>
      <c r="AA61" s="3" t="inlineStr"/>
      <c r="AB61" s="3" t="inlineStr"/>
      <c r="AC61" s="3" t="inlineStr"/>
      <c r="AD61" s="3" t="inlineStr"/>
      <c r="AE61" s="3" t="inlineStr"/>
      <c r="AF61" s="3" t="inlineStr">
        <is>
          <t>ACTIVE</t>
        </is>
      </c>
      <c r="AG61" s="3" t="inlineStr">
        <is>
          <t>2026-10-02</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RULED? NOT YET — read this row and say yes, or say what changes. Nothing moves behind MK-CF-O-003 thisMonth until you do.</t>
        </is>
      </c>
      <c r="AN61" s="3" t="inlineStr">
        <is>
          <t>September 2026: $7,200 take-home; a $2,400 mortgage and a $250 car loan due; a $3,400 budget. Logged so far: $2,300 rent, $512 groceries, $186 eating out, and the $250 car loan paid.
GIVES: $7,200/month
(the test re-runs this through MK-CF-O-003 thisMonth on every build)</t>
        </is>
      </c>
      <c r="AO61" s="9" t="inlineStr">
        <is>
          <t>WAITING ON YOU — row to approve: say yes in YOUR ANSWER, or say what changes · RULED, NOT CODED (Q-CF-2 — one question, one function)</t>
        </is>
      </c>
    </row>
    <row r="62" ht="60" customHeight="1">
      <c r="A62" s="3" t="inlineStr">
        <is>
          <t>MK-CF-M-052</t>
        </is>
      </c>
      <c r="B62" s="3" t="inlineStr">
        <is>
          <t>Cashflow</t>
        </is>
      </c>
      <c r="C62" s="3" t="inlineStr">
        <is>
          <t>/cashflow · /month-detail · /home</t>
        </is>
      </c>
      <c r="D62" s="3" t="inlineStr">
        <is>
          <t>Outflow (expenses + debt)</t>
        </is>
      </c>
      <c r="E62" s="3" t="inlineStr">
        <is>
          <t>outflow_expenses__debt</t>
        </is>
      </c>
      <c r="F62" s="3" t="inlineStr">
        <is>
          <t>thisMonth</t>
        </is>
      </c>
      <c r="G62" s="3" t="inlineStr">
        <is>
          <t>MK-CF-O-003</t>
        </is>
      </c>
      <c r="H62" s="3" t="inlineStr">
        <is>
          <t>outflow so far = expenses logged so far this month + Σ of the debt payments due this month</t>
        </is>
      </c>
      <c r="I62" s="3" t="inlineStr">
        <is>
          <t>outflow so far = expenses logged so far this month + Σ of the debt payments due this month</t>
        </is>
      </c>
      <c r="J62" s="3" t="inlineStr">
        <is>
          <t>MK-CF-I-016 logged expense
MK-CF-I-013 debt payment</t>
        </is>
      </c>
      <c r="K62" s="3" t="inlineStr">
        <is>
          <t>dollars, whole a month</t>
        </is>
      </c>
      <c r="L62" s="3" t="inlineStr">
        <is>
          <t>Shows $0 until an expense is logged or a debt is entered.</t>
        </is>
      </c>
      <c r="M62" s="3" t="inlineStr">
        <is>
          <t>one figure per household per month</t>
        </is>
      </c>
      <c r="N62" s="3" t="inlineStr">
        <is>
          <t>a month</t>
        </is>
      </c>
      <c r="O62" s="3" t="inlineStr">
        <is>
          <t>1. MK-CF-F-005 (actualMonthFlow) → MonthBlock
2. MK-CF-F-156 (plannedMonthFlow) → MonthBlock</t>
        </is>
      </c>
      <c r="P62" s="3" t="inlineStr">
        <is>
          <t>Declared by MK-CF-O-003 thisMonth</t>
        </is>
      </c>
      <c r="Q62" s="3" t="inlineStr">
        <is>
          <t>Debt payments are counted in full for the month, logged or not, because they are committed.</t>
        </is>
      </c>
      <c r="R62" s="3" t="inlineStr">
        <is>
          <t>Debt payments are counted in full for the month, logged or not, because they are committed.</t>
        </is>
      </c>
      <c r="S62" s="3" t="inlineStr"/>
      <c r="T62" s="3" t="inlineStr">
        <is>
          <t>Debt payments are counted in full for the month, logged or not, because they are committed.</t>
        </is>
      </c>
      <c r="U62" s="3" t="inlineStr"/>
      <c r="V62" s="3" t="inlineStr"/>
      <c r="W62" s="3" t="inlineStr"/>
      <c r="X62" s="3" t="inlineStr"/>
      <c r="Y62" s="3" t="inlineStr"/>
      <c r="Z62" s="3" t="inlineStr">
        <is>
          <t>DRAFT — declared in the code and printed here, WAITING FOR YOUR VERDICT before the screens move behind the door (rule 10)</t>
        </is>
      </c>
      <c r="AA62" s="3" t="inlineStr"/>
      <c r="AB62" s="3" t="inlineStr"/>
      <c r="AC62" s="3" t="inlineStr"/>
      <c r="AD62" s="3" t="inlineStr"/>
      <c r="AE62" s="3" t="inlineStr"/>
      <c r="AF62" s="3" t="inlineStr">
        <is>
          <t>ACTIVE</t>
        </is>
      </c>
      <c r="AG62" s="3" t="inlineStr">
        <is>
          <t>2026-10-02</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RULED? NOT YET — read this row and say yes, or say what changes. Nothing moves behind MK-CF-O-003 thisMonth until you do.</t>
        </is>
      </c>
      <c r="AN62" s="3" t="inlineStr">
        <is>
          <t>September 2026: $7,200 take-home; a $2,400 mortgage and a $250 car loan due; a $3,400 budget. Logged so far: $2,300 rent, $512 groceries, $186 eating out, and the $250 car loan paid.
GIVES: -$3,248/month
(the test re-runs this through MK-CF-O-003 thisMonth on every build)</t>
        </is>
      </c>
      <c r="AO62" s="9" t="inlineStr">
        <is>
          <t>WAITING ON YOU — row to approve: say yes in YOUR ANSWER, or say what changes · RULED, NOT CODED (Q-CF-2 — one question, one function)</t>
        </is>
      </c>
    </row>
    <row r="63" ht="60" customHeight="1">
      <c r="A63" s="3" t="inlineStr">
        <is>
          <t>MK-CF-M-053</t>
        </is>
      </c>
      <c r="B63" s="3" t="inlineStr">
        <is>
          <t>Cashflow</t>
        </is>
      </c>
      <c r="C63" s="3" t="inlineStr">
        <is>
          <t>/cashflow · /month-detail · /home</t>
        </is>
      </c>
      <c r="D63" s="3">
        <f> Surplus</f>
        <v/>
      </c>
      <c r="E63" s="3" t="inlineStr">
        <is>
          <t>surplus</t>
        </is>
      </c>
      <c r="F63" s="3" t="inlineStr">
        <is>
          <t>thisMonth</t>
        </is>
      </c>
      <c r="G63" s="3" t="inlineStr">
        <is>
          <t>MK-CF-O-003</t>
        </is>
      </c>
      <c r="H63" s="3" t="inlineStr">
        <is>
          <t>surplus so far = inflow so far − outflow so far</t>
        </is>
      </c>
      <c r="I63" s="3" t="inlineStr">
        <is>
          <t>surplus so far = inflow so far − outflow so far</t>
        </is>
      </c>
      <c r="J63" s="3" t="inlineStr">
        <is>
          <t>MK-CF-M-051 inflow so far
MK-CF-M-052 outflow so far</t>
        </is>
      </c>
      <c r="K63" s="3" t="inlineStr">
        <is>
          <t>dollars, whole a month</t>
        </is>
      </c>
      <c r="L63" s="3" t="inlineStr">
        <is>
          <t>Shows $0 until something is recorded.</t>
        </is>
      </c>
      <c r="M63" s="3" t="inlineStr">
        <is>
          <t>one figure per household per month</t>
        </is>
      </c>
      <c r="N63" s="3" t="inlineStr">
        <is>
          <t>a month</t>
        </is>
      </c>
      <c r="O63" s="3" t="inlineStr">
        <is>
          <t>1. MK-CF-F-005 (actualMonthFlow) → MonthBlock
2. MK-CF-F-156 (plannedMonthFlow) → MonthBlock</t>
        </is>
      </c>
      <c r="P63" s="3" t="inlineStr">
        <is>
          <t>Declared by MK-CF-O-003 thisMonth</t>
        </is>
      </c>
      <c r="Q63" s="3" t="inlineStr">
        <is>
          <t>NONE RECORDED — the declaration names none.</t>
        </is>
      </c>
      <c r="R63" s="3" t="inlineStr">
        <is>
          <t>NONE RECORDED — the declaration names none.</t>
        </is>
      </c>
      <c r="S63" s="3" t="inlineStr"/>
      <c r="T63" s="3" t="inlineStr">
        <is>
          <t>NONE RECORDED — the declaration names none.</t>
        </is>
      </c>
      <c r="U63" s="3" t="inlineStr">
        <is>
          <t>The Cash flow screen used to subtract this itself (rule 5). It is the door’s figure now.</t>
        </is>
      </c>
      <c r="V63" s="3" t="inlineStr"/>
      <c r="W63" s="3" t="inlineStr"/>
      <c r="X63" s="3" t="inlineStr"/>
      <c r="Y63" s="3" t="inlineStr"/>
      <c r="Z63" s="3" t="inlineStr">
        <is>
          <t>DRAFT — declared in the code and printed here, WAITING FOR YOUR VERDICT before the screens move behind the door (rule 10)</t>
        </is>
      </c>
      <c r="AA63" s="3" t="inlineStr"/>
      <c r="AB63" s="3" t="inlineStr"/>
      <c r="AC63" s="3" t="inlineStr"/>
      <c r="AD63" s="3" t="inlineStr"/>
      <c r="AE63" s="3" t="inlineStr"/>
      <c r="AF63" s="3" t="inlineStr">
        <is>
          <t>ACTIVE</t>
        </is>
      </c>
      <c r="AG63" s="3" t="inlineStr">
        <is>
          <t>2026-10-02</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RULED? NOT YET — read this row and say yes, or say what changes. Nothing moves behind MK-CF-O-003 thisMonth until you do.</t>
        </is>
      </c>
      <c r="AN63" s="3" t="inlineStr">
        <is>
          <t>September 2026: $7,200 take-home; a $2,400 mortgage and a $250 car loan due; a $3,400 budget. Logged so far: $2,300 rent, $512 groceries, $186 eating out, and the $250 car loan paid.
GIVES: $3,952/month
(the test re-runs this through MK-CF-O-003 thisMonth on every build)</t>
        </is>
      </c>
      <c r="AO63" s="9" t="inlineStr">
        <is>
          <t>WAITING ON YOU — row to approve: say yes in YOUR ANSWER, or say what changes · RULED, NOT CODED (Q-CF-2 — one question, one function)</t>
        </is>
      </c>
    </row>
    <row r="64" ht="60" customHeight="1">
      <c r="A64" s="3" t="inlineStr">
        <is>
          <t>MK-CF-M-054</t>
        </is>
      </c>
      <c r="B64" s="3" t="inlineStr">
        <is>
          <t>Cashflow</t>
        </is>
      </c>
      <c r="C64" s="3" t="inlineStr">
        <is>
          <t>/cashflow · /month-detail</t>
        </is>
      </c>
      <c r="D64" s="3" t="inlineStr">
        <is>
          <t>each received line</t>
        </is>
      </c>
      <c r="E64" s="3" t="inlineStr">
        <is>
          <t>each_received_line</t>
        </is>
      </c>
      <c r="F64" s="3" t="inlineStr">
        <is>
          <t>thisMonth</t>
        </is>
      </c>
      <c r="G64" s="3" t="inlineStr">
        <is>
          <t>MK-CF-O-003</t>
        </is>
      </c>
      <c r="H64" s="3" t="inlineStr">
        <is>
          <t>one line per payment recorded as received in this month, at its amount</t>
        </is>
      </c>
      <c r="I64" s="3" t="inlineStr">
        <is>
          <t>one line per payment recorded as received in this month, at its amount</t>
        </is>
      </c>
      <c r="J64" s="3" t="inlineStr">
        <is>
          <t>MK-CF-I-015 income recorded as received</t>
        </is>
      </c>
      <c r="K64" s="3" t="inlineStr">
        <is>
          <t>dollars, whole a month</t>
        </is>
      </c>
      <c r="L64" s="3" t="inlineStr">
        <is>
          <t>The list is replaced by the door to record income when nothing is recorded.</t>
        </is>
      </c>
      <c r="M64" s="3" t="inlineStr">
        <is>
          <t>one figure per payment</t>
        </is>
      </c>
      <c r="N64" s="3" t="inlineStr">
        <is>
          <t>a month</t>
        </is>
      </c>
      <c r="O64" s="3" t="inlineStr">
        <is>
          <t>1. MK-CF-F-005 (actualMonthFlow) → MonthBlock
2. MK-CF-F-156 (plannedMonthFlow) → MonthBlock</t>
        </is>
      </c>
      <c r="P64" s="3" t="inlineStr">
        <is>
          <t>Declared by MK-CF-O-003 thisMonth</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DRAFT — declared in the code and printed here, WAITING FOR YOUR VERDICT before the screens move behind the door (rule 10)</t>
        </is>
      </c>
      <c r="AA64" s="3" t="inlineStr"/>
      <c r="AB64" s="3" t="inlineStr"/>
      <c r="AC64" s="3" t="inlineStr"/>
      <c r="AD64" s="3" t="inlineStr"/>
      <c r="AE64" s="3" t="inlineStr"/>
      <c r="AF64" s="3" t="inlineStr">
        <is>
          <t>ACTIVE</t>
        </is>
      </c>
      <c r="AG64" s="3" t="inlineStr">
        <is>
          <t>2026-10-02</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RULED? NOT YET — read this row and say yes, or say what changes. Nothing moves behind MK-CF-O-003 thisMonth until you do.</t>
        </is>
      </c>
      <c r="AN64" s="3" t="inlineStr">
        <is>
          <t>September 2026: $7,200 take-home; a $2,400 mortgage and a $250 car loan due; a $3,400 budget. Logged so far: $2,300 rent, $512 groceries, $186 eating out, and the $250 car loan paid.
GIVES: -$250/month
(the test re-runs this through MK-CF-O-003 thisMonth on every build)</t>
        </is>
      </c>
      <c r="AO64" s="9" t="inlineStr">
        <is>
          <t>WAITING ON YOU — row to approve: say yes in YOUR ANSWER, or say what changes · RULED, NOT CODED (Q-CF-2 — one question, one function)</t>
        </is>
      </c>
    </row>
  </sheetData>
  <autoFilter ref="A1:AO64"/>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3"/>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Q4" s="3" t="inlineStr">
        <is>
          <t>1. MK-CF-F-092 — Uses today's date from the device clock, so the answer changes by itself overnight.
2. MK-CF-F-065 — Uses a built-in total v of 0.
3. MK-CF-F-087 — Uses today's date from the device clock, so the answer changes by itself overnight.
4. MK-CF-F-181 — Turns a monthly figure into a year by multiplying by twelve.
5. MK-CF-F-181 — Rounds the answer to a whole number.
6. MK-CF-F-068 — Turns a monthly figure into a year by multiplying by twelve.
7. MK-CF-F-088 — Uses today's date from the device clock, so the answer changes by itself overnight.
8. MK-CF-F-088 — Never lets t fall below 0.
9. MK-PL-F-012 — If emergency gap is missing it uses 0.
10. MK-PL-F-012 — If toxic debt is missing it uses 0.
11. MK-PL-F-012 — If employer match monthly is missing it uses 0.
12. MK-PL-F-012 — Never lets surplus fall below 0.
13. MK-PL-F-012 — Never lets need fall below 0.
14. MK-CF-F-003 — Turns a monthly figure into a year by multiplying by twelve.
15. MK-CF-F-176 — If r[i] is missing it counts as zero, so nothing recorded and a real zero look the same.
16. MK-CF-F-177 — Uses today's date from the device clock, so the answer changes by itself overnight.
17. MK-CF-F-089 — Uses today's date from the device clock, so the answer changes by itself overnight.
18. MK-CF-F-098 — Never lets g fall below 0.
19. MK-CF-F-098 — Never lets state rate fall below 0.
20. MK-CF-F-180 — Uses a built-in total of 0.
21. MK-CF-F-082 — Uses today's date from the device clock, so the answer changes by itself overnight.
22. MK-CF-F-084 — Turns a monthly figure into a year by multiplying by twelve.
23. MK-CF-F-084 — Uses today's date from the device clock, so the answer changes by itself overnight.
24. MK-CF-F-063 — Uses today's date from the device clock, so the answer changes by itself overnight.
25. MK-CF-F-008 — Treats a year as twelve equal months.
… and 40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2026-09-30</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2026-09-30</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2026-09-30</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MK-CF-O-001 (basePay) → BasePay
2. MK-CF-F-173 (earnerWages) → EarnerWage[]
3. MK-CF-F-179 (entryFromWage) → BasePayEntry
4. MK-CF-F-071 (extraIncome) → NOT DECLARED — the code does not say what it gives back
5. MK-CF-F-085 (filingStatusOf) → import('./tax').FilingStatus
6. MK-CF-F-092 (incomeMonthlyGrid) → NOT DECLARED — the code does not say what it gives back
7. MK-CF-F-132 (map) → NOT DECLARED — the code does not say what it gives back
8. MK-CF-F-103 (marginalBracketFor) → number
9. MK-CF-F-089 (over65CountOf) → number
10. MK-CF-F-181 (rateInForce) → RateInForce
11. MK-CF-F-068 (rentalNetAnnual) → number
12. MK-CF-F-082 (salaryAnnual) → number
13. MK-CF-F-084 (taxableAnnual) → number
14.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2026-09-30</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MK-HM-F-006, MK-PL-F-012
19. MK-XS-I-028 assumed return — read by MK-NW-O-001
20. MK-XS-I-030 tax filing status and age — read by MK-CF-F-085, MK-CF-F-089, MK-CF-F-098, MK-CF-F-099, MK-CF-F-100, MK-CF-F-101,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60" customHeight="1">
      <c r="A21" s="3" t="inlineStr"/>
      <c r="B21" s="3" t="inlineStr">
        <is>
          <t>Menu</t>
        </is>
      </c>
      <c r="C21" s="3" t="inlineStr">
        <is>
          <t>/income</t>
        </is>
      </c>
      <c r="D21" s="3" t="inlineStr">
        <is>
          <t>—</t>
        </is>
      </c>
      <c r="E21" s="3" t="inlineStr">
        <is>
          <t>—</t>
        </is>
      </c>
      <c r="F21" s="3" t="inlineStr">
        <is>
          <t>—</t>
        </is>
      </c>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DETERMINED</t>
        </is>
      </c>
      <c r="Y21" s="3" t="inlineStr">
        <is>
          <t>READ 2026-08-22 — no calculated figure on this screen</t>
        </is>
      </c>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/jobsafety</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45" customHeight="1">
      <c r="A23" s="3" t="inlineStr"/>
      <c r="B23" s="3" t="inlineStr">
        <is>
          <t>Menu</t>
        </is>
      </c>
      <c r="C23" s="3" t="inlineStr">
        <is>
          <t>/other-investments</t>
        </is>
      </c>
      <c r="D23" s="3" t="inlineStr"/>
      <c r="E23" s="3" t="inlineStr"/>
      <c r="F23" s="3" t="inlineStr"/>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STARTED — screen not yet read</t>
        </is>
      </c>
      <c r="Y23" s="3" t="n"/>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/rewards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60" customHeight="1">
      <c r="A25" s="3" t="inlineStr"/>
      <c r="B25" s="3" t="inlineStr">
        <is>
          <t>Menu</t>
        </is>
      </c>
      <c r="C25" s="3" t="inlineStr">
        <is>
          <t>/settings</t>
        </is>
      </c>
      <c r="D25" s="3" t="inlineStr">
        <is>
          <t>—</t>
        </is>
      </c>
      <c r="E25" s="3" t="inlineStr">
        <is>
          <t>—</t>
        </is>
      </c>
      <c r="F25" s="3" t="inlineStr">
        <is>
          <t>—</t>
        </is>
      </c>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DETERMINED</t>
        </is>
      </c>
      <c r="Y25" s="3" t="inlineStr">
        <is>
          <t>READ 2026-08-22 — no calculated figure on this screen</t>
        </is>
      </c>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/stress-test</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45" customHeight="1">
      <c r="A27" s="3" t="inlineStr"/>
      <c r="B27" s="3" t="inlineStr">
        <is>
          <t>Menu</t>
        </is>
      </c>
      <c r="C27" s="3" t="inlineStr">
        <is>
          <t>/tax-organizer</t>
        </is>
      </c>
      <c r="D27" s="3" t="inlineStr"/>
      <c r="E27" s="3" t="inlineStr"/>
      <c r="F27" s="3" t="inlineStr"/>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STARTED — screen not yet read</t>
        </is>
      </c>
      <c r="Y27" s="3" t="n"/>
      <c r="Z27" s="3" t="n"/>
      <c r="AA27" s="3" t="n"/>
      <c r="AB27" s="3" t="n"/>
      <c r="AC27" s="3" t="n"/>
      <c r="AD27" s="3" t="n"/>
      <c r="AE27" s="3" t="n"/>
      <c r="AF27" s="3" t="n"/>
      <c r="AG27" s="3" t="n"/>
      <c r="AH27" s="3" t="n"/>
      <c r="AI27" s="3" t="n"/>
      <c r="AJ27" s="3" t="n"/>
      <c r="AK27" s="3" t="n"/>
      <c r="AL27" s="3" t="n"/>
      <c r="AM27" s="3" t="n"/>
      <c r="AN27" s="3" t="n"/>
      <c r="AO27" s="3" t="n"/>
    </row>
    <row r="28" ht="60" customHeight="1">
      <c r="A28" s="3" t="inlineStr"/>
      <c r="B28" s="3" t="inlineStr">
        <is>
          <t>Menu</t>
        </is>
      </c>
      <c r="C28" s="3" t="inlineStr">
        <is>
          <t>/tips</t>
        </is>
      </c>
      <c r="D28" s="3" t="inlineStr">
        <is>
          <t>—</t>
        </is>
      </c>
      <c r="E28" s="3" t="inlineStr">
        <is>
          <t>—</t>
        </is>
      </c>
      <c r="F28" s="3" t="inlineStr">
        <is>
          <t>—</t>
        </is>
      </c>
      <c r="G28" s="3" t="inlineStr"/>
      <c r="H28" s="3" t="inlineStr"/>
      <c r="I28" s="3" t="inlineStr"/>
      <c r="J28" s="3" t="inlineStr"/>
      <c r="K28" s="3" t="inlineStr"/>
      <c r="L28" s="3" t="inlineStr"/>
      <c r="M28" s="3" t="inlineStr"/>
      <c r="N28" s="3" t="inlineStr"/>
      <c r="O28" s="3" t="inlineStr"/>
      <c r="P28" s="3" t="inlineStr"/>
      <c r="Q28" s="3" t="inlineStr"/>
      <c r="R28" s="3" t="inlineStr"/>
      <c r="S28" s="3" t="inlineStr"/>
      <c r="T28" s="3" t="inlineStr"/>
      <c r="U28" s="3" t="inlineStr"/>
      <c r="V28" s="3" t="inlineStr"/>
      <c r="W28" s="3" t="inlineStr"/>
      <c r="X28" s="3" t="inlineStr">
        <is>
          <t>NOT DETERMINED</t>
        </is>
      </c>
      <c r="Y28" s="3" t="inlineStr">
        <is>
          <t>READ 2026-08-22 — no calculated figure on this screen</t>
        </is>
      </c>
      <c r="Z28" s="3" t="n"/>
      <c r="AA28" s="3" t="n"/>
      <c r="AB28" s="3" t="n"/>
      <c r="AC28" s="3" t="n"/>
      <c r="AD28" s="3" t="n"/>
      <c r="AE28" s="3" t="n"/>
      <c r="AF28" s="3" t="n"/>
      <c r="AG28" s="3" t="n"/>
      <c r="AH28" s="3" t="n"/>
      <c r="AI28" s="3" t="n"/>
      <c r="AJ28" s="3" t="n"/>
      <c r="AK28" s="3" t="n"/>
      <c r="AL28" s="3" t="n"/>
      <c r="AM28" s="3" t="n"/>
      <c r="AN28" s="3" t="n"/>
      <c r="AO28" s="3" t="n"/>
    </row>
    <row r="29" ht="45" customHeight="1">
      <c r="A29" s="3" t="inlineStr"/>
      <c r="B29" s="3" t="inlineStr">
        <is>
          <t>Menu</t>
        </is>
      </c>
      <c r="C29" s="3" t="inlineStr">
        <is>
          <t>/worth-a-look</t>
        </is>
      </c>
      <c r="D29" s="3" t="inlineStr"/>
      <c r="E29" s="3" t="inlineStr"/>
      <c r="F29" s="3" t="inlineStr"/>
      <c r="G29" s="3" t="inlineStr"/>
      <c r="H29" s="3" t="inlineStr"/>
      <c r="I29" s="3" t="inlineStr"/>
      <c r="J29" s="3" t="inlineStr"/>
      <c r="K29" s="3" t="inlineStr"/>
      <c r="L29" s="3" t="inlineStr"/>
      <c r="M29" s="3" t="inlineStr"/>
      <c r="N29" s="3" t="inlineStr"/>
      <c r="O29" s="3" t="inlineStr"/>
      <c r="P29" s="3" t="inlineStr"/>
      <c r="Q29" s="3" t="inlineStr"/>
      <c r="R29" s="3" t="inlineStr"/>
      <c r="S29" s="3" t="inlineStr"/>
      <c r="T29" s="3" t="inlineStr"/>
      <c r="U29" s="3" t="inlineStr"/>
      <c r="V29" s="3" t="inlineStr"/>
      <c r="W29" s="3" t="inlineStr"/>
      <c r="X29" s="3" t="inlineStr">
        <is>
          <t>NOT STARTED — screen not yet read</t>
        </is>
      </c>
      <c r="Y29" s="3" t="n"/>
      <c r="Z29" s="3" t="n"/>
      <c r="AA29" s="3" t="n"/>
      <c r="AB29" s="3" t="n"/>
      <c r="AC29" s="3" t="n"/>
      <c r="AD29" s="3" t="n"/>
      <c r="AE29" s="3" t="n"/>
      <c r="AF29" s="3" t="n"/>
      <c r="AG29" s="3" t="n"/>
      <c r="AH29" s="3" t="n"/>
      <c r="AI29" s="3" t="n"/>
      <c r="AJ29" s="3" t="n"/>
      <c r="AK29" s="3" t="n"/>
      <c r="AL29" s="3" t="n"/>
      <c r="AM29" s="3" t="n"/>
      <c r="AN29" s="3" t="n"/>
      <c r="AO29" s="3" t="n"/>
    </row>
    <row r="30" ht="60" customHeight="1">
      <c r="A30" s="3" t="inlineStr">
        <is>
          <t>MK-MN-M-003</t>
        </is>
      </c>
      <c r="B30" s="3" t="inlineStr">
        <is>
          <t>Menu</t>
        </is>
      </c>
      <c r="C30" s="3" t="inlineStr">
        <is>
          <t>/contribution-room · /home</t>
        </is>
      </c>
      <c r="D30" s="3" t="inlineStr">
        <is>
          <t>$X left / up to $Y</t>
        </is>
      </c>
      <c r="E30" s="3" t="inlineStr">
        <is>
          <t>x_left__up_to_y</t>
        </is>
      </c>
      <c r="F30" s="3" t="inlineStr">
        <is>
          <t>1. k401Headroom (the 401(k) card)
2. annualIraLimit (the IRA card)
3. annualHsaLimit (the HSA card)</t>
        </is>
      </c>
      <c r="G30" s="3" t="inlineStr">
        <is>
          <t>1. MK-CF-F-056
2. MK-CF-F-054
3. MK-CF-F-055
4. MK-CF-F-196
5. MK-CF-F-195</t>
        </is>
      </c>
      <c r="H30" s="3" t="inlineStr">
        <is>
          <t>the IRS limit for your age this year, less what has gone in already</t>
        </is>
      </c>
      <c r="I3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0" s="3" t="inlineStr">
        <is>
          <t>MK-XS-I-030 tax filing status and age
MK-XS-I-023 salary and other income</t>
        </is>
      </c>
      <c r="K30" s="3" t="inlineStr">
        <is>
          <t>dollars, whole</t>
        </is>
      </c>
      <c r="L30" s="3" t="inlineStr">
        <is>
          <t>No contribution entered → 'up to $X' (the full-year cap), never '$X left'; the note says contributions are not tracked (built).</t>
        </is>
      </c>
      <c r="M30" s="3" t="inlineStr">
        <is>
          <t>one figure per household</t>
        </is>
      </c>
      <c r="N30" s="3" t="inlineStr">
        <is>
          <t>as of today</t>
        </is>
      </c>
      <c r="O30" s="3" t="inlineStr">
        <is>
          <t>MK-CF-F-195 (monthsLeftInYear) → number</t>
        </is>
      </c>
      <c r="P30" s="3" t="inlineStr">
        <is>
          <t>Declared by MK-CF-O-005 theContributionRoom</t>
        </is>
      </c>
      <c r="Q30" s="3" t="inlineStr">
        <is>
          <t>The age tested is the age ATTAINED IN THE YEAR (his ruling G1) — someone turning 50 in December gets the catch-up for the whole year.</t>
        </is>
      </c>
      <c r="R30" s="3" t="inlineStr">
        <is>
          <t>The age tested is the age ATTAINED IN THE YEAR (his ruling G1) — someone turning 50 in December gets the catch-up for the whole year.</t>
        </is>
      </c>
      <c r="S30" s="3" t="inlineStr"/>
      <c r="T30"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0" s="3" t="inlineStr">
        <is>
          <t>ACTIVE</t>
        </is>
      </c>
      <c r="AG30" s="3" t="inlineStr">
        <is>
          <t>2026-10-02</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30" s="7" t="inlineStr">
        <is>
          <t>RULED, NOT CODED (Q-CF-4 — one question, one function)</t>
        </is>
      </c>
    </row>
    <row r="31" ht="60" customHeight="1">
      <c r="A31" s="3" t="inlineStr">
        <is>
          <t>MK-MN-M-004</t>
        </is>
      </c>
      <c r="B31" s="3" t="inlineStr">
        <is>
          <t>Menu</t>
        </is>
      </c>
      <c r="C31" s="3" t="inlineStr">
        <is>
          <t>/contribution-room</t>
        </is>
      </c>
      <c r="D31" s="3" t="inlineStr">
        <is>
          <t>about $X of the $Y limit</t>
        </is>
      </c>
      <c r="E31" s="3" t="inlineStr">
        <is>
          <t>about_x_of_the_y_limit</t>
        </is>
      </c>
      <c r="F31" s="3" t="inlineStr">
        <is>
          <t>1. k401Headroom (the 401(k) card)
2. annualIraLimit (the IRA card)
3. annualHsaLimit (the HSA card)</t>
        </is>
      </c>
      <c r="G31" s="3" t="inlineStr">
        <is>
          <t>1. MK-CF-F-056
2. MK-CF-F-054
3. MK-CF-F-055
4. MK-CF-F-196
5. MK-CF-F-195</t>
        </is>
      </c>
      <c r="H31" s="3" t="inlineStr">
        <is>
          <t>what you entered per month × 12, capped at the limit</t>
        </is>
      </c>
      <c r="I31"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31" s="3" t="inlineStr">
        <is>
          <t>MK-XS-I-023 salary and other income</t>
        </is>
      </c>
      <c r="K31" s="3" t="inlineStr">
        <is>
          <t>dollars, whole</t>
        </is>
      </c>
      <c r="L31" s="3" t="inlineStr">
        <is>
          <t>No contribution entered → the 'about $X of the limit' line is not shown; 'up to $X' stands.</t>
        </is>
      </c>
      <c r="M31" s="3" t="inlineStr">
        <is>
          <t>one figure per household</t>
        </is>
      </c>
      <c r="N31" s="3" t="inlineStr">
        <is>
          <t>as of today</t>
        </is>
      </c>
      <c r="O31" s="3" t="inlineStr">
        <is>
          <t>MK-CF-F-195 (monthsLeftInYear) → number</t>
        </is>
      </c>
      <c r="P31" s="3" t="inlineStr">
        <is>
          <t>Declared by MK-CF-O-005 theContributionRoom</t>
        </is>
      </c>
      <c r="Q31" s="3" t="inlineStr">
        <is>
          <t>Capped at the limit: a figure above it would be describing a contribution the law does not permit.</t>
        </is>
      </c>
      <c r="R31" s="3" t="inlineStr">
        <is>
          <t>Capped at the limit: a figure above it would be describing a contribution the law does not permit.</t>
        </is>
      </c>
      <c r="S31" s="3" t="inlineStr"/>
      <c r="T31"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2026-10-02</t>
        </is>
      </c>
      <c r="AH31" s="3" t="inlineStr"/>
      <c r="AI31" s="3" t="inlineStr"/>
      <c r="AJ31" s="3" t="inlineStr">
        <is>
          <t>NONE — no function in this chain reads a stored input the sweep knows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MK-CF-O-005 theContributionRoom</t>
        </is>
      </c>
      <c r="AN31"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31" s="7" t="inlineStr">
        <is>
          <t>RULED, NOT CODED (Q-CF-4 — one question, one function)</t>
        </is>
      </c>
    </row>
    <row r="32" ht="60" customHeight="1">
      <c r="A32" s="3" t="inlineStr">
        <is>
          <t>MK-MN-M-005</t>
        </is>
      </c>
      <c r="B32" s="3" t="inlineStr">
        <is>
          <t>Menu</t>
        </is>
      </c>
      <c r="C32" s="3" t="inlineStr">
        <is>
          <t>/contribution-room</t>
        </is>
      </c>
      <c r="D32" s="3" t="inlineStr">
        <is>
          <t>about $X for the rest of the year</t>
        </is>
      </c>
      <c r="E32" s="3" t="inlineStr">
        <is>
          <t>about_x_for_the_rest_of_the_year</t>
        </is>
      </c>
      <c r="F32" s="3" t="inlineStr">
        <is>
          <t>1. k401Headroom (the 401(k) card)
2. annualIraLimit (the IRA card)
3. annualHsaLimit (the HSA card)</t>
        </is>
      </c>
      <c r="G32" s="3" t="inlineStr">
        <is>
          <t>1. MK-CF-F-196
2. MK-CF-F-195</t>
        </is>
      </c>
      <c r="H32" s="3" t="inlineStr">
        <is>
          <t>per month = round((room left ÷ months left) ÷ 100) × 100;  months left = max(1, 12 − month index) — the current month counts</t>
        </is>
      </c>
      <c r="I32" s="3" t="inlineStr">
        <is>
          <t>Per month = room left ÷ the months remaining in the year, the current month counted (December → 1), rounded to $100 for display — perMonthToFill in src/domain/income/limits.ts (G36). No longer worked out on the screen.</t>
        </is>
      </c>
      <c r="J32" s="3" t="inlineStr">
        <is>
          <t>MK-XS-I-023 salary and other income</t>
        </is>
      </c>
      <c r="K32" s="3" t="inlineStr">
        <is>
          <t>dollars, whole a month</t>
        </is>
      </c>
      <c r="L32" s="3" t="inlineStr">
        <is>
          <t>Nothing left to fill.</t>
        </is>
      </c>
      <c r="M32" s="3" t="inlineStr">
        <is>
          <t>one figure per household</t>
        </is>
      </c>
      <c r="N32" s="3" t="inlineStr">
        <is>
          <t>a month</t>
        </is>
      </c>
      <c r="O32" s="3" t="inlineStr">
        <is>
          <t>MK-CF-F-195 (monthsLeftInYear) → number</t>
        </is>
      </c>
      <c r="P32" s="3" t="inlineStr">
        <is>
          <t>Declared by MK-CF-O-005 theContributionRoom</t>
        </is>
      </c>
      <c r="Q32" s="3" t="inlineStr">
        <is>
          <t>THIS MONTH COUNTS (his ruling G36). Leaving it out told people to save more per month than they need to.</t>
        </is>
      </c>
      <c r="R32" s="3" t="inlineStr">
        <is>
          <t>THIS MONTH COUNTS (his ruling G36). Leaving it out told people to save more per month than they need to.</t>
        </is>
      </c>
      <c r="S32" s="3" t="inlineStr"/>
      <c r="T32"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2" s="3" t="inlineStr">
        <is>
          <t>ACTIVE</t>
        </is>
      </c>
      <c r="AG32" s="3" t="inlineStr">
        <is>
          <t>2026-10-02</t>
        </is>
      </c>
      <c r="AH32" s="3" t="inlineStr"/>
      <c r="AI32" s="3" t="inlineStr"/>
      <c r="AJ32" s="3" t="inlineStr">
        <is>
          <t>NONE — no function in this chain reads a stored input the sweep knows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MK-CF-O-005 theContributionRoom</t>
        </is>
      </c>
      <c r="AN32"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2" s="7" t="inlineStr">
        <is>
          <t>RULED, NOT CODED (Q-CF-4 — one question, one function)</t>
        </is>
      </c>
    </row>
    <row r="33" ht="60" customHeight="1">
      <c r="A33" s="3" t="inlineStr">
        <is>
          <t>MK-MN-M-006</t>
        </is>
      </c>
      <c r="B33" s="3" t="inlineStr">
        <is>
          <t>Menu</t>
        </is>
      </c>
      <c r="C33" s="3" t="inlineStr">
        <is>
          <t>/credit</t>
        </is>
      </c>
      <c r="D33" s="3" t="inlineStr">
        <is>
          <t>$X of $Y used — the line marks 30%</t>
        </is>
      </c>
      <c r="E33" s="3" t="inlineStr">
        <is>
          <t>x_of_y_used__the_line_marks_30</t>
        </is>
      </c>
      <c r="F33" s="3" t="inlineStr">
        <is>
          <t>theCreditLine</t>
        </is>
      </c>
      <c r="G33" s="3" t="inlineStr">
        <is>
          <t>MK-CF-O-006</t>
        </is>
      </c>
      <c r="H33" s="3" t="inlineStr">
        <is>
          <t>what is owed on your cards ÷ the total limit across them</t>
        </is>
      </c>
      <c r="I33" s="3" t="inlineStr">
        <is>
          <t>what is owed on your cards ÷ the total limit across them</t>
        </is>
      </c>
      <c r="J33" s="3" t="inlineStr">
        <is>
          <t>MK-NW-I-002 your debts</t>
        </is>
      </c>
      <c r="K33" s="3" t="inlineStr">
        <is>
          <t>dollars, whole</t>
        </is>
      </c>
      <c r="L33" s="3" t="inlineStr">
        <is>
          <t>No card limit → no percentage; the line says 'add your card's limit'. A real $0 balance shows 0% used.</t>
        </is>
      </c>
      <c r="M33" s="3" t="inlineStr">
        <is>
          <t>one figure per household</t>
        </is>
      </c>
      <c r="N33" s="3" t="inlineStr">
        <is>
          <t>as of today</t>
        </is>
      </c>
      <c r="O33" s="3" t="inlineStr">
        <is>
          <t>1. MK-CF-F-031 (creditUtilization) → CreditUtil
2. MK-CF-F-204 (line) → NOT DECLARED — the code does not say what it gives back</t>
        </is>
      </c>
      <c r="P33" s="3" t="inlineStr">
        <is>
          <t>Declared by MK-CF-O-006 theCreditLine</t>
        </is>
      </c>
      <c r="Q33" s="3" t="inlineStr">
        <is>
          <t>Under 30% is the mark the line shows, because that is the level credit scoring treats as unstretched.</t>
        </is>
      </c>
      <c r="R33" s="3" t="inlineStr">
        <is>
          <t>Under 30% is the mark the line shows, because that is the level credit scoring treats as unstretched.</t>
        </is>
      </c>
      <c r="S33" s="3" t="inlineStr"/>
      <c r="T33" s="3" t="inlineStr">
        <is>
          <t>Under 30% is the mark the line shows, because that is the level credit scoring treats as unstretched.</t>
        </is>
      </c>
      <c r="U33" s="3" t="inlineStr"/>
      <c r="V33" s="3" t="inlineStr"/>
      <c r="W33" s="3" t="inlineStr"/>
      <c r="X33" s="3" t="inlineStr"/>
      <c r="Y33" s="3" t="inlineStr"/>
      <c r="Z33" s="3" t="inlineStr">
        <is>
          <t>DECLARED IN THE CODE (rule 11) — printed from the door, not typed. RULED 2026-09-28</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2026-10-02</t>
        </is>
      </c>
      <c r="AH33" s="3" t="inlineStr"/>
      <c r="AI33" s="3" t="inlineStr"/>
      <c r="AJ33"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2026-09-28; the figure, its formula, inputs and refusal live in MK-CF-O-006 theCreditLine</t>
        </is>
      </c>
      <c r="AN33" s="3" t="inlineStr">
        <is>
          <t>$3,100 owed on the cards against $12,000 of total limit — 25.8% of the line in use.
GIVES: $3,100
(the test re-runs this through MK-CF-O-006 theCreditLine on every build)</t>
        </is>
      </c>
      <c r="AO33" s="3" t="inlineStr">
        <is>
          <t>NOTHING OPEN</t>
        </is>
      </c>
    </row>
    <row r="34" ht="60" customHeight="1">
      <c r="A34" s="3" t="inlineStr">
        <is>
          <t>MK-MN-M-016</t>
        </is>
      </c>
      <c r="B34" s="3" t="inlineStr">
        <is>
          <t>Menu</t>
        </is>
      </c>
      <c r="C34" s="3" t="inlineStr">
        <is>
          <t>/insights</t>
        </is>
      </c>
      <c r="D34" s="3" t="inlineStr">
        <is>
          <t>Total invested · Cash total · Investable total</t>
        </is>
      </c>
      <c r="E34" s="3" t="inlineStr">
        <is>
          <t>total_invested__cash_total__investable_t</t>
        </is>
      </c>
      <c r="F34" s="3" t="inlineStr">
        <is>
          <t>theNetWorth</t>
        </is>
      </c>
      <c r="G34" s="3" t="inlineStr">
        <is>
          <t>MK-NW-O-003</t>
        </is>
      </c>
      <c r="H34" s="3" t="inlineStr">
        <is>
          <t>investments, cash, and everything that is not a house or a car</t>
        </is>
      </c>
      <c r="I34" s="3" t="inlineStr">
        <is>
          <t>investments, cash, and everything that is not a house or a car</t>
        </is>
      </c>
      <c r="J34" s="3" t="inlineStr">
        <is>
          <t>MK-NW-I-001 your accounts</t>
        </is>
      </c>
      <c r="K34" s="3" t="inlineStr">
        <is>
          <t>dollars, whole</t>
        </is>
      </c>
      <c r="L34" s="3" t="inlineStr">
        <is>
          <t>Nothing entered yet.</t>
        </is>
      </c>
      <c r="M34" s="3" t="inlineStr">
        <is>
          <t>one figure per household</t>
        </is>
      </c>
      <c r="N34" s="3" t="inlineStr">
        <is>
          <t>as of today</t>
        </is>
      </c>
      <c r="O34" s="3" t="inlineStr">
        <is>
          <t>1. MK-NW-F-078 (ONE) → EXAMPLE, accountId: 'b1', today: TODAY }).one!;
2. MK-NW-F-029 (assetAllocation) → Record&lt;AssetClass, number&gt;
3. MK-NW-F-039 (buildAssetsState) → AssetsState
4. MK-CF-F-036 (buildDebtState) → DebtState
5. MK-NW-F-065 (buildNetWorth) → NetWorthState
6. MK-NW-F-016 (cashTotal) → number
7. MK-NW-F-022 (investableAssets) → number
8. MK-XS-F-010 (investableChangePct) → NOT DECLARED — the code does not say what it gives back
9. MK-NW-F-021 (investmentsTotal) → number
10. MK-CF-F-132 (map) → NOT DECLARED — the code does not say what it gives back
11. MK-ST-F-039 (on) → ()
12. MK-CF-F-023 (requiredPayment) → number
13. MK-XS-F-005 (trendPoints) → NOT DECLARED — the code does not say what it gives back
14. MK-XS-F-175 (uid) → NOT DECLARED — the code does not say what it gives back</t>
        </is>
      </c>
      <c r="P34" s="3" t="inlineStr">
        <is>
          <t>Declared by MK-NW-O-003 theNetWorth</t>
        </is>
      </c>
      <c r="Q34" s="3" t="inlineStr">
        <is>
          <t>Insights took these its own way before 2026-09-27; his ruling on Q-NW-1 made all three screens read one answer.</t>
        </is>
      </c>
      <c r="R34" s="3" t="inlineStr">
        <is>
          <t>Insights took these its own way before 2026-09-27; his ruling on Q-NW-1 made all three screens read one answer.</t>
        </is>
      </c>
      <c r="S34" s="3" t="inlineStr"/>
      <c r="T34" s="3" t="inlineStr">
        <is>
          <t>Insights took these its own way before 2026-09-27; his ruling on Q-NW-1 made all three screens read one answer.</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2026-10-02</t>
        </is>
      </c>
      <c r="AH34" s="3" t="inlineStr"/>
      <c r="AI34" s="3" t="inlineStr"/>
      <c r="AJ34" s="3" t="inlineStr">
        <is>
          <t>1. MK-XS-I-001 account balance — read by MK-CF-F-111, MK-CF-F-133, MK-CF-F-134, MK-CF-F-136, MK-NW-F-015, MK-NW-F-016, MK
2. MK-XS-I-002 account type (taxable, pre-tax, Roth) — read by MK-CF-F-134, MK-CF-F-136, MK-NW-F-011, MK-NW-F-040, MK-NW-F-054, MK-NW-O-001, MK
3. MK-XS-I-003 institution name — read by MK-NW-F-071, MK-NW-F-072, MK-NW-O-001
4. MK-XS-I-004 holding quantity (shares) — read by MK-CF-F-062, MK-CF-F-111, MK-CF-F-116, MK-CF-F-138, MK-CF-F-139, MK-NW-F-027, MK
5. MK-XS-I-005 holding price — read by MK-NW-F-027, MK-PF-F-009, MK-PF-F-034, MK-ST-F-027, MK-ST-F-028, MK-ST-F-073, MK
6. MK-XS-I-006 price fetched at — read by MK-XS-F-174, MK-XS-F-175
7. MK-XS-I-007 purchase price and date (per lot) — read by MK-CF-F-138, MK-PF-F-002, MK-PF-F-013, MK-ST-F-027, MK-ST-F-028, MK-XS-F-174, MK
8. MK-XS-I-008 transaction amount — read by MK-CF-F-109, MK-CF-F-111, MK-ST-F-072
9. MK-XS-I-009 transaction date — read by MK-CF-F-109, MK-CF-F-138, MK-ST-F-071, MK-ST-F-073
10. MK-XS-I-010 transaction words (the institution's own wording) — read by MK-CF-F-109, MK-NW-F-027, MK-NW-F-054,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MK-HM-F-006, MK-PL-F-012, MK-PL-F-013, MK-XS-F-174, MK-XS-F-175
26. MK-XS-I-028 assumed return — read by MK-NW-F-039, MK-NW-F-040, MK-NW-O-001
27. MK-XS-I-029 inflation rate — read by MK-XS-F-174, MK-XS-F-175
28. MK-XS-I-030 tax filing status and age — read by MK-CF-F-085, MK-CF-F-089, MK-CF-F-097, MK-CF-F-098, MK-CF-F-099, MK-CF-F-100,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38. MK-XS-I-041 the payment the person chose to make on a debt — read by MK-CF-F-023
39. MK-XS-I-042 how a stream is paid — monthly, yearly or one lump — read by MK-CF-F-021, MK-CF-F-022, MK-CF-F-023, MK-CF-F-025, MK-CF-F-149, MK-CF-F-150, MK
40. MK-XS-I-043 their own retirement contribution — read by MK-CF-F-179, MK-CF-F-181, MK-CF-F-206
41. MK-XS-I-044 the person’s own plan overrides — read by MK-XS-F-174, MK-XS-F-175
42. MK-XS-I-048 the person’s own asset-class answer — read by MK-NW-F-011, MK-NW-F-027, MK-NW-F-054, MK-ST-F-027, MK-ST-F-028, MK-ST-F-073,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MK-CF-F-201, MK-NW-F-011, MK
46. MK-XS-I-056 how a holding was classified, and by whom — read by MK-XS-F-175
47. MK-XS-I-059 the month a bonus lands — read by MK-CF-F-088, MK-CF-F-092
48. MK-XS-I-060 how a person is paid — weekly, fortnightly, monthly — read by MK-CF-F-130, MK-CF-F-185, MK-CF-F-186
49. MK-XS-I-063 option contract multiplier — 100 unless the broker or the person states otherwise — read by MK-PF-F-002, MK-PF-F-004, MK-PF-F-031
50. MK-XS-I-064 the unit beside a quantity — shares, coins, contracts, ounces or units — read by MK-CF-F-003, MK-CF-F-008, MK-CF-F-201, MK-CF-F-204, MK-NW-F-078
51.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MK-NW-O-003 theNetWorth</t>
        </is>
      </c>
      <c r="AN34" s="3" t="inlineStr">
        <is>
          <t>$18,000 checking, $142,000 brokerage, a $24,200 Treasury, a $310,000 rental and $9,000 of gold; against a $228,000 mortgage at $2,400/month and a $14,000 car loan at $250/month. Cash + investments stood at $180,000 on 2 Jan 2026.
GIVES: $193,200
(the test re-runs this through MK-NW-O-003 theNetWorth on every build)</t>
        </is>
      </c>
      <c r="AO34" s="7" t="inlineStr">
        <is>
          <t>RULED, NOT CODED (Q-NW-1 — one question, one function)</t>
        </is>
      </c>
    </row>
    <row r="35" ht="60" customHeight="1">
      <c r="A35" s="3" t="inlineStr">
        <is>
          <t>MK-MN-M-020</t>
        </is>
      </c>
      <c r="B35" s="3" t="inlineStr">
        <is>
          <t>Menu</t>
        </is>
      </c>
      <c r="C35" s="3" t="inlineStr">
        <is>
          <t>/jobsafety</t>
        </is>
      </c>
      <c r="D35" s="3" t="inlineStr">
        <is>
          <t>N months of essentials is $X ($Y/month)</t>
        </is>
      </c>
      <c r="E35" s="3" t="inlineStr">
        <is>
          <t>n_months_of_essentials_is_x_ymonth</t>
        </is>
      </c>
      <c r="F35" s="3" t="inlineStr">
        <is>
          <t>essentialsFromLoggedSpending (through Job safety)</t>
        </is>
      </c>
      <c r="G35" s="3" t="inlineStr">
        <is>
          <t>MK-CF-F-189</t>
        </is>
      </c>
      <c r="H35" s="3" t="inlineStr">
        <is>
          <t>runway in months = cash ÷ essentials a month; target = months wanted × essentials a month; essentials a month = the typed figure on this screen if given, else the logged average (MK-CF-F-189)</t>
        </is>
      </c>
      <c r="I35"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5" s="3" t="inlineStr">
        <is>
          <t>1. every logged expense → expenses [MK-XS-I-024]
2. the typed fallback → typed monthly expenses / essentials [MK-XS-I-025]
3. cash on hand → the Cash class [MK-XS-I-001]</t>
        </is>
      </c>
      <c r="K35" s="3" t="inlineStr">
        <is>
          <t>a sentence</t>
        </is>
      </c>
      <c r="L35" s="3" t="inlineStr">
        <is>
          <t>No essentials figure → the screen asks 'What do your essential bills come to in a typical month?' (built); no months chosen → 6.</t>
        </is>
      </c>
      <c r="M35" s="3" t="inlineStr">
        <is>
          <t>one figure per household</t>
        </is>
      </c>
      <c r="N35" s="3" t="inlineStr">
        <is>
          <t>as of today</t>
        </is>
      </c>
      <c r="O35" s="3" t="inlineStr">
        <is>
          <t>1. MK-ST-F-056 (has) → NOT DECLARED — the code does not say what it gives back
2. MK-XS-F-122 (n) → number
3. MK-ST-F-052 (toNum) → number
4. MK-CF-F-191 (ym) → NOT DECLARED — the code does not say what it gives back</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Q28 — How many months of essentials should the app treat as safe by default — and is that number yours to set per person, or one figure for everyone?</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5" s="3" t="inlineStr">
        <is>
          <t>ACTIVE</t>
        </is>
      </c>
      <c r="AG35" s="3" t="inlineStr">
        <is>
          <t>2026-10-02</t>
        </is>
      </c>
      <c r="AH35" s="3" t="inlineStr"/>
      <c r="AI35" s="3" t="inlineStr"/>
      <c r="AJ35" s="3" t="inlineStr">
        <is>
          <t>MK-XS-I-024 logged expenses — read by MK-CF-F-189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6 months of essentials is $20,820 ($3,470/month)
(the test re-runs this through MK-NW-O-004 theEmergencyFund on every build)</t>
        </is>
      </c>
      <c r="AO35" s="9" t="inlineStr">
        <is>
          <t>WAITING ON YOU — question Q28 · RULED, NOT CODED (Q-NW-5 — one question, one function)</t>
        </is>
      </c>
    </row>
    <row r="36" ht="60" customHeight="1">
      <c r="A36" s="3" t="inlineStr">
        <is>
          <t>MK-MN-M-021</t>
        </is>
      </c>
      <c r="B36" s="3" t="inlineStr">
        <is>
          <t>Menu</t>
        </is>
      </c>
      <c r="C36" s="3" t="inlineStr">
        <is>
          <t>/jobsafety</t>
        </is>
      </c>
      <c r="D36" s="3" t="inlineStr">
        <is>
          <t>Using $X/month from your logged expenses</t>
        </is>
      </c>
      <c r="E36" s="3" t="inlineStr">
        <is>
          <t>using_xmonth_from_your_logged_expenses</t>
        </is>
      </c>
      <c r="F36" s="3" t="inlineStr">
        <is>
          <t>essentialsFromLoggedSpending</t>
        </is>
      </c>
      <c r="G36" s="3" t="inlineStr">
        <is>
          <t>MK-CF-F-189</t>
        </is>
      </c>
      <c r="H36" s="3" t="inlineStr">
        <is>
          <t>baseline = the average of logged expenses over the months logged, mortgage and big items included; label = 'N month average'</t>
        </is>
      </c>
      <c r="I36"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Log your expenses ›" (mock approved 2026-09-12). A real zero that was entered shows a plain $0 with no line.</t>
        </is>
      </c>
      <c r="M36" s="3" t="inlineStr">
        <is>
          <t>one figure per household</t>
        </is>
      </c>
      <c r="N36" s="3" t="inlineStr">
        <is>
          <t>as of today</t>
        </is>
      </c>
      <c r="O36" s="3" t="inlineStr">
        <is>
          <t>1. MK-ST-F-056 (has) → NOT DECLARED — the code does not say what it gives back
2. MK-XS-F-122 (n) → number
3. MK-ST-F-052 (toNum) → number
4. MK-CF-F-191 (ym) → NOT DECLARED — the code does not say what it gives back</t>
        </is>
      </c>
      <c r="P36" s="3" t="inlineStr">
        <is>
          <t>Declared by MK-NW-O-004 theEmergencyFund</t>
        </is>
      </c>
      <c r="Q36" s="3" t="inlineStr">
        <is>
          <t>The label names the basis so nobody has to guess whether it is one month or a year (his ruling G21).</t>
        </is>
      </c>
      <c r="R36" s="3" t="inlineStr">
        <is>
          <t>The label names the basis so nobody has to guess whether it is one month or a year (his ruling G21).</t>
        </is>
      </c>
      <c r="S36" s="3" t="inlineStr"/>
      <c r="T36"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6" s="3" t="inlineStr">
        <is>
          <t>ACTIVE</t>
        </is>
      </c>
      <c r="AG36" s="3" t="inlineStr">
        <is>
          <t>2026-10-02</t>
        </is>
      </c>
      <c r="AH36" s="3" t="inlineStr"/>
      <c r="AI36" s="3" t="inlineStr"/>
      <c r="AJ36" s="3" t="inlineStr">
        <is>
          <t>MK-XS-I-024 logged expenses — read by MK-CF-F-189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Using $3,470/month — you entered
(the test re-runs this through MK-NW-O-004 theEmergencyFund on every build)</t>
        </is>
      </c>
      <c r="AO36" s="7" t="inlineStr">
        <is>
          <t>RULED, NOT CODED (Q-NW-5 — one question, one function)</t>
        </is>
      </c>
    </row>
    <row r="37" ht="60" customHeight="1">
      <c r="A37" s="3" t="inlineStr">
        <is>
          <t>MK-MN-M-024</t>
        </is>
      </c>
      <c r="B37" s="3" t="inlineStr">
        <is>
          <t>Menu</t>
        </is>
      </c>
      <c r="C37" s="3" t="inlineStr">
        <is>
          <t>/stress-test</t>
        </is>
      </c>
      <c r="D37" s="3" t="inlineStr">
        <is>
          <t>You could cover a $X hit</t>
        </is>
      </c>
      <c r="E37" s="3" t="inlineStr">
        <is>
          <t>you_could_cover_a_x_hit</t>
        </is>
      </c>
      <c r="F37" s="3" t="inlineStr">
        <is>
          <t>emergencyTest (with the essentials figure from essentialsMonthly)</t>
        </is>
      </c>
      <c r="G37" s="3" t="inlineStr">
        <is>
          <t>MK-CF-F-010 (← MK-CF-F-190)</t>
        </is>
      </c>
      <c r="H37" s="3" t="inlineStr">
        <is>
          <t>cash after = cash − the shock; runway after = cash after ÷ essentials a month, where essentials a month = MK-CF-F-190 (logged average, else the typed categories)</t>
        </is>
      </c>
      <c r="I37" s="3" t="inlineStr">
        <is>
          <t>Takes a one-off hit out of the cash on hand and shows what would be left and how many months of essentials it would cover — dividing by the same essentials figure the other cards use, labelled with the months it stands on.</t>
        </is>
      </c>
      <c r="J37" s="3" t="inlineStr">
        <is>
          <t>1. every logged expense → expenses [MK-XS-I-024]
2. the typed fallback → typed monthly expenses / essentials [MK-XS-I-025]
3. cash on hand → the Cash class [MK-XS-I-001]</t>
        </is>
      </c>
      <c r="K37" s="3" t="inlineStr">
        <is>
          <t>dollars, whole</t>
        </is>
      </c>
      <c r="L37" s="3" t="inlineStr">
        <is>
          <t>$0, and under it the one line "Nothing entered yet. Add your accounts ›" (mock approved 2026-09-12). A real zero that was entered shows a plain $0 with no line.</t>
        </is>
      </c>
      <c r="M37" s="3" t="inlineStr">
        <is>
          <t>one figure per household</t>
        </is>
      </c>
      <c r="N37" s="3" t="inlineStr">
        <is>
          <t>as of today</t>
        </is>
      </c>
      <c r="O37" s="3" t="inlineStr">
        <is>
          <t>1. MK-CF-F-155 (cash) → number
2. MK-CF-F-009 (monthlyEssentials) → number
3. MK-CF-F-189 (essentialsFromLoggedSpending) → EssentialsAverage | null
4.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9" t="inlineStr">
        <is>
          <t>Q29 — What size of shock should the test use by default, and should it be a fixed dollar figure or a share of the person's expenses?</t>
        </is>
      </c>
      <c r="W37" s="9"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7" s="3" t="inlineStr">
        <is>
          <t>ACTIVE</t>
        </is>
      </c>
      <c r="AG37" s="3" t="inlineStr">
        <is>
          <t>2026-10-02</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 could cover a $5,000 hit
(the test re-runs this through MK-NW-O-004 theEmergencyFund on every build)</t>
        </is>
      </c>
      <c r="AO37" s="9" t="inlineStr">
        <is>
          <t>WAITING ON YOU — question Q29 · RULED, NOT CODED (Q-NW-5 — one question, one function)</t>
        </is>
      </c>
    </row>
    <row r="38" ht="60" customHeight="1">
      <c r="A38" s="3" t="inlineStr">
        <is>
          <t>MK-MN-M-025</t>
        </is>
      </c>
      <c r="B38" s="3" t="inlineStr">
        <is>
          <t>Menu</t>
        </is>
      </c>
      <c r="C38" s="3" t="inlineStr">
        <is>
          <t>/stress-test</t>
        </is>
      </c>
      <c r="D38" s="3" t="inlineStr">
        <is>
          <t>You'd have $X left — about N months of essentials</t>
        </is>
      </c>
      <c r="E38" s="3" t="inlineStr">
        <is>
          <t>youd_have_x_left__about_n_months_of_esse</t>
        </is>
      </c>
      <c r="F38" s="3" t="inlineStr">
        <is>
          <t>emergencyTest (with the essentials figure from essentialsMonthly)</t>
        </is>
      </c>
      <c r="G38" s="3" t="inlineStr">
        <is>
          <t>MK-CF-F-010 (← MK-CF-F-190)</t>
        </is>
      </c>
      <c r="H38" s="3" t="inlineStr">
        <is>
          <t>runway after = max(0, cash − shock) ÷ essentials a month (MK-CF-F-190)</t>
        </is>
      </c>
      <c r="I38" s="3" t="inlineStr">
        <is>
          <t>'You'd have $X left — about N months of essentials ($Y/mo — 7 month average).'</t>
        </is>
      </c>
      <c r="J38" s="3" t="inlineStr">
        <is>
          <t>1. every logged expense → expenses [MK-XS-I-024]
2. the typed fallback → typed monthly expenses / essentials [MK-XS-I-025]
3. cash on hand → the Cash class [MK-XS-I-001]</t>
        </is>
      </c>
      <c r="K38" s="3" t="inlineStr">
        <is>
          <t>a sentence</t>
        </is>
      </c>
      <c r="L38" s="3" t="inlineStr">
        <is>
          <t>$0, and under it the one line "Nothing entered yet. Add your accounts ›" (mock approved 2026-09-12). A real zero that was entered shows a plain $0 with no line.</t>
        </is>
      </c>
      <c r="M38" s="3" t="inlineStr">
        <is>
          <t>one figure per household</t>
        </is>
      </c>
      <c r="N38" s="3" t="inlineStr">
        <is>
          <t>as of today</t>
        </is>
      </c>
      <c r="O38" s="3" t="inlineStr">
        <is>
          <t>1. MK-CF-F-155 (cash) → number
2. MK-CF-F-009 (monthlyEssentials) → number
3. MK-CF-F-189 (essentialsFromLoggedSpending) → EssentialsAverage | null
4. MK-CF-O-002 (expenses) → Expenses</t>
        </is>
      </c>
      <c r="P38" s="3" t="inlineStr">
        <is>
          <t>Declared by MK-NW-O-004 theEmergencyFund</t>
        </is>
      </c>
      <c r="Q38" s="3" t="inlineStr">
        <is>
          <t>NONE RECORDED — the declaration names none.</t>
        </is>
      </c>
      <c r="R38" s="3" t="inlineStr">
        <is>
          <t>NONE RECORDED — the declaration names none.</t>
        </is>
      </c>
      <c r="S38" s="3" t="inlineStr"/>
      <c r="T38"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8" s="3" t="inlineStr"/>
      <c r="V38" s="3" t="inlineStr"/>
      <c r="W38" s="3" t="inlineStr"/>
      <c r="X38" s="3" t="inlineStr"/>
      <c r="Y38" s="3" t="inlineStr"/>
      <c r="Z38" s="3" t="inlineStr">
        <is>
          <t>DECLARED IN THE CODE (rule 11) — printed from the door, not typed. RULED 2026-09-27</t>
        </is>
      </c>
      <c r="AA38" s="3" t="inlineStr"/>
      <c r="AB38" s="3" t="inlineStr"/>
      <c r="AC38" s="3" t="inlineStr"/>
      <c r="AD38" s="3" t="inlineStr"/>
      <c r="AE38"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8" s="3" t="inlineStr">
        <is>
          <t>ACTIVE</t>
        </is>
      </c>
      <c r="AG38" s="3" t="inlineStr">
        <is>
          <t>2026-10-02</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MK-CF-F-098, MK-CF-F-099, MK-CF-F-100, MK-CF-F-101, MK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MK-CF-F-180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MK-NW-O-004 theEmergencyFund</t>
        </is>
      </c>
      <c r="AN38"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You'd have $13,000 left — about 3.7 months of essentials
(the test re-runs this through MK-NW-O-004 theEmergencyFund on every build)</t>
        </is>
      </c>
      <c r="AO38" s="7" t="inlineStr">
        <is>
          <t>RULED, NOT CODED (Q-NW-5 — one question, one function)</t>
        </is>
      </c>
    </row>
    <row r="39" ht="60" customHeight="1">
      <c r="A39" s="3" t="inlineStr">
        <is>
          <t>MK-MN-M-026</t>
        </is>
      </c>
      <c r="B39" s="3" t="inlineStr">
        <is>
          <t>Menu</t>
        </is>
      </c>
      <c r="C39" s="3" t="inlineStr">
        <is>
          <t>/stress-test</t>
        </is>
      </c>
      <c r="D39" s="3" t="inlineStr">
        <is>
          <t>your $X/month of essentials</t>
        </is>
      </c>
      <c r="E39" s="3" t="inlineStr">
        <is>
          <t>your_xmonth_of_essentials</t>
        </is>
      </c>
      <c r="F39" s="3" t="inlineStr">
        <is>
          <t>essentialsMonthly</t>
        </is>
      </c>
      <c r="G39" s="3" t="inlineStr">
        <is>
          <t>MK-CF-F-190</t>
        </is>
      </c>
      <c r="H39" s="3" t="inlineStr">
        <is>
          <t>essentials a month = the logged average over the months logged (MK-CF-F-189), else the typed categories (monthlyEssentials)</t>
        </is>
      </c>
      <c r="I39" s="3" t="inlineStr">
        <is>
          <t>'Covering your $Y/mo of essentials (7 month average) with no paycheck coming in.' The larger-of rule (plannedMonthlySpend) no longer produces this figure.</t>
        </is>
      </c>
      <c r="J39" s="3" t="inlineStr">
        <is>
          <t>1. every logged expense → expenses [MK-XS-I-024]
2. the typed fallback → typed monthly expenses / essentials [MK-XS-I-025]
3. cash on hand → the Cash class [MK-XS-I-001]</t>
        </is>
      </c>
      <c r="K39" s="3" t="inlineStr">
        <is>
          <t>dollars, whole a month</t>
        </is>
      </c>
      <c r="L39" s="3" t="inlineStr">
        <is>
          <t>$0, and under it the one line "Nothing entered yet. Log your expenses ›" (mock approved 2026-09-12). A real zero that was entered shows a plain $0 with no line.</t>
        </is>
      </c>
      <c r="M39" s="3" t="inlineStr">
        <is>
          <t>one figure per household</t>
        </is>
      </c>
      <c r="N39" s="3" t="inlineStr">
        <is>
          <t>a month</t>
        </is>
      </c>
      <c r="O39" s="3" t="inlineStr">
        <is>
          <t>1. MK-CF-F-189 (essentialsFromLoggedSpending) → EssentialsAverage | null
2. MK-CF-O-002 (expenses) → Expenses</t>
        </is>
      </c>
      <c r="P39" s="3" t="inlineStr">
        <is>
          <t>Declared by MK-NW-O-004 theEmergencyFund</t>
        </is>
      </c>
      <c r="Q39" s="3" t="inlineStr">
        <is>
          <t>NONE RECORDED — the declaration names none.</t>
        </is>
      </c>
      <c r="R39" s="3" t="inlineStr">
        <is>
          <t>NONE RECORDED — the declaration names none.</t>
        </is>
      </c>
      <c r="S39" s="3" t="inlineStr"/>
      <c r="T39"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9" s="3" t="inlineStr"/>
      <c r="V39" s="3" t="inlineStr"/>
      <c r="W39" s="3" t="inlineStr"/>
      <c r="X39" s="3" t="inlineStr"/>
      <c r="Y39" s="3" t="inlineStr"/>
      <c r="Z39" s="3" t="inlineStr">
        <is>
          <t>DECLARED IN THE CODE (rule 11) — printed from the door, not typed. RULED 2026-09-27</t>
        </is>
      </c>
      <c r="AA39" s="3" t="inlineStr"/>
      <c r="AB39" s="3" t="inlineStr"/>
      <c r="AC39" s="3" t="inlineStr"/>
      <c r="AD39" s="3" t="inlineStr"/>
      <c r="AE3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9" s="3" t="inlineStr">
        <is>
          <t>ACTIVE</t>
        </is>
      </c>
      <c r="AG39" s="3" t="inlineStr">
        <is>
          <t>2026-10-02</t>
        </is>
      </c>
      <c r="AH39" s="3" t="inlineStr"/>
      <c r="AI39" s="3" t="inlineStr"/>
      <c r="AJ3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MK-NW-O-004 theEmergencyFund</t>
        </is>
      </c>
      <c r="AN39" s="3" t="inlineStr">
        <is>
          <t>$18,000 in checking. A $2,400/month mortgage, entered both as the Rent / Mortgage budget line and as a Mortgage debt — the same $2,400, not two different numbers. Plus $700 groceries (an essential) and $400 eating out (not). Also a car loan at $250/month and a Visa at $120/month. Nothing logged yet.
GIVES: $3,470/month
(the test re-runs this through MK-NW-O-004 theEmergencyFund on every build)</t>
        </is>
      </c>
      <c r="AO39" s="7" t="inlineStr">
        <is>
          <t>RULED, NOT CODED (Q-NW-5 — one question, one function)</t>
        </is>
      </c>
    </row>
    <row r="40" ht="60" customHeight="1">
      <c r="A40" s="3" t="inlineStr">
        <is>
          <t>MK-MN-M-027</t>
        </is>
      </c>
      <c r="B40" s="3" t="inlineStr">
        <is>
          <t>Menu</t>
        </is>
      </c>
      <c r="C40" s="3" t="inlineStr">
        <is>
          <t>/tax-organizer</t>
        </is>
      </c>
      <c r="D40" s="3" t="inlineStr">
        <is>
          <t>each taxable line and its amount</t>
        </is>
      </c>
      <c r="E40" s="3" t="inlineStr">
        <is>
          <t>each_taxable_line_and_its_amount</t>
        </is>
      </c>
      <c r="F40" s="3" t="inlineStr">
        <is>
          <t>1. taxOrganizer
2. taxableIncomeSteps</t>
        </is>
      </c>
      <c r="G40" s="3" t="inlineStr">
        <is>
          <t>1. MK-PL-F-031
2. MK-PL-F-082</t>
        </is>
      </c>
      <c r="H40"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0"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0" s="3" t="inlineStr">
        <is>
          <t>1. the organizer's income lines [MK-XS-I-023 and the other income inputs]
2. each earner's 401(k) contribution [MK-XS-I-043]
3. how they file and who is 65+ [MK-XS-I-030]</t>
        </is>
      </c>
      <c r="K40" s="3" t="inlineStr">
        <is>
          <t>dollars, whole</t>
        </is>
      </c>
      <c r="L40" s="3" t="inlineStr">
        <is>
          <t>A line with nothing behind it does not appear at all.</t>
        </is>
      </c>
      <c r="M40" s="3" t="inlineStr">
        <is>
          <t>one line</t>
        </is>
      </c>
      <c r="N40" s="3" t="inlineStr">
        <is>
          <t>as of today</t>
        </is>
      </c>
      <c r="O40"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0" s="3" t="inlineStr">
        <is>
          <t>Declared by MK-CF-O-007 theTaxOrganizer</t>
        </is>
      </c>
      <c r="Q40" s="3" t="inlineStr">
        <is>
          <t>Interest and dividends come from the RECORDS where they exist, not from an estimate — an estimate on a tax page reads as a figure to file.</t>
        </is>
      </c>
      <c r="R40" s="3" t="inlineStr">
        <is>
          <t>Interest and dividends come from the RECORDS where they exist, not from an estimate — an estimate on a tax page reads as a figure to file.</t>
        </is>
      </c>
      <c r="S40" s="3" t="inlineStr"/>
      <c r="T40"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40" s="3" t="inlineStr"/>
      <c r="V40"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40" s="3" t="inlineStr">
        <is>
          <t>Q46: Tax organizer should show — gross income, 401(k) contribution, standard deduction, and taxable income. (answered in chat, 2026-09-08)</t>
        </is>
      </c>
      <c r="X40" s="3" t="inlineStr"/>
      <c r="Y40" s="3" t="inlineStr"/>
      <c r="Z40" s="3" t="inlineStr">
        <is>
          <t>DECLARED IN THE CODE (rule 11) — printed from the door, not typed. RULED 2026-09-27</t>
        </is>
      </c>
      <c r="AA40" s="3" t="inlineStr"/>
      <c r="AB40" s="3" t="inlineStr"/>
      <c r="AC40" s="3" t="inlineStr"/>
      <c r="AD40" s="3" t="inlineStr"/>
      <c r="AE40"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40" s="3" t="inlineStr">
        <is>
          <t>ACTIVE</t>
        </is>
      </c>
      <c r="AG40" s="3" t="inlineStr">
        <is>
          <t>2026-10-02</t>
        </is>
      </c>
      <c r="AH40" s="3" t="inlineStr"/>
      <c r="AI40" s="3" t="inlineStr"/>
      <c r="AJ40"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MK-CF-O-007 theTaxOrganizer</t>
        </is>
      </c>
      <c r="AN40" s="3" t="inlineStr">
        <is>
          <t>Filing jointly for 2026 on $169,200 of wages, with $19,200 paid into 401(k)s between the two of them and the $32,200 standard deduction.
GIVES: $169,200
(the test re-runs this through MK-CF-O-007 theTaxOrganizer on every build)</t>
        </is>
      </c>
      <c r="AO40" s="8" t="inlineStr">
        <is>
          <t>VERIFIED — TESTED, NOT VERIFIED — you ruled on this row 2026-09-27; the</t>
        </is>
      </c>
    </row>
    <row r="41" ht="60" customHeight="1">
      <c r="A41" s="3" t="inlineStr">
        <is>
          <t>MK-MN-M-028</t>
        </is>
      </c>
      <c r="B41" s="3" t="inlineStr">
        <is>
          <t>Menu</t>
        </is>
      </c>
      <c r="C41" s="3" t="inlineStr">
        <is>
          <t>/tax-organizer</t>
        </is>
      </c>
      <c r="D41" s="3" t="inlineStr">
        <is>
          <t>Gross income · 401(k) contribution · Standard deduction · Taxable income · Non-taxable</t>
        </is>
      </c>
      <c r="E41" s="3" t="inlineStr">
        <is>
          <t>gross_income__401k_contribution__standar</t>
        </is>
      </c>
      <c r="F41" s="3" t="inlineStr">
        <is>
          <t>1. taxOrganizer
2. taxableIncomeSteps</t>
        </is>
      </c>
      <c r="G41" s="3" t="inlineStr">
        <is>
          <t>1. MK-PL-F-031
2. MK-PL-F-082</t>
        </is>
      </c>
      <c r="H41"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41"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41" s="3" t="inlineStr">
        <is>
          <t>1. the organizer's income lines [MK-XS-I-023 and the other income inputs]
2. each earner's 401(k) contribution [MK-XS-I-043]
3. how they file and who is 65+ [MK-XS-I-030]</t>
        </is>
      </c>
      <c r="K41" s="3" t="inlineStr">
        <is>
          <t>dollars, whole</t>
        </is>
      </c>
      <c r="L41" s="3" t="inlineStr">
        <is>
          <t>No income entered yet.</t>
        </is>
      </c>
      <c r="M41" s="3" t="inlineStr">
        <is>
          <t>one figure per household</t>
        </is>
      </c>
      <c r="N41" s="3" t="inlineStr">
        <is>
          <t>as of today</t>
        </is>
      </c>
      <c r="O41"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41" s="3" t="inlineStr">
        <is>
          <t>Declared by MK-CF-O-007 theTaxOrganizer</t>
        </is>
      </c>
      <c r="Q41" s="3" t="inlineStr">
        <is>
          <t>ONE tax function across the app (rule 2) — the same one that sets the band on your pay.</t>
        </is>
      </c>
      <c r="R41" s="3" t="inlineStr">
        <is>
          <t>ONE tax function across the app (rule 2) — the same one that sets the band on your pay.</t>
        </is>
      </c>
      <c r="S41" s="3" t="inlineStr"/>
      <c r="T41" s="3" t="inlineStr">
        <is>
          <t>ONE tax function across the app (rule 2) — the same one that sets the band on your pay.
[Founder] Q46, 2026-09-08: the tax organizer shows gross income, the 401(k) contribution, the standard deduction and taxable income.</t>
        </is>
      </c>
      <c r="U41" s="3" t="inlineStr"/>
      <c r="V41" s="9" t="inlineStr">
        <is>
          <t>Q24 — State tax is applied to taxable accounts only. Do you want a state rate captured per person, or to keep the single blended figure we use now?</t>
        </is>
      </c>
      <c r="W41" s="9" t="inlineStr">
        <is>
          <t>Q46: Tax organizer should show — gross income, 401(k) contribution, standard deduction, and taxable income. (answered in chat, 2026-09-08)</t>
        </is>
      </c>
      <c r="X41" s="3" t="inlineStr"/>
      <c r="Y41" s="3" t="inlineStr"/>
      <c r="Z41" s="3" t="inlineStr">
        <is>
          <t>DECLARED IN THE CODE (rule 11) — printed from the door, not typed. RULED 2026-09-27</t>
        </is>
      </c>
      <c r="AA41" s="3" t="inlineStr"/>
      <c r="AB41" s="3" t="inlineStr"/>
      <c r="AC41" s="3" t="inlineStr"/>
      <c r="AD41" s="3" t="inlineStr"/>
      <c r="AE41"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41" s="3" t="inlineStr">
        <is>
          <t>ACTIVE</t>
        </is>
      </c>
      <c r="AG41" s="3" t="inlineStr">
        <is>
          <t>2026-10-02</t>
        </is>
      </c>
      <c r="AH41" s="3" t="inlineStr"/>
      <c r="AI41" s="3" t="inlineStr"/>
      <c r="AJ41"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MK-CF-F-102,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MK-CF-F-180, MK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MK-CF-O-007 theTaxOrganizer</t>
        </is>
      </c>
      <c r="AN41" s="3" t="inlineStr">
        <is>
          <t>Filing jointly for 2026 on $169,200 of wages, with $19,200 paid into 401(k)s between the two of them and the $32,200 standard deduction.
GIVES: $117,800
(the test re-runs this through MK-CF-O-007 theTaxOrganizer on every build)</t>
        </is>
      </c>
      <c r="AO41" s="9" t="inlineStr">
        <is>
          <t>WAITING ON YOU — question Q24 · TESTED, NOT VERIFIED (G22 / Q46, G3)</t>
        </is>
      </c>
    </row>
    <row r="42" ht="60" customHeight="1">
      <c r="A42" s="3" t="inlineStr">
        <is>
          <t>MK-MN-M-029</t>
        </is>
      </c>
      <c r="B42" s="3" t="inlineStr">
        <is>
          <t>Menu</t>
        </is>
      </c>
      <c r="C42" s="3" t="inlineStr">
        <is>
          <t>/contribution-room</t>
        </is>
      </c>
      <c r="D42" s="3" t="inlineStr">
        <is>
          <t>each contribution and its amount</t>
        </is>
      </c>
      <c r="E42" s="3" t="inlineStr">
        <is>
          <t>each_contribution_and_its_amount</t>
        </is>
      </c>
      <c r="F42" s="3" t="inlineStr">
        <is>
          <t>theContributionRoom</t>
        </is>
      </c>
      <c r="G42" s="3" t="inlineStr">
        <is>
          <t xml:space="preserve">
4. MK-CF-F-196
5. MK-CF-F-195</t>
        </is>
      </c>
      <c r="H42" s="3" t="inlineStr">
        <is>
          <t>the monthly amount you entered for that account × 12</t>
        </is>
      </c>
      <c r="I42"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2" s="3" t="inlineStr">
        <is>
          <t>MK-XS-I-023 salary and other income</t>
        </is>
      </c>
      <c r="K42" s="3" t="inlineStr">
        <is>
          <t>dollars, whole</t>
        </is>
      </c>
      <c r="L42" s="3" t="inlineStr">
        <is>
          <t>No contribution entered → the RETIREMENT CONTRIBUTIONS card is not shown; never a $0 line.</t>
        </is>
      </c>
      <c r="M42" s="3" t="inlineStr">
        <is>
          <t>one account</t>
        </is>
      </c>
      <c r="N42" s="3" t="inlineStr">
        <is>
          <t>as of today</t>
        </is>
      </c>
      <c r="O42" s="3" t="inlineStr">
        <is>
          <t>MK-CF-F-195 (monthsLeftInYear) → number</t>
        </is>
      </c>
      <c r="P42" s="3" t="inlineStr">
        <is>
          <t>Declared by MK-CF-O-005 theContributionRoom</t>
        </is>
      </c>
      <c r="Q42" s="3" t="inlineStr">
        <is>
          <t>Enrolled in Medicare means NO HSA contribution is allowed at all — not a smaller one (his ruling G10, 2026-09-08).</t>
        </is>
      </c>
      <c r="R42" s="3" t="inlineStr">
        <is>
          <t>Enrolled in Medicare means NO HSA contribution is allowed at all — not a smaller one (his ruling G10, 2026-09-08).</t>
        </is>
      </c>
      <c r="S42" s="3" t="inlineStr"/>
      <c r="T42" s="3" t="inlineStr">
        <is>
          <t>Enrolled in Medicare means NO HSA contribution is allowed at all — not a smaller one (his ruling G10, 2026-09-08).</t>
        </is>
      </c>
      <c r="U42" s="3" t="inlineStr"/>
      <c r="V42" s="3" t="inlineStr"/>
      <c r="W42" s="3" t="inlineStr"/>
      <c r="X42" s="3" t="inlineStr"/>
      <c r="Y42" s="3" t="inlineStr"/>
      <c r="Z42" s="3" t="inlineStr">
        <is>
          <t>DECLARED IN THE CODE (rule 11) — printed from the door, not typed. RULED 2026-09-27</t>
        </is>
      </c>
      <c r="AA42" s="3" t="inlineStr"/>
      <c r="AB42" s="3" t="inlineStr"/>
      <c r="AC42" s="3" t="inlineStr"/>
      <c r="AD42" s="3" t="inlineStr"/>
      <c r="AE42" s="3" t="inlineStr">
        <is>
          <t>G32 / Q48 — 2026-09-09: the 'division with nothing on the bottom' boilerplate is gone; this cell now states the row's real refusal. Where it says 'built', the screen already does it; the rest follow the empty-state mock.</t>
        </is>
      </c>
      <c r="AF42" s="3" t="inlineStr">
        <is>
          <t>ACTIVE</t>
        </is>
      </c>
      <c r="AG42" s="3" t="inlineStr">
        <is>
          <t>2026-10-02</t>
        </is>
      </c>
      <c r="AH42" s="3" t="inlineStr"/>
      <c r="AI42" s="3" t="inlineStr"/>
      <c r="AJ42" s="3" t="inlineStr">
        <is>
          <t>NONE — no function in this chain reads a stored input the sweep knows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2026-09-27; the figure, its formula, inputs and refusal live in MK-CF-O-005 theContributionRoom</t>
        </is>
      </c>
      <c r="AN42"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2" s="7" t="inlineStr">
        <is>
          <t>RULED, NOT CODED (Q-CF-4 — one question, one function)</t>
        </is>
      </c>
    </row>
    <row r="43" ht="60" customHeight="1">
      <c r="A43" s="3" t="inlineStr">
        <is>
          <t>MK-MN-M-030</t>
        </is>
      </c>
      <c r="B43" s="3" t="inlineStr">
        <is>
          <t>Menu</t>
        </is>
      </c>
      <c r="C43" s="3" t="inlineStr">
        <is>
          <t>/bill-calendar</t>
        </is>
      </c>
      <c r="D43" s="3" t="inlineStr">
        <is>
          <t>$X left &lt;account&gt; on &lt;date&gt;</t>
        </is>
      </c>
      <c r="E43" s="3" t="inlineStr">
        <is>
          <t>x_left_account_on_date</t>
        </is>
      </c>
      <c r="F43" s="3" t="inlineStr">
        <is>
          <t>whatsComing</t>
        </is>
      </c>
      <c r="G43" s="3" t="inlineStr">
        <is>
          <t>MK-CF-O-008</t>
        </is>
      </c>
      <c r="H43" s="3" t="inlineStr">
        <is>
          <t>the balance you start with, less each bill as its date passes</t>
        </is>
      </c>
      <c r="I43" s="3" t="inlineStr">
        <is>
          <t>the balance you start with, less each bill as its date passes</t>
        </is>
      </c>
      <c r="J43" s="3" t="inlineStr">
        <is>
          <t>MK-NW-I-001 your accounts
MK-CF-I-002 your bills</t>
        </is>
      </c>
      <c r="K43" s="3" t="inlineStr">
        <is>
          <t>dollars, whole</t>
        </is>
      </c>
      <c r="L43" s="3" t="inlineStr">
        <is>
          <t>No balance to start from.</t>
        </is>
      </c>
      <c r="M43" s="3" t="inlineStr">
        <is>
          <t>one date</t>
        </is>
      </c>
      <c r="N43" s="3" t="inlineStr">
        <is>
          <t>as of today</t>
        </is>
      </c>
      <c r="O43" s="3" t="inlineStr">
        <is>
          <t>MK-CF-F-019 (upcomingBills) → NOT DECLARED — the code does not say what it gives back</t>
        </is>
      </c>
      <c r="P43" s="3" t="inlineStr">
        <is>
          <t>Declared by MK-CF-O-008 whatsComing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2026-09-27</t>
        </is>
      </c>
      <c r="AA43" s="3" t="inlineStr"/>
      <c r="AB43" s="3" t="inlineStr"/>
      <c r="AC43" s="3" t="inlineStr"/>
      <c r="AD43" s="3" t="inlineStr"/>
      <c r="AE43" s="3" t="inlineStr"/>
      <c r="AF43" s="3" t="inlineStr">
        <is>
          <t>ACTIVE</t>
        </is>
      </c>
      <c r="AG43" s="3" t="inlineStr">
        <is>
          <t>2026-10-02</t>
        </is>
      </c>
      <c r="AH43" s="3" t="inlineStr"/>
      <c r="AI43" s="3" t="inlineStr"/>
      <c r="AJ4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MK-CF-F-098, MK-CF-F-099, MK-CF-F-100, MK-CF-F-101, MK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MK-CF-F-180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MK-NW-F-070, MK-NW-F-072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2026-09-27; the figure, its formula, inputs and refusal live in MK-CF-O-008 whatsComing</t>
        </is>
      </c>
      <c r="AN43" s="3" t="inlineStr">
        <is>
          <t>NONE YET — no worked example is declared for this figure, so nothing re-runs it (step 6)</t>
        </is>
      </c>
      <c r="AO43" s="7" t="inlineStr">
        <is>
          <t>RULED, NOT CODED (Q-CF-3 — one question, one function)</t>
        </is>
      </c>
    </row>
  </sheetData>
  <autoFilter ref="A1:AO4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MK-CF-F-205 COMING
5. MK-NW-F-080 HOLD
6. MK-CF-F-200 LINE
7. MK-NW-F-082 NW
8. MK-NW-F-078 ONE
9. MK-NW-F-101 PLAN
10. MK-NW-F-027 accountClassBreakdown
11. MK-ST-F-027 accountId
12. MK-NW-F-002 alternativesSummary
13. MK-CF-F-125 amortise
14. MK-CF-F-111 applyTransaction
… and 44 more — the full list is on functions_from_code</t>
        </is>
      </c>
      <c r="F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2026-10-01</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MK-NW-F-025 accountDisplayName
4. MK-NW-F-011 assetClassOf
5. MK-NW-F-040 assetsFromOnboarding
6. MK-NW-F-037 blendedReturn
7. MK-NW-F-035 blendedVolatility
8. MK-NW-F-052 buildItemizedAccounts
9. MK-CF-F-136 bumpCash
10. MK-XS-F-103 confirmWrapper
11. MK-XS-F-002 dataGaps
12. MK-NW-F-038 earmarkedKinds
13. MK-XS-F-102 ingestSync
14. MK-NW-F-001 isAlternative
… and 17 more — the full list is on functions_from_code</t>
        </is>
      </c>
      <c r="F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2026-09-30</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MK-NW-F-087 CAT
3. MK-NW-F-080 HOLD
4. MK-NW-F-101 PLAN
5. MK-NW-F-027 accountClassBreakdown
6. MK-ST-F-027 accountId
7. MK-CF-F-138 addLot
8. MK-CF-F-111 applyTransaction
9. MK-PF-F-003 avgCost
10. MK-ST-F-028 buildDayFromAccounts
11. MK-PF-F-006 capGains
12. MK-CF-F-118 cashEffect
13. MK-PF-F-002 costBasis
14. MK-XS-F-002 dataGaps
… and 24 more — the full list is on functions_from_code</t>
        </is>
      </c>
      <c r="F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2026-09-30</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MK-PF-F-029 closeAsOf
8. MK-PF-F-034 closeOnOrBefore
9. MK-CF-F-043 compareMortgageToTreasury
10. MK-PF-F-022 factorOverMonths
11. MK-XS-F-102 ingestSync
12. MK-NW-F-073 itemising
13. MK-PF-F-009 latestClose
14. MK-PF-F-010 periodReturn
… and 10 more — the full list is on functions_from_code</t>
        </is>
      </c>
      <c r="F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2026-10-01</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8 more — the full list is on functions_from_code</t>
        </is>
      </c>
      <c r="F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2026-09-28</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MK-NW-F-102 rateWhereItRefuses
7. MK-CF-F-109 reviewTransactions
8. MK-PL-F-009 rmdTakenThisYear
9. MK-NW-O-002 theAccount
10. MK-NW-O-008 thePerformance
11. MK-ST-F-072 undo
12. MK-PF-F-024 userFlows</t>
        </is>
      </c>
      <c r="F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G9" s="3" t="inlineStr">
        <is>
          <t>SWEPT FROM THE CODE 2026-08-26</t>
        </is>
      </c>
      <c r="H9" s="3" t="inlineStr">
        <is>
          <t>ACTIVE</t>
        </is>
      </c>
      <c r="I9" s="3" t="inlineStr">
        <is>
          <t>2026-10-01</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MK-NW-F-102 rateWhereItRefuses
4. MK-PF-F-028 realizedFromLedger
5. MK-ST-F-073 rebuildDays
6. MK-ST-F-071 rebuildableFrom
7. MK-CF-F-109 reviewTransactions
8. MK-PL-F-009 rmdTakenThisYear
9. MK-NW-O-002 theAccount
10. MK-NW-O-006 theHolding
11. MK-NW-O-008 thePerformance
12. MK-PF-F-024 userFlows</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2026-10-01</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MK-NW-F-027 accountClassBreakdown
2. MK-XS-F-108 activityKey
3. MK-CF-F-110 flagComparisonText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2026-09-12</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MK-CF-F-184 incomeFromAccounts
7. MK-NW-F-063 interestIncomeAnnual
8. MK-NW-F-071 isCertificateOfDeposit
9. MK-NW-F-072 rowOf
10. MK-NW-O-001 theBonds</t>
        </is>
      </c>
      <c r="F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2026-09-28</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MK-NW-F-001 isAlternative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2026-09-28</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MK-NW-O-004 theEmergencyFund
8. MK-CF-O-010 theMonth
9. MK-NW-O-003 theNetWorth
10. MK-CF-F-027 totalDebtBalance
11. MK-PL-F-036 weighGoals</t>
        </is>
      </c>
      <c r="F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5" s="3" t="inlineStr">
        <is>
          <t>SWEPT FROM THE CODE 2026-08-26</t>
        </is>
      </c>
      <c r="H15" s="3" t="inlineStr">
        <is>
          <t>ACTIVE</t>
        </is>
      </c>
      <c r="I15" s="3" t="inlineStr">
        <is>
          <t>2026-09-30</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MK-NW-O-004 theEmergencyFund
7. MK-CF-O-010 theMonth</t>
        </is>
      </c>
      <c r="F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G16" s="3" t="inlineStr">
        <is>
          <t>SWEPT FROM THE CODE 2026-08-26</t>
        </is>
      </c>
      <c r="H16" s="3" t="inlineStr">
        <is>
          <t>ACTIVE</t>
        </is>
      </c>
      <c r="I16" s="3" t="inlineStr">
        <is>
          <t>2026-09-30</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MK-NW-O-004 theEmergencyFund
8. MK-CF-O-010 theMonth</t>
        </is>
      </c>
      <c r="F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17" s="3" t="inlineStr">
        <is>
          <t>SWEPT FROM THE CODE 2026-08-26</t>
        </is>
      </c>
      <c r="H17" s="3" t="inlineStr">
        <is>
          <t>ACTIVE</t>
        </is>
      </c>
      <c r="I17" s="3" t="inlineStr">
        <is>
          <t>2026-09-30</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MK-PL-F-027 nextDecision
8. MK-CF-F-089 over65CountOf
9. MK-PL-F-026 planDoor
10. MK-XS-F-026 profileFromOnboarding
11. MK-PL-F-006 rmdDivisor
12. MK-ST-F-024 rmdStartAge
13. MK-PL-F-060 ssBenefitAt
14. MK-PL-F-058 ssClaimFactorFor
… and 4 more — the full list is on functions_from_code</t>
        </is>
      </c>
      <c r="F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G18" s="3" t="inlineStr">
        <is>
          <t>SWEPT FROM THE CODE 2026-08-26</t>
        </is>
      </c>
      <c r="H18" s="3" t="inlineStr">
        <is>
          <t>ACTIVE</t>
        </is>
      </c>
      <c r="I18" s="3" t="inlineStr">
        <is>
          <t>2026-09-28</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MK-PL-F-043 howTheGapCloses
5. MK-PL-F-046 leverDeltas
6. MK-PL-F-030 onCourseSentence
7. MK-PL-F-044 planTarget
8. MK-XS-F-026 profileFromOnboarding
9. MK-PL-F-055 projectNestEgg
10. MK-XS-F-174 recomputeBalances
11. MK-PL-F-035 retireAgeWithContribution
12. MK-XS-F-019 retirementHorizonYears
13. MK-PL-F-049 retirementSpendMonthly
14. MK-CF-F-058 rothConversionWindow
… and 9 more — the full list is on functions_from_code</t>
        </is>
      </c>
      <c r="F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2026-09-30</t>
        </is>
      </c>
      <c r="J19" s="3" t="inlineStr">
        <is>
          <t>reach generated from the code each build</t>
        </is>
      </c>
    </row>
    <row r="20" ht="45"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MK-CF-F-072 currentRetirementIncomeMonthly
2. MK-CF-F-076 guaranteedOutsideStreams
3. MK-CF-O-016 incomeSources
4. MK-CF-F-075 retirementIncomeMonthly
5. MK-PL-F-049 retirementSpendMonthly
6. MK-PL-F-031 taxOrganizer</t>
        </is>
      </c>
      <c r="F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23" s="3" t="inlineStr">
        <is>
          <t>SWEPT FROM THE CODE 2026-08-26</t>
        </is>
      </c>
      <c r="H23" s="3" t="inlineStr">
        <is>
          <t>ACTIVE</t>
        </is>
      </c>
      <c r="I23" s="3" t="inlineStr">
        <is>
          <t>2026-10-01</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MK-XS-F-004 buildDatedGrid
2. MK-CF-F-020 cashflowYear
3. MK-CF-F-172 hasWage
4. MK-CF-F-079 incomeFromOnboarding
5. MK-CF-F-092 incomeMonthlyGrid
6. MK-CF-O-016 incomeSources
7. MK-CF-O-004 incomeSummary
8. MK-CF-F-181 rateInForce
9. MK-CF-F-082 salaryAnnual
10. MK-CF-F-165 salaryMonths
11. MK-PL-F-031 taxOrganizer
12. MK-CF-F-084 taxableAnnual
13. MK-CF-F-088 taxableByCalendarMonth
14. MK-CF-F-074 tipsAnnual
… and 2 more — the full list is on functions_from_code</t>
        </is>
      </c>
      <c r="F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24" s="3" t="inlineStr">
        <is>
          <t>SWEPT FROM THE CODE 2026-08-26</t>
        </is>
      </c>
      <c r="H24" s="3" t="inlineStr">
        <is>
          <t>ACTIVE</t>
        </is>
      </c>
      <c r="I24" s="3" t="inlineStr">
        <is>
          <t>2026-10-01</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MK-CF-F-205 COMING
3. MK-NW-F-079 EF
4. MK-NW-F-080 HOLD
5. MK-NW-F-085 PERF_ONE
6. MK-NW-F-101 PLAN
7. MK-NW-F-100 TREND
8. MK-CF-F-005 actualMonthFlow
9. MK-CF-F-151 actualSpending
10. MK-XS-F-057 analyzeExpenses
11. MK-CF-F-014 budgetVsActual
12. MK-XS-F-004 buildDatedGrid
13. MK-CF-F-107 buildPaycheckYear
14. MK-NW-F-084 categoryEarnings
… and 40 more — the full list is on functions_from_code</t>
        </is>
      </c>
      <c r="F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2026-09-30</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MK-XS-F-174 recomputeBalances
3. MK-XS-F-175 uid
4. MK-PL-F-065 volOf
5. MK-PL-F-067 willItLastInputs</t>
        </is>
      </c>
      <c r="F27" s="3" t="inlineStr">
        <is>
          <t>MK-CF-M-022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2026-09-12</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MK-HM-F-006 money0
8. MK-PL-F-021 monthsToGoal
9. MK-PL-F-018 monthsUntil
10. MK-XS-F-001 planCompleteness
11. MK-XS-F-174 recomputeBalances
12. MK-PL-F-020 requiredMonthly
13. MK-PL-F-017 sinkingFund
14. MK-XS-F-175 uid
… and 1 more — the full list is on functions_from_code</t>
        </is>
      </c>
      <c r="F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28" s="3" t="inlineStr">
        <is>
          <t>SWEPT FROM THE CODE 2026-08-26</t>
        </is>
      </c>
      <c r="H28" s="3" t="inlineStr">
        <is>
          <t>ACTIVE</t>
        </is>
      </c>
      <c r="I28" s="3" t="inlineStr">
        <is>
          <t>2026-09-12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MK-XS-F-102 ingestSync
9. MK-NW-F-073 itemising
10. MK-NW-F-094 ledgerGroups
11. MK-PL-F-055 projectNestEgg
12. MK-PL-F-049 retirementSpendMonthly
13. MK-PL-F-050 simulate
14. MK-CF-F-106 solveSafeDraw
… and 4 more — the full list is on functions_from_code</t>
        </is>
      </c>
      <c r="F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2026-09-30</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MK-PL-F-055 projectNestEgg
9. MK-XS-F-174 recomputeBalances
10. MK-PL-F-049 retirementSpendMonthly
11. MK-PL-F-050 simulate
12. MK-CF-F-106 solveSafeDraw
13. MK-XS-F-175 uid
14. MK-PL-F-065 volOf
… and 2 more — the full list is on functions_from_code</t>
        </is>
      </c>
      <c r="F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2026-09-30</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9 more — the full list is on functions_from_code</t>
        </is>
      </c>
      <c r="F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31" s="3" t="inlineStr">
        <is>
          <t>SWEPT FROM THE CODE 2026-08-26</t>
        </is>
      </c>
      <c r="H31" s="3" t="inlineStr">
        <is>
          <t>ACTIVE</t>
        </is>
      </c>
      <c r="I31" s="3" t="inlineStr">
        <is>
          <t>2026-09-28</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MK-ST-F-028 buildDayFromAccounts
2. MK-ST-F-035 covers
3. MK-ST-F-037 pendingUpload
4. MK-ST-F-029 prune
5. MK-XS-F-009 readHistory
6. MK-ST-F-073 rebuildDays
7. MK-XS-F-174 recomputeBalances
8. MK-ST-F-036 reconcile
9. MK-ST-F-030 record
10. MK-XS-F-005 trendPoints
11. MK-XS-F-175 uid
12. MK-ST-F-072 undo
13. MK-ST-F-032 unitsOn
14. MK-ST-F-031 valueOn</t>
        </is>
      </c>
      <c r="F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2026-09-25</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MK-NW-O-004 theEmergencyFund
9. MK-CF-F-019 upcomingBills
10. MK-CF-O-008 whatsComing</t>
        </is>
      </c>
      <c r="F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33" s="3" t="inlineStr">
        <is>
          <t>SWEPT FROM THE CODE 2026-08-26</t>
        </is>
      </c>
      <c r="H33" s="3" t="inlineStr">
        <is>
          <t>ACTIVE</t>
        </is>
      </c>
      <c r="I33" s="3" t="inlineStr">
        <is>
          <t>2026-09-28</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MK-NW-F-035 blendedVolatility
2. MK-CF-F-072 currentRetirementIncomeMonthly
3. MK-CF-F-076 guaranteedOutsideStreams
4. MK-CF-F-075 retirementIncomeMonthly
5. MK-PL-F-049 retirementSpendMonthly</t>
        </is>
      </c>
      <c r="F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G36" s="3" t="inlineStr">
        <is>
          <t>SWEPT FROM THE CODE 2026-08-26</t>
        </is>
      </c>
      <c r="H36" s="3" t="inlineStr">
        <is>
          <t>ACTIVE</t>
        </is>
      </c>
      <c r="I36" s="3" t="inlineStr">
        <is>
          <t>2026-09-09</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MK-CF-F-044 annualNet
2. MK-CF-F-059 annualizedEnteredSalary
3. MK-XS-F-004 buildDatedGrid
4. MK-CF-F-020 cashflowYear
5. MK-CF-F-186 convertTakeHomeMode
6. MK-CF-F-072 currentRetirementIncomeMonthly
7. MK-CF-F-046 employerMatchAnnual
8. MK-CF-F-180 enteredLandsAnnual
9. MK-CF-F-130 enteredMonthlyRaw
10. MK-CF-F-179 entryFromWage
11. MK-CF-F-071 extraIncome
12. MK-CF-F-076 guaranteedOutsideStreams
13. MK-CF-F-105 guaranteedRows
14. MK-CF-F-079 incomeFromOnboarding
… and 8 more — the full list is on functions_from_code</t>
        </is>
      </c>
      <c r="F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0" s="3" t="inlineStr">
        <is>
          <t>SWEPT FROM THE CODE 2026-08-26</t>
        </is>
      </c>
      <c r="H40" s="3" t="inlineStr">
        <is>
          <t>ACTIVE</t>
        </is>
      </c>
      <c r="I40" s="3" t="inlineStr">
        <is>
          <t>2026-10-01</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MK-CF-F-072 currentRetirementIncomeMonthly
2. MK-CF-F-105 guaranteedRows
3. MK-CF-O-016 incomeSources
4. MK-CF-F-019 upcomingBills</t>
        </is>
      </c>
      <c r="F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G41" s="3" t="inlineStr">
        <is>
          <t>SWEPT FROM THE CODE 2026-08-26</t>
        </is>
      </c>
      <c r="H41" s="3" t="inlineStr">
        <is>
          <t>ACTIVE</t>
        </is>
      </c>
      <c r="I41" s="3" t="inlineStr">
        <is>
          <t>2026-10-01</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MK-CF-O-010 theMonth</t>
        </is>
      </c>
      <c r="F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G43" s="3" t="inlineStr">
        <is>
          <t>SWEPT FROM THE CODE 2026-08-26</t>
        </is>
      </c>
      <c r="H43" s="3" t="inlineStr">
        <is>
          <t>ACTIVE</t>
        </is>
      </c>
      <c r="I43" s="3" t="inlineStr">
        <is>
          <t>2026-09-28</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MK-NW-F-041 monthlyContributionsFromOnboarding
9. MK-PL-F-044 planTarget
10. MK-PL-F-055 projectNestEgg
11. MK-CF-F-181 rateInForce
12. MK-PL-F-041 requiredAnnualSaving
13. MK-PL-F-035 retireAgeWithContribution
14. MK-PL-F-049 retirementSpendMonthly
… and 11 more — the full list is on functions_from_code</t>
        </is>
      </c>
      <c r="F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G44" s="3" t="inlineStr">
        <is>
          <t>SWEPT FROM THE CODE 2026-08-26</t>
        </is>
      </c>
      <c r="H44" s="3" t="inlineStr">
        <is>
          <t>ACTIVE</t>
        </is>
      </c>
      <c r="I44" s="3" t="inlineStr">
        <is>
          <t>2026-09-30</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MK-XS-F-174 recomputeBalances
3. MK-PL-F-049 retirementSpendMonthly
4. MK-PL-F-068 selectWillItLast
5. MK-XS-F-175 uid
6. MK-PL-F-065 volOf
7. MK-PL-F-067 willItLastInputs</t>
        </is>
      </c>
      <c r="F45" s="3" t="inlineStr">
        <is>
          <t>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2026-09-12</t>
        </is>
      </c>
      <c r="J45" s="3" t="inlineStr">
        <is>
          <t>reach generated from the code each build</t>
        </is>
      </c>
    </row>
    <row r="46" ht="45"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45"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45"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MK-NW-F-027 accountClassBreakdown
10. MK-ST-F-027 accountId
11. MK-NW-F-011 assetClassOf
12. MK-ST-F-028 buildDayFromAccounts
13. MK-NW-F-052 buildItemizedAccounts
14. MK-NW-F-084 categoryEarnings
… and 12 more — the full list is on functions_from_code</t>
        </is>
      </c>
      <c r="F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2026-09-30</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t>
        </is>
      </c>
      <c r="F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2026-09-27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MK-NW-F-032 earmarkedAmount</t>
        </is>
      </c>
      <c r="F51" s="3" t="inlineStr">
        <is>
          <t>MK-CF-M-022 · MK-NW-M-050 · MK-NW-M-051 · MK-NW-M-052 · MK-PL-M-001 · MK-PL-M-002 · MK-PL-M-008 · MK-PL-M-009 · MK-PL-M-011 · MK-PL-M-029 · MK-PL-M-034 · MK-XS-M-002</t>
        </is>
      </c>
      <c r="G51" s="3" t="inlineStr">
        <is>
          <t>SWEPT FROM THE CODE 2026-08-26</t>
        </is>
      </c>
      <c r="H51" s="3" t="inlineStr">
        <is>
          <t>ACTIVE</t>
        </is>
      </c>
      <c r="I51" s="3" t="inlineStr">
        <is>
          <t>2026-08-27</t>
        </is>
      </c>
      <c r="J51" s="3" t="inlineStr">
        <is>
          <t>reach generated from the code each build</t>
        </is>
      </c>
    </row>
    <row r="52" ht="45"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53" s="3" t="inlineStr">
        <is>
          <t>SWEPT FROM THE CODE 2026-08-26</t>
        </is>
      </c>
      <c r="H53" s="3" t="inlineStr">
        <is>
          <t>ACTIVE</t>
        </is>
      </c>
      <c r="I53" s="3" t="inlineStr">
        <is>
          <t>2026-09-30</t>
        </is>
      </c>
      <c r="J53" s="3" t="inlineStr">
        <is>
          <t>reach generated from the code each build</t>
        </is>
      </c>
    </row>
    <row r="54" ht="3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MK-PL-M-031</t>
        </is>
      </c>
      <c r="G54" s="3" t="inlineStr">
        <is>
          <t>SWEPT FROM THE CODE 2026-08-26</t>
        </is>
      </c>
      <c r="H54" s="3" t="inlineStr">
        <is>
          <t>ACTIVE</t>
        </is>
      </c>
      <c r="I54" s="3" t="inlineStr">
        <is>
          <t>2026-08-27</t>
        </is>
      </c>
      <c r="J54" s="3" t="inlineStr">
        <is>
          <t>reach generated from the code each build</t>
        </is>
      </c>
    </row>
    <row r="55" ht="3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MK-CF-F-201 INCOME
5. MK-NW-F-082 NW
6. MK-NW-F-101 PLAN
7. MK-CF-F-202 TAX
8. MK-NW-F-005 accountAllowsTicker
9. MK-NW-F-025 accountDisplayName
10. MK-CF-F-005 actualMonthFlow
11. MK-CF-F-138 addLot
12. MK-PF-F-017 allocation
13. MK-NW-F-002 alternativesSummary
14. MK-NW-F-011 assetClassOf
… and 49 more — the full list is on functions_from_code</t>
        </is>
      </c>
      <c r="F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2026-10-01</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MK-XS-F-102 ingestSync
2. MK-XS-F-175 uid</t>
        </is>
      </c>
      <c r="F57" s="3" t="inlineStr">
        <is>
          <t>MK-MN-M-016 · MK-NW-M-001 · MK-NW-M-002 · MK-NW-M-003 · MK-NW-M-004 · MK-NW-M-005 · MK-NW-M-006 · MK-NW-M-007 · MK-NW-M-008 · MK-NW-M-009 · MK-NW-M-011 · MK-NW-M-015 · MK-NW-M-016 · MK-NW-M-017 · MK-NW-M-049 · MK-NW-M-063 · MK-XS-M-001 · MK-XS-M-003</t>
        </is>
      </c>
      <c r="G57" s="3" t="inlineStr">
        <is>
          <t>SWEPT FROM THE CODE 2026-08-26</t>
        </is>
      </c>
      <c r="H57" s="3" t="inlineStr">
        <is>
          <t>ACTIVE</t>
        </is>
      </c>
      <c r="I57" s="3" t="inlineStr">
        <is>
          <t>2026-09-13</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MK-XS-F-004 buildDatedGrid
2. MK-CF-F-020 cashflowYear
3. MK-CF-F-079 incomeFromOnboarding
4. MK-CF-F-092 incomeMonthlyGrid
5. MK-CF-O-016 incomeSources
6. MK-CF-F-088 taxableByCalendarMonth</t>
        </is>
      </c>
      <c r="F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G60" s="3" t="inlineStr">
        <is>
          <t>SWEPT FROM THE CODE 2026-08-26</t>
        </is>
      </c>
      <c r="H60" s="3" t="inlineStr">
        <is>
          <t>ACTIVE</t>
        </is>
      </c>
      <c r="I60" s="3" t="inlineStr">
        <is>
          <t>2026-10-01</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MK-PF-F-031 contractMultiplier
2. MK-PF-F-002 costBasis
3. MK-XS-F-106 mapOptionHolding
4. MK-PF-F-004 marketValue</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2026-09-11</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MK-CF-F-205 COMING
5. MK-NW-F-079 EF
6. MK-NW-F-080 HOLD
7. MK-CF-F-201 INCOME
8. MK-NW-F-081 LB
9. MK-CF-F-200 LINE
10. MK-NW-F-078 ONE
11. MK-CF-O-013 PAY_LANDS_TYPED
12. MK-NW-F-101 PLAN
13. MK-CF-F-199 ROOM
14. MK-CF-F-202 TAX
… and 14 more — the full list is on functions_from_code</t>
        </is>
      </c>
      <c r="F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2026-09-30</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MK-NW-F-059 currentYield
4. MK-NW-F-072 rowOf</t>
        </is>
      </c>
      <c r="F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2026-09-27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50"/>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t>
        </is>
      </c>
      <c r="B21" s="3" t="inlineStr">
        <is>
          <t>Menu</t>
        </is>
      </c>
      <c r="C21" s="3" t="inlineStr">
        <is>
          <t>Yes</t>
        </is>
      </c>
      <c r="D21" s="3" t="inlineStr"/>
    </row>
    <row r="22" ht="15" customHeight="1">
      <c r="A22" s="3" t="inlineStr">
        <is>
          <t>/income-detail</t>
        </is>
      </c>
      <c r="B22" s="3" t="inlineStr">
        <is>
          <t>Menu</t>
        </is>
      </c>
      <c r="C22" s="3" t="inlineStr">
        <is>
          <t>Yes</t>
        </is>
      </c>
      <c r="D22" s="3" t="inlineStr"/>
    </row>
    <row r="23" ht="15" customHeight="1">
      <c r="A23" s="3" t="inlineStr">
        <is>
          <t>/income-manager</t>
        </is>
      </c>
      <c r="B23" s="3" t="inlineStr">
        <is>
          <t>Cashflow · Home</t>
        </is>
      </c>
      <c r="C23" s="3" t="inlineStr">
        <is>
          <t>Yes</t>
        </is>
      </c>
      <c r="D23" s="3" t="inlineStr"/>
    </row>
    <row r="24" ht="15" customHeight="1">
      <c r="A24" s="3" t="inlineStr">
        <is>
          <t>/insights</t>
        </is>
      </c>
      <c r="B24" s="3" t="inlineStr">
        <is>
          <t>Menu</t>
        </is>
      </c>
      <c r="C24" s="3" t="inlineStr">
        <is>
          <t>Yes — what needs you today</t>
        </is>
      </c>
      <c r="D24" s="3" t="inlineStr"/>
    </row>
    <row r="25" ht="15" customHeight="1">
      <c r="A25" s="3" t="inlineStr">
        <is>
          <t>/insurance</t>
        </is>
      </c>
      <c r="B25" s="3" t="inlineStr">
        <is>
          <t>Menu</t>
        </is>
      </c>
      <c r="C25" s="3" t="inlineStr">
        <is>
          <t>Borderline — matters at 55, less at 70</t>
        </is>
      </c>
      <c r="D25" s="3" t="inlineStr"/>
    </row>
    <row r="26" ht="15" customHeight="1">
      <c r="A26" s="3" t="inlineStr">
        <is>
          <t>/invest</t>
        </is>
      </c>
      <c r="B26" s="3" t="inlineStr">
        <is>
          <t>Performance</t>
        </is>
      </c>
      <c r="C26" s="3" t="inlineStr">
        <is>
          <t>Yes — Performance</t>
        </is>
      </c>
      <c r="D26" s="3" t="inlineStr"/>
    </row>
    <row r="27" ht="30" customHeight="1">
      <c r="A27" s="3" t="inlineStr">
        <is>
          <t>/itemize</t>
        </is>
      </c>
      <c r="B27" s="3" t="inlineStr">
        <is>
          <t>Cashflow · Home · Networth · Performance · Plan</t>
        </is>
      </c>
      <c r="C27" s="3" t="inlineStr">
        <is>
          <t>Yes — splitting one lump into holdings</t>
        </is>
      </c>
      <c r="D27" s="3" t="inlineStr"/>
    </row>
    <row r="28" ht="15" customHeight="1">
      <c r="A28" s="3" t="inlineStr">
        <is>
          <t>/jobsafety</t>
        </is>
      </c>
      <c r="B28" s="3" t="inlineStr">
        <is>
          <t>Menu</t>
        </is>
      </c>
      <c r="C28" s="3" t="inlineStr">
        <is>
          <t>No — a working-age worry</t>
        </is>
      </c>
      <c r="D28" s="3" t="inlineStr"/>
    </row>
    <row r="29" ht="30" customHeight="1">
      <c r="A29" s="3" t="inlineStr">
        <is>
          <t>/look-back</t>
        </is>
      </c>
      <c r="B29" s="3" t="inlineStr">
        <is>
          <t>Cashflow · Home · Networth · Performance · Plan</t>
        </is>
      </c>
      <c r="C29" s="3" t="inlineStr">
        <is>
          <t>Borderline — interesting, not needed to trust a number</t>
        </is>
      </c>
      <c r="D29" s="3" t="inlineStr"/>
    </row>
    <row r="30" ht="15" customHeight="1">
      <c r="A30" s="3" t="inlineStr">
        <is>
          <t>/month-detail</t>
        </is>
      </c>
      <c r="B30" s="3" t="inlineStr">
        <is>
          <t>Cashflow · Home</t>
        </is>
      </c>
      <c r="C30" s="3" t="inlineStr">
        <is>
          <t>Yes</t>
        </is>
      </c>
      <c r="D30" s="3" t="inlineStr"/>
    </row>
    <row r="31" ht="15" customHeight="1">
      <c r="A31" s="3" t="inlineStr">
        <is>
          <t>/monthly-income</t>
        </is>
      </c>
      <c r="B31" s="3" t="inlineStr">
        <is>
          <t>Cashflow · Home · Plan</t>
        </is>
      </c>
      <c r="C31" s="3" t="inlineStr">
        <is>
          <t>Yes</t>
        </is>
      </c>
      <c r="D31" s="3" t="inlineStr"/>
    </row>
    <row r="32" ht="15" customHeight="1">
      <c r="A32" s="3" t="inlineStr">
        <is>
          <t>/multi-goal</t>
        </is>
      </c>
      <c r="B32" s="3" t="inlineStr">
        <is>
          <t>Plan</t>
        </is>
      </c>
      <c r="C32" s="3" t="inlineStr">
        <is>
          <t>Yes</t>
        </is>
      </c>
      <c r="D32" s="3" t="inlineStr"/>
    </row>
    <row r="33" ht="15" customHeight="1">
      <c r="A33" s="3" t="inlineStr">
        <is>
          <t>/onboarding</t>
        </is>
      </c>
      <c r="B33" s="3" t="inlineStr">
        <is>
          <t>Cashflow · Home</t>
        </is>
      </c>
      <c r="C33" s="3" t="inlineStr">
        <is>
          <t>Yes</t>
        </is>
      </c>
      <c r="D33" s="3" t="inlineStr"/>
    </row>
    <row r="34" ht="15" customHeight="1">
      <c r="A34" s="3" t="inlineStr">
        <is>
          <t>/other-investments</t>
        </is>
      </c>
      <c r="B34" s="3" t="inlineStr">
        <is>
          <t>Menu</t>
        </is>
      </c>
      <c r="C34" s="3" t="inlineStr">
        <is>
          <t>Yes — the things with no market price</t>
        </is>
      </c>
      <c r="D34" s="3" t="inlineStr"/>
    </row>
    <row r="35" ht="15" customHeight="1">
      <c r="A35" s="3" t="inlineStr">
        <is>
          <t>/paycheck-months</t>
        </is>
      </c>
      <c r="B35" s="3" t="inlineStr">
        <is>
          <t>Cashflow · Home · Plan</t>
        </is>
      </c>
      <c r="C35" s="3" t="inlineStr">
        <is>
          <t>Yes</t>
        </is>
      </c>
      <c r="D35" s="3" t="inlineStr"/>
    </row>
    <row r="36" ht="15" customHeight="1">
      <c r="A36" s="3" t="inlineStr">
        <is>
          <t>/performance</t>
        </is>
      </c>
      <c r="B36" s="3" t="inlineStr">
        <is>
          <t>Cashflow · Home · Plan</t>
        </is>
      </c>
      <c r="C36" s="3" t="inlineStr">
        <is>
          <t>Yes — a second route to Performance</t>
        </is>
      </c>
      <c r="D36" s="3" t="inlineStr"/>
    </row>
    <row r="37" ht="15" customHeight="1">
      <c r="A37" s="3" t="inlineStr">
        <is>
          <t>/plan</t>
        </is>
      </c>
      <c r="B37" s="3" t="inlineStr">
        <is>
          <t>Plan</t>
        </is>
      </c>
      <c r="C37" s="3" t="inlineStr">
        <is>
          <t>Yes — Plan</t>
        </is>
      </c>
      <c r="D37" s="3" t="inlineStr"/>
    </row>
    <row r="38" ht="15" customHeight="1">
      <c r="A38" s="3" t="inlineStr">
        <is>
          <t>/required-withdrawals</t>
        </is>
      </c>
      <c r="B38" s="3" t="inlineStr">
        <is>
          <t>Plan</t>
        </is>
      </c>
      <c r="C38" s="3" t="inlineStr">
        <is>
          <t>Yes — a 73+ obligation</t>
        </is>
      </c>
      <c r="D38" s="3" t="inlineStr"/>
    </row>
    <row r="39" ht="15" customHeight="1">
      <c r="A39" s="3" t="inlineStr">
        <is>
          <t>/retirement</t>
        </is>
      </c>
      <c r="B39" s="3" t="inlineStr">
        <is>
          <t>Cashflow · Home · Plan</t>
        </is>
      </c>
      <c r="C39" s="3" t="inlineStr">
        <is>
          <t>Yes — the cockpit</t>
        </is>
      </c>
      <c r="D39" s="3" t="inlineStr"/>
    </row>
    <row r="40" ht="15" customHeight="1">
      <c r="A40" s="3" t="inlineStr">
        <is>
          <t>/rewards</t>
        </is>
      </c>
      <c r="B40" s="3" t="inlineStr">
        <is>
          <t>Menu</t>
        </is>
      </c>
      <c r="C40" s="3" t="inlineStr">
        <is>
          <t>No — encouragement, not a number</t>
        </is>
      </c>
      <c r="D40" s="3" t="inlineStr"/>
    </row>
    <row r="41" ht="15" customHeight="1">
      <c r="A41" s="3" t="inlineStr">
        <is>
          <t>/roth</t>
        </is>
      </c>
      <c r="B41" s="3" t="inlineStr">
        <is>
          <t>Plan</t>
        </is>
      </c>
      <c r="C41" s="3" t="inlineStr">
        <is>
          <t>Yes — a 55-70 decision</t>
        </is>
      </c>
      <c r="D41" s="3" t="inlineStr"/>
    </row>
    <row r="42" ht="15" customHeight="1">
      <c r="A42" s="3" t="inlineStr">
        <is>
          <t>/settings</t>
        </is>
      </c>
      <c r="B42" s="3" t="inlineStr">
        <is>
          <t>Menu</t>
        </is>
      </c>
      <c r="C42" s="3" t="inlineStr">
        <is>
          <t>Yes — carries hide-balances and the lock</t>
        </is>
      </c>
      <c r="D42" s="3" t="inlineStr"/>
    </row>
    <row r="43" ht="15" customHeight="1">
      <c r="A43" s="3" t="inlineStr">
        <is>
          <t>/sharpen</t>
        </is>
      </c>
      <c r="B43" s="3" t="inlineStr">
        <is>
          <t>Plan</t>
        </is>
      </c>
      <c r="C43" s="3" t="inlineStr">
        <is>
          <t>Borderline — a way in, not a figure</t>
        </is>
      </c>
      <c r="D43" s="3" t="inlineStr"/>
    </row>
    <row r="44" ht="15" customHeight="1">
      <c r="A44" s="3" t="inlineStr">
        <is>
          <t>/ss-timing</t>
        </is>
      </c>
      <c r="B44" s="3" t="inlineStr">
        <is>
          <t>Plan</t>
        </is>
      </c>
      <c r="C44" s="3" t="inlineStr">
        <is>
          <t>Yes — a 55-70 decision</t>
        </is>
      </c>
      <c r="D44" s="3" t="inlineStr"/>
    </row>
    <row r="45" ht="15" customHeight="1">
      <c r="A45" s="3" t="inlineStr">
        <is>
          <t>/stress-test</t>
        </is>
      </c>
      <c r="B45" s="3" t="inlineStr">
        <is>
          <t>Menu</t>
        </is>
      </c>
      <c r="C45" s="3" t="inlineStr">
        <is>
          <t>Borderline</t>
        </is>
      </c>
      <c r="D45" s="3" t="inlineStr"/>
    </row>
    <row r="46" ht="15" customHeight="1">
      <c r="A46" s="3" t="inlineStr">
        <is>
          <t>/tax-organizer</t>
        </is>
      </c>
      <c r="B46" s="3" t="inlineStr">
        <is>
          <t>Menu</t>
        </is>
      </c>
      <c r="C46" s="3" t="inlineStr">
        <is>
          <t>Yes</t>
        </is>
      </c>
      <c r="D46" s="3" t="inlineStr"/>
    </row>
    <row r="47" ht="15" customHeight="1">
      <c r="A47" s="3" t="inlineStr">
        <is>
          <t>/tips</t>
        </is>
      </c>
      <c r="B47" s="3" t="inlineStr">
        <is>
          <t>Menu</t>
        </is>
      </c>
      <c r="C47" s="3" t="inlineStr">
        <is>
          <t>No — encouragement, not a number</t>
        </is>
      </c>
      <c r="D47" s="3" t="inlineStr"/>
    </row>
    <row r="48" ht="15" customHeight="1">
      <c r="A48" s="3" t="inlineStr">
        <is>
          <t>/what-if</t>
        </is>
      </c>
      <c r="B48" s="3" t="inlineStr">
        <is>
          <t>Menu</t>
        </is>
      </c>
      <c r="C48" s="3" t="inlineStr">
        <is>
          <t>Yes</t>
        </is>
      </c>
      <c r="D48" s="3" t="inlineStr"/>
    </row>
    <row r="49" ht="15" customHeight="1">
      <c r="A49" s="3" t="inlineStr">
        <is>
          <t>/will-it-last</t>
        </is>
      </c>
      <c r="B49" s="3" t="inlineStr">
        <is>
          <t>Plan</t>
        </is>
      </c>
      <c r="C49" s="3" t="inlineStr">
        <is>
          <t>Yes — the question the whole plan answers</t>
        </is>
      </c>
      <c r="D49" s="3" t="inlineStr"/>
    </row>
    <row r="50" ht="15" customHeight="1">
      <c r="A50" s="3" t="inlineStr">
        <is>
          <t>/worth-a-look</t>
        </is>
      </c>
      <c r="B50" s="3" t="inlineStr">
        <is>
          <t>Menu</t>
        </is>
      </c>
      <c r="C50" s="3" t="inlineStr">
        <is>
          <t>Borderline</t>
        </is>
      </c>
      <c r="D50" s="3" t="inlineStr"/>
    </row>
  </sheetData>
  <autoFilter ref="A1:D50"/>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MK-CF-M-022 · MK-NW-M-051 · MK-NW-M-052 · MK-NW-M-053 · MK-NW-M-054 · MK-NW-M-055 · MK-NW-M-056 · MK-NW-M-057 · MK-NW-M-058 · MK-NW-M-059 · MK-NW-M-061 · MK-NW-M-063 · MK-PL-M-016 · MK-PL-M-026 · MK-PL-M-033</t>
        </is>
      </c>
      <c r="D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MK-CF-M-012, MK-CF-M-013, MK-CF-M-014, MK-CF-M-015, MK-CF-M-016, MK-CF-M-017, MK-CF-M-018, MK-CF-M-019,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t>
        </is>
      </c>
      <c r="D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REACHED BUT NOT DECLARED — functions reading this input serve these figures, but no figure lists it among its inputs.</t>
        </is>
      </c>
    </row>
    <row r="4" ht="60" customHeight="1">
      <c r="A4" s="3" t="inlineStr">
        <is>
          <t>MK-XS-I-003</t>
        </is>
      </c>
      <c r="B4" s="3" t="inlineStr">
        <is>
          <t>institution name</t>
        </is>
      </c>
      <c r="C4" s="3" t="inlineStr">
        <is>
          <t>MK-NW-M-008</t>
        </is>
      </c>
      <c r="D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MK-NW-M-040</t>
        </is>
      </c>
      <c r="D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MK-CF-M-011 · MK-CF-M-024 · 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MK-PF-M-002 · MK-PF-M-003 · MK-PF-M-005 · MK-PF-M-006 · MK-PF-M-007 · MK-PF-M-008 · MK-PF-M-013 · MK-PF-M-014 · MK-PF-M-015 · MK-PF-M-016 · MK-PF-M-017 · MK-PF-M-018 · MK-PF-M-019 · MK-PF-M-020 · MK-XS-M-001 · MK-XS-M-003 · MK-XS-M-004</t>
        </is>
      </c>
      <c r="E9" s="3" t="inlineStr">
        <is>
          <t>PARTLY AGREES — declared but not reached: MK-CF-M-011, MK-CF-M-024, MK-PL-M-017, MK-PL-M-018, MK-PL-M-019, MK-PL-M-032  |  reached but not declared: MK-MN-M-016, MK-NW-M-001, MK-NW-M-002, MK-NW-M-003, MK-NW-M-004, MK-NW-M-005, MK-NW-M-006, MK-NW-M-007, MK-NW-M-008, MK-NW-M-009, MK-NW-M-011, MK-NW-M-015, MK-NW-M-016, MK-NW-M-017, MK-NW-M-019, MK-NW-M-020, MK-NW-M-021, MK-NW-M-038, MK-NW-M-039, MK-NW-M-040, MK-NW-M-049, MK-NW-M-062, MK-NW-M-063, MK-PF-M-002, MK-PF-M-003, MK-PF-M-005, MK-PF-M-006, MK-PF-M-007, MK-PF-M-008, MK-PF-M-013, MK-PF-M-014, MK-PF-M-015, MK-PF-M-016, MK-PF-M-017, MK-PF-M-018, MK-PF-M-019, MK-PF-M-020, MK-XS-M-001, MK-XS-M-003, MK-XS-M-004</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MK-NW-M-016</t>
        </is>
      </c>
      <c r="D1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5"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MK-NW-M-017, MK-NW-M-046, MK-NW-M-047, MK-NW-M-048, MK-NW-M-049, MK-NW-M-063, MK-PL-M-031, MK-XS-M-001, MK-XS-M-003, MK-XS-M-005, MK-XS-M-006</t>
        </is>
      </c>
    </row>
    <row r="16" ht="60" customHeight="1">
      <c r="A16" s="3" t="inlineStr">
        <is>
          <t>MK-XS-I-015</t>
        </is>
      </c>
      <c r="B16" s="3" t="inlineStr">
        <is>
          <t>debt interest rate</t>
        </is>
      </c>
      <c r="C16" s="3" t="inlineStr">
        <is>
          <t>—</t>
        </is>
      </c>
      <c r="D1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MK-PL-M-031 · MK-XS-M-001 · MK-XS-M-003 · MK-XS-M-005 · MK-XS-M-006</t>
        </is>
      </c>
      <c r="E16" s="3" t="inlineStr">
        <is>
          <t>REACHED BUT NOT DECLARED — functions reading this input serve these figures, but no figure lists it among its inputs.</t>
        </is>
      </c>
    </row>
    <row r="17" ht="60" customHeight="1">
      <c r="A17" s="3" t="inlineStr">
        <is>
          <t>MK-XS-I-016</t>
        </is>
      </c>
      <c r="B17" s="3" t="inlineStr">
        <is>
          <t>debt minimum payment</t>
        </is>
      </c>
      <c r="C17" s="3" t="inlineStr">
        <is>
          <t>MK-CF-M-019</t>
        </is>
      </c>
      <c r="D17"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17"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18" ht="60" customHeight="1">
      <c r="A18" s="3" t="inlineStr">
        <is>
          <t>MK-XS-I-017</t>
        </is>
      </c>
      <c r="B18" s="3" t="inlineStr">
        <is>
          <t>birth year</t>
        </is>
      </c>
      <c r="C18" s="3" t="inlineStr">
        <is>
          <t>MK-PL-M-001 · MK-PL-M-002 · MK-PL-M-008 · MK-PL-M-011 · MK-PL-M-017 · MK-PL-M-019 · MK-PL-M-029</t>
        </is>
      </c>
      <c r="D18"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MK-PL-M-001 · MK-PL-M-002 · MK-PL-M-008 · MK-PL-M-011 · MK-PL-M-017 · MK-PL-M-019 · MK-PL-M-026 · MK-PL-M-029 · MK-PL-M-033 · MK-PL-M-034 · MK-XS-M-001 · MK-XS-M-002 · MK-XS-M-003 · MK-XS-M-005 · MK-XS-M-006</t>
        </is>
      </c>
      <c r="E18"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MK-PL-M-026, MK-PL-M-033, MK-PL-M-034, MK-XS-M-001, MK-XS-M-002, MK-XS-M-003, MK-XS-M-005, MK-XS-M-006</t>
        </is>
      </c>
    </row>
    <row r="19" ht="60" customHeight="1">
      <c r="A19" s="3" t="inlineStr">
        <is>
          <t>MK-XS-I-018</t>
        </is>
      </c>
      <c r="B19" s="3" t="inlineStr">
        <is>
          <t>retirement age</t>
        </is>
      </c>
      <c r="C19" s="3" t="inlineStr">
        <is>
          <t>MK-PL-M-017 · MK-PL-M-019</t>
        </is>
      </c>
      <c r="D19"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MK-CF-M-022,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MK-CF-M-023 · MK-PF-M-007 · MK-PL-M-017 · MK-PL-M-019 · MK-XS-M-004</t>
        </is>
      </c>
      <c r="D21"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MK-PL-M-017 · MK-PL-M-018 · MK-PL-M-019 · MK-PL-M-029 · MK-PL-M-032 · MK-PL-M-034 · MK-XS-M-001 · MK-XS-M-002 · MK-XS-M-003 · MK-XS-M-005 · MK-XS-M-006</t>
        </is>
      </c>
      <c r="E21" s="3" t="inlineStr">
        <is>
          <t>PARTLY AGREES — declared but not reached: MK-PF-M-007, MK-XS-M-004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MK-CF-M-023</t>
        </is>
      </c>
      <c r="D23"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23"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24" ht="60" customHeight="1">
      <c r="A24" s="3" t="inlineStr">
        <is>
          <t>MK-XS-I-023</t>
        </is>
      </c>
      <c r="B24" s="3" t="inlineStr">
        <is>
          <t>salary and other income</t>
        </is>
      </c>
      <c r="C24" s="3" t="inlineStr">
        <is>
          <t>MK-CF-M-002 · MK-CF-M-004 · MK-CF-M-010 · MK-CF-M-026 · MK-MN-M-003 · MK-MN-M-004 · MK-MN-M-005 · MK-MN-M-027 · MK-MN-M-028 · MK-MN-M-029</t>
        </is>
      </c>
      <c r="D2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24" s="3" t="inlineStr">
        <is>
          <t>PARTLY AGREES — declared but not reached: MK-CF-M-004, MK-CF-M-010, MK-MN-M-003, MK-MN-M-004, MK-MN-M-005, MK-MN-M-029  |  reached but not declared: MK-CF-M-001, MK-CF-M-003, MK-CF-M-006, MK-CF-M-007, MK-CF-M-008, MK-CF-M-012, MK-CF-M-013, MK-CF-M-014, MK-CF-M-015, MK-CF-M-016, MK-CF-M-017, MK-CF-M-018, MK-CF-M-019, MK-CF-M-022,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MK-MN-M-014, MK-MN-M-016, MK-MN-M-024, MK-MN-M-025, MK-MN-M-030, MK-NW-M-001, MK-NW-M-002, MK-NW-M-003, MK-NW-M-004, MK-NW-M-005, MK-NW-M-006, MK-NW-M-007, MK-NW-M-008, MK-NW-M-009, MK-NW-M-011, MK-NW-M-012, MK-NW-M-015, MK-NW-M-016, MK-NW-M-017, MK-NW-M-046, MK-NW-M-047, MK-NW-M-048, MK-NW-M-049, MK-NW-M-063, MK-PL-M-008, MK-PL-M-011, MK-PL-M-029, MK-PL-M-034, MK-XS-M-001, MK-XS-M-002, MK-XS-M-003, MK-XS-M-005, MK-XS-M-006</t>
        </is>
      </c>
    </row>
    <row r="25" ht="60" customHeight="1">
      <c r="A25" s="3" t="inlineStr">
        <is>
          <t>MK-XS-I-024</t>
        </is>
      </c>
      <c r="B25" s="3" t="inlineStr">
        <is>
          <t>logged expenses</t>
        </is>
      </c>
      <c r="C25" s="3" t="inlineStr">
        <is>
          <t>MK-CF-M-015 · MK-CF-M-032 · MK-CF-M-033 · MK-CF-M-043 · MK-CF-M-044 · MK-MN-M-007 · MK-PL-M-001 · MK-PL-M-002 · MK-PL-M-008 · MK-PL-M-009 · MK-PL-M-011 · MK-PL-M-029</t>
        </is>
      </c>
      <c r="D25"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MK-CF-M-010, MK-CF-M-012, MK-CF-M-013, MK-CF-M-014, MK-CF-M-016, MK-CF-M-017, MK-CF-M-018, MK-CF-M-019, MK-CF-M-022, MK-CF-M-026, MK-CF-M-027, MK-CF-M-028, MK-CF-M-029, MK-CF-M-030, MK-CF-M-031, MK-CF-M-034, MK-CF-M-035, MK-CF-M-036, MK-CF-M-037, MK-CF-M-038, MK-CF-M-039, MK-CF-M-040, MK-CF-M-041, MK-CF-M-042, MK-CF-M-045, MK-CF-M-046, MK-CF-M-047, MK-CF-M-048, MK-CF-M-049, MK-CF-M-050, MK-CF-M-051, MK-CF-M-052, MK-CF-M-053, MK-CF-M-054,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MK-PF-M-002, MK-PF-M-003, MK-PF-M-005, MK-PF-M-006, MK-PF-M-007, MK-PF-M-008, MK-PF-M-013, MK-PF-M-014, MK-PF-M-015, MK-PF-M-016, MK-PF-M-017, MK-PF-M-018, MK-PF-M-019, MK-PF-M-020, MK-PL-M-026, MK-PL-M-033, MK-PL-M-034, MK-XS-M-001, MK-XS-M-002, MK-XS-M-003, MK-XS-M-004, MK-XS-M-005, MK-XS-M-006</t>
        </is>
      </c>
    </row>
    <row r="26" ht="45" customHeight="1">
      <c r="A26" s="3" t="inlineStr">
        <is>
          <t>MK-XS-I-025</t>
        </is>
      </c>
      <c r="B26" s="3" t="inlineStr">
        <is>
          <t>typical monthly essentials</t>
        </is>
      </c>
      <c r="C26" s="3" t="inlineStr">
        <is>
          <t>MK-CF-M-033</t>
        </is>
      </c>
      <c r="D26" s="3" t="inlineStr">
        <is>
          <t>MK-MN-M-024 · MK-MN-M-025 · MK-NW-M-046 · MK-NW-M-047 · MK-NW-M-048</t>
        </is>
      </c>
      <c r="E26" s="3" t="inlineStr">
        <is>
          <t>PARTLY AGREES — declared but not reached: MK-CF-M-033  |  reached but not declared: MK-MN-M-024, MK-MN-M-025, MK-NW-M-046, MK-NW-M-047, MK-NW-M-048</t>
        </is>
      </c>
    </row>
    <row r="27" ht="60" customHeight="1">
      <c r="A27" s="3" t="inlineStr">
        <is>
          <t>MK-XS-I-026</t>
        </is>
      </c>
      <c r="B27" s="3" t="inlineStr">
        <is>
          <t>big costs (amount and year)</t>
        </is>
      </c>
      <c r="C27" s="3" t="inlineStr">
        <is>
          <t>—</t>
        </is>
      </c>
      <c r="D27" s="3" t="inlineStr">
        <is>
          <t>MK-CF-M-022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t>
        </is>
      </c>
      <c r="D28"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28" s="3" t="inlineStr">
        <is>
          <t>REACHED BUT NOT DECLARED — functions reading this input serve these figures, but no figure lists it among its inputs.</t>
        </is>
      </c>
    </row>
    <row r="29" ht="60" customHeight="1">
      <c r="A29" s="3" t="inlineStr">
        <is>
          <t>MK-XS-I-028</t>
        </is>
      </c>
      <c r="B29" s="3" t="inlineStr">
        <is>
          <t>assumed return</t>
        </is>
      </c>
      <c r="C29" s="3" t="inlineStr">
        <is>
          <t>—</t>
        </is>
      </c>
      <c r="D2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REACHED BUT NOT DECLARED — functions reading this input serve these figures, but no figure lists it among its inputs.</t>
        </is>
      </c>
    </row>
    <row r="30" ht="60" customHeight="1">
      <c r="A30" s="3" t="inlineStr">
        <is>
          <t>MK-XS-I-029</t>
        </is>
      </c>
      <c r="B30" s="3" t="inlineStr">
        <is>
          <t>inflation rate</t>
        </is>
      </c>
      <c r="C30" s="3" t="inlineStr">
        <is>
          <t>—</t>
        </is>
      </c>
      <c r="D30" s="3" t="inlineStr">
        <is>
          <t>MK-CF-M-022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MK-CF-M-015 · MK-MN-M-003 · MK-MN-M-007 · MK-MN-M-028</t>
        </is>
      </c>
      <c r="D3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31" s="3" t="inlineStr">
        <is>
          <t>PARTLY AGREES — declared but not reached: MK-MN-M-003  |  reached but not declared: MK-CF-M-001, MK-CF-M-002, MK-CF-M-003, MK-CF-M-006, MK-CF-M-007, MK-CF-M-008, MK-CF-M-012, MK-CF-M-013, MK-CF-M-014,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MK-MN-M-011, MK-MN-M-012, MK-MN-M-013, MK-MN-M-016, MK-MN-M-024, MK-MN-M-025, MK-MN-M-027, MK-MN-M-030, MK-NW-M-001, MK-NW-M-002, MK-NW-M-003, MK-NW-M-004, MK-NW-M-005, MK-NW-M-006, MK-NW-M-007, MK-NW-M-008, MK-NW-M-009, MK-NW-M-011, MK-NW-M-012, MK-NW-M-015, MK-NW-M-016, MK-NW-M-017, MK-NW-M-046, MK-NW-M-047, MK-NW-M-048, MK-NW-M-049, MK-NW-M-063, MK-PL-M-008, MK-PL-M-011, MK-PL-M-029, MK-PL-M-034, MK-XS-M-001, MK-XS-M-002, MK-XS-M-003,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MK-NW-M-002, MK-NW-M-004, MK-NW-M-005, MK-NW-M-006, MK-NW-M-007, MK-NW-M-008, MK-NW-M-009, MK-NW-M-011, MK-NW-M-012, MK-NW-M-015, MK-NW-M-016, MK-NW-M-017, MK-NW-M-046, MK-NW-M-047, MK-NW-M-048, MK-NW-M-049, MK-NW-M-063,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MK-CF-M-013 · MK-CF-M-014 · MK-CF-M-015 · MK-CF-M-019 · MK-MN-M-007</t>
        </is>
      </c>
      <c r="D3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33" s="3" t="inlineStr">
        <is>
          <t>PARTLY AGREES — reached but not declared: MK-CF-M-001, MK-CF-M-002, MK-CF-M-003, MK-CF-M-006, MK-CF-M-007, MK-CF-M-008, MK-CF-M-012, MK-CF-M-016, MK-CF-M-017, MK-CF-M-018, MK-CF-M-022, MK-CF-M-026, MK-CF-M-027, MK-CF-M-028, MK-CF-M-030, MK-CF-M-031, MK-CF-M-032, MK-CF-M-033, MK-CF-M-034, MK-CF-M-035, MK-CF-M-036, MK-CF-M-037, MK-CF-M-038, MK-CF-M-039, MK-CF-M-040, MK-CF-M-041, MK-CF-M-042, MK-CF-M-043, MK-CF-M-044, MK-CF-M-045, MK-CF-M-046, MK-CF-M-047, MK-CF-M-048, MK-CF-M-049, MK-CF-M-050, MK-CF-M-051, MK-CF-M-052, MK-CF-M-053, MK-CF-M-054, MK-MN-M-006, MK-MN-M-010, MK-MN-M-011, MK-MN-M-012, MK-MN-M-013, MK-MN-M-016, MK-MN-M-024, MK-MN-M-025, MK-MN-M-030, MK-NW-M-001, MK-NW-M-002, MK-NW-M-003, MK-NW-M-004, MK-NW-M-005, MK-NW-M-006, MK-NW-M-007, MK-NW-M-008, MK-NW-M-009, MK-NW-M-011, MK-NW-M-012, MK-NW-M-015, MK-NW-M-016, MK-NW-M-017, MK-NW-M-046, MK-NW-M-047, MK-NW-M-048, MK-NW-M-049, MK-NW-M-063, MK-XS-M-001, MK-XS-M-003,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MK-PL-M-008 · MK-PL-M-011 · MK-PL-M-029 · MK-PL-M-034 · MK-XS-M-001 · MK-XS-M-002 · MK-XS-M-003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MK-CF-M-023</t>
        </is>
      </c>
      <c r="D3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MK-PL-M-029 · MK-PL-M-032 · MK-PL-M-034 · MK-XS-M-001 · MK-XS-M-002 · MK-XS-M-003 · MK-XS-M-005 · MK-XS-M-006</t>
        </is>
      </c>
      <c r="E36"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MK-PL-M-029, MK-PL-M-032, MK-PL-M-034, MK-XS-M-001, MK-XS-M-002, MK-XS-M-003, MK-XS-M-005, MK-XS-M-006</t>
        </is>
      </c>
    </row>
    <row r="37" ht="60" customHeight="1">
      <c r="A37" s="3" t="inlineStr">
        <is>
          <t>MK-XS-I-036</t>
        </is>
      </c>
      <c r="B37" s="3" t="inlineStr">
        <is>
          <t>other guaranteed income</t>
        </is>
      </c>
      <c r="C37" s="3" t="inlineStr">
        <is>
          <t>MK-CF-M-023</t>
        </is>
      </c>
      <c r="D37"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MK-PL-M-018 · MK-PL-M-026 · MK-PL-M-029 · MK-PL-M-032 · MK-PL-M-033 · MK-PL-M-034 · MK-XS-M-001 · MK-XS-M-002 · MK-XS-M-003 · MK-XS-M-005 · MK-XS-M-006</t>
        </is>
      </c>
      <c r="E37"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MK-PL-M-018, MK-PL-M-026, MK-PL-M-029, MK-PL-M-032, MK-PL-M-033, MK-PL-M-034, MK-XS-M-001, MK-XS-M-002, MK-XS-M-003, MK-XS-M-005, MK-XS-M-006</t>
        </is>
      </c>
    </row>
    <row r="38" ht="60" customHeight="1">
      <c r="A38" s="3" t="inlineStr">
        <is>
          <t>MK-XS-I-037</t>
        </is>
      </c>
      <c r="B38" s="3" t="inlineStr">
        <is>
          <t>required-withdrawal income stream (ri_rmd)</t>
        </is>
      </c>
      <c r="C38" s="3" t="inlineStr">
        <is>
          <t>MK-CF-M-023</t>
        </is>
      </c>
      <c r="D38"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8"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39" ht="60" customHeight="1">
      <c r="A39" s="3" t="inlineStr">
        <is>
          <t>MK-XS-I-038</t>
        </is>
      </c>
      <c r="B39" s="3" t="inlineStr">
        <is>
          <t>withdrawal income stream (ri_withdrawals)</t>
        </is>
      </c>
      <c r="C39" s="3" t="inlineStr">
        <is>
          <t>MK-CF-M-023</t>
        </is>
      </c>
      <c r="D39"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39" s="3" t="inlineStr">
        <is>
          <t>PARTLY AGREES — declared but not reached: MK-CF-M-023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0" ht="60" customHeight="1">
      <c r="A40" s="3" t="inlineStr">
        <is>
          <t>MK-XS-I-039</t>
        </is>
      </c>
      <c r="B40" s="3" t="inlineStr">
        <is>
          <t>how often each income arrives</t>
        </is>
      </c>
      <c r="C40" s="3" t="inlineStr">
        <is>
          <t>MK-CF-M-023</t>
        </is>
      </c>
      <c r="D40"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0" s="3" t="inlineStr">
        <is>
          <t>PARTLY AGREES — reached but not declared: MK-CF-M-001, MK-CF-M-002, MK-CF-M-003, MK-CF-M-006, MK-CF-M-007, MK-CF-M-008, MK-CF-M-011, MK-CF-M-012, MK-CF-M-013, MK-CF-M-014, MK-CF-M-015, MK-CF-M-016, MK-CF-M-017, MK-CF-M-018, MK-CF-M-019, MK-CF-M-022, MK-CF-M-024,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MK-PL-M-018, MK-PL-M-029, MK-PL-M-032, MK-PL-M-034, MK-XS-M-001, MK-XS-M-002, MK-XS-M-003, MK-XS-M-005, MK-XS-M-006</t>
        </is>
      </c>
    </row>
    <row r="41" ht="60" customHeight="1">
      <c r="A41" s="3" t="inlineStr">
        <is>
          <t>MK-XS-I-040</t>
        </is>
      </c>
      <c r="B41" s="3" t="inlineStr">
        <is>
          <t>whether a stream is already being received</t>
        </is>
      </c>
      <c r="C41" s="3" t="inlineStr">
        <is>
          <t>MK-CF-M-011 · MK-CF-M-024 · MK-PL-M-018 · MK-PL-M-032</t>
        </is>
      </c>
      <c r="D41" s="3" t="inlineStr">
        <is>
          <t>MK-CF-M-001 · MK-CF-M-002 · MK-CF-M-003 · MK-CF-M-006 · MK-CF-M-007 · MK-CF-M-008 · MK-CF-M-011 · MK-CF-M-012 · MK-CF-M-013 · MK-CF-M-014 · MK-CF-M-015 · MK-CF-M-016 · MK-CF-M-017 · MK-CF-M-018 · MK-CF-M-019 · MK-CF-M-022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MK-PL-M-018 · MK-PL-M-029 · MK-PL-M-032 · MK-PL-M-034 · MK-XS-M-001 · MK-XS-M-002 · MK-XS-M-003 · MK-XS-M-005 · MK-XS-M-006</t>
        </is>
      </c>
      <c r="E41"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MK-PL-M-011, MK-PL-M-029, MK-PL-M-034, MK-XS-M-001, MK-XS-M-002, MK-XS-M-003, MK-XS-M-005, MK-XS-M-006</t>
        </is>
      </c>
    </row>
    <row r="42" ht="60" customHeight="1">
      <c r="A42" s="3" t="inlineStr">
        <is>
          <t>MK-XS-I-041</t>
        </is>
      </c>
      <c r="B42" s="3" t="inlineStr">
        <is>
          <t>the payment the person chose to make on a debt</t>
        </is>
      </c>
      <c r="C42" s="3" t="inlineStr">
        <is>
          <t>MK-CF-M-019</t>
        </is>
      </c>
      <c r="D42"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MK-PL-M-033 · MK-PL-M-034 · MK-XS-M-001 · MK-XS-M-002 · MK-XS-M-003 · MK-XS-M-005 · MK-XS-M-006</t>
        </is>
      </c>
      <c r="E42"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MK-PL-M-033, MK-PL-M-034, MK-XS-M-001, MK-XS-M-002, MK-XS-M-003, MK-XS-M-005, MK-XS-M-006</t>
        </is>
      </c>
    </row>
    <row r="43" ht="60" customHeight="1">
      <c r="A43" s="3" t="inlineStr">
        <is>
          <t>MK-XS-I-042</t>
        </is>
      </c>
      <c r="B43" s="3" t="inlineStr">
        <is>
          <t>how a stream is paid — monthly, yearly or one lump</t>
        </is>
      </c>
      <c r="C43" s="3" t="inlineStr">
        <is>
          <t>MK-CF-M-019</t>
        </is>
      </c>
      <c r="D43" s="3" t="inlineStr">
        <is>
          <t>MK-CF-M-001 · MK-CF-M-002 · MK-CF-M-003 · MK-CF-M-006 · MK-CF-M-007 · MK-CF-M-008 · MK-CF-M-010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MK-PL-M-008 · MK-PL-M-009 · MK-PL-M-011 · MK-PL-M-026 · MK-PL-M-029 · MK-PL-M-031 · MK-PL-M-033 · MK-PL-M-034 · MK-XS-M-001 · MK-XS-M-002 · MK-XS-M-003 · MK-XS-M-005 · MK-XS-M-006</t>
        </is>
      </c>
      <c r="E43" s="3" t="inlineStr">
        <is>
          <t>PARTLY AGREES — reached but not declared: MK-CF-M-001, MK-CF-M-002, MK-CF-M-003, MK-CF-M-006, MK-CF-M-007, MK-CF-M-008, MK-CF-M-010, MK-CF-M-012, MK-CF-M-013, MK-CF-M-014, MK-CF-M-015, MK-CF-M-016, MK-CF-M-017, MK-CF-M-018,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MK-PL-M-008, MK-PL-M-009, MK-PL-M-011, MK-PL-M-026, MK-PL-M-029, MK-PL-M-031, MK-PL-M-033, MK-PL-M-034, MK-XS-M-001, MK-XS-M-002, MK-XS-M-003, MK-XS-M-005, MK-XS-M-006</t>
        </is>
      </c>
    </row>
    <row r="44" ht="60" customHeight="1">
      <c r="A44" s="3" t="inlineStr">
        <is>
          <t>MK-XS-I-043</t>
        </is>
      </c>
      <c r="B44" s="3" t="inlineStr">
        <is>
          <t>their own retirement contribution</t>
        </is>
      </c>
      <c r="C44" s="3" t="inlineStr">
        <is>
          <t>MK-MN-M-014</t>
        </is>
      </c>
      <c r="D44"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MK-PL-M-008 · MK-PL-M-009 · MK-PL-M-011 · MK-PL-M-026 · MK-PL-M-029 · MK-PL-M-033 · MK-PL-M-034 · MK-XS-M-001 · MK-XS-M-002 · MK-XS-M-003 · MK-XS-M-005 · MK-XS-M-006</t>
        </is>
      </c>
      <c r="E44" s="3" t="inlineStr">
        <is>
          <t>PARTLY AGREES — reached but not declared: MK-CF-M-001, MK-CF-M-002, MK-CF-M-003, MK-CF-M-006, MK-CF-M-007, MK-CF-M-008, MK-CF-M-012, MK-CF-M-013, MK-CF-M-014, MK-CF-M-015, MK-CF-M-016, MK-CF-M-017, MK-CF-M-018, MK-CF-M-019, MK-CF-M-022, MK-CF-M-026, MK-CF-M-027, MK-CF-M-028, MK-CF-M-029,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MK-MN-M-027, MK-MN-M-028, MK-MN-M-030, MK-NW-M-001, MK-NW-M-002, MK-NW-M-003, MK-NW-M-004, MK-NW-M-005, MK-NW-M-006, MK-NW-M-007, MK-NW-M-008, MK-NW-M-009, MK-NW-M-011, MK-NW-M-012, MK-NW-M-015, MK-NW-M-016, MK-NW-M-017, MK-NW-M-046, MK-NW-M-047, MK-NW-M-048, MK-NW-M-049, MK-NW-M-063, MK-PL-M-008, MK-PL-M-009, MK-PL-M-011, MK-PL-M-026, MK-PL-M-029, MK-PL-M-033, MK-PL-M-034, MK-XS-M-001, MK-XS-M-002, MK-XS-M-003, MK-XS-M-005, MK-XS-M-006</t>
        </is>
      </c>
    </row>
    <row r="45" ht="60" customHeight="1">
      <c r="A45" s="3" t="inlineStr">
        <is>
          <t>MK-XS-I-044</t>
        </is>
      </c>
      <c r="B45" s="3" t="inlineStr">
        <is>
          <t>the person’s own plan overrides</t>
        </is>
      </c>
      <c r="C45" s="3" t="inlineStr">
        <is>
          <t>MK-PL-M-008 · MK-PL-M-011 · MK-PL-M-029</t>
        </is>
      </c>
      <c r="D45" s="3" t="inlineStr">
        <is>
          <t>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MK-PL-M-008 · MK-PL-M-009 · MK-PL-M-011 · MK-PL-M-029 · MK-PL-M-034 · MK-XS-M-002</t>
        </is>
      </c>
      <c r="E46" s="3" t="inlineStr">
        <is>
          <t>PARTLY AGREES — reached but not declared: MK-PL-M-008, MK-PL-M-011, MK-PL-M-029, MK-PL-M-034, MK-XS-M-002</t>
        </is>
      </c>
    </row>
    <row r="47" ht="45" customHeight="1">
      <c r="A47" s="3" t="inlineStr">
        <is>
          <t>MK-XS-I-046</t>
        </is>
      </c>
      <c r="B47" s="3" t="inlineStr">
        <is>
          <t>how the employer match is expressed — percent or dollars</t>
        </is>
      </c>
      <c r="C47" s="3" t="inlineStr">
        <is>
          <t>MK-MN-M-014</t>
        </is>
      </c>
      <c r="D47" s="3" t="inlineStr">
        <is>
          <t>MK-MN-M-014 · MK-PL-M-008 · MK-PL-M-011 · MK-PL-M-029 · MK-PL-M-034 · MK-XS-M-002</t>
        </is>
      </c>
      <c r="E47" s="3" t="inlineStr">
        <is>
          <t>PARTLY AGREES — reached but not declared: MK-PL-M-008, MK-PL-M-011, MK-PL-M-029, MK-PL-M-034, MK-XS-M-002</t>
        </is>
      </c>
    </row>
    <row r="48" ht="30" customHeight="1">
      <c r="A48" s="3" t="inlineStr">
        <is>
          <t>MK-XS-I-047</t>
        </is>
      </c>
      <c r="B48" s="3" t="inlineStr">
        <is>
          <t>money to leave behind</t>
        </is>
      </c>
      <c r="C48" s="3" t="inlineStr">
        <is>
          <t>MK-PL-M-008 · MK-PL-M-011 · MK-PL-M-029</t>
        </is>
      </c>
      <c r="D48" s="3" t="inlineStr">
        <is>
          <t>MK-PL-M-008 · MK-PL-M-011 · MK-PL-M-029 · MK-PL-M-034 · MK-XS-M-002</t>
        </is>
      </c>
      <c r="E48" s="3" t="inlineStr">
        <is>
          <t>PARTLY AGREES — reached but not declared: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t>
        </is>
      </c>
      <c r="D51" s="3" t="inlineStr">
        <is>
          <t>MK-CF-M-022 · MK-NW-M-050 · MK-NW-M-051 · MK-NW-M-052 · MK-PL-M-001 · MK-PL-M-002 · MK-PL-M-008 · MK-PL-M-009 · MK-PL-M-011 · MK-PL-M-029 · MK-PL-M-034 · MK-XS-M-002</t>
        </is>
      </c>
      <c r="E51" s="3" t="inlineStr">
        <is>
          <t>REACHED BUT NOT DECLARED — functions reading this input serve these figures, but no figure lists it among its inputs.</t>
        </is>
      </c>
    </row>
    <row r="52" ht="45" customHeight="1">
      <c r="A52" s="3" t="inlineStr">
        <is>
          <t>MK-XS-I-051</t>
        </is>
      </c>
      <c r="B52" s="3" t="inlineStr">
        <is>
          <t>what an account actually returned over the last twelve months</t>
        </is>
      </c>
      <c r="C52" s="3" t="inlineStr">
        <is>
          <t>—</t>
        </is>
      </c>
      <c r="D52" s="3" t="inlineStr">
        <is>
          <t>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53" s="3" t="inlineStr">
        <is>
          <t>REACHED BUT NOT DECLARED — functions reading this input serve these figures, but no figure lists it among its inputs.</t>
        </is>
      </c>
    </row>
    <row r="54" ht="45" customHeight="1">
      <c r="A54" s="3" t="inlineStr">
        <is>
          <t>MK-XS-I-053</t>
        </is>
      </c>
      <c r="B54" s="3" t="inlineStr">
        <is>
          <t>the month a debt is first paid</t>
        </is>
      </c>
      <c r="C54" s="3" t="inlineStr">
        <is>
          <t>—</t>
        </is>
      </c>
      <c r="D54" s="3" t="inlineStr">
        <is>
          <t>MK-CF-M-022 · MK-PL-M-031</t>
        </is>
      </c>
      <c r="E54" s="3" t="inlineStr">
        <is>
          <t>REACHED BUT NOT DECLARED — functions reading this input serve these figures, but no figure lists it among its inputs.</t>
        </is>
      </c>
    </row>
    <row r="55" ht="45" customHeight="1">
      <c r="A55" s="3" t="inlineStr">
        <is>
          <t>MK-XS-I-054</t>
        </is>
      </c>
      <c r="B55" s="3" t="inlineStr">
        <is>
          <t>the date a debt is due to be paid off in full</t>
        </is>
      </c>
      <c r="C55" s="3" t="inlineStr">
        <is>
          <t>—</t>
        </is>
      </c>
      <c r="D55" s="3" t="inlineStr">
        <is>
          <t>MK-CF-M-022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MK-CF-M-011 · MK-CF-M-012 · MK-CF-M-013 · MK-CF-M-014 · MK-CF-M-015 · MK-CF-M-016 · MK-CF-M-017 · MK-CF-M-018 · MK-CF-M-019 · MK-CF-M-022 · MK-CF-M-023 · MK-CF-M-024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MK-NW-M-015 · MK-NW-M-016 · MK-NW-M-017 · MK-NW-M-049 · MK-NW-M-063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t>
        </is>
      </c>
      <c r="D60"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MK-XS-M-001 · MK-XS-M-003 · MK-XS-M-005 · MK-XS-M-006</t>
        </is>
      </c>
      <c r="E60" s="3" t="inlineStr">
        <is>
          <t>REACHED BUT NOT DECLARED — functions reading this input serve these figures, but no figure lists it among its inputs.</t>
        </is>
      </c>
    </row>
    <row r="61" ht="60" customHeight="1">
      <c r="A61" s="3" t="inlineStr">
        <is>
          <t>MK-XS-I-060</t>
        </is>
      </c>
      <c r="B61" s="3" t="inlineStr">
        <is>
          <t>how a person is paid — weekly, fortnightly, monthly</t>
        </is>
      </c>
      <c r="C61" s="3" t="inlineStr">
        <is>
          <t>—</t>
        </is>
      </c>
      <c r="D61" s="3" t="inlineStr">
        <is>
          <t>MK-CF-M-001 · MK-CF-M-002 · MK-CF-M-003 · MK-CF-M-006 · MK-CF-M-007 · MK-CF-M-008 · MK-CF-M-012 · MK-CF-M-013 · MK-CF-M-014 · MK-CF-M-015 · MK-CF-M-016 · MK-CF-M-017 · MK-CF-M-018 · MK-CF-M-019 · MK-CF-M-022 · MK-CF-M-026 · MK-CF-M-027 · MK-CF-M-028 · MK-CF-M-029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MK-PL-M-008 · MK-PL-M-011 · MK-PL-M-029 · MK-PL-M-034 · MK-XS-M-001 · MK-XS-M-002 · MK-XS-M-003 · MK-XS-M-005 · MK-XS-M-006</t>
        </is>
      </c>
      <c r="E61" s="3" t="inlineStr">
        <is>
          <t>REACHED BUT NOT DECLARED — functions reading this input serve these figures, but no figure lists it among its inputs.</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MK-CF-M-012 · MK-CF-M-013 · MK-CF-M-014 · MK-CF-M-015 · MK-CF-M-016 · MK-CF-M-017 · MK-CF-M-018 · MK-CF-M-019 · MK-CF-M-022 · MK-CF-M-026 · MK-CF-M-027 · MK-CF-M-028 · MK-CF-M-030 · MK-CF-M-031 · MK-CF-M-032 · MK-CF-M-033 · MK-CF-M-034 · MK-CF-M-035 · MK-CF-M-036 · MK-CF-M-037 · MK-CF-M-038 · MK-CF-M-039 · MK-CF-M-040 · MK-CF-M-041 · MK-CF-M-042 · MK-CF-M-043 · MK-CF-M-044 · MK-CF-M-045 · MK-CF-M-046 · MK-CF-M-047 · MK-CF-M-048 · MK-CF-M-049 · MK-CF-M-050 · MK-CF-M-051 · MK-CF-M-052 · MK-CF-M-053 · MK-CF-M-054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MK-CF-M-012, MK-CF-M-013, MK-CF-M-014, MK-CF-M-015, MK-CF-M-016, MK-CF-M-017, MK-CF-M-018, MK-CF-M-019, MK-CF-M-022, MK-CF-M-026, MK-CF-M-027, MK-CF-M-028, MK-CF-M-030, MK-CF-M-031, MK-CF-M-032, MK-CF-M-033, MK-CF-M-034, MK-CF-M-035, MK-CF-M-036, MK-CF-M-037, MK-CF-M-038, MK-CF-M-039, MK-CF-M-040, MK-CF-M-041, MK-CF-M-042, MK-CF-M-043, MK-CF-M-044, MK-CF-M-045, MK-CF-M-046, MK-CF-M-047, MK-CF-M-048, MK-CF-M-049, MK-CF-M-050, MK-CF-M-051, MK-CF-M-052, MK-CF-M-053, MK-CF-M-054,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0"/>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30" customHeight="1">
      <c r="A2" s="3" t="inlineStr">
        <is>
          <t>MK-CF-E-001</t>
        </is>
      </c>
      <c r="B2" s="3" t="inlineStr">
        <is>
          <t>NOT IN OLD MASTER — effectiveRate, src/domain/income</t>
        </is>
      </c>
      <c r="C2" s="3" t="inlineStr">
        <is>
          <t>NOT DETERMINED — no source line on record</t>
        </is>
      </c>
      <c r="D2" s="3" t="inlineStr">
        <is>
          <t>—</t>
        </is>
      </c>
      <c r="E2" s="3" t="inlineStr">
        <is>
          <t>MK-CF-M-029</t>
        </is>
      </c>
      <c r="F2" s="3" t="inlineStr">
        <is>
          <t>Named by 1 figure(s)</t>
        </is>
      </c>
    </row>
    <row r="3" ht="30" customHeight="1">
      <c r="A3" s="3" t="inlineStr">
        <is>
          <t>MK-CF-E-002</t>
        </is>
      </c>
      <c r="B3" s="3" t="inlineStr">
        <is>
          <t>NOT IN OLD MASTER — the equity schedule, src/domain/income</t>
        </is>
      </c>
      <c r="C3" s="3" t="inlineStr">
        <is>
          <t>NOT DETERMINED — no source line on record</t>
        </is>
      </c>
      <c r="D3" s="3" t="inlineStr">
        <is>
          <t>—</t>
        </is>
      </c>
      <c r="E3" s="3" t="inlineStr">
        <is>
          <t>MK-CF-M-009</t>
        </is>
      </c>
      <c r="F3" s="3" t="inlineStr">
        <is>
          <t>Named by 1 figure(s)</t>
        </is>
      </c>
    </row>
    <row r="4" ht="15" customHeight="1">
      <c r="A4" s="3" t="inlineStr">
        <is>
          <t>MK-CF-E-003</t>
        </is>
      </c>
      <c r="B4" s="3" t="inlineStr">
        <is>
          <t>SPENDING_BY_KIND</t>
        </is>
      </c>
      <c r="C4" s="3" t="inlineStr">
        <is>
          <t>src/domain/budget/index.ts:72</t>
        </is>
      </c>
      <c r="D4" s="3" t="inlineStr">
        <is>
          <t>What is spent each month, split by kind?</t>
        </is>
      </c>
      <c r="E4" s="3" t="inlineStr">
        <is>
          <t>MK-CF-M-013 · MK-CF-M-014</t>
        </is>
      </c>
      <c r="F4" s="3" t="inlineStr">
        <is>
          <t>Named by 2 figure(s)</t>
        </is>
      </c>
    </row>
    <row r="5" ht="15" customHeight="1">
      <c r="A5" s="3" t="inlineStr">
        <is>
          <t>MK-CF-E-004</t>
        </is>
      </c>
      <c r="B5" s="3" t="inlineStr">
        <is>
          <t>PLANNED_SPENDING</t>
        </is>
      </c>
      <c r="C5" s="3" t="inlineStr">
        <is>
          <t>src/domain/budget/index.ts:45</t>
        </is>
      </c>
      <c r="D5" s="3" t="inlineStr">
        <is>
          <t>What does this person plan to spend each month?</t>
        </is>
      </c>
      <c r="E5" s="3" t="inlineStr">
        <is>
          <t>MK-CF-M-015 · MK-MN-M-007</t>
        </is>
      </c>
      <c r="F5" s="3" t="inlineStr">
        <is>
          <t>Named by 2 figure(s)</t>
        </is>
      </c>
    </row>
    <row r="6" ht="15" customHeight="1">
      <c r="A6" s="3" t="inlineStr">
        <is>
          <t>MK-CF-E-005</t>
        </is>
      </c>
      <c r="B6" s="3" t="inlineStr">
        <is>
          <t>SPENDING_BY_KIND · DEBT_REQUIRED_PAYMENT</t>
        </is>
      </c>
      <c r="C6" s="3" t="inlineStr">
        <is>
          <t>NOT DETERMINED — no source line on record</t>
        </is>
      </c>
      <c r="D6" s="3" t="inlineStr">
        <is>
          <t>—</t>
        </is>
      </c>
      <c r="E6" s="3" t="inlineStr">
        <is>
          <t>MK-CF-M-019</t>
        </is>
      </c>
      <c r="F6" s="3" t="inlineStr">
        <is>
          <t>Named by 1 figure(s)</t>
        </is>
      </c>
    </row>
    <row r="7" ht="30" customHeight="1">
      <c r="A7" s="3" t="inlineStr">
        <is>
          <t>MK-CF-E-006</t>
        </is>
      </c>
      <c r="B7" s="3" t="inlineStr">
        <is>
          <t>NOT IN OLD MASTER — plan commitments, src/domain/planning</t>
        </is>
      </c>
      <c r="C7" s="3" t="inlineStr">
        <is>
          <t>NOT DETERMINED — no source line on record</t>
        </is>
      </c>
      <c r="D7" s="3" t="inlineStr">
        <is>
          <t>—</t>
        </is>
      </c>
      <c r="E7" s="3" t="inlineStr">
        <is>
          <t>MK-CF-M-021</t>
        </is>
      </c>
      <c r="F7" s="3" t="inlineStr">
        <is>
          <t>Named by 1 figure(s)</t>
        </is>
      </c>
    </row>
    <row r="8" ht="15" customHeight="1">
      <c r="A8" s="3" t="inlineStr">
        <is>
          <t>MK-CF-E-007</t>
        </is>
      </c>
      <c r="B8" s="3" t="inlineStr">
        <is>
          <t>the by-month grid</t>
        </is>
      </c>
      <c r="C8" s="3" t="inlineStr">
        <is>
          <t>NOT DETERMINED — no source line on record</t>
        </is>
      </c>
      <c r="D8" s="3" t="inlineStr">
        <is>
          <t>—</t>
        </is>
      </c>
      <c r="E8" s="3" t="inlineStr">
        <is>
          <t>MK-CF-M-025</t>
        </is>
      </c>
      <c r="F8" s="3" t="inlineStr">
        <is>
          <t>Named by 1 figure(s)</t>
        </is>
      </c>
    </row>
    <row r="9" ht="15" customHeight="1">
      <c r="A9" s="3" t="inlineStr">
        <is>
          <t>MK-HM-E-001</t>
        </is>
      </c>
      <c r="B9" s="3" t="inlineStr">
        <is>
          <t>PRICE_FRESHNESS</t>
        </is>
      </c>
      <c r="C9" s="3" t="inlineStr">
        <is>
          <t>src/services/marketData.ts:60</t>
        </is>
      </c>
      <c r="D9" s="3" t="inlineStr">
        <is>
          <t>How old is the price we are showing?</t>
        </is>
      </c>
      <c r="E9" s="3" t="inlineStr">
        <is>
          <t>MK-HM-M-001</t>
        </is>
      </c>
      <c r="F9" s="3" t="inlineStr">
        <is>
          <t>Named by 1 figure(s)</t>
        </is>
      </c>
    </row>
    <row r="10" ht="30" customHeight="1">
      <c r="A10" s="3" t="inlineStr">
        <is>
          <t>MK-HM-E-002</t>
        </is>
      </c>
      <c r="B10" s="3" t="inlineStr">
        <is>
          <t>NOT IN OLD MASTER — milestoneCrossed, src/domain/milestones.ts</t>
        </is>
      </c>
      <c r="C10" s="3" t="inlineStr">
        <is>
          <t>NOT DETERMINED — no source line on record</t>
        </is>
      </c>
      <c r="D10" s="3" t="inlineStr">
        <is>
          <t>—</t>
        </is>
      </c>
      <c r="E10" s="3" t="inlineStr">
        <is>
          <t>MK-HM-M-002</t>
        </is>
      </c>
      <c r="F10" s="3" t="inlineStr">
        <is>
          <t>Named by 1 figure(s)</t>
        </is>
      </c>
    </row>
    <row r="11" ht="30" customHeight="1">
      <c r="A11" s="3" t="inlineStr">
        <is>
          <t>MK-HM-E-003</t>
        </is>
      </c>
      <c r="B11" s="3" t="inlineStr">
        <is>
          <t>NOT IN OLD MASTER — useInsights, src/domain/insights</t>
        </is>
      </c>
      <c r="C11" s="3" t="inlineStr">
        <is>
          <t>NOT DETERMINED — no source line on record</t>
        </is>
      </c>
      <c r="D11" s="3" t="inlineStr">
        <is>
          <t>—</t>
        </is>
      </c>
      <c r="E11" s="3" t="inlineStr">
        <is>
          <t>MK-HM-M-003 · MK-MN-M-015</t>
        </is>
      </c>
      <c r="F11" s="3" t="inlineStr">
        <is>
          <t>Named by 2 figure(s)</t>
        </is>
      </c>
    </row>
    <row r="12" ht="15" customHeight="1">
      <c r="A12" s="3" t="inlineStr">
        <is>
          <t>MK-MN-E-001</t>
        </is>
      </c>
      <c r="B12" s="3" t="inlineStr">
        <is>
          <t>BIG_COSTS</t>
        </is>
      </c>
      <c r="C12" s="3" t="inlineStr">
        <is>
          <t>NOT DETERMINED — no source line on record</t>
        </is>
      </c>
      <c r="D12" s="3" t="inlineStr">
        <is>
          <t>—</t>
        </is>
      </c>
      <c r="E12" s="3" t="inlineStr">
        <is>
          <t>MK-MN-M-001 · MK-MN-M-002</t>
        </is>
      </c>
      <c r="F12" s="3" t="inlineStr">
        <is>
          <t>Named by 2 figure(s)</t>
        </is>
      </c>
    </row>
    <row r="13" ht="15" customHeight="1">
      <c r="A13" s="3" t="inlineStr">
        <is>
          <t>MK-MN-E-002</t>
        </is>
      </c>
      <c r="B13" s="3" t="inlineStr">
        <is>
          <t>GOAL_CAPACITY</t>
        </is>
      </c>
      <c r="C13" s="3" t="inlineStr">
        <is>
          <t>NOT DETERMINED — no source line on record</t>
        </is>
      </c>
      <c r="D13" s="3" t="inlineStr">
        <is>
          <t>—</t>
        </is>
      </c>
      <c r="E13" s="3" t="inlineStr">
        <is>
          <t>MK-MN-M-008</t>
        </is>
      </c>
      <c r="F13" s="3" t="inlineStr">
        <is>
          <t>Named by 1 figure(s)</t>
        </is>
      </c>
    </row>
    <row r="14" ht="15" customHeight="1">
      <c r="A14" s="3" t="inlineStr">
        <is>
          <t>MK-MN-E-003</t>
        </is>
      </c>
      <c r="B14" s="3" t="inlineStr">
        <is>
          <t>GOAL_PROGRESS</t>
        </is>
      </c>
      <c r="C14" s="3" t="inlineStr">
        <is>
          <t>NOT DETERMINED — no source line on record</t>
        </is>
      </c>
      <c r="D14" s="3" t="inlineStr">
        <is>
          <t>—</t>
        </is>
      </c>
      <c r="E14" s="3" t="inlineStr">
        <is>
          <t>MK-MN-M-009</t>
        </is>
      </c>
      <c r="F14" s="3" t="inlineStr">
        <is>
          <t>Named by 1 figure(s)</t>
        </is>
      </c>
    </row>
    <row r="15" ht="15" customHeight="1">
      <c r="A15" s="3" t="inlineStr">
        <is>
          <t>MK-MN-E-004</t>
        </is>
      </c>
      <c r="B15" s="3" t="inlineStr">
        <is>
          <t>SINKING_FUNDS</t>
        </is>
      </c>
      <c r="C15" s="3" t="inlineStr">
        <is>
          <t>NOT DETERMINED — no source line on record</t>
        </is>
      </c>
      <c r="D15" s="3" t="inlineStr">
        <is>
          <t>—</t>
        </is>
      </c>
      <c r="E15" s="3" t="inlineStr">
        <is>
          <t>MK-MN-M-010</t>
        </is>
      </c>
      <c r="F15" s="3" t="inlineStr">
        <is>
          <t>Named by 1 figure(s)</t>
        </is>
      </c>
    </row>
    <row r="16" ht="15" customHeight="1">
      <c r="A16" s="3" t="inlineStr">
        <is>
          <t>MK-MN-E-005</t>
        </is>
      </c>
      <c r="B16" s="3" t="inlineStr">
        <is>
          <t>EMPLOYER_MATCH</t>
        </is>
      </c>
      <c r="C16" s="3" t="inlineStr">
        <is>
          <t>src/domain/income/onboarding.ts:263</t>
        </is>
      </c>
      <c r="D16" s="3" t="inlineStr">
        <is>
          <t>How much does the employer add each month?</t>
        </is>
      </c>
      <c r="E16" s="3" t="inlineStr">
        <is>
          <t>MK-MN-M-014</t>
        </is>
      </c>
      <c r="F16" s="3" t="inlineStr">
        <is>
          <t>Named by 1 figure(s)</t>
        </is>
      </c>
    </row>
    <row r="17" ht="30" customHeight="1">
      <c r="A17" s="3" t="inlineStr">
        <is>
          <t>MK-MN-E-006</t>
        </is>
      </c>
      <c r="B17" s="3" t="inlineStr">
        <is>
          <t>INSURANCE_NEED</t>
        </is>
      </c>
      <c r="C17" s="3" t="inlineStr">
        <is>
          <t>NOT DETERMINED — no source line on record</t>
        </is>
      </c>
      <c r="D17" s="3" t="inlineStr">
        <is>
          <t>—</t>
        </is>
      </c>
      <c r="E17" s="3" t="inlineStr">
        <is>
          <t>MK-MN-M-017 · MK-MN-M-018 · MK-MN-M-019</t>
        </is>
      </c>
      <c r="F17" s="3" t="inlineStr">
        <is>
          <t>Named by 3 figure(s)</t>
        </is>
      </c>
    </row>
    <row r="18" ht="30" customHeight="1">
      <c r="A18" s="3" t="inlineStr">
        <is>
          <t>MK-PL-E-001</t>
        </is>
      </c>
      <c r="B18" s="3" t="inlineStr">
        <is>
          <t>WHAT_THE_PLAN_STILL_NEEDS</t>
        </is>
      </c>
      <c r="C18" s="3" t="inlineStr">
        <is>
          <t>src/domain/planning/hub.ts:44</t>
        </is>
      </c>
      <c r="D18" s="3" t="inlineStr">
        <is>
          <t>Is there enough to show this person their own odds?</t>
        </is>
      </c>
      <c r="E18" s="3" t="inlineStr">
        <is>
          <t>MK-PL-M-001 · MK-PL-M-002</t>
        </is>
      </c>
      <c r="F18" s="3" t="inlineStr">
        <is>
          <t>Named by 2 figure(s)</t>
        </is>
      </c>
    </row>
    <row r="19" ht="30" customHeight="1">
      <c r="A19" s="3" t="inlineStr">
        <is>
          <t>MK-PL-E-002</t>
        </is>
      </c>
      <c r="B19" s="3" t="inlineStr">
        <is>
          <t>NOT IN OLD MASTER — retirementPaycheckYear, src/domain/paycheck</t>
        </is>
      </c>
      <c r="C19" s="3" t="inlineStr">
        <is>
          <t>NOT DETERMINED — no source line on record</t>
        </is>
      </c>
      <c r="D19" s="3" t="inlineStr">
        <is>
          <t>—</t>
        </is>
      </c>
      <c r="E19" s="3" t="inlineStr">
        <is>
          <t>MK-PL-M-003 · MK-PL-M-004 · MK-PL-M-005</t>
        </is>
      </c>
      <c r="F19" s="3" t="inlineStr">
        <is>
          <t>Named by 3 figure(s)</t>
        </is>
      </c>
    </row>
    <row r="20" ht="30" customHeight="1">
      <c r="A20" s="3" t="inlineStr">
        <is>
          <t>MK-PL-E-003</t>
        </is>
      </c>
      <c r="B20" s="3" t="inlineStr">
        <is>
          <t>NOT IN OLD MASTER — saved scenarios, src/domain/scenarios</t>
        </is>
      </c>
      <c r="C20" s="3" t="inlineStr">
        <is>
          <t>NOT DETERMINED — no source line on record</t>
        </is>
      </c>
      <c r="D20" s="3" t="inlineStr">
        <is>
          <t>—</t>
        </is>
      </c>
      <c r="E20" s="3" t="inlineStr">
        <is>
          <t>MK-PL-M-007</t>
        </is>
      </c>
      <c r="F20" s="3" t="inlineStr">
        <is>
          <t>Named by 1 figure(s)</t>
        </is>
      </c>
    </row>
    <row r="21" ht="15" customHeight="1">
      <c r="A21" s="3" t="inlineStr">
        <is>
          <t>MK-PL-E-004</t>
        </is>
      </c>
      <c r="B21" s="3" t="inlineStr">
        <is>
          <t>GUARANTEED_STREAMS (engines: B1 rebuild)</t>
        </is>
      </c>
      <c r="C21" s="3" t="inlineStr">
        <is>
          <t>NOT DETERMINED — no source line on record</t>
        </is>
      </c>
      <c r="D21" s="3" t="inlineStr">
        <is>
          <t>—</t>
        </is>
      </c>
      <c r="E21" s="3" t="inlineStr">
        <is>
          <t>MK-PL-M-010</t>
        </is>
      </c>
      <c r="F21" s="3" t="inlineStr">
        <is>
          <t>Named by 1 figure(s)</t>
        </is>
      </c>
    </row>
    <row r="22" ht="30" customHeight="1">
      <c r="A22" s="3" t="inlineStr">
        <is>
          <t>MK-PL-E-005</t>
        </is>
      </c>
      <c r="B22" s="3" t="inlineStr">
        <is>
          <t>RMD_START_AGE (Calculation Module code/engines/rmd.ts)</t>
        </is>
      </c>
      <c r="C22" s="3" t="inlineStr">
        <is>
          <t>NOT DETERMINED — no source line on record</t>
        </is>
      </c>
      <c r="D22" s="3" t="inlineStr">
        <is>
          <t>—</t>
        </is>
      </c>
      <c r="E22" s="3" t="inlineStr">
        <is>
          <t>MK-PL-M-012</t>
        </is>
      </c>
      <c r="F22" s="3" t="inlineStr">
        <is>
          <t>Named by 1 figure(s)</t>
        </is>
      </c>
    </row>
    <row r="23" ht="15" customHeight="1">
      <c r="A23" s="3" t="inlineStr">
        <is>
          <t>MK-PL-E-006</t>
        </is>
      </c>
      <c r="B23" s="3" t="inlineStr">
        <is>
          <t>REQUIRED_WITHDRAWAL</t>
        </is>
      </c>
      <c r="C23" s="3" t="inlineStr">
        <is>
          <t>NOT DETERMINED — no source line on record</t>
        </is>
      </c>
      <c r="D23" s="3" t="inlineStr">
        <is>
          <t>—</t>
        </is>
      </c>
      <c r="E23" s="3" t="inlineStr">
        <is>
          <t>MK-PL-M-013 · MK-PL-M-015</t>
        </is>
      </c>
      <c r="F23" s="3" t="inlineStr">
        <is>
          <t>Named by 2 figure(s)</t>
        </is>
      </c>
    </row>
    <row r="24" ht="15" customHeight="1">
      <c r="A24" s="3" t="inlineStr">
        <is>
          <t>MK-PL-E-007</t>
        </is>
      </c>
      <c r="B24" s="3" t="inlineStr">
        <is>
          <t>HAND_VALUE_AGE</t>
        </is>
      </c>
      <c r="C24" s="3" t="inlineStr">
        <is>
          <t>src/domain/assets/index.ts:97</t>
        </is>
      </c>
      <c r="D24" s="3" t="inlineStr">
        <is>
          <t>How old is this hand-entered value?</t>
        </is>
      </c>
      <c r="E24" s="3" t="inlineStr">
        <is>
          <t>MK-PL-M-016</t>
        </is>
      </c>
      <c r="F24" s="3" t="inlineStr">
        <is>
          <t>Named by 1 figure(s)</t>
        </is>
      </c>
    </row>
    <row r="25" ht="30" customHeight="1">
      <c r="A25" s="3" t="inlineStr">
        <is>
          <t>MK-PL-E-008</t>
        </is>
      </c>
      <c r="B25" s="3" t="inlineStr">
        <is>
          <t>RETIREMENT_INCOME_NOW</t>
        </is>
      </c>
      <c r="C25" s="3" t="inlineStr">
        <is>
          <t>src/domain/income/onboarding.ts:191</t>
        </is>
      </c>
      <c r="D25" s="3" t="inlineStr">
        <is>
          <t>How much retirement income is arriving TODAY?</t>
        </is>
      </c>
      <c r="E25" s="3" t="inlineStr">
        <is>
          <t>MK-CF-M-011 · MK-CF-M-024 · MK-PL-M-018 · MK-PL-M-032</t>
        </is>
      </c>
      <c r="F25" s="3" t="inlineStr">
        <is>
          <t>Named by 4 figure(s)</t>
        </is>
      </c>
    </row>
    <row r="26" ht="15" customHeight="1">
      <c r="A26" s="3" t="inlineStr">
        <is>
          <t>MK-PL-E-009</t>
        </is>
      </c>
      <c r="B26" s="3" t="inlineStr">
        <is>
          <t>SS_CLAIM_FACTOR · SS_BENEFIT_AT_AGE</t>
        </is>
      </c>
      <c r="C26" s="3" t="inlineStr">
        <is>
          <t>NOT DETERMINED — no source line on record</t>
        </is>
      </c>
      <c r="D26" s="3" t="inlineStr">
        <is>
          <t>—</t>
        </is>
      </c>
      <c r="E26" s="3" t="inlineStr">
        <is>
          <t>MK-PL-M-019</t>
        </is>
      </c>
      <c r="F26" s="3" t="inlineStr">
        <is>
          <t>Named by 1 figure(s)</t>
        </is>
      </c>
    </row>
    <row r="27" ht="15" customHeight="1">
      <c r="A27" s="3" t="inlineStr">
        <is>
          <t>MK-PL-E-010</t>
        </is>
      </c>
      <c r="B27" s="3" t="inlineStr">
        <is>
          <t>SS_LIFETIME_TOTAL</t>
        </is>
      </c>
      <c r="C27" s="3" t="inlineStr">
        <is>
          <t>NOT DETERMINED — no source line on record</t>
        </is>
      </c>
      <c r="D27" s="3" t="inlineStr">
        <is>
          <t>—</t>
        </is>
      </c>
      <c r="E27" s="3" t="inlineStr">
        <is>
          <t>MK-PL-M-020</t>
        </is>
      </c>
      <c r="F27" s="3" t="inlineStr">
        <is>
          <t>Named by 1 figure(s)</t>
        </is>
      </c>
    </row>
    <row r="28" ht="30" customHeight="1">
      <c r="A28" s="3" t="inlineStr">
        <is>
          <t>MK-PL-E-011</t>
        </is>
      </c>
      <c r="B28" s="3" t="inlineStr">
        <is>
          <t>the worked example used until a real statement goes in</t>
        </is>
      </c>
      <c r="C28" s="3" t="inlineStr">
        <is>
          <t>NOT DETERMINED — no source line on record</t>
        </is>
      </c>
      <c r="D28" s="3" t="inlineStr">
        <is>
          <t>—</t>
        </is>
      </c>
      <c r="E28" s="3" t="inlineStr">
        <is>
          <t>MK-PL-M-021</t>
        </is>
      </c>
      <c r="F28" s="3" t="inlineStr">
        <is>
          <t>Named by 1 figure(s)</t>
        </is>
      </c>
    </row>
    <row r="29" ht="30" customHeight="1">
      <c r="A29" s="3" t="inlineStr">
        <is>
          <t>MK-PL-E-012</t>
        </is>
      </c>
      <c r="B29" s="3" t="inlineStr">
        <is>
          <t>the amount the person chose</t>
        </is>
      </c>
      <c r="C29" s="3" t="inlineStr">
        <is>
          <t>On the screen itself — no engine file</t>
        </is>
      </c>
      <c r="D29" s="3" t="inlineStr">
        <is>
          <t>—</t>
        </is>
      </c>
      <c r="E29" s="3" t="inlineStr">
        <is>
          <t>MK-PL-M-022 · MK-PL-M-025 · MK-PL-M-030</t>
        </is>
      </c>
      <c r="F29" s="3" t="inlineStr">
        <is>
          <t>Named by 3 figure(s)</t>
        </is>
      </c>
    </row>
    <row r="30" ht="15" customHeight="1">
      <c r="A30" s="3" t="inlineStr">
        <is>
          <t>MK-PL-E-013</t>
        </is>
      </c>
      <c r="B30" s="3" t="inlineStr">
        <is>
          <t>TAX_ON_CONVERSION</t>
        </is>
      </c>
      <c r="C30" s="3" t="inlineStr">
        <is>
          <t>NOT DETERMINED — no source line on record</t>
        </is>
      </c>
      <c r="D30" s="3" t="inlineStr">
        <is>
          <t>—</t>
        </is>
      </c>
      <c r="E30" s="3" t="inlineStr">
        <is>
          <t>MK-PL-M-023</t>
        </is>
      </c>
      <c r="F30" s="3" t="inlineStr">
        <is>
          <t>Named by 1 figure(s)</t>
        </is>
      </c>
    </row>
    <row r="31" ht="15" customHeight="1">
      <c r="A31" s="3" t="inlineStr">
        <is>
          <t>MK-PL-E-014</t>
        </is>
      </c>
      <c r="B31" s="3" t="inlineStr">
        <is>
          <t>PRE_TAX_BALANCE</t>
        </is>
      </c>
      <c r="C31" s="3" t="inlineStr">
        <is>
          <t>NOT DETERMINED — no source line on record</t>
        </is>
      </c>
      <c r="D31" s="3" t="inlineStr">
        <is>
          <t>—</t>
        </is>
      </c>
      <c r="E31" s="3" t="inlineStr">
        <is>
          <t>MK-PL-M-024</t>
        </is>
      </c>
      <c r="F31" s="3" t="inlineStr">
        <is>
          <t>Named by 1 figure(s)</t>
        </is>
      </c>
    </row>
    <row r="32" ht="30" customHeight="1">
      <c r="A32" s="3" t="inlineStr">
        <is>
          <t>MK-PL-E-015</t>
        </is>
      </c>
      <c r="B32" s="3" t="inlineStr">
        <is>
          <t>POT_AT_RETIREMENT</t>
        </is>
      </c>
      <c r="C32" s="3" t="inlineStr">
        <is>
          <t>src/domain/retirement/index.ts:324</t>
        </is>
      </c>
      <c r="D32" s="3" t="inlineStr">
        <is>
          <t>What will the pot be worth at retirement, and how big does it need to be?</t>
        </is>
      </c>
      <c r="E32" s="3" t="inlineStr">
        <is>
          <t>MK-CF-M-022 · MK-PL-M-026 · MK-PL-M-033</t>
        </is>
      </c>
      <c r="F32" s="3" t="inlineStr">
        <is>
          <t>Named by 3 figure(s)</t>
        </is>
      </c>
    </row>
    <row r="33" ht="15" customHeight="1">
      <c r="A33" s="3" t="inlineStr">
        <is>
          <t>MK-PL-E-016</t>
        </is>
      </c>
      <c r="B33" s="3" t="inlineStr">
        <is>
          <t>the amounts the person chose</t>
        </is>
      </c>
      <c r="C33" s="3" t="inlineStr">
        <is>
          <t>On the screen itself — no engine file</t>
        </is>
      </c>
      <c r="D33" s="3" t="inlineStr">
        <is>
          <t>—</t>
        </is>
      </c>
      <c r="E33" s="3" t="inlineStr">
        <is>
          <t>MK-PL-M-028</t>
        </is>
      </c>
      <c r="F33" s="3" t="inlineStr">
        <is>
          <t>Named by 1 figure(s)</t>
        </is>
      </c>
    </row>
    <row r="34" ht="15" customHeight="1">
      <c r="A34" s="3" t="inlineStr">
        <is>
          <t>MK-PL-E-017</t>
        </is>
      </c>
      <c r="B34" s="3" t="inlineStr">
        <is>
          <t>DEBT_PAYOFF</t>
        </is>
      </c>
      <c r="C34" s="3" t="inlineStr">
        <is>
          <t>NOT DETERMINED — no source line on record</t>
        </is>
      </c>
      <c r="D34" s="3" t="inlineStr">
        <is>
          <t>—</t>
        </is>
      </c>
      <c r="E34" s="3" t="inlineStr">
        <is>
          <t>MK-PL-M-031</t>
        </is>
      </c>
      <c r="F34" s="3" t="inlineStr">
        <is>
          <t>Named by 1 figure(s)</t>
        </is>
      </c>
    </row>
    <row r="35" ht="15" customHeight="1">
      <c r="A35" s="3" t="inlineStr">
        <is>
          <t>MK-PL-E-018</t>
        </is>
      </c>
      <c r="B35" s="3" t="inlineStr">
        <is>
          <t>the age the person chose</t>
        </is>
      </c>
      <c r="C35" s="3" t="inlineStr">
        <is>
          <t>On the screen itself — no engine file</t>
        </is>
      </c>
      <c r="D35" s="3" t="inlineStr">
        <is>
          <t>—</t>
        </is>
      </c>
      <c r="E35" s="3" t="inlineStr">
        <is>
          <t>MK-PL-M-035</t>
        </is>
      </c>
      <c r="F35" s="3" t="inlineStr">
        <is>
          <t>Named by 1 figure(s)</t>
        </is>
      </c>
    </row>
    <row r="36" ht="15" customHeight="1">
      <c r="A36" s="3" t="inlineStr">
        <is>
          <t>MK-PL-E-019</t>
        </is>
      </c>
      <c r="B36" s="3" t="inlineStr">
        <is>
          <t>EDUCATION_COST</t>
        </is>
      </c>
      <c r="C36" s="3" t="inlineStr">
        <is>
          <t>NOT DETERMINED — no source line on record</t>
        </is>
      </c>
      <c r="D36" s="3" t="inlineStr">
        <is>
          <t>—</t>
        </is>
      </c>
      <c r="E36" s="3" t="inlineStr">
        <is>
          <t>MK-PL-M-036 · MK-PL-M-037</t>
        </is>
      </c>
      <c r="F36" s="3" t="inlineStr">
        <is>
          <t>Named by 2 figure(s)</t>
        </is>
      </c>
    </row>
    <row r="37" ht="30" customHeight="1">
      <c r="A37" s="3" t="inlineStr">
        <is>
          <t>MK-XS-E-001</t>
        </is>
      </c>
      <c r="B37" s="3" t="inlineStr">
        <is>
          <t>NEST_EGG</t>
        </is>
      </c>
      <c r="C37" s="3" t="inlineStr">
        <is>
          <t>src/domain/assets/index.ts:548</t>
        </is>
      </c>
      <c r="D37" s="3" t="inlineStr">
        <is>
          <t>What is my retirement pot worth?</t>
        </is>
      </c>
      <c r="E37" s="3" t="inlineStr">
        <is>
          <t>—</t>
        </is>
      </c>
      <c r="F37" s="3" t="inlineStr">
        <is>
          <t>Only as another engine’s dependency — no figure names it directly</t>
        </is>
      </c>
    </row>
    <row r="38" ht="30" customHeight="1">
      <c r="A38" s="3" t="inlineStr">
        <is>
          <t>MK-XS-E-002</t>
        </is>
      </c>
      <c r="B38" s="3" t="inlineStr">
        <is>
          <t>ODDS_DISPLAY</t>
        </is>
      </c>
      <c r="C38" s="3" t="inlineStr">
        <is>
          <t>src/domain/retirement/willItLast.ts:55</t>
        </is>
      </c>
      <c r="D38" s="3" t="inlineStr">
        <is>
          <t>The retirement odds a person actually sees. Answers: 0, 5, 10 … 100 — the exact simulation</t>
        </is>
      </c>
      <c r="E38" s="3" t="inlineStr">
        <is>
          <t>—</t>
        </is>
      </c>
      <c r="F38" s="3" t="inlineStr">
        <is>
          <t>Only as another engine’s dependency — no figure names it directly</t>
        </is>
      </c>
    </row>
    <row r="39" ht="15" customHeight="1">
      <c r="A39" s="3" t="inlineStr">
        <is>
          <t>MK-XS-E-003</t>
        </is>
      </c>
      <c r="B39" s="3" t="inlineStr">
        <is>
          <t>RETIREMENT_SPENDING</t>
        </is>
      </c>
      <c r="C39" s="3" t="inlineStr">
        <is>
          <t>src/domain/retirement/index.ts:49</t>
        </is>
      </c>
      <c r="D39" s="3" t="inlineStr">
        <is>
          <t>What will be spent each month in retirement?</t>
        </is>
      </c>
      <c r="E39" s="3" t="inlineStr">
        <is>
          <t>MK-PL-M-009</t>
        </is>
      </c>
      <c r="F39" s="3" t="inlineStr">
        <is>
          <t>Named by 1 figure(s)</t>
        </is>
      </c>
    </row>
    <row r="40" ht="30" customHeight="1">
      <c r="A40" s="3" t="inlineStr">
        <is>
          <t>MK-XS-E-004</t>
        </is>
      </c>
      <c r="B40" s="3" t="inlineStr">
        <is>
          <t>WILL_IT_LAST</t>
        </is>
      </c>
      <c r="C40" s="3" t="inlineStr">
        <is>
          <t>src/domain/retirement/index.ts:156</t>
        </is>
      </c>
      <c r="D40" s="3" t="inlineStr">
        <is>
          <t>Will my money last?</t>
        </is>
      </c>
      <c r="E40" s="3" t="inlineStr">
        <is>
          <t>—</t>
        </is>
      </c>
      <c r="F40" s="3" t="inlineStr">
        <is>
          <t>Only as another engine’s dependency — no figure names it directly</t>
        </is>
      </c>
    </row>
    <row r="41" ht="30" customHeight="1">
      <c r="A41" s="3" t="inlineStr">
        <is>
          <t>MK-XS-E-005</t>
        </is>
      </c>
      <c r="B41" s="3" t="inlineStr">
        <is>
          <t>WILL_IT_LAST_INPUTS</t>
        </is>
      </c>
      <c r="C41" s="3" t="inlineStr">
        <is>
          <t>src/domain/retirement/willItLast.ts:62</t>
        </is>
      </c>
      <c r="D41" s="3" t="inlineStr">
        <is>
          <t>What goes into working out the odds?</t>
        </is>
      </c>
      <c r="E41" s="3" t="inlineStr">
        <is>
          <t>MK-PL-M-008 · MK-PL-M-011 · MK-PL-M-029</t>
        </is>
      </c>
      <c r="F41" s="3" t="inlineStr">
        <is>
          <t>Named by 3 figure(s)</t>
        </is>
      </c>
    </row>
    <row r="42" ht="15" customHeight="1">
      <c r="A42" s="3" t="inlineStr">
        <is>
          <t>MK-XS-E-006</t>
        </is>
      </c>
      <c r="B42" s="3" t="inlineStr">
        <is>
          <t>WILL_IT_LAST_RESULT</t>
        </is>
      </c>
      <c r="C42" s="3" t="inlineStr">
        <is>
          <t>src/domain/retirement/willItLast.ts:149</t>
        </is>
      </c>
      <c r="D42" s="3" t="inlineStr">
        <is>
          <t>What are the odds, and can we honestly show them?</t>
        </is>
      </c>
      <c r="E42" s="3" t="inlineStr">
        <is>
          <t>MK-PL-M-034 · MK-XS-M-002</t>
        </is>
      </c>
      <c r="F42" s="3" t="inlineStr">
        <is>
          <t>Named by 2 figure(s)</t>
        </is>
      </c>
    </row>
    <row r="43" ht="30" customHeight="1">
      <c r="A43" s="3" t="inlineStr">
        <is>
          <t>MK-XS-E-007</t>
        </is>
      </c>
      <c r="B43" s="3" t="inlineStr">
        <is>
          <t>NOT IN OLD MASTER — budgetVsActual, src/domain/budget</t>
        </is>
      </c>
      <c r="C43" s="3" t="inlineStr">
        <is>
          <t>NOT DETERMINED — no source line on record</t>
        </is>
      </c>
      <c r="D43" s="3" t="inlineStr">
        <is>
          <t>—</t>
        </is>
      </c>
      <c r="E43" s="3" t="inlineStr">
        <is>
          <t>MK-XS-M-005</t>
        </is>
      </c>
      <c r="F43" s="3" t="inlineStr">
        <is>
          <t>Named by 1 figure(s)</t>
        </is>
      </c>
    </row>
    <row r="44" ht="30" customHeight="1">
      <c r="A44" s="3" t="inlineStr">
        <is>
          <t>MK-XS-E-008</t>
        </is>
      </c>
      <c r="B44" s="3" t="inlineStr">
        <is>
          <t>NOT IN OLD MASTER — incomeMonthlyGrid, src/domain/income</t>
        </is>
      </c>
      <c r="C44" s="3" t="inlineStr">
        <is>
          <t>NOT DETERMINED — no source line on record</t>
        </is>
      </c>
      <c r="D44" s="3" t="inlineStr">
        <is>
          <t>—</t>
        </is>
      </c>
      <c r="E44" s="3" t="inlineStr">
        <is>
          <t>MK-CF-M-018 · MK-XS-M-006</t>
        </is>
      </c>
      <c r="F44" s="3" t="inlineStr">
        <is>
          <t>Named by 2 figure(s)</t>
        </is>
      </c>
    </row>
    <row r="45" ht="30" customHeight="1">
      <c r="A45" s="3" t="inlineStr">
        <is>
          <t>MK-XS-E-009</t>
        </is>
      </c>
      <c r="B45" s="3" t="inlineStr">
        <is>
          <t>FETCH_PRICES</t>
        </is>
      </c>
      <c r="C45" s="3" t="inlineStr">
        <is>
          <t>src/services/marketData.ts:71</t>
        </is>
      </c>
      <c r="D45" s="3" t="inlineStr">
        <is>
          <t>What are these holdings worth?</t>
        </is>
      </c>
      <c r="E45" s="3" t="inlineStr">
        <is>
          <t>—</t>
        </is>
      </c>
      <c r="F45" s="3" t="inlineStr">
        <is>
          <t>Only as another engine’s dependency — no figure names it directly</t>
        </is>
      </c>
    </row>
    <row r="46" ht="30" customHeight="1">
      <c r="A46" s="3" t="inlineStr">
        <is>
          <t>MK-XS-E-010</t>
        </is>
      </c>
      <c r="B46" s="3" t="inlineStr">
        <is>
          <t>EFFECTIVE_TAX_RATE</t>
        </is>
      </c>
      <c r="C46" s="3" t="inlineStr">
        <is>
          <t>src/domain/income/tax.ts:130</t>
        </is>
      </c>
      <c r="D46" s="3" t="inlineStr">
        <is>
          <t>What share of my income actually goes in tax?</t>
        </is>
      </c>
      <c r="E46" s="3" t="inlineStr">
        <is>
          <t>—</t>
        </is>
      </c>
      <c r="F46" s="3" t="inlineStr">
        <is>
          <t>Only as another engine’s dependency — no figure names it directly</t>
        </is>
      </c>
    </row>
    <row r="47" ht="30" customHeight="1">
      <c r="A47" s="3" t="inlineStr">
        <is>
          <t>MK-XS-E-011</t>
        </is>
      </c>
      <c r="B47" s="3" t="inlineStr">
        <is>
          <t>EXPECTED_RETURN_BLENDED</t>
        </is>
      </c>
      <c r="C47" s="3" t="inlineStr">
        <is>
          <t>src/domain/assets/index.ts:638</t>
        </is>
      </c>
      <c r="D47" s="3" t="inlineStr">
        <is>
          <t>What return should I expect on everything I hold together?</t>
        </is>
      </c>
      <c r="E47" s="3" t="inlineStr">
        <is>
          <t>—</t>
        </is>
      </c>
      <c r="F47" s="3" t="inlineStr">
        <is>
          <t>Only as another engine’s dependency — no figure names it directly</t>
        </is>
      </c>
    </row>
    <row r="48" ht="30" customHeight="1">
      <c r="A48" s="3" t="inlineStr">
        <is>
          <t>MK-XS-E-012</t>
        </is>
      </c>
      <c r="B48" s="3" t="inlineStr">
        <is>
          <t>EXPECTED_SWING_BLENDED</t>
        </is>
      </c>
      <c r="C48" s="3" t="inlineStr">
        <is>
          <t>src/domain/assets/index.ts:597</t>
        </is>
      </c>
      <c r="D48" s="3" t="inlineStr">
        <is>
          <t>How much does a year's return typically swing around that average?</t>
        </is>
      </c>
      <c r="E48" s="3" t="inlineStr">
        <is>
          <t>—</t>
        </is>
      </c>
      <c r="F48" s="3" t="inlineStr">
        <is>
          <t>Only as another engine’s dependency — no figure names it directly</t>
        </is>
      </c>
    </row>
    <row r="49" ht="30" customHeight="1">
      <c r="A49" s="3" t="inlineStr">
        <is>
          <t>MK-XS-E-013</t>
        </is>
      </c>
      <c r="B49" s="3" t="inlineStr">
        <is>
          <t>FILING_STATUS</t>
        </is>
      </c>
      <c r="C49" s="3" t="inlineStr">
        <is>
          <t>src/domain/income/onboarding.ts:354</t>
        </is>
      </c>
      <c r="D49" s="3" t="inlineStr">
        <is>
          <t>How does this person file?</t>
        </is>
      </c>
      <c r="E49" s="3" t="inlineStr">
        <is>
          <t>—</t>
        </is>
      </c>
      <c r="F49" s="3" t="inlineStr">
        <is>
          <t>Only as another engine’s dependency — no figure names it directly</t>
        </is>
      </c>
    </row>
    <row r="50" ht="30" customHeight="1">
      <c r="A50" s="3" t="inlineStr">
        <is>
          <t>MK-XS-E-014</t>
        </is>
      </c>
      <c r="B50" s="3" t="inlineStr">
        <is>
          <t>GUARANTEED_OUTSIDE_STREAMS</t>
        </is>
      </c>
      <c r="C50" s="3" t="inlineStr">
        <is>
          <t>src/domain/income/onboarding.ts:227</t>
        </is>
      </c>
      <c r="D50" s="3" t="inlineStr">
        <is>
          <t>The plan's guaranteed-income input as separate streams of OUTSIDE money only. Answers: zer</t>
        </is>
      </c>
      <c r="E50" s="3" t="inlineStr">
        <is>
          <t>—</t>
        </is>
      </c>
      <c r="F50" s="3" t="inlineStr">
        <is>
          <t>Only as another engine’s dependency — no figure names it directly</t>
        </is>
      </c>
    </row>
    <row r="51" ht="30" customHeight="1">
      <c r="A51" s="3" t="inlineStr">
        <is>
          <t>MK-XS-E-015</t>
        </is>
      </c>
      <c r="B51" s="3" t="inlineStr">
        <is>
          <t>MONTHLY_SAVING</t>
        </is>
      </c>
      <c r="C51" s="3" t="inlineStr">
        <is>
          <t>src/domain/assets/index.ts:695</t>
        </is>
      </c>
      <c r="D51" s="3" t="inlineStr">
        <is>
          <t>How much goes in each month?</t>
        </is>
      </c>
      <c r="E51" s="3" t="inlineStr">
        <is>
          <t>—</t>
        </is>
      </c>
      <c r="F51" s="3" t="inlineStr">
        <is>
          <t>Only as another engine’s dependency — no figure names it directly</t>
        </is>
      </c>
    </row>
    <row r="52" ht="30" customHeight="1">
      <c r="A52" s="3" t="inlineStr">
        <is>
          <t>MK-XS-E-016</t>
        </is>
      </c>
      <c r="B52" s="3" t="inlineStr">
        <is>
          <t>REPORTED_RETURN</t>
        </is>
      </c>
      <c r="C52" s="3" t="inlineStr">
        <is>
          <t>src/domain/assets/index.ts:108</t>
        </is>
      </c>
      <c r="D52" s="3" t="inlineStr">
        <is>
          <t>What return did the person say they actually earned over the past year?</t>
        </is>
      </c>
      <c r="E52" s="3" t="inlineStr">
        <is>
          <t>—</t>
        </is>
      </c>
      <c r="F52" s="3" t="inlineStr">
        <is>
          <t>Only as another engine’s dependency — no figure names it directly</t>
        </is>
      </c>
    </row>
    <row r="53" ht="30" customHeight="1">
      <c r="A53" s="3" t="inlineStr">
        <is>
          <t>MK-XS-E-017</t>
        </is>
      </c>
      <c r="B53" s="3" t="inlineStr">
        <is>
          <t>SPLIT_BY_HOW_IT_IS_TAXED</t>
        </is>
      </c>
      <c r="C53" s="3" t="inlineStr">
        <is>
          <t>src/domain/decumulation/index.ts:11</t>
        </is>
      </c>
      <c r="D53" s="3" t="inlineStr">
        <is>
          <t>How is the retirement money split by the tax that will be owed on it?</t>
        </is>
      </c>
      <c r="E53" s="3" t="inlineStr">
        <is>
          <t>—</t>
        </is>
      </c>
      <c r="F53" s="3" t="inlineStr">
        <is>
          <t>Only as another engine’s dependency — no figure names it directly</t>
        </is>
      </c>
    </row>
    <row r="54" ht="30" customHeight="1">
      <c r="A54" s="3" t="inlineStr">
        <is>
          <t>MK-XS-E-018</t>
        </is>
      </c>
      <c r="B54" s="3" t="inlineStr">
        <is>
          <t>SS_BENEFIT_AT_AGE</t>
        </is>
      </c>
      <c r="C54" s="3" t="inlineStr">
        <is>
          <t>src/domain/retirement/ssTiming.ts:54</t>
        </is>
      </c>
      <c r="D54" s="3" t="inlineStr">
        <is>
          <t>The monthly Social Security check at a chosen claim age, in today's dollars. Answers: a wh</t>
        </is>
      </c>
      <c r="E54" s="3" t="inlineStr">
        <is>
          <t>MK-PL-M-017</t>
        </is>
      </c>
      <c r="F54" s="3" t="inlineStr">
        <is>
          <t>Named by 1 figure(s)</t>
        </is>
      </c>
    </row>
    <row r="55" ht="30" customHeight="1">
      <c r="A55" s="3" t="inlineStr">
        <is>
          <t>MK-XS-E-019</t>
        </is>
      </c>
      <c r="B55" s="3" t="inlineStr">
        <is>
          <t>STATE_TAX_RATE</t>
        </is>
      </c>
      <c r="C55" s="3" t="inlineStr">
        <is>
          <t>src/domain/income/onboarding.ts:358</t>
        </is>
      </c>
      <c r="D55" s="3" t="inlineStr">
        <is>
          <t>What state tax rate applies?</t>
        </is>
      </c>
      <c r="E55" s="3" t="inlineStr">
        <is>
          <t>—</t>
        </is>
      </c>
      <c r="F55" s="3" t="inlineStr">
        <is>
          <t>Only as another engine’s dependency — no figure names it directly</t>
        </is>
      </c>
    </row>
    <row r="56" ht="30" customHeight="1">
      <c r="A56" s="3" t="inlineStr">
        <is>
          <t>MK-XS-E-020</t>
        </is>
      </c>
      <c r="B56" s="3" t="inlineStr">
        <is>
          <t>SWING_FROM_RETURN</t>
        </is>
      </c>
      <c r="C56" s="3" t="inlineStr">
        <is>
          <t>src/domain/retirement/willItLast.ts:19</t>
        </is>
      </c>
      <c r="D56" s="3" t="inlineStr">
        <is>
          <t>How much might a year's return swing, judged from the return alone?</t>
        </is>
      </c>
      <c r="E56" s="3" t="inlineStr">
        <is>
          <t>—</t>
        </is>
      </c>
      <c r="F56" s="3" t="inlineStr">
        <is>
          <t>Only as another engine’s dependency — no figure names it directly</t>
        </is>
      </c>
    </row>
    <row r="57" ht="30" customHeight="1">
      <c r="A57" s="3" t="inlineStr">
        <is>
          <t>MK-XS-E-021</t>
        </is>
      </c>
      <c r="B57" s="3" t="inlineStr">
        <is>
          <t>TAX_OVER65_COUNT</t>
        </is>
      </c>
      <c r="C57" s="3" t="inlineStr">
        <is>
          <t>src/domain/income/onboarding.ts:405</t>
        </is>
      </c>
      <c r="D57" s="3" t="inlineStr">
        <is>
          <t xml:space="preserve">How many people on the tax return are 65 or older — the input the over-65 deduction needs </t>
        </is>
      </c>
      <c r="E57" s="3" t="inlineStr">
        <is>
          <t>—</t>
        </is>
      </c>
      <c r="F57" s="3" t="inlineStr">
        <is>
          <t>Only as another engine’s dependency — no figure names it directly</t>
        </is>
      </c>
    </row>
    <row r="58" ht="45" customHeight="1">
      <c r="A58" s="3" t="inlineStr">
        <is>
          <t>MK-XS-E-022</t>
        </is>
      </c>
      <c r="B58" s="3" t="inlineStr">
        <is>
          <t>TOTAL_INCOME</t>
        </is>
      </c>
      <c r="C58" s="3" t="inlineStr">
        <is>
          <t>src/domain/income/onboarding.ts:337</t>
        </is>
      </c>
      <c r="D58" s="3" t="inlineStr">
        <is>
          <t>What is the whole household income for the year, before tax?</t>
        </is>
      </c>
      <c r="E58" s="3" t="inlineStr">
        <is>
          <t>MK-CF-M-006 · MK-CF-M-007 · MK-CF-M-008 · MK-CF-M-027 · MK-MN-M-011 · MK-MN-M-012 · MK-MN-M-013</t>
        </is>
      </c>
      <c r="F58" s="3" t="inlineStr">
        <is>
          <t>Named by 7 figure(s)</t>
        </is>
      </c>
    </row>
    <row r="59" ht="30" customHeight="1">
      <c r="A59" s="3" t="inlineStr">
        <is>
          <t>MK-XS-E-023</t>
        </is>
      </c>
      <c r="B59" s="3" t="inlineStr">
        <is>
          <t>COST_OF_LIVING</t>
        </is>
      </c>
      <c r="C59" s="3" t="inlineStr">
        <is>
          <t>src/domain/retirement/col.ts:53</t>
        </is>
      </c>
      <c r="D59" s="3" t="inlineStr">
        <is>
          <t>How much more or less does life cost where they plan to live?</t>
        </is>
      </c>
      <c r="E59" s="3" t="inlineStr">
        <is>
          <t>—</t>
        </is>
      </c>
      <c r="F59" s="3" t="inlineStr">
        <is>
          <t>Only as another engine’s dependency — no figure names it directly</t>
        </is>
      </c>
    </row>
    <row r="60" ht="30" customHeight="1">
      <c r="A60" s="3" t="inlineStr">
        <is>
          <t>MK-XS-E-024</t>
        </is>
      </c>
      <c r="B60" s="3" t="inlineStr">
        <is>
          <t>READ_A_NUMBER</t>
        </is>
      </c>
      <c r="C60" s="3" t="inlineStr">
        <is>
          <t>src/domain/_shared/num.ts:4</t>
        </is>
      </c>
      <c r="D60" s="3" t="inlineStr">
        <is>
          <t>What number did the person actually type?</t>
        </is>
      </c>
      <c r="E60" s="3" t="inlineStr">
        <is>
          <t>—</t>
        </is>
      </c>
      <c r="F60" s="3" t="inlineStr">
        <is>
          <t>Only as another engine’s dependency — no figure names it directly</t>
        </is>
      </c>
    </row>
    <row r="61" ht="30" customHeight="1">
      <c r="A61" s="3" t="inlineStr">
        <is>
          <t>MK-XS-E-025</t>
        </is>
      </c>
      <c r="B61" s="3" t="inlineStr">
        <is>
          <t>SS_CLAIM_FACTOR</t>
        </is>
      </c>
      <c r="C61" s="3" t="inlineStr">
        <is>
          <t>src/domain/retirement/ssTiming.ts:34</t>
        </is>
      </c>
      <c r="D61" s="3" t="inlineStr">
        <is>
          <t>How much of the statement amount a claim age actually pays, anchored at the person's OWN f</t>
        </is>
      </c>
      <c r="E61" s="3" t="inlineStr">
        <is>
          <t>—</t>
        </is>
      </c>
      <c r="F61" s="3" t="inlineStr">
        <is>
          <t>Only as another engine’s dependency — no figure names it directly</t>
        </is>
      </c>
    </row>
    <row r="62" ht="15" customHeight="1">
      <c r="A62" s="3" t="inlineStr">
        <is>
          <t>MK-XS-E-026</t>
        </is>
      </c>
      <c r="B62" s="3" t="inlineStr">
        <is>
          <t>RETIREMENT_INCOME</t>
        </is>
      </c>
      <c r="C62" s="3" t="inlineStr">
        <is>
          <t>src/domain/income/onboarding.ts:213</t>
        </is>
      </c>
      <c r="D62" s="3" t="inlineStr">
        <is>
          <t>How much retirement income arrives monthly?</t>
        </is>
      </c>
      <c r="E62" s="3" t="inlineStr">
        <is>
          <t>MK-CF-M-023</t>
        </is>
      </c>
      <c r="F62" s="3" t="inlineStr">
        <is>
          <t>Named by 1 figure(s)</t>
        </is>
      </c>
    </row>
    <row r="63" ht="30" customHeight="1">
      <c r="A63" s="3" t="inlineStr">
        <is>
          <t>MK-XS-E-027</t>
        </is>
      </c>
      <c r="B63" s="3" t="inlineStr">
        <is>
          <t>SS_FULL_RETIREMENT_AGE</t>
        </is>
      </c>
      <c r="C63" s="3" t="inlineStr">
        <is>
          <t>src/domain/retirement/ssTiming.ts:23</t>
        </is>
      </c>
      <c r="D63" s="3" t="inlineStr">
        <is>
          <t>The person's own Social Security full retirement age. Answers: 66 (born through 1954) · 66</t>
        </is>
      </c>
      <c r="E63" s="3" t="inlineStr">
        <is>
          <t>—</t>
        </is>
      </c>
      <c r="F63" s="3" t="inlineStr">
        <is>
          <t>Only as another engine’s dependency — no figure names it directly</t>
        </is>
      </c>
    </row>
    <row r="64" ht="30" customHeight="1">
      <c r="A64" s="3" t="inlineStr">
        <is>
          <t>MK-XS-E-028</t>
        </is>
      </c>
      <c r="B64" s="3" t="inlineStr">
        <is>
          <t>EQUITY_THIS_YEAR</t>
        </is>
      </c>
      <c r="C64" s="3" t="inlineStr">
        <is>
          <t>src/domain/income/onboarding.ts:114</t>
        </is>
      </c>
      <c r="D64" s="3" t="inlineStr">
        <is>
          <t>How much equity vests this year?</t>
        </is>
      </c>
      <c r="E64" s="3" t="inlineStr">
        <is>
          <t>—</t>
        </is>
      </c>
      <c r="F64" s="3" t="inlineStr">
        <is>
          <t>Only as another engine’s dependency — no figure names it directly</t>
        </is>
      </c>
    </row>
    <row r="65" ht="30" customHeight="1">
      <c r="A65" s="3" t="inlineStr">
        <is>
          <t>MK-XS-E-029</t>
        </is>
      </c>
      <c r="B65" s="3" t="inlineStr">
        <is>
          <t>OTHER_INCOME</t>
        </is>
      </c>
      <c r="C65" s="3" t="inlineStr">
        <is>
          <t>src/domain/income/onboarding.ts:161</t>
        </is>
      </c>
      <c r="D65" s="3" t="inlineStr">
        <is>
          <t>What else comes in?</t>
        </is>
      </c>
      <c r="E65" s="3" t="inlineStr">
        <is>
          <t>—</t>
        </is>
      </c>
      <c r="F65" s="3" t="inlineStr">
        <is>
          <t>Only as another engine’s dependency — no figure names it directly</t>
        </is>
      </c>
    </row>
    <row r="66" ht="15" customHeight="1">
      <c r="A66" s="3" t="inlineStr">
        <is>
          <t>MK-XS-E-030</t>
        </is>
      </c>
      <c r="B66" s="3" t="inlineStr">
        <is>
          <t>RENTAL_INCOME_A_YEAR</t>
        </is>
      </c>
      <c r="C66" s="3" t="inlineStr">
        <is>
          <t>src/domain/income/onboarding.ts:142</t>
        </is>
      </c>
      <c r="D66" s="3" t="inlineStr">
        <is>
          <t>What do the rentals net over a year?</t>
        </is>
      </c>
      <c r="E66" s="3" t="inlineStr">
        <is>
          <t>MK-CF-M-010</t>
        </is>
      </c>
      <c r="F66" s="3" t="inlineStr">
        <is>
          <t>Named by 1 figure(s)</t>
        </is>
      </c>
    </row>
    <row r="67" ht="30" customHeight="1">
      <c r="A67" s="3" t="inlineStr">
        <is>
          <t>MK-XS-E-031</t>
        </is>
      </c>
      <c r="B67" s="3" t="inlineStr">
        <is>
          <t>SALARY_A_YEAR</t>
        </is>
      </c>
      <c r="C67" s="3" t="inlineStr">
        <is>
          <t>src/domain/income/onboarding.ts:331</t>
        </is>
      </c>
      <c r="D67" s="3" t="inlineStr">
        <is>
          <t>What is the salary for the year?</t>
        </is>
      </c>
      <c r="E67" s="3" t="inlineStr">
        <is>
          <t>—</t>
        </is>
      </c>
      <c r="F67" s="3" t="inlineStr">
        <is>
          <t>Only as another engine’s dependency — no figure names it directly</t>
        </is>
      </c>
    </row>
    <row r="68" ht="30" customHeight="1">
      <c r="A68" s="3" t="inlineStr">
        <is>
          <t>MK-XS-E-032</t>
        </is>
      </c>
      <c r="B68" s="3" t="inlineStr">
        <is>
          <t>TIPS_A_YEAR</t>
        </is>
      </c>
      <c r="C68" s="3" t="inlineStr">
        <is>
          <t>src/domain/income/onboarding.ts:204</t>
        </is>
      </c>
      <c r="D68" s="3" t="inlineStr">
        <is>
          <t>What do tips come to over the year?</t>
        </is>
      </c>
      <c r="E68" s="3" t="inlineStr">
        <is>
          <t>—</t>
        </is>
      </c>
      <c r="F68" s="3" t="inlineStr">
        <is>
          <t>Only as another engine’s dependency — no figure names it directly</t>
        </is>
      </c>
    </row>
    <row r="69" ht="30" customHeight="1">
      <c r="A69" s="3" t="inlineStr">
        <is>
          <t>MK-XS-E-033</t>
        </is>
      </c>
      <c r="B69" s="3" t="inlineStr">
        <is>
          <t>RENTALS</t>
        </is>
      </c>
      <c r="C69" s="3" t="inlineStr">
        <is>
          <t>src/domain/income/onboarding.ts:129</t>
        </is>
      </c>
      <c r="D69" s="3" t="inlineStr">
        <is>
          <t>What rental properties are there, and what does each bring in?</t>
        </is>
      </c>
      <c r="E69" s="3" t="inlineStr">
        <is>
          <t>—</t>
        </is>
      </c>
      <c r="F69" s="3" t="inlineStr">
        <is>
          <t>Only as another engine’s dependency — no figure names it directly</t>
        </is>
      </c>
    </row>
    <row r="70" ht="30" customHeight="1">
      <c r="A70" s="3" t="inlineStr">
        <is>
          <t>MK-XS-E-034</t>
        </is>
      </c>
      <c r="B70" s="3" t="inlineStr">
        <is>
          <t>DEBT_SHAPE</t>
        </is>
      </c>
      <c r="C70" s="3" t="inlineStr">
        <is>
          <t>src/domain/debt/index.ts:38</t>
        </is>
      </c>
      <c r="D70" s="3" t="inlineStr">
        <is>
          <t>How is THIS debt repaid?</t>
        </is>
      </c>
      <c r="E70" s="3" t="inlineStr">
        <is>
          <t>—</t>
        </is>
      </c>
      <c r="F70" s="3" t="inlineStr">
        <is>
          <t>Only as another engine’s dependency — no figure names it directly</t>
        </is>
      </c>
    </row>
  </sheetData>
  <autoFilter ref="A1:F70"/>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686"/>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80</v>
      </c>
      <c r="Q3"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102</v>
      </c>
      <c r="Q4" s="3" t="inlineStr">
        <is>
          <t>1. MK-CF-F-092 incomeMonthlyGrid
2. MK-CF-F-004 spendBuckets
3. MK-XS-F-027 takeHomeMonthly
4. MK-ST-F-052 toNum
5. MK-CF-F-069 benefitActiveMonths
6. MK-CF-F-072 currentRetirementIncomeMonthly
7. MK-CF-F-065 equityVestWeights
8. MK-CF-F-071 extraIncome
9. MK-ST-F-056 has
10. MK-CF-F-206 householdK401ByMonth
11. MK-CF-F-132 map
12. MK-CF-F-087 monthlyTaxRates
13. MK-CF-F-073 otherIncomeMonth
14. MK-CF-F-181 rateInForce
15. MK-CF-F-068 rentalNetAnnual
16. MK-CF-F-066 rsuAnnual
17. MK-CF-F-060 salaryGrossByMonth
18. MK-CF-F-077 scholarshipByCalendarMonth
19. MK-CF-F-088 taxableByCalendarMonth
20. MK-PL-F-012 waterfall
21. MK-CF-F-003 categoryMonthly
22. MK-CF-F-011 savingsByMonth
23. MK-XS-F-122 n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MK-CF-F-120 pctBaseMonthly
45. MK-CF-F-008 spendByMonth
46. MK-CF-F-130 enteredMonthlyRaw
47. MK-CF-F-166 hasMonthlySalaryTable
48. MK-ST-F-036 reconcile
49. MK-CF-F-167 salaryCalendarYear
50. MK-CF-O-010 theMonth
51. MK-CF-F-101 taxOwedFor
52. MK-CF-F-100 taxableIncomeFor
53. MK-CF-F-172 hasWage
54. MK-CF-F-074 tipsAnnual
55. MK-CF-F-151 actualSpending
56. MK-CF-F-150 debtPaymentsCountedAsExpenses
57. MK-CF-F-153 radar
58. MK-CF-F-149 recurringDebtPayments
59. MK-CF-F-165 salaryMonths
60. MK-CF-F-155 cash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MK-XS-F-122 n → MK-ST-F-052 toNum → MK-CF-F-062 equityRowValue → MK-CF-F-065 equityVestWeights → MK-CF-F-092 incomeMonthlyGrid → MK-CF-F-002 plannedMonthlySpend
4. MK-CF-F-132 map → MK-CF-F-065 equityVestWeights → MK-CF-F-092 incomeMonthlyGrid → MK-CF-F-002 plannedMonthlySpend
5. MK-CF-F-069 benefitActiveMonths → MK-CF-F-070 benefitAnnual → MK-CF-F-071 extraIncome → MK-CF-F-092 incomeMonthlyGrid → MK-CF-F-002 plannedMonthlySpend
6. MK-XS-F-122 n → MK-ST-F-052 toNum → MK-CF-F-070 benefitAnnual → MK-CF-F-071 extraIncome → MK-CF-F-092 incomeMonthlyGrid → MK-CF-F-002 plannedMonthlySpend
7. MK-ST-F-039 on → MK-CF-F-071 extraIncome → MK-CF-F-092 incomeMonthlyGrid → MK-CF-F-002 plannedMonthlySpend
8. MK-XS-F-122 n → MK-ST-F-052 toNum → MK-CF-F-071 extraIncome → MK-CF-F-092 incomeMonthlyGrid → MK-CF-F-002 plannedMonthlySpend
9. … and 5 more paths</t>
        </is>
      </c>
      <c r="S4" s="3" t="inlineStr">
        <is>
          <t>MK-CF-M-015 · 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101</v>
      </c>
      <c r="Q5" s="3" t="inlineStr">
        <is>
          <t>1. MK-CF-F-120 pctBaseMonthly
2. MK-XS-F-027 takeHomeMonthly
3. MK-ST-F-052 toNum
4. MK-CF-F-092 incomeMonthlyGrid
5. MK-CF-F-011 savingsByMonth
6. MK-XS-F-122 n
7. MK-CF-F-069 benefitActiveMonths
8. MK-CF-F-072 currentRetirementIncomeMonthly
9. MK-CF-F-065 equityVestWeights
10. MK-CF-F-071 extraIncome
11. MK-ST-F-056 has
12. MK-CF-F-206 householdK401ByMonth
13. MK-CF-F-132 map
14. MK-CF-F-087 monthlyTaxRates
15. MK-CF-F-073 otherIncomeMonth
16. MK-CF-F-181 rateInForce
17. MK-CF-F-068 rentalNetAnnual
18. MK-CF-F-066 rsuAnnual
19. MK-CF-F-060 salaryGrossByMonth
20. MK-CF-F-077 scholarshipByCalendarMonth
21. MK-CF-F-088 taxableByCalendarMonth
22. MK-PL-F-012 waterfall
23. MK-CF-F-008 spendByMonth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MK-CF-F-004 spendBuckets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MK-ST-F-052 toNum → MK-CF-F-062 equityRowValue → MK-CF-F-065 equityVestWeights → MK-CF-F-092 incomeMonthlyGrid → MK-CF-F-120 pctBaseMonthly → MK-CF-F-003 categoryMonthly
4. MK-CF-F-132 map → MK-CF-F-065 equityVestWeights → MK-CF-F-092 incomeMonthlyGrid → MK-CF-F-120 pctBaseMonthly → MK-CF-F-003 categoryMonthly
5. MK-CF-F-069 benefitActiveMonths → MK-CF-F-070 benefitAnnual → MK-CF-F-071 extraIncome → MK-CF-F-092 incomeMonthlyGrid → MK-CF-F-120 pctBaseMonthly → MK-CF-F-003 categoryMonthly
6. MK-ST-F-052 toNum → MK-CF-F-070 benefitAnnual → MK-CF-F-071 extraIncome → MK-CF-F-092 incomeMonthlyGrid → MK-CF-F-120 pctBaseMonthly → MK-CF-F-003 categoryMonthly
7. MK-ST-F-039 on → MK-CF-F-071 extraIncome → MK-CF-F-092 incomeMonthlyGrid → MK-CF-F-120 pctBaseMonthly → MK-CF-F-003 categoryMonthly
8. MK-XS-F-122 n → MK-ST-F-052 toNum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101</v>
      </c>
      <c r="Q6" s="3" t="inlineStr">
        <is>
          <t>1. MK-CF-F-003 categoryMonthly
2. MK-ST-F-052 toNum
3. MK-CF-F-120 pctBaseMonthly
4. MK-XS-F-027 takeHomeMonthly
5. MK-XS-F-122 n
6. MK-CF-F-092 incomeMonthlyGrid
7. MK-CF-F-011 savingsByMonth
8. MK-CF-F-069 benefitActiveMonths
9. MK-CF-F-072 currentRetirementIncomeMonthly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MK-PL-F-012 waterfall
24. MK-CF-F-008 spendByMonth
25. MK-CF-F-075 retirementIncomeMonthly
26. MK-CF-F-062 equityRowValue
27. MK-CF-F-070 benefitAnnual
28. MK-ST-F-039 on
29. MK-CF-F-176 sumMonthsOverEarners
30. MK-CF-F-177 wageGrossByMonth
31. MK-CF-F-203 MONTH
32. MK-CF-F-090 effectiveRate
33. MK-CF-F-085 filingStatusOf
34. MK-CF-F-089 over65CountOf
35. MK-CF-F-098 progressiveMonthlyTax
36. MK-CF-F-086 stateRateOf
37. MK-CF-F-173 earnerWages
38. MK-CF-F-102 effectiveRateOnGrossFor
39. MK-CF-F-180 enteredLandsAnnual
40. MK-CF-F-082 salaryAnnual
41. MK-CF-F-084 taxableAnnual
42. MK-CF-O-002 expenses
43. MK-CF-F-067 rentalList
44. MK-CF-F-063 rowVestYear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MK-CF-F-062 equityRowValue → MK-CF-F-065 equityVestWeights → MK-CF-F-092 incomeMonthlyGrid → MK-CF-F-120 pctBaseMonthly → MK-CF-F-003 categoryMonthly → MK-CF-F-004 spendBuckets
4. MK-CF-F-132 map → MK-CF-F-065 equityVestWeights → MK-CF-F-092 incomeMonthlyGrid → MK-CF-F-120 pctBaseMonthly → MK-CF-F-003 categoryMonthly → MK-CF-F-004 spendBuckets
5. MK-CF-F-070 benefitAnnual → MK-CF-F-071 extraIncome → MK-CF-F-092 incomeMonthlyGrid → MK-CF-F-120 pctBaseMonthly → MK-CF-F-003 categoryMonthly → MK-CF-F-004 spendBuckets
6. MK-ST-F-039 on → MK-CF-F-071 extraIncome → MK-CF-F-092 incomeMonthlyGrid → MK-CF-F-120 pctBaseMonthly → MK-CF-F-003 categoryMonthly → MK-CF-F-004 spendBuckets
7. MK-ST-F-052 toNum → MK-CF-F-071 extraIncome → MK-CF-F-092 incomeMonthlyGrid → MK-CF-F-120 pctBaseMonthly → MK-CF-F-003 categoryMonthly → MK-CF-F-004 spendBuckets
8. MK-ST-F-056 has → MK-CF-F-092 incomeMonthlyGrid → MK-CF-F-120 pctBaseMonthly → MK-CF-F-003 categoryMonthly → MK-CF-F-004 spendBuckets
9. … and 5 more paths</t>
        </is>
      </c>
      <c r="S6" s="3" t="inlineStr">
        <is>
          <t>MK-CF-M-013 · MK-CF-M-014 · MK-CF-M-019</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300</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101</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MK-NW-F-072 rowOf
33. MK-CF-O-010 theMonth
34. MK-CF-F-021 defaultPaymentType
35. MK-CF-F-069 benefitActiveMonths
36. MK-CF-F-072 currentRetirementIncomeMonthly
37. MK-CF-F-065 equityVestWeights
38. MK-CF-F-071 extraIncome
39. MK-ST-F-056 has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MK-CF-F-008 spendByMonth
51. MK-ST-F-047 activeCurrency
52. MK-NW-F-060 approxYTM
53. MK-NW-F-069 priceAtYield
54. MK-NW-F-011 assetClassOf
55. MK-NW-F-070 accruedInterestCaveat
56. MK-NW-F-071 isCertificateOfDeposit
57. MK-NW-F-058 yearsToMaturity
58. MK-CF-O-002 expenses
59. MK-CF-O-003 thisMonth
60. MK-CF-F-075 retirementIncomeMonthly
61. MK-CF-F-062 equityRowValue
62. MK-CF-F-070 benefitAnnual
63. MK-CF-F-176 sumMonthsOverEarners
64. MK-CF-F-177 wageGrossByMonth
65. MK-CF-F-090 effectiveRate
66. MK-CF-F-085 filingStatusOf
67. MK-CF-F-089 over65CountOf
68. MK-CF-F-098 progressiveMonthlyTax
69. MK-CF-F-086 stateRateOf
70. MK-CF-F-173 earnerWages
71. MK-CF-F-102 effectiveRateOnGrossFor
72. MK-CF-F-180 enteredLandsAnnual
73. MK-CF-F-082 salaryAnnual
74. MK-CF-F-084 taxableAnnual
75. MK-CF-F-067 rentalList
76. MK-CF-F-063 rowVestYear
77. MK-CF-F-120 pctBaseMonthly
78. MK-CF-F-004 spendBuckets
79. MK-NW-F-008 incomeBearingClassOf
80. MK-CF-F-151 actualSpending
81. MK-CF-F-150 debtPaymentsCountedAsExpenses
82. MK-CF-F-153 radar
83. MK-CF-F-149 recurringDebtPayments
84. MK-CF-F-156 plannedMonthFlow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MK-CF-F-132 map → MK-NW-F-061 bondSummary → MK-NW-O-001 theBonds → MK-NW-F-077 ALL → MK-NW-F-078 ONE → MK-CF-F-005 actualMonthFlow
8. MK-NW-F-011 assetClassOf → MK-NW-F-055 isBond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101</v>
      </c>
      <c r="Q10" s="3" t="inlineStr">
        <is>
          <t>1. MK-CF-F-132 map
2. MK-CF-F-120 pctBaseMonthly
3. MK-CF-F-004 spendBuckets
4. MK-ST-F-052 toNum
5. MK-CF-F-092 incomeMonthlyGrid
6. MK-CF-F-003 categoryMonthly
7. MK-XS-F-122 n
8. MK-CF-F-069 benefitActiveMonths
9. MK-CF-F-072 currentRetirementIncomeMonthly
10. MK-CF-F-065 equityVestWeights
11. MK-CF-F-071 extraIncome
12. MK-ST-F-056 has
13. MK-CF-F-206 householdK401ByMonth
14. MK-CF-F-087 monthlyTaxRates
15. MK-CF-F-073 otherIncomeMonth
16. MK-CF-F-181 rateInForce
17. MK-CF-F-068 rentalNetAnnual
18. MK-CF-F-066 rsuAnnual
19. MK-CF-F-060 salaryGrossByMonth
20. MK-CF-F-077 scholarshipByCalendarMonth
21. MK-CF-F-088 taxableByCalendarMonth
22. MK-PL-F-012 waterfall
23. MK-XS-F-027 takeHomeMonthly
24. MK-CF-F-075 retirementIncomeMonthly
25. MK-CF-F-062 equityRowValue
26. MK-CF-F-070 benefitAnnual
27. MK-ST-F-039 on
28. MK-CF-F-176 sumMonthsOverEarners
29. MK-CF-F-177 wageGrossByMonth
30. MK-CF-F-203 MONTH
31. MK-CF-F-090 effectiveRate
32. MK-CF-F-085 filingStatusOf
33. MK-CF-F-089 over65CountOf
34. MK-CF-F-098 progressiveMonthlyTax
35. MK-CF-F-086 stateRateOf
36. MK-CF-F-173 earnerWages
37. MK-CF-F-102 effectiveRateOnGrossFor
38. MK-CF-F-180 enteredLandsAnnual
39. MK-CF-F-082 salaryAnnual
40. MK-CF-F-084 taxableAnnual
41. MK-CF-O-002 expenses
42. MK-CF-F-067 rentalList
43. MK-CF-F-063 rowVestYear
44. MK-CF-F-011 savingsByMonth
45. MK-CF-F-130 enteredMonthlyRaw
46. MK-CF-F-166 hasMonthlySalaryTable
47. MK-ST-F-036 reconcile
48. MK-CF-F-167 salaryCalendarYear
49. MK-CF-O-010 theMonth
50. MK-CF-F-101 taxOwedFor
51. MK-CF-F-100 taxableIncomeFor
52. MK-CF-F-172 hasWage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MK-ST-F-052 toNum → MK-CF-F-062 equityRowValue → MK-CF-F-065 equityVestWeights → MK-CF-F-092 incomeMonthlyGrid → MK-CF-F-120 pctBaseMonthly → MK-CF-F-008 spendByMonth
5. MK-CF-F-132 map → MK-CF-F-065 equityVestWeights → MK-CF-F-092 incomeMonthlyGrid → MK-CF-F-120 pctBaseMonthly → MK-CF-F-008 spendByMonth
6. MK-CF-F-069 benefitActiveMonths → MK-CF-F-070 benefitAnnual → MK-CF-F-071 extraIncome → MK-CF-F-092 incomeMonthlyGrid → MK-CF-F-120 pctBaseMonthly → MK-CF-F-008 spendByMonth
7. MK-ST-F-052 toNum → MK-CF-F-070 benefitAnnual → MK-CF-F-071 extraIncome → MK-CF-F-092 incomeMonthlyGrid → MK-CF-F-120 pctBaseMonthly → MK-CF-F-008 spendByMonth
8. MK-ST-F-039 on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103</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MK-PL-F-012 waterfall
25. MK-CF-F-011 savingsByMonth
26. MK-CF-F-075 retirementIncomeMonthly
27. MK-CF-F-062 equityRowValue
28. MK-CF-F-070 benefitAnnual
29. MK-ST-F-039 on
30. MK-CF-F-176 sumMonthsOverEarners
31. MK-CF-F-177 wageGrossByMonth
32. MK-CF-F-203 MONTH
33. MK-CF-F-090 effectiveRate
34. MK-CF-F-085 filingStatusOf
35. MK-CF-F-089 over65CountOf
36. MK-CF-F-098 progressiveMonthlyTax
37. MK-CF-F-086 stateRateOf
38. MK-CF-F-173 earnerWages
39. MK-CF-F-102 effectiveRateOnGrossFor
40. MK-CF-F-180 enteredLandsAnnual
41. MK-CF-F-082 salaryAnnual
42. MK-CF-F-084 taxableAnnual
43. MK-CF-O-002 expenses
44. MK-CF-F-067 rentalList
45. MK-CF-F-063 rowVestYear
46. MK-CF-F-008 spendByMonth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MK-CF-F-191 ym
67. MK-CF-F-022 paymentShape
68. MK-CF-F-152 isRadarItem
69. MK-CF-F-023 requiredPayment
70. MK-CF-F-005 actualMonthFlow
71. MK-CF-F-156 plannedMonthFlow
72. MK-CF-F-187 seniorDeductionFor
73. MK-CF-F-021 defaultPaymentType
74. MK-NW-F-078 ONE
75. MK-CF-F-157 debtPaymentsByDebt
76. MK-CF-F-192 inflowLabel
77. MK-NW-F-077 ALL
78. MK-NW-F-059 currentYield
79. MK-XS-F-180 declareFigures
80. MK-ST-F-049 formatMoney
81. MK-ST-F-053 money
82. MK-NW-O-001 theBonds
83. MK-CF-F-193 inflowSourceWord
84. MK-NW-F-057 annualCoupon
85. MK-ST-F-048 currencySymbol
86. MK-ST-F-027 accountId
87. MK-NW-F-056 bondInfo
88. MK-NW-F-064 bondRateSensitivity
89. MK-NW-F-061 bondSummary
90. MK-NW-F-055 isBond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MK-ST-F-052 toNum → MK-CF-F-062 equityRowValue → MK-CF-F-065 equityVestWeights → MK-CF-F-092 incomeMonthlyGrid → MK-CF-F-120 pctBaseMonthly → MK-CF-F-009 monthlyEssentials
4. MK-CF-F-132 map → MK-CF-F-065 equityVestWeights → MK-CF-F-092 incomeMonthlyGrid → MK-CF-F-120 pctBaseMonthly → MK-CF-F-009 monthlyEssentials
5. MK-CF-F-069 benefitActiveMonths → MK-CF-F-070 benefitAnnual → MK-CF-F-071 extraIncome → MK-CF-F-092 incomeMonthlyGrid → MK-CF-F-120 pctBaseMonthly → MK-CF-F-009 monthlyEssentials
6. MK-ST-F-052 toNum → MK-CF-F-070 benefitAnnual → MK-CF-F-071 extraIncome → MK-CF-F-092 incomeMonthlyGrid → MK-CF-F-120 pctBaseMonthly → MK-CF-F-009 monthlyEssentials
7. MK-ST-F-039 on → MK-CF-F-071 extraIncome → MK-CF-F-092 incomeMonthlyGrid → MK-CF-F-120 pctBaseMonthly → MK-CF-F-009 monthlyEssentials
8. MK-XS-F-122 n → MK-ST-F-052 toNum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104</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MK-CF-F-065 equityVestWeights
14. MK-CF-F-071 extraIncome
15. MK-ST-F-056 has
16. MK-CF-F-206 householdK401ByMonth
17. MK-CF-F-132 map
18. MK-CF-F-087 monthlyTaxRates
19. MK-CF-F-073 otherIncomeMonth
20. MK-CF-F-181 rateInForce
21. MK-CF-F-068 rentalNetAnnual
22. MK-CF-F-066 rsuAnnual
23. MK-CF-F-060 salaryGrossByMonth
24. MK-CF-F-077 scholarshipByCalendarMonth
25. MK-CF-F-088 taxableByCalendarMonth
26. MK-PL-F-012 waterfall
27. MK-CF-F-011 savingsByMonth
28. MK-CF-F-075 retirementIncomeMonthly
29. MK-CF-F-062 equityRowValue
30. MK-CF-F-070 benefitAnnual
31. MK-ST-F-039 on
32. MK-CF-F-176 sumMonthsOverEarners
33. MK-CF-F-177 wageGrossByMonth
34. MK-CF-F-203 MONTH
35. MK-CF-F-090 effectiveRate
36. MK-CF-F-085 filingStatusOf
37. MK-CF-F-089 over65CountOf
38. MK-CF-F-098 progressiveMonthlyTax
39. MK-CF-F-086 stateRateOf
40. MK-CF-F-173 earnerWages
41. MK-CF-F-102 effectiveRateOnGrossFor
42. MK-CF-F-180 enteredLandsAnnual
43. MK-CF-F-082 salaryAnnual
44. MK-CF-F-084 taxableAnnual
45. MK-CF-O-002 expenses
46. MK-CF-F-067 rentalList
47. MK-CF-F-063 rowVestYear
48. MK-CF-F-008 spendByMonth
49. MK-CF-F-130 enteredMonthlyRaw
50. MK-CF-F-166 hasMonthlySalaryTable
51. MK-ST-F-036 reconcile
52. MK-CF-F-167 salaryCalendarYear
53. MK-CF-O-010 theMonth
54. MK-CF-F-101 taxOwedFor
55. MK-CF-F-100 taxableIncomeFor
56. MK-CF-F-172 hasWage
57. MK-CF-F-074 tipsAnnual
58. MK-CF-F-151 actualSpending
59. MK-CF-F-150 debtPaymentsCountedAsExpenses
60. MK-CF-F-153 radar
61. MK-CF-F-149 recurringDebtPayments
62. MK-CF-F-165 salaryMonths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MK-CF-F-062 equityRowValue → MK-CF-F-065 equityVestWeights → MK-CF-F-092 incomeMonthlyGrid → MK-CF-F-120 pctBaseMonthly → MK-CF-F-009 monthlyEssentials → MK-CF-F-010 emergencyTest
5. MK-CF-F-132 map → MK-CF-F-065 equityVestWeights → MK-CF-F-092 incomeMonthlyGrid → MK-CF-F-120 pctBaseMonthly → MK-CF-F-009 monthlyEssentials → MK-CF-F-010 emergencyTest
6. MK-CF-F-070 benefitAnnual → MK-CF-F-071 extraIncome → MK-CF-F-092 incomeMonthlyGrid → MK-CF-F-120 pctBaseMonthly → MK-CF-F-009 monthlyEssentials → MK-CF-F-010 emergencyTest
7. MK-ST-F-039 on → MK-CF-F-071 extraIncome → MK-CF-F-092 incomeMonthlyGrid → MK-CF-F-120 pctBaseMonthly → MK-CF-F-009 monthlyEssentials → MK-CF-F-010 emergencyTest
8. MK-ST-F-052 toNum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101</v>
      </c>
      <c r="Q13" s="3" t="inlineStr">
        <is>
          <t>1. MK-CF-F-092 incomeMonthlyGrid
2. MK-CF-F-132 map
3. MK-CF-F-008 spendByMonth
4. MK-CF-F-069 benefitActiveMonths
5. MK-CF-F-072 currentRetirementIncomeMonthly
6. MK-CF-F-065 equityVestWeights
7. MK-CF-F-071 extraIncome
8. MK-ST-F-056 has
9. MK-CF-F-206 householdK401ByMonth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MK-XS-F-122 n → MK-ST-F-052 toNum → MK-CF-F-062 equityRowValue → MK-CF-F-065 equityVestWeights → MK-CF-F-092 incomeMonthlyGrid → MK-CF-F-011 savingsByMonth
4. MK-CF-F-132 map → MK-CF-F-065 equityVestWeights → MK-CF-F-092 incomeMonthlyGrid → MK-CF-F-011 savingsByMonth
5. MK-CF-F-069 benefitActiveMonths → MK-CF-F-070 benefitAnnual → MK-CF-F-071 extraIncome → MK-CF-F-092 incomeMonthlyGrid → MK-CF-F-011 savingsByMonth
6. MK-XS-F-122 n → MK-ST-F-052 toNum → MK-CF-F-070 benefitAnnual → MK-CF-F-071 extraIncome → MK-CF-F-092 incomeMonthlyGrid → MK-CF-F-011 savingsByMonth
7. MK-ST-F-039 on → MK-CF-F-071 extraIncome → MK-CF-F-092 incomeMonthlyGrid → MK-CF-F-011 savingsByMonth
8. MK-XS-F-122 n → MK-ST-F-052 toNum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102</v>
      </c>
      <c r="Q14" s="3" t="inlineStr">
        <is>
          <t>1. MK-CF-F-092 incomeMonthlyGrid
2. MK-CF-F-008 spendByMonth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MK-CF-F-120 pctBaseMonthly
21. MK-CF-F-004 spendBuckets
22. MK-CF-F-075 retirementIncomeMonthly
23. MK-CF-F-062 equityRowValue
24. MK-CF-F-070 benefitAnnual
25. MK-ST-F-039 on
26. MK-CF-F-176 sumMonthsOverEarners
27. MK-CF-F-177 wageGrossByMonth
28. MK-CF-F-203 MONTH
29. MK-CF-F-090 effectiveRate
30. MK-CF-F-085 filingStatusOf
31. MK-CF-F-089 over65CountOf
32. MK-CF-F-098 progressiveMonthlyTax
33. MK-CF-F-086 stateRateOf
34. MK-CF-F-173 earnerWages
35. MK-CF-F-102 effectiveRateOnGrossFor
36. MK-CF-F-180 enteredLandsAnnual
37. MK-CF-F-082 salaryAnnual
38. MK-CF-F-084 taxableAnnual
39. MK-CF-O-002 expenses
40. MK-CF-F-067 rentalList
41. MK-CF-F-063 rowVestYear
42. MK-XS-F-122 n
43. MK-CF-F-003 categoryMonthly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MK-XS-F-027 takeHomeMonthly
58. MK-CF-F-165 salaryMonths
59. MK-CF-F-155 cash
60. MK-CF-O-003 thisMonth
61. MK-CF-F-099 deductionFor
62. MK-CF-F-081 salaryActiveMonths
63. MK-CF-F-148 inMonth
64. MK-CF-F-191 ym
65. MK-CF-F-022 paymentShape
66. MK-CF-F-152 isRadarItem
67. MK-CF-F-023 requiredPayment
68. MK-CF-F-011 savingsByMonth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MK-XS-F-122 n → MK-ST-F-052 toNum → MK-CF-F-062 equityRowValue → MK-CF-F-065 equityVestWeights → MK-CF-F-092 incomeMonthlyGrid → MK-CF-F-012 annualCashflow
4. MK-CF-F-132 map → MK-CF-F-065 equityVestWeights → MK-CF-F-092 incomeMonthlyGrid → MK-CF-F-012 annualCashflow
5. MK-CF-F-069 benefitActiveMonths → MK-CF-F-070 benefitAnnual → MK-CF-F-071 extraIncome → MK-CF-F-092 incomeMonthlyGrid → MK-CF-F-012 annualCashflow
6. MK-XS-F-122 n → MK-ST-F-052 toNum → MK-CF-F-070 benefitAnnual → MK-CF-F-071 extraIncome → MK-CF-F-092 incomeMonthlyGrid → MK-CF-F-012 annualCashflow
7. MK-ST-F-039 on → MK-CF-F-071 extraIncome → MK-CF-F-092 incomeMonthlyGrid → MK-CF-F-012 annualCashflow
8. MK-XS-F-122 n → MK-ST-F-052 toNum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590</v>
      </c>
      <c r="E15" s="3" t="inlineStr">
        <is>
          <t>3 · DEPENDENT</t>
        </is>
      </c>
      <c r="F15" s="3" t="inlineStr">
        <is>
          <t>NOT DETERMINED — the code carries no note saying what this is for, and it has no row in the old inventory. Needs reading.</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MK-CF-F-069 benefitActiveMonths
35. MK-CF-F-072 currentRetirementIncomeMonthly
36. MK-CF-F-065 equityVestWeights
37. MK-CF-F-071 extraIncome
38. MK-CF-F-206 householdK401ByMonth
39. MK-CF-F-087 monthlyTaxRates
40. MK-CF-F-073 otherIncomeMonth
41. MK-CF-F-181 rateInForce
42. MK-CF-F-068 rentalNetAnnual
43. MK-CF-F-066 rsuAnnual
44. MK-CF-F-060 salaryGrossByMonth
45. MK-CF-F-077 scholarshipByCalendarMonth
46. MK-CF-F-088 taxableByCalendarMonth
47. MK-PL-F-012 waterfall
48. MK-CF-F-011 savingsByMonth
49. MK-CF-F-120 pctBaseMonthly
50. MK-CF-F-138 addLot
51. MK-CF-F-136 bumpCash
52. MK-CF-F-137 findPos
53. MK-CF-F-139 removeShares
54. MK-PF-F-001 totalShares
55. MK-ST-F-053 money
56. MK-CF-F-085 filingStatusOf
57. MK-CF-F-097 grossFromNet
58. MK-CF-F-185 needsTakeHomeConversion
59. MK-CF-F-089 over65CountOf
60. MK-CF-F-037 inferDebtType
61. MK-ST-F-069 amountOf
62. MK-CF-F-133 cashOf
63. MK-ST-F-066 isDayKey
64. MK-ST-F-070 isOpening
65. MK-ST-F-071 rebuildableFrom
66. MK-ST-F-068 stepDay
67. MK-ST-F-072 undo
68. MK-NW-F-053 correctClassOf
69. MK-NW-F-008 incomeBearingClassOf
70. MK-PF-F-002 costBasis
71. MK-PF-F-009 latestClose
72. MK-PF-F-004 marketValue
73. MK-ST-F-030 record
74. MK-XS-F-024 resolveLens
75. MK-ST-F-055 round2
76. MK-CF-F-162 daysApart
77. MK-CF-F-108 isMoneyOut
78. MK-PL-F-074 median
79. MK-CF-F-131 normPayee
80. MK-CF-F-113 affectedAccountIds
81. MK-CF-F-075 retirementIncomeMonthly
82. MK-CF-F-062 equityRowValue
83. MK-CF-F-070 benefitAnnual
84. MK-ST-F-039 on
85. MK-CF-F-176 sumMonthsOverEarners
86. MK-CF-F-177 wageGrossByMonth
87. MK-CF-F-203 MONTH
88. MK-CF-F-090 effectiveRate
89. MK-CF-F-098 progressiveMonthlyTax
90. MK-CF-F-086 stateRateOf
91. MK-CF-F-173 earnerWages
92. MK-CF-F-102 effectiveRateOnGrossFor
93. MK-CF-F-180 enteredLandsAnnual
94. MK-CF-F-082 salaryAnnual
95. MK-CF-F-084 taxableAnnual
96. MK-CF-O-002 expenses
97. MK-CF-F-067 rentalList
98. MK-CF-F-063 rowVestYear
99. MK-CF-F-008 spendByMonth
100. MK-CF-F-134 usesSleeve
101. MK-ST-F-049 formatMoney
102. MK-CF-F-101 taxOwedFor
103. MK-ST-F-067 utcOfDay
104. MK-CF-F-155 cash
105. MK-ST-F-035 covers
106. MK-NW-F-009 maturityClass
107. MK-ST-F-010 nameEvidence
108. MK-PF-F-031 contractMultiplier
109. MK-CF-F-130 enteredMonthlyRaw
110. MK-CF-F-166 hasMonthlySalaryTable
111. MK-ST-F-036 reconcile
112. MK-CF-F-167 salaryCalendarYear
113. MK-CF-O-010 theMonth
114. MK-CF-F-100 taxableIncomeFor
115. MK-CF-F-172 hasWage
116. MK-CF-F-074 tipsAnnual
117. MK-CF-F-151 actualSpending
118. MK-CF-F-150 debtPaymentsCountedAsExpenses
119. MK-CF-F-153 radar
120. MK-CF-F-149 recurringDebtPayments
121. MK-ST-F-048 currencySymbol
122. MK-ST-F-034 firstDate
123. MK-XS-F-147 call
124. MK-CF-F-165 salaryMonths
125. MK-CF-O-003 thisMonth
126. MK-CF-F-099 deductionFor
127. MK-CF-F-081 salaryActiveMonths
128. MK-CF-F-148 inMonth
129. MK-CF-F-022 paymentShape
130. MK-CF-F-152 isRadarItem
131. MK-CF-F-023 requiredPayment
132. MK-ST-F-047 activeCurrency
133. MK-XS-F-064 currentIdToken
134. MK-XS-F-112 relayUrl
135. MK-CF-F-005 actualMonthFlow
136. MK-CF-F-156 plannedMonthFlow
137. MK-CF-F-187 seniorDeductionFor
138. MK-CF-F-021 defaultPaymentType
139. MK-NW-F-078 ONE
140. MK-CF-F-157 debtPaymentsByDebt
141. MK-CF-F-192 inflowLabel
142. MK-NW-F-077 ALL
143. MK-NW-F-059 currentYield
144. MK-XS-F-180 declareFigures
145. MK-NW-O-001 theBonds
146. MK-CF-F-193 inflowSourceWord
147. MK-NW-F-057 annualCoupon
148. MK-NW-F-056 bondInfo
149. MK-NW-F-064 bondRateSensitivity
150. MK-NW-F-061 bondSummary
151. MK-NW-F-055 isBond
152. MK-NW-F-072 rowOf
153. MK-NW-F-060 approxYTM
154. MK-NW-F-069 priceAtYield
155. MK-NW-F-011 assetClassOf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MK-ST-F-052 toNum → MK-CF-F-062 equityRowValue → MK-CF-F-065 equityVestWeights → MK-CF-F-092 incomeMonthlyGrid → MK-CF-F-002 plannedMonthlySpend → MK-CF-F-013 budgetFromOnboarding
4. MK-CF-F-132 map → MK-CF-F-065 equityVestWeights → MK-CF-F-092 incomeMonthlyGrid → MK-CF-F-002 plannedMonthlySpend → MK-CF-F-013 budgetFromOnboarding
5. MK-CF-F-069 benefitActiveMonths → MK-CF-F-070 benefitAnnual → MK-CF-F-071 extraIncome → MK-CF-F-092 incomeMonthlyGrid → MK-CF-F-002 plannedMonthlySpend → MK-CF-F-013 budgetFromOnboarding
6. MK-ST-F-052 toNum → MK-CF-F-070 benefitAnnual → MK-CF-F-071 extraIncome → MK-CF-F-092 incomeMonthlyGrid → MK-CF-F-002 plannedMonthlySpend → MK-CF-F-013 budgetFromOnboarding
7. MK-ST-F-039 on → MK-CF-F-071 extraIncome → MK-CF-F-092 incomeMonthlyGrid → MK-CF-F-002 plannedMonthlySpend → MK-CF-F-013 budgetFromOnboarding
8. MK-XS-F-122 n → MK-ST-F-052 toNum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644</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1. "Actual expenses so far" — on the Home screen, under "THIS MONTH"
2. "No regular bills recorded." — on the Month detail screen, under "REGULAR BILLS"</t>
        </is>
      </c>
      <c r="M16" s="3" t="inlineStr">
        <is>
          <t>· Uses today's date from the device clock, so the answer changes by itself overnight.</t>
        </is>
      </c>
      <c r="N16" s="3" t="inlineStr">
        <is>
          <t>Yes</t>
        </is>
      </c>
      <c r="O16" s="3" t="inlineStr">
        <is>
          <t>1. MK-CF-F-132 map
2. MK-CF-F-004 spendBuckets
3. MK-ST-F-052 toNum
4. MK-CF-F-191 ym</t>
        </is>
      </c>
      <c r="P16" s="3" t="n">
        <v>102</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MK-CF-F-008 spendByMonth
27. MK-CF-F-075 retirementIncomeMonthly
28. MK-CF-F-062 equityRowValue
29. MK-CF-F-070 benefitAnnual
30. MK-ST-F-039 on
31. MK-CF-F-176 sumMonthsOverEarners
32. MK-CF-F-177 wageGrossByMonth
33. MK-CF-F-203 MONTH
34. MK-CF-F-090 effectiveRate
35. MK-CF-F-085 filingStatusOf
36. MK-CF-F-089 over65CountOf
37. MK-CF-F-098 progressiveMonthlyTax
38. MK-CF-F-086 stateRateOf
39. MK-CF-F-173 earnerWages
40. MK-CF-F-102 effectiveRateOnGrossFor
41. MK-CF-F-180 enteredLandsAnnual
42. MK-CF-F-082 salaryAnnual
43. MK-CF-F-084 taxableAnnual
44. MK-CF-O-002 expenses
45. MK-CF-F-067 rentalList
46. MK-CF-F-063 rowVestYear
47. MK-CF-F-130 enteredMonthlyRaw
48. MK-CF-F-166 hasMonthlySalaryTable
49. MK-ST-F-036 reconcile
50. MK-CF-F-167 salaryCalendarYear
51. MK-CF-O-010 theMonth
52. MK-CF-F-101 taxOwedFor
53. MK-CF-F-100 taxableIncomeFor
54. MK-CF-F-172 hasWage
55. MK-CF-F-074 tipsAnnual
56. MK-CF-F-151 actualSpending
57. MK-CF-F-150 debtPaymentsCountedAsExpenses
58. MK-CF-F-153 radar
59. MK-CF-F-149 recurringDebtPayments
60. MK-CF-F-165 salaryMonths
61. MK-CF-F-155 cash
62. MK-CF-O-003 thisMonth
63. MK-CF-F-099 deductionFor
64. MK-CF-F-081 salaryActiveMonths
65. MK-CF-F-148 inMonth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MK-CF-F-065 equityVestWeights → MK-CF-F-092 incomeMonthlyGrid → MK-CF-F-120 pctBaseMonthly → MK-CF-F-003 categoryMonthly → MK-CF-F-004 spendBuckets → MK-CF-F-014 budgetVsActual
5. MK-CF-F-071 extraIncome → MK-CF-F-092 incomeMonthlyGrid → MK-CF-F-120 pctBaseMonthly → MK-CF-F-003 categoryMonthly → MK-CF-F-004 spendBuckets → MK-CF-F-014 budgetVsActual
6. MK-ST-F-056 has → MK-CF-F-092 incomeMonthlyGrid → MK-CF-F-120 pctBaseMonthly → MK-CF-F-003 categoryMonthly → MK-CF-F-004 spendBuckets → MK-CF-F-014 budgetVsActual
7. MK-CF-F-206 householdK401ByMonth → MK-CF-F-092 incomeMonthlyGrid → MK-CF-F-120 pctBaseMonthly → MK-CF-F-003 categoryMonthly → MK-CF-F-004 spendBuckets → MK-CF-F-014 budgetVsActual
8. MK-CF-F-132 map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682</v>
      </c>
      <c r="E17" s="3" t="inlineStr">
        <is>
          <t>3 · DEPENDENT (feeds an action only)</t>
        </is>
      </c>
      <c r="F17" s="3" t="inlineStr">
        <is>
          <t>NOT DETERMINED — the code carries no note saying what this is for, and it has no row in the old inventory. Needs reading.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80</v>
      </c>
      <c r="Q1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698</v>
      </c>
      <c r="E18" s="3" t="inlineStr">
        <is>
          <t>1 · ACTION</t>
        </is>
      </c>
      <c r="F18" s="3" t="inlineStr">
        <is>
          <t>NOT DETERMINED — the code carries no note saying what this is for, and it has no row in the old inventory. Needs reading.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81</v>
      </c>
      <c r="Q18"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715</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81</v>
      </c>
      <c r="Q19" s="3" t="inlineStr">
        <is>
          <t>1. MK-ST-F-040 emit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69</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224</v>
      </c>
      <c r="E21" s="3" t="inlineStr">
        <is>
          <t>3 · DEPENDENT</t>
        </is>
      </c>
      <c r="F21" s="3" t="inlineStr">
        <is>
          <t>NOT DETERMINED — the code carries no note saying what this is for, and it has no row in the old inventory. Needs reading.</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108</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MK-CF-F-102 effectiveRateOnGrossFor
29. MK-CF-F-180 enteredLandsAnnual
30. MK-CF-F-085 filingStatusOf
31. MK-CF-F-089 over65CountOf
32. MK-CF-F-086 stateRateOf
33. MK-CF-F-176 sumMonthsOverEarners
34. MK-CF-F-177 wageGrossByMonth
35. MK-CF-F-151 actualSpending
36. MK-CF-F-150 debtPaymentsCountedAsExpenses
37. MK-CF-F-153 radar
38. MK-CF-F-149 recurringDebtPayments
39. MK-CF-F-120 pctBaseMonthly
40. MK-XS-F-027 takeHomeMonthly
41. MK-ST-F-039 on
42. MK-CF-F-062 equityRowValue
43. MK-CF-F-063 rowVestYear
44. MK-CF-F-081 salaryActiveMonths
45. MK-CF-F-172 hasWage
46. MK-CF-F-101 taxOwedFor
47. MK-CF-F-130 enteredMonthlyRaw
48. MK-CF-F-166 hasMonthlySalaryTable
49. MK-ST-F-036 reconcile
50. MK-CF-F-167 salaryCalendarYear
51. MK-CF-F-148 inMonth
52. MK-CF-F-191 ym
53. MK-ST-F-056 has
54. MK-CF-F-022 paymentShape
55. MK-CF-F-152 isRadarItem
56. MK-CF-F-023 requiredPayment
57. MK-CF-F-092 incomeMonthlyGrid
58. MK-CF-F-011 savingsByMonth
59. MK-CF-F-100 taxableIncomeFor
60. MK-CF-F-165 salaryMonths
61. MK-CF-F-021 defaultPaymentType
62. MK-CF-F-065 equityVestWeights
63. MK-CF-F-206 householdK401ByMonth
64. MK-CF-F-087 monthlyTaxRates
65. MK-CF-F-073 otherIncomeMonth
66. MK-CF-F-077 scholarshipByCalendarMonth
67. MK-CF-F-088 taxableByCalendarMonth
68. MK-PL-F-012 waterfall
69. MK-CF-F-008 spendByMonth
70. MK-CF-F-099 deductionFor
71. MK-CF-F-203 MONTH
72. MK-CF-F-098 progressiveMonthlyTax
73. MK-CF-F-187 seniorDeductionFor
74. MK-CF-O-010 theMonth
75. MK-CF-F-155 cash
76. MK-CF-O-003 thisMonth
77. MK-CF-F-005 actualMonthFlow
78. MK-CF-F-156 plannedMonthFlow
79. MK-NW-F-078 ONE
80. MK-CF-F-157 debtPaymentsByDebt
81. MK-CF-F-192 inflowLabel
82. MK-NW-F-077 ALL
83. MK-NW-F-059 currentYield
84. MK-XS-F-180 declareFigures
85. MK-ST-F-049 formatMoney
86. MK-ST-F-053 money
87. MK-NW-O-001 theBonds
88. MK-CF-F-193 inflowSourceWord
89. MK-NW-F-057 annualCoupon
90. MK-ST-F-048 currencySymbol
91. MK-ST-F-027 accountId
92. MK-NW-F-056 bondInfo
93. MK-NW-F-064 bondRateSensitivity
94. MK-NW-F-061 bondSummary
95. MK-NW-F-055 isBond
96. MK-NW-F-072 rowOf
97. MK-ST-F-047 activeCurrency
98. MK-NW-F-060 approxYTM
99. MK-NW-F-069 priceAtYield
100. MK-NW-F-011 assetClassOf
101. MK-NW-F-070 accruedInterestCaveat
102. MK-NW-F-071 isCertificateOfDeposit
103. MK-NW-F-058 yearsToMaturity
104. MK-NW-F-008 incomeBearingClassOf
105. MK-ST-F-010 nameEvidence
106. MK-XS-F-147 call
107. MK-XS-F-064 currentIdToken
108.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MK-CF-F-100 taxableIncomeFor → MK-CF-F-101 taxOwedFor → MK-CF-F-102 effectiveRateOnGrossFor → MK-CF-F-181 rateInForce → MK-CF-F-090 effectiveRate → MK-CF-F-019 upcomingBills
8. MK-CF-F-172 hasWage → MK-CF-F-173 earnerWages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343</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104</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MK-CF-F-102 effectiveRateOnGrossFor
26. MK-CF-F-180 enteredLandsAnnual
27. MK-CF-F-085 filingStatusOf
28. MK-CF-F-089 over65CountOf
29. MK-CF-F-082 salaryAnnual
30. MK-CF-F-086 stateRateOf
31. MK-CF-F-084 taxableAnnual
32. MK-CF-F-063 rowVestYear
33. MK-CF-F-151 actualSpending
34. MK-CF-F-150 debtPaymentsCountedAsExpenses
35. MK-CF-F-153 radar
36. MK-CF-F-149 recurringDebtPayments
37. MK-CF-F-130 enteredMonthlyRaw
38. MK-CF-F-166 hasMonthlySalaryTable
39. MK-ST-F-036 reconcile
40. MK-CF-F-167 salaryCalendarYear
41. MK-CF-F-092 incomeMonthlyGrid
42. MK-CF-F-003 categoryMonthly
43. MK-CF-F-172 hasWage
44. MK-CF-F-101 taxOwedFor
45. MK-CF-F-071 extraIncome
46. MK-CF-F-074 tipsAnnual
47. MK-CF-F-148 inMonth
48. MK-CF-F-191 ym
49. MK-CF-F-022 paymentShape
50. MK-CF-F-152 isRadarItem
51. MK-CF-F-023 requiredPayment
52. MK-CF-F-165 salaryMonths
53. MK-CF-F-065 equityVestWeights
54. MK-CF-F-206 householdK401ByMonth
55. MK-CF-F-087 monthlyTaxRates
56. MK-CF-F-077 scholarshipByCalendarMonth
57. MK-CF-F-088 taxableByCalendarMonth
58. MK-PL-F-012 waterfall
59. MK-XS-F-027 takeHomeMonthly
60. MK-CF-F-100 taxableIncomeFor
61. MK-CF-F-070 benefitAnnual
62. MK-ST-F-039 on
63. MK-CF-F-081 salaryActiveMonths
64. MK-CF-F-021 defaultPaymentType
65. MK-CF-F-203 MONTH
66. MK-CF-F-098 progressiveMonthlyTax
67. MK-CF-F-011 savingsByMonth
68. MK-CF-F-099 deductionFor
69. MK-CF-O-010 theMonth
70. MK-CF-F-187 seniorDeductionFor
71. MK-CF-F-155 cash
72. MK-CF-O-003 thisMonth
73. MK-CF-F-005 actualMonthFlow
74. MK-CF-F-156 plannedMonthFlow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MK-NW-F-072 rowOf
93. MK-ST-F-047 activeCurrency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MK-CF-F-100 taxableIncomeFor → MK-CF-F-101 taxOwedFor → MK-CF-F-102 effectiveRateOnGrossFor → MK-CF-F-181 rateInForce → MK-CF-F-090 effectiveRate → MK-CF-F-020 cashflowYear
5. MK-CF-F-172 hasWage → MK-CF-F-173 earnerWages → MK-CF-F-180 enteredLandsAnnual → MK-CF-F-181 rateInForce → MK-CF-F-090 effectiveRate → MK-CF-F-020 cashflowYear
6. MK-XS-F-122 n → MK-ST-F-052 toNum → MK-CF-F-180 enteredLandsAnnual → MK-CF-F-181 rateInForce → MK-CF-F-090 effectiveRate → MK-CF-F-020 cashflowYear
7. MK-CF-F-085 filingStatusOf → MK-CF-F-181 rateInForce → MK-CF-F-090 effectiveRate → MK-CF-F-020 cashflowYear
8. MK-XS-F-122 n → MK-ST-F-052 toNum → MK-CF-F-089 over65CountOf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45" customHeight="1">
      <c r="A23" s="3" t="inlineStr">
        <is>
          <t>MK-CF-F-021</t>
        </is>
      </c>
      <c r="B23" s="3" t="inlineStr">
        <is>
          <t>defaultPaymentType</t>
        </is>
      </c>
      <c r="C23" s="3" t="inlineStr">
        <is>
          <t>src/domain/debt/index.ts</t>
        </is>
      </c>
      <c r="D23" s="3" t="n">
        <v>64</v>
      </c>
      <c r="E23" s="3" t="inlineStr">
        <is>
          <t>2 · DISPLAYED</t>
        </is>
      </c>
      <c r="F23" s="3" t="inlineStr">
        <is>
          <t>B47 finding 11 — a debt's repayment SHAPE.</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98</v>
      </c>
      <c r="E24" s="3" t="inlineStr">
        <is>
          <t>2 · DISPLAYED</t>
        </is>
      </c>
      <c r="F24" s="3" t="inlineStr">
        <is>
          <t>How is THIS debt repaid?</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141</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MK-CF-M-019</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172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122</v>
      </c>
      <c r="Q26" s="3" t="inlineStr">
        <is>
          <t>1. MK-CF-F-201 INCOME
2. MK-CF-F-023 requiredPayment
3. MK-XS-F-180 declareFigures
4. MK-CF-O-004 incomeSummary
5. MK-CF-F-022 paymentShape
6. MK-CF-O-001 basePay
7. MK-CF-F-173 earnerWages
8. MK-CF-F-179 entryFromWage
9. MK-CF-F-071 extraIncome
10. MK-CF-F-085 filingStatusOf
11. MK-CF-F-092 incomeMonthlyGrid
12. MK-CF-F-132 map
13. MK-CF-F-103 marginalBracketFor
14. MK-CF-F-089 over65CountOf
15. MK-CF-F-181 rateInForce
16. MK-CF-F-068 rentalNetAnnual
17. MK-CF-F-082 salaryAnnual
18. MK-CF-F-084 taxableAnnual
19. MK-ST-F-052 toNum
20. MK-CF-F-021 defaultPaymentType
21. MK-ST-F-035 covers
22. MK-CF-F-171 earnerPay
23. MK-CF-F-204 line
24. MK-ST-F-053 money
25. MK-HM-F-006 money0
26. MK-XS-F-122 n
27. MK-CF-F-198 payrollTaxWithheld
28. MK-CF-F-172 hasWage
29. MK-CF-F-165 salaryMonths
30. MK-CF-F-070 benefitAnnual
31. MK-ST-F-039 on
32. MK-CF-F-069 benefitActiveMonths
33. MK-CF-F-072 currentRetirementIncomeMonthly
34. MK-CF-F-065 equityVestWeights
35. MK-ST-F-056 has
36. MK-CF-F-206 householdK401ByMonth
37. MK-CF-F-087 monthlyTaxRates
38. MK-CF-F-073 otherIncomeMonth
39. MK-CF-F-066 rsuAnnual
40. MK-CF-F-060 salaryGrossByMonth
41. MK-CF-F-077 scholarshipByCalendarMonth
42. MK-CF-F-088 taxableByCalendarMonth
43. MK-PL-F-012 waterfall
44. MK-CF-F-100 taxableIncomeFor
45. MK-CF-F-102 effectiveRateOnGrossFor
46. MK-CF-F-180 enteredLandsAnnual
47. MK-CF-F-086 stateRateOf
48. MK-CF-O-002 expenses
49. MK-CF-F-067 rentalList
50. MK-CF-F-074 tipsAnnual
51. MK-ST-F-034 firstDate
52. MK-CF-F-143 annualisedGross
53. MK-CF-F-145 deductionsFromPay
54. MK-CF-F-128 grossByMonth
55. MK-CF-F-146 payFiguresAgree
56. MK-CF-F-144 takeHomeAsEntered
57. MK-CF-F-203 MONTH
58. MK-ST-F-049 formatMoney
59. MK-CF-F-155 cash
60. MK-HM-F-005 pctTxt
61. MK-CF-F-075 retirementIncomeMonthly
62. MK-CF-F-062 equityRowValue
63. MK-CF-F-176 sumMonthsOverEarners
64. MK-CF-F-177 wageGrossByMonth
65. MK-CF-F-090 effectiveRate
66. MK-CF-F-098 progressiveMonthlyTax
67. MK-CF-F-063 rowVestYear
68. MK-CF-F-099 deductionFor
69. MK-CF-F-101 taxOwedFor
70. MK-CF-F-151 actualSpending
71. MK-CF-F-150 debtPaymentsCountedAsExpenses
72. MK-CF-F-153 radar
73. MK-CF-F-149 recurringDebtPayments
74. MK-CF-F-081 salaryActiveMonths
75. MK-CF-F-142 monthsOf
76. MK-CF-F-141 perMonth
77. MK-CF-O-010 theMonth
78. MK-ST-F-048 currencySymbol
79. MK-CF-F-130 enteredMonthlyRaw
80. MK-CF-F-166 hasMonthlySalaryTable
81. MK-ST-F-036 reconcile
82. MK-CF-F-167 salaryCalendarYear
83. MK-CF-F-187 seniorDeductionFor
84. MK-CF-F-148 inMonth
85. MK-CF-F-191 ym
86. MK-CF-F-152 isRadarItem
87. MK-CF-F-140 periodsAYear
88. MK-CF-O-003 thisMonth
89. MK-ST-F-047 activeCurrency
90. MK-CF-F-005 actualMonthFlow
91. MK-CF-F-156 plannedMonthFlow
92. MK-NW-F-078 ONE
93. MK-CF-F-157 debtPaymentsByDebt
94. MK-CF-F-192 inflowLabel
95. MK-XS-F-027 takeHomeMonthly
96. MK-NW-F-077 ALL
97. MK-NW-F-059 currentYield
98. MK-NW-O-001 theBonds
99. MK-CF-F-193 inflowSourceWord
100. MK-CF-F-011 savingsByMonth
101. MK-NW-F-057 annualCoupon
102. MK-ST-F-027 accountId
103. MK-NW-F-056 bondInfo
104. MK-NW-F-064 bondRateSensitivity
105. MK-NW-F-061 bondSummary
106. MK-NW-F-055 isBond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26" s="3" t="inlineStr">
        <is>
          <t>1. MK-XS-F-180 declareFigures → MK-CF-F-201 INCOME → MK-CF-F-024 totalDebtMonthly
2. MK-ST-F-034 firstDate → MK-ST-F-035 covers → MK-CF-O-001 basePay → MK-CF-O-004 incomeSummary → MK-CF-F-201 INCOME → MK-CF-F-024 totalDebtMonthly
3. MK-CF-F-143 annualisedGross → MK-CF-F-171 earnerPay → MK-CF-O-001 basePay → MK-CF-O-004 incomeSummary → MK-CF-F-201 INCOME → MK-CF-F-024 totalDebtMonthly
4. MK-CF-F-145 deductionsFromPay → MK-CF-F-171 earnerPay → MK-CF-O-001 basePay → MK-CF-O-004 incomeSummary → MK-CF-F-201 INCOME → MK-CF-F-024 totalDebtMonthly
5. MK-CF-F-128 grossByMonth → MK-CF-F-171 earnerPay → MK-CF-O-001 basePay → MK-CF-O-004 incomeSummary → MK-CF-F-201 INCOME → MK-CF-F-024 totalDebtMonthly
6. MK-ST-F-053 money → MK-CF-F-171 earnerPay → MK-CF-O-001 basePay → MK-CF-O-004 incomeSummary → MK-CF-F-201 INCOME → MK-CF-F-024 totalDebtMonthly
7. MK-CF-F-146 payFiguresAgree → MK-CF-F-171 earnerPay → MK-CF-O-001 basePay → MK-CF-O-004 incomeSummary → MK-CF-F-201 INCOME → MK-CF-F-024 totalDebtMonthly
8. MK-CF-F-144 takeHomeAsEntered → MK-CF-F-171 earnerPay → MK-CF-O-001 basePay → MK-CF-O-004 incomeSummary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205</v>
      </c>
      <c r="E27" s="3" t="inlineStr">
        <is>
          <t>2 · DISPLAYED</t>
        </is>
      </c>
      <c r="F27" s="3" t="inlineStr">
        <is>
          <t>Term #9 — TWO clearly-named monthly-debt numbers (they're different concepts, not a bug to pick one): Σ MINIMUM required payments — the contractual obligation.</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"Total debt" — on the budget screen</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231</v>
      </c>
      <c r="E28" s="3" t="inlineStr">
        <is>
          <t>2 · DISPLAYED</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NOT FOUND — a screen calls it, but the words printed beside its answer could not be traced automatically. Needs reading.</t>
        </is>
      </c>
      <c r="M28" s="3" t="inlineStr">
        <is>
          <t>None found in this function — anything it assumes comes from the functions it depends on.</t>
        </is>
      </c>
      <c r="N28" s="3" t="inlineStr">
        <is>
          <t>Yes</t>
        </is>
      </c>
      <c r="O28" s="3" t="inlineStr">
        <is>
          <t>MK-CF-F-024 totalDebtMonthly</t>
        </is>
      </c>
      <c r="P28" s="3" t="n">
        <v>123</v>
      </c>
      <c r="Q28" s="3" t="inlineStr">
        <is>
          <t>1. MK-CF-F-024 totalDebtMonthly
2. MK-CF-F-201 INCOME
3. MK-CF-F-023 requiredPayment
4. MK-XS-F-180 declareFigures
5. MK-CF-O-004 incomeSummary
6. MK-CF-F-022 paymentShape
7. MK-CF-O-001 basePay
8. MK-CF-F-173 earnerWages
9. MK-CF-F-179 entryFromWage
10. MK-CF-F-071 extraIncome
11. MK-CF-F-085 filingStatusOf
12. MK-CF-F-092 incomeMonthlyGrid
13. MK-CF-F-132 map
14. MK-CF-F-103 marginalBracketFor
15. MK-CF-F-089 over65CountOf
16. MK-CF-F-181 rateInForce
17. MK-CF-F-068 rentalNetAnnual
18. MK-CF-F-082 salaryAnnual
19. MK-CF-F-084 taxableAnnual
20. MK-ST-F-052 toNum
21. MK-CF-F-021 defaultPaymentType
22. MK-ST-F-035 covers
23. MK-CF-F-171 earnerPay
24. MK-CF-F-204 line
25. MK-ST-F-053 money
26. MK-HM-F-006 money0
27. MK-XS-F-122 n
28. MK-CF-F-198 payrollTaxWithheld
29. MK-CF-F-172 hasWage
30. MK-CF-F-165 salaryMonths
31. MK-CF-F-070 benefitAnnual
32. MK-ST-F-039 on
33. MK-CF-F-069 benefitActiveMonths
34. MK-CF-F-072 currentRetirementIncomeMonthly
35. MK-CF-F-065 equityVestWeights
36. MK-ST-F-056 has
37. MK-CF-F-206 householdK401ByMonth
38. MK-CF-F-087 monthlyTaxRates
39. MK-CF-F-073 otherIncomeMonth
40. MK-CF-F-066 rsuAnnual
41. MK-CF-F-060 salaryGrossByMonth
42. MK-CF-F-077 scholarshipByCalendarMonth
43. MK-CF-F-088 taxableByCalendarMonth
44. MK-PL-F-012 waterfall
45. MK-CF-F-100 taxableIncomeFor
46. MK-CF-F-102 effectiveRateOnGrossFor
47. MK-CF-F-180 enteredLandsAnnual
48. MK-CF-F-086 stateRateOf
49. MK-CF-O-002 expenses
50. MK-CF-F-067 rentalList
51. MK-CF-F-074 tipsAnnual
52. MK-ST-F-034 firstDate
53. MK-CF-F-143 annualisedGross
54. MK-CF-F-145 deductionsFromPay
55. MK-CF-F-128 grossByMonth
56. MK-CF-F-146 payFiguresAgree
57. MK-CF-F-144 takeHomeAsEntered
58. MK-CF-F-203 MONTH
59. MK-ST-F-049 formatMoney
60. MK-CF-F-155 cash
61. MK-HM-F-005 pctTxt
62. MK-CF-F-075 retirementIncomeMonthly
63. MK-CF-F-062 equityRowValue
64. MK-CF-F-176 sumMonthsOverEarners
65. MK-CF-F-177 wageGrossByMonth
66. MK-CF-F-090 effectiveRate
67. MK-CF-F-098 progressiveMonthlyTax
68. MK-CF-F-063 rowVestYear
69. MK-CF-F-099 deductionFor
70. MK-CF-F-101 taxOwedFor
71. MK-CF-F-151 actualSpending
72. MK-CF-F-150 debtPaymentsCountedAsExpenses
73. MK-CF-F-153 radar
74. MK-CF-F-149 recurringDebtPayments
75. MK-CF-F-081 salaryActiveMonths
76. MK-CF-F-142 monthsOf
77. MK-CF-F-141 perMonth
78. MK-CF-O-010 theMonth
79. MK-ST-F-048 currencySymbol
80. MK-CF-F-130 enteredMonthlyRaw
81. MK-CF-F-166 hasMonthlySalaryTable
82. MK-ST-F-036 reconcile
83. MK-CF-F-167 salaryCalendarYear
84. MK-CF-F-187 seniorDeductionFor
85. MK-CF-F-148 inMonth
86. MK-CF-F-191 ym
87. MK-CF-F-152 isRadarItem
88. MK-CF-F-140 periodsAYear
89. MK-CF-O-003 thisMonth
90. MK-ST-F-047 activeCurrency
91. MK-CF-F-005 actualMonthFlow
92. MK-CF-F-156 plannedMonthFlow
93. MK-NW-F-078 ONE
94. MK-CF-F-157 debtPaymentsByDebt
95. MK-CF-F-192 inflowLabel
96. MK-XS-F-027 takeHomeMonthly
97. MK-NW-F-077 ALL
98. MK-NW-F-059 currentYield
99. MK-NW-O-001 theBonds
100. MK-CF-F-193 inflowSourceWord
101. MK-CF-F-011 savingsByMonth
102. MK-NW-F-057 annualCoupon
103. MK-ST-F-027 accountId
104. MK-NW-F-056 bondInfo
105. MK-NW-F-064 bondRateSensitivity
106. MK-NW-F-061 bondSummary
107. MK-NW-F-055 isBond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8" s="3" t="inlineStr">
        <is>
          <t>1. MK-XS-F-180 declareFigures → MK-CF-F-201 INCOME → MK-CF-F-024 totalDebtMonthly → MK-CF-F-026 actualDebtPayment
2. MK-ST-F-035 covers → MK-CF-O-001 basePay → MK-CF-O-004 incomeSummary → MK-CF-F-201 INCOME → MK-CF-F-024 totalDebtMonthly → MK-CF-F-026 actualDebtPayment
3. MK-CF-F-171 earnerPay → MK-CF-O-001 basePay → MK-CF-O-004 incomeSummary → MK-CF-F-201 INCOME → MK-CF-F-024 totalDebtMonthly → MK-CF-F-026 actualDebtPayment
4. MK-CF-F-204 line → MK-CF-O-001 basePay → MK-CF-O-004 incomeSummary → MK-CF-F-201 INCOME → MK-CF-F-024 totalDebtMonthly → MK-CF-F-026 actualDebtPayment
5. MK-CF-F-132 map → MK-CF-O-001 basePay → MK-CF-O-004 incomeSummary → MK-CF-F-201 INCOME → MK-CF-F-024 totalDebtMonthly → MK-CF-F-026 actualDebtPayment
6. MK-CF-F-103 marginalBracketFor → MK-CF-O-001 basePay → MK-CF-O-004 incomeSummary → MK-CF-F-201 INCOME → MK-CF-F-024 totalDebtMonthly → MK-CF-F-026 actualDebtPayment
7. MK-ST-F-053 money → MK-CF-O-001 basePay → MK-CF-O-004 incomeSummary → MK-CF-F-201 INCOME → MK-CF-F-024 totalDebtMonthly → MK-CF-F-026 actualDebtPayment
8. MK-HM-F-006 money0 → MK-CF-O-001 basePay → MK-CF-O-004 incomeSummary → MK-CF-F-201 INCOME → MK-CF-F-024 totalDebtMonthly → MK-CF-F-026 actualDebtPayment
9. … and 4 more paths</t>
        </is>
      </c>
      <c r="S28" s="3" t="inlineStr">
        <is>
          <t>—</t>
        </is>
      </c>
      <c r="T28" s="3" t="inlineStr">
        <is>
          <t>DEBT_PAYMENTS_ACTUAL</t>
        </is>
      </c>
      <c r="U28" s="3" t="inlineStr">
        <is>
          <t>ACTIVE</t>
        </is>
      </c>
      <c r="V28" s="3" t="inlineStr">
        <is>
          <t>2026-09-09</t>
        </is>
      </c>
      <c r="W28" s="3" t="n"/>
      <c r="X28" s="3" t="n"/>
      <c r="Y28" s="3" t="inlineStr">
        <is>
          <t>NOTHING OPEN</t>
        </is>
      </c>
    </row>
    <row r="29" ht="45" customHeight="1">
      <c r="A29" s="3" t="inlineStr">
        <is>
          <t>MK-CF-F-027</t>
        </is>
      </c>
      <c r="B29" s="3" t="inlineStr">
        <is>
          <t>totalDebtBalance</t>
        </is>
      </c>
      <c r="C29" s="3" t="inlineStr">
        <is>
          <t>src/domain/debt/index.ts</t>
        </is>
      </c>
      <c r="D29" s="3" t="n">
        <v>255</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296</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334</v>
      </c>
      <c r="E31" s="3" t="inlineStr">
        <is>
          <t>2 · DISPLAYED</t>
        </is>
      </c>
      <c r="F31" s="3" t="inlineStr">
        <is>
          <t>── B47 finding 11: the installment two-way math — enter the payment OR the end date, the app computes the other.</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363</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402</v>
      </c>
      <c r="E33" s="3" t="inlineStr">
        <is>
          <t>3 · DEPENDENT</t>
        </is>
      </c>
      <c r="F33" s="3" t="inlineStr">
        <is>
          <t>NOT DETERMINED — the code carries no note saying what this is for, and it has no row in the old inventory. Needs reading.</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431</v>
      </c>
      <c r="E34" s="3" t="inlineStr">
        <is>
          <t>2 · DISPLAYED</t>
        </is>
      </c>
      <c r="F34" s="3" t="inlineStr">
        <is>
          <t>NOT DETERMINED — the code carries no note saying what this is for, and it has no row in the old inventory. Needs reading.</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471</v>
      </c>
      <c r="E35" s="3" t="inlineStr">
        <is>
          <t>2 · DISPLAYED</t>
        </is>
      </c>
      <c r="F35" s="3" t="inlineStr">
        <is>
          <t>NOT DETERMINED — the code carries no note saying what this is for, and it has no row in the old inventory. Needs reading.</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524</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2. "Extra / month (beyond minimums)" — on the Goals screen, under "DEBT PAYOFF PLAN"
3. "Extra / month" — on the budget screen
4. "Income (take-home)" — on the budget screen
5. "No budget yet" — on the budget screen
6. "Payoff plan" — on the budget screen</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599</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642</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MK-CF-F-025 minimumDebtService
3. MK-XS-F-175 uid</t>
        </is>
      </c>
      <c r="P38" s="3" t="n">
        <v>178</v>
      </c>
      <c r="Q38" s="3" t="inlineStr">
        <is>
          <t>1. MK-CF-F-026 actualDebtPayment
2. MK-CF-F-025 minimumDebtService
3. MK-XS-F-175 uid
4. MK-CF-F-024 totalDebtMonthly
5. MK-CF-F-022 paymentShape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MK-CF-F-201 INCOME
33. MK-CF-F-023 requiredPayment
34. MK-CF-F-021 defaultPaymentType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MK-XS-F-180 declareFigures
68. MK-CF-O-004 incomeSummary
69. MK-CF-F-134 usesSleeve
70. MK-ST-F-049 formatMoney
71. MK-CF-F-101 taxOwedFor
72. MK-ST-F-067 utcOfDay
73. MK-CF-F-155 cash
74. MK-ST-F-035 covers
75. MK-NW-F-009 maturityClass
76. MK-ST-F-010 nameEvidence
77. MK-PF-F-031 contractMultiplier
78. MK-CF-F-072 currentRetirementIncomeMonthly
79. MK-CF-O-001 basePay
80. MK-CF-F-173 earnerWages
81. MK-CF-F-179 entryFromWage
82. MK-CF-F-071 extraIncome
83. MK-CF-F-092 incomeMonthlyGrid
84. MK-CF-F-103 marginalBracketFor
85. MK-CF-F-181 rateInForce
86. MK-CF-F-068 rentalNetAnnual
87. MK-CF-F-082 salaryAnnual
88. MK-CF-F-084 taxableAnnual
89. MK-ST-F-048 currencySymbol
90. MK-ST-F-039 on
91. MK-CF-F-100 taxableIncomeFor
92. MK-ST-F-034 firstDate
93. MK-XS-F-147 call
94. MK-CF-F-075 retirementIncomeMonthly
95. MK-CF-F-171 earnerPay
96. MK-CF-F-204 line
97. MK-HM-F-006 money0
98. MK-CF-F-198 payrollTaxWithheld
99. MK-CF-F-172 hasWage
100. MK-CF-F-165 salaryMonths
101. MK-CF-F-070 benefitAnnual
102. MK-CF-F-069 benefitActiveMonths
103. MK-CF-F-065 equityVestWeights
104. MK-CF-F-206 householdK401ByMonth
105. MK-CF-F-087 monthlyTaxRates
106. MK-CF-F-073 otherIncomeMonth
107. MK-CF-F-066 rsuAnnual
108. MK-CF-F-060 salaryGrossByMonth
109. MK-CF-F-077 scholarshipByCalendarMonth
110. MK-CF-F-088 taxableByCalendarMonth
111. MK-PL-F-012 waterfall
112. MK-CF-F-102 effectiveRateOnGrossFor
113. MK-CF-F-180 enteredLandsAnnual
114. MK-CF-F-086 stateRateOf
115. MK-CF-O-002 expenses
116. MK-CF-F-067 rentalList
117. MK-CF-F-074 tipsAnnual
118. MK-ST-F-047 activeCurrency
119. MK-CF-F-099 deductionFor
120. MK-XS-F-064 currentIdToken
121. MK-XS-F-112 relayUrl
122. MK-CF-F-143 annualisedGross
123. MK-CF-F-145 deductionsFromPay
124. MK-CF-F-128 grossByMonth
125. MK-CF-F-146 payFiguresAgree
126. MK-CF-F-144 takeHomeAsEntered
127. MK-CF-F-203 MONTH
128. MK-HM-F-005 pctTxt
129. MK-CF-F-062 equityRowValue
130. MK-CF-F-176 sumMonthsOverEarners
131. MK-CF-F-177 wageGrossByMonth
132. MK-CF-F-090 effectiveRate
133. MK-CF-F-098 progressiveMonthlyTax
134. MK-CF-F-063 rowVestYear
135. MK-CF-F-151 actualSpending
136. MK-CF-F-150 debtPaymentsCountedAsExpenses
137. MK-CF-F-153 radar
138. MK-CF-F-149 recurringDebtPayments
139. MK-CF-F-081 salaryActiveMonths
140. MK-CF-F-187 seniorDeductionFor
141. MK-CF-F-142 monthsOf
142. MK-CF-F-141 perMonth
143. MK-CF-O-010 theMonth
144. MK-CF-F-130 enteredMonthlyRaw
145. MK-CF-F-166 hasMonthlySalaryTable
146. MK-ST-F-036 reconcile
147. MK-CF-F-167 salaryCalendarYear
148. MK-CF-F-148 inMonth
149. MK-CF-F-152 isRadarItem
150. MK-CF-F-140 periodsAYear
151. MK-CF-O-003 thisMonth
152. MK-CF-F-005 actualMonthFlow
153. MK-CF-F-156 plannedMonthFlow
154. MK-NW-F-078 ONE
155. MK-CF-F-157 debtPaymentsByDebt
156. MK-CF-F-192 inflowLabel
157. MK-XS-F-027 takeHomeMonthly
158. MK-NW-F-077 ALL
159. MK-NW-F-059 currentYield
160. MK-NW-O-001 theBonds
161. MK-CF-F-193 inflowSourceWord
162. MK-CF-F-011 savingsByMonth
163. MK-NW-F-057 annualCoupon
164. MK-NW-F-056 bondInfo
165. MK-NW-F-064 bondRateSensitivity
166. MK-NW-F-061 bondSummary
167. MK-NW-F-055 isBond
168. MK-NW-F-072 rowOf
169. MK-CF-F-008 spendByMonth
170. MK-NW-F-060 approxYTM
171. MK-NW-F-069 priceAtYield
172. MK-NW-F-011 assetClassOf
173. MK-NW-F-070 accruedInterestCaveat
174. MK-NW-F-071 isCertificateOfDeposit
175. MK-NW-F-058 yearsToMaturity
176. MK-CF-F-120 pctBaseMonthly
177. MK-CF-F-004 spendBuckets
178. MK-CF-F-003 categoryMonthly</t>
        </is>
      </c>
      <c r="R38" s="3" t="inlineStr">
        <is>
          <t>1. MK-XS-F-180 declareFigures → MK-CF-F-201 INCOME → MK-CF-F-024 totalDebtMonthly → MK-CF-F-026 actualDebtPayment → MK-CF-F-036 buildDebtState
2. MK-CF-O-001 basePay → MK-CF-O-004 incomeSummary → MK-CF-F-201 INCOME → MK-CF-F-024 totalDebtMonthly → MK-CF-F-026 actualDebtPayment → MK-CF-F-036 buildDebtState
3. MK-CF-F-173 earnerWages → MK-CF-O-004 incomeSummary → MK-CF-F-201 INCOME → MK-CF-F-024 totalDebtMonthly → MK-CF-F-026 actualDebtPayment → MK-CF-F-036 buildDebtState
4. MK-CF-F-179 entryFromWage → MK-CF-O-004 incomeSummary → MK-CF-F-201 INCOME → MK-CF-F-024 totalDebtMonthly → MK-CF-F-026 actualDebtPayment → MK-CF-F-036 buildDebtState
5. MK-CF-F-071 extraIncome → MK-CF-O-004 incomeSummary → MK-CF-F-201 INCOME → MK-CF-F-024 totalDebtMonthly → MK-CF-F-026 actualDebtPayment → MK-CF-F-036 buildDebtState
6. MK-CF-F-085 filingStatusOf → MK-CF-O-004 incomeSummary → MK-CF-F-201 INCOME → MK-CF-F-024 totalDebtMonthly → MK-CF-F-026 actualDebtPayment → MK-CF-F-036 buildDebtState
7. MK-CF-F-092 incomeMonthlyGrid → MK-CF-O-004 incomeSummary → MK-CF-F-201 INCOME → MK-CF-F-024 totalDebtMonthly → MK-CF-F-026 actualDebtPayment → MK-CF-F-036 buildDebtState
8. MK-CF-F-132 map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691</v>
      </c>
      <c r="E39" s="3" t="inlineStr">
        <is>
          <t>3 · DEPENDENT</t>
        </is>
      </c>
      <c r="F39" s="3" t="inlineStr">
        <is>
          <t>B-30: infer the debt type from its name so a "Mortgage" is treated as a mortgage (homeowner DTI guideline), not lumped into OTHER (renter guideline).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740</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79</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MK-ST-F-053 money
35. MK-CF-F-085 filingStatusOf
36. MK-CF-F-097 grossFromNet
37. MK-CF-F-185 needsTakeHomeConversion
38. MK-CF-F-089 over65CountOf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775</v>
      </c>
      <c r="E41" s="3" t="inlineStr">
        <is>
          <t>3 · DEPENDENT (feeds an action only)</t>
        </is>
      </c>
      <c r="F41" s="3" t="inlineStr">
        <is>
          <t>NOT DETERMINED — the code carries no note saying what this is for, and it has no row in the old inventory. Needs reading.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80</v>
      </c>
      <c r="Q4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791</v>
      </c>
      <c r="E42" s="3" t="inlineStr">
        <is>
          <t>1 · ACTION</t>
        </is>
      </c>
      <c r="F42" s="3" t="inlineStr">
        <is>
          <t>NOT DETERMINED — the code carries no note saying what this is for, and it has no row in the old inventory. Needs reading.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82</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808</v>
      </c>
      <c r="E43" s="3" t="inlineStr">
        <is>
          <t>3 · DEPENDENT (feeds an action only)</t>
        </is>
      </c>
      <c r="F43" s="3" t="inlineStr">
        <is>
          <t>NOT DETERMINED — the code carries no note saying what this is for, and it has no row in the old inventory. Needs reading.</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180</v>
      </c>
      <c r="Q43" s="3" t="inlineStr">
        <is>
          <t>1. MK-CF-F-036 buildDebtState
2. MK-CF-F-039 loadDebt
3. MK-XS-F-175 uid
4. MK-CF-F-026 actualDebtPayment
5. MK-CF-F-025 minimumDebtService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MK-CF-F-024 totalDebtMonthly
33. MK-CF-F-022 paymentShape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MK-CF-F-201 INCOME
67. MK-CF-F-023 requiredPayment
68. MK-CF-F-021 defaultPaymentType
69. MK-CF-F-134 usesSleeve
70. MK-ST-F-049 formatMoney
71. MK-CF-F-101 taxOwedFor
72. MK-ST-F-067 utcOfDay
73. MK-CF-F-155 cash
74. MK-ST-F-035 covers
75. MK-NW-F-009 maturityClass
76. MK-ST-F-010 nameEvidence
77. MK-PF-F-031 contractMultiplier
78. MK-CF-F-072 currentRetirementIncomeMonthly
79. MK-XS-F-180 declareFigures
80. MK-CF-O-004 incomeSummary
81. MK-ST-F-048 currencySymbol
82. MK-ST-F-039 on
83. MK-CF-F-100 taxableIncomeFor
84. MK-ST-F-034 firstDate
85. MK-XS-F-147 call
86. MK-CF-F-075 retirementIncomeMonthly
87. MK-CF-O-001 basePay
88. MK-CF-F-173 earnerWages
89. MK-CF-F-179 entryFromWage
90. MK-CF-F-071 extraIncome
91. MK-CF-F-092 incomeMonthlyGrid
92. MK-CF-F-103 marginalBracketFor
93. MK-CF-F-181 rateInForce
94. MK-CF-F-068 rentalNetAnnual
95. MK-CF-F-082 salaryAnnual
96. MK-CF-F-084 taxableAnnual
97. MK-ST-F-047 activeCurrency
98. MK-CF-F-099 deductionFor
99. MK-XS-F-064 currentIdToken
100. MK-XS-F-112 relayUrl
101. MK-CF-F-171 earnerPay
102. MK-CF-F-204 line
103. MK-HM-F-006 money0
104. MK-CF-F-198 payrollTaxWithheld
105. MK-CF-F-172 hasWage
106. MK-CF-F-165 salaryMonths
107. MK-CF-F-070 benefitAnnual
108. MK-CF-F-069 benefitActiveMonths
109. MK-CF-F-065 equityVestWeights
110. MK-CF-F-206 householdK401ByMonth
111. MK-CF-F-087 monthlyTaxRates
112. MK-CF-F-073 otherIncomeMonth
113. MK-CF-F-066 rsuAnnual
114. MK-CF-F-060 salaryGrossByMonth
115. MK-CF-F-077 scholarshipByCalendarMonth
116. MK-CF-F-088 taxableByCalendarMonth
117. MK-PL-F-012 waterfall
118. MK-CF-F-102 effectiveRateOnGrossFor
119. MK-CF-F-180 enteredLandsAnnual
120. MK-CF-F-086 stateRateOf
121. MK-CF-O-002 expenses
122. MK-CF-F-067 rentalList
123. MK-CF-F-074 tipsAnnual
124. MK-CF-F-187 seniorDeductionFor
125. MK-CF-F-143 annualisedGross
126. MK-CF-F-145 deductionsFromPay
127. MK-CF-F-128 grossByMonth
128. MK-CF-F-146 payFiguresAgree
129. MK-CF-F-144 takeHomeAsEntered
130. MK-CF-F-203 MONTH
131. MK-HM-F-005 pctTxt
132. MK-CF-F-062 equityRowValue
133. MK-CF-F-176 sumMonthsOverEarners
134. MK-CF-F-177 wageGrossByMonth
135. MK-CF-F-090 effectiveRate
136. MK-CF-F-098 progressiveMonthlyTax
137. MK-CF-F-063 rowVestYear
138. MK-CF-F-151 actualSpending
139. MK-CF-F-150 debtPaymentsCountedAsExpenses
140. MK-CF-F-153 radar
141. MK-CF-F-149 recurringDebtPayments
142. MK-CF-F-081 salaryActiveMonths
143. MK-CF-F-142 monthsOf
144. MK-CF-F-141 perMonth
145. MK-CF-O-010 theMonth
146. MK-CF-F-130 enteredMonthlyRaw
147. MK-CF-F-166 hasMonthlySalaryTable
148. MK-ST-F-036 reconcile
149. MK-CF-F-167 salaryCalendarYear
150. MK-CF-F-148 inMonth
151. MK-CF-F-152 isRadarItem
152. MK-CF-F-140 periodsAYear
153. MK-CF-O-003 thisMonth
154. MK-CF-F-005 actualMonthFlow
155. MK-CF-F-156 plannedMonthFlow
156. MK-NW-F-078 ONE
157. MK-CF-F-157 debtPaymentsByDebt
158. MK-CF-F-192 inflowLabel
159. MK-XS-F-027 takeHomeMonthly
160. MK-NW-F-077 ALL
161. MK-NW-F-059 currentYield
162. MK-NW-O-001 theBonds
163. MK-CF-F-193 inflowSourceWord
164. MK-CF-F-011 savingsByMonth
165. MK-NW-F-057 annualCoupon
166. MK-NW-F-056 bondInfo
167. MK-NW-F-064 bondRateSensitivity
168. MK-NW-F-061 bondSummary
169. MK-NW-F-055 isBond
170. MK-NW-F-072 rowOf
171. MK-CF-F-008 spendByMonth
172. MK-NW-F-060 approxYTM
173. MK-NW-F-069 priceAtYield
174. MK-NW-F-011 assetClassOf
175. MK-NW-F-070 accruedInterestCaveat
176. MK-NW-F-071 isCertificateOfDeposit
177. MK-NW-F-058 yearsToMaturity
178. MK-CF-F-120 pctBaseMonthly
179. MK-CF-F-004 spendBuckets
180. MK-CF-F-003 categoryMonthly</t>
        </is>
      </c>
      <c r="R43" s="3" t="inlineStr">
        <is>
          <t>1. MK-XS-F-180 declareFigures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MK-CF-F-021 defaultPaymentType → MK-CF-F-022 paymentShape → MK-CF-F-025 minimumDebtService → MK-CF-F-036 buildDebtState → MK-CF-F-041 getDebtState
5. MK-ST-F-027 accountId → MK-XS-F-175 uid → MK-CF-F-036 buildDebtState → MK-CF-F-041 getDebtState
6. MK-CF-F-137 findPos → MK-CF-F-138 addLot → MK-CF-F-111 applyTransaction → MK-XS-F-175 uid → MK-CF-F-036 buildDebtState → MK-CF-F-041 getDebtState
7. MK-CF-F-132 map → MK-CF-F-138 addLot → MK-CF-F-111 applyTransaction → MK-XS-F-175 uid → MK-CF-F-036 buildDebtState → MK-CF-F-041 getDebtState
8. MK-ST-F-043 newEntityId → MK-CF-F-138 addLot → MK-CF-F-111 applyTransaction → MK-XS-F-175 uid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58</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83</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110</v>
      </c>
      <c r="E48" s="3" t="inlineStr">
        <is>
          <t>3 · DEPENDENT</t>
        </is>
      </c>
      <c r="F48" s="3" t="inlineStr">
        <is>
          <t>NOT DETERMINED — the code carries no note saying what this is for, and it has no row in the old inventory. Needs reading.</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144</v>
      </c>
      <c r="E49" s="3" t="inlineStr">
        <is>
          <t>3 · DEPENDENT</t>
        </is>
      </c>
      <c r="F49" s="3" t="inlineStr">
        <is>
          <t>NOT DETERMINED — the code carries no note saying what this is for, and it has no row in the old inventory. Needs reading.</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228</v>
      </c>
      <c r="E50" s="3" t="inlineStr">
        <is>
          <t>2 · DISPLAYED</t>
        </is>
      </c>
      <c r="F50" s="3" t="inlineStr">
        <is>
          <t>NOT DETERMINED — the code carries no note saying what this is for, and it has no row in the old inventory. Needs reading.</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37</v>
      </c>
      <c r="E51" s="3" t="inlineStr">
        <is>
          <t>3 · DEPENDENT (feeds an action only)</t>
        </is>
      </c>
      <c r="F51" s="3" t="inlineStr">
        <is>
          <t>NOT DETERMINED — the code carries no note saying what this is for, and it has no row in the old inventory. Needs reading.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80</v>
      </c>
      <c r="Q5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56</v>
      </c>
      <c r="E52" s="3" t="inlineStr">
        <is>
          <t>1 · ACTION</t>
        </is>
      </c>
      <c r="F52" s="3" t="inlineStr">
        <is>
          <t>NOT DETERMINED — the code carries no note saying what this is for, and it has no row in the old inventory. Needs reading.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82</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79</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101</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MK-XS-F-122 n
26. MK-ST-F-043 newEntityId
27. MK-XS-F-006 pruneDaily
28. MK-ST-F-073 rebuildDays
29. MK-NW-F-054 reclassifyAccounts
30. MK-XS-F-174 recomputeBalances
31. MK-CF-F-115 restoreUndo
32. MK-CF-F-109 reviewTransactions
33. MK-ST-F-044 setMoneyFormat
34. MK-CF-F-114 undoSnapshot
35. MK-CF-F-191 ym
36. MK-CF-F-102 effectiveRateOnGrossFor
37. MK-CF-F-044 annualNet
38. MK-CF-F-127 isRental
39. MK-CF-F-101 taxOwedFor
40. MK-CF-F-100 taxableIncomeFor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MK-ST-F-071 rebuildableFrom
58. MK-ST-F-068 stepDay
59. MK-ST-F-072 undo
60. MK-NW-F-053 correctClassOf
61. MK-NW-F-008 incomeBearingClassOf
62. MK-PF-F-002 costBasis
63. MK-PF-F-009 latestClose
64. MK-PF-F-004 marketValue
65. MK-ST-F-030 record
66. MK-XS-F-024 resolveLens
67. MK-ST-F-055 round2
68. MK-CF-F-162 daysApart
69. MK-CF-F-108 isMoneyOut
70. MK-PL-F-074 median
71. MK-CF-F-131 normPayee
72. MK-CF-F-113 affectedAccountIds
73. MK-CF-O-002 expenses
74. MK-CF-F-099 deductionFor
75. MK-CF-F-134 usesSleeve
76. MK-ST-F-049 formatMoney
77. MK-ST-F-067 utcOfDay
78. MK-CF-F-155 cash
79. MK-ST-F-035 covers
80. MK-NW-F-009 maturityClass
81. MK-ST-F-010 nameEvidence
82. MK-PF-F-031 contractMultiplier
83. MK-CF-F-072 currentRetirementIncomeMonthly
84. MK-CF-F-151 actualSpending
85. MK-CF-F-150 debtPaymentsCountedAsExpenses
86. MK-CF-F-153 radar
87. MK-CF-F-149 recurringDebtPayments
88. MK-CF-F-187 seniorDeductionFor
89. MK-ST-F-048 currencySymbol
90. MK-ST-F-039 on
91. MK-ST-F-034 firstDate
92. MK-XS-F-147 call
93. MK-CF-F-075 retirementIncomeMonthly
94. MK-CF-F-148 inMonth
95. MK-CF-F-022 paymentShape
96. MK-CF-F-152 isRadarItem
97. MK-CF-F-023 requiredPayment
98. MK-ST-F-047 activeCurrency
99. MK-XS-F-064 currentIdToken
100. MK-XS-F-112 relayUrl
101.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136</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164</v>
      </c>
      <c r="E55" s="3" t="inlineStr">
        <is>
          <t>2 · DISPLAYED</t>
        </is>
      </c>
      <c r="F55" s="3" t="inlineStr">
        <is>
          <t>NOT DETERMINED — the code carries no note saying what this is for, and it has no row in the old inventory. Needs reading.</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192</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226</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250</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274</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129</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214</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253</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292</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319</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376</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432</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478</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526</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MK-CF-M-010</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563</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597</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651</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730</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MK-CF-M-011 · MK-CF-M-024 · 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765</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804</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848</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NOT FOUND — a screen calls it, but the words printed beside its answer could not be traced automatically. Needs reading.</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890</v>
      </c>
      <c r="E77" s="3" t="inlineStr">
        <is>
          <t>2 · DISPLAYED</t>
        </is>
      </c>
      <c r="F77" s="3" t="inlineStr">
        <is>
          <t>The plan's guaranteed-income input as separate streams of OUTSIDE money only. Answers: zer</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940</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982</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1051</v>
      </c>
      <c r="E80" s="3" t="inlineStr">
        <is>
          <t>2 · DISPLAYED</t>
        </is>
      </c>
      <c r="F80" s="3" t="inlineStr">
        <is>
          <t>NOT DETERMINED — the code carries no note saying what this is for, and it has no row in the old inventory. Needs reading.</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113</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MK-CF-F-038 debtsFromOnboarding
35. MK-XS-F-083 fetchPriceSeries
36. MK-PL-F-013 goalsFromOnboarding
37. MK-ST-F-056 has
38. MK-CF-F-116 inverseOf
39. MK-ST-F-065 isoLocalDate
40. MK-CF-F-112 makeTransaction
41. MK-XS-F-006 pruneDaily
42. MK-ST-F-073 rebuildDays
43. MK-NW-F-054 reclassifyAccounts
44. MK-XS-F-174 recomputeBalances
45. MK-CF-F-115 restoreUndo
46. MK-CF-F-109 reviewTransactions
47. MK-ST-F-044 setMoneyFormat
48. MK-CF-F-114 undoSnapshot
49. MK-CF-F-191 ym
50. MK-CF-F-173 earnerWages
51. MK-CF-F-148 inMonth
52. MK-CF-F-022 paymentShape
53. MK-CF-F-152 isRadarItem
54. MK-CF-F-023 requiredPayment
55. MK-CF-F-176 sumMonthsOverEarners
56. MK-CF-F-177 wageGrossByMonth
57. MK-CF-F-138 addLot
58. MK-CF-F-136 bumpCash
59. MK-CF-F-137 findPos
60. MK-CF-F-139 removeShares
61. MK-PF-F-001 totalShares
62. MK-ST-F-053 money
63. MK-CF-F-085 filingStatusOf
64. MK-CF-F-097 grossFromNet
65. MK-CF-F-185 needsTakeHomeConversion
66. MK-CF-F-089 over65CountOf
67. MK-CF-F-037 inferDebtType
68. MK-ST-F-069 amountOf
69. MK-CF-F-133 cashOf
70. MK-ST-F-066 isDayKey
71. MK-ST-F-070 isOpening
72. MK-ST-F-071 rebuildableFrom
73. MK-ST-F-068 stepDay
74. MK-ST-F-072 undo
75. MK-NW-F-053 correctClassOf
76. MK-NW-F-008 incomeBearingClassOf
77. MK-PF-F-002 costBasis
78. MK-PF-F-009 latestClose
79. MK-PF-F-004 marketValue
80. MK-ST-F-030 record
81. MK-XS-F-024 resolveLens
82. MK-ST-F-055 round2
83. MK-CF-F-162 daysApart
84. MK-CF-F-108 isMoneyOut
85. MK-PL-F-074 median
86. MK-CF-F-131 normPayee
87. MK-CF-F-113 affectedAccountIds
88. MK-CF-F-172 hasWage
89. MK-CF-F-021 defaultPaymentType
90. MK-CF-F-130 enteredMonthlyRaw
91. MK-CF-F-166 hasMonthlySalaryTable
92. MK-ST-F-036 reconcile
93. MK-CF-F-167 salaryCalendarYear
94. MK-CF-F-134 usesSleeve
95. MK-ST-F-049 formatMoney
96. MK-CF-F-101 taxOwedFor
97. MK-ST-F-067 utcOfDay
98. MK-CF-F-155 cash
99. MK-ST-F-035 covers
100. MK-NW-F-009 maturityClass
101. MK-ST-F-010 nameEvidence
102. MK-PF-F-031 contractMultiplier
103. MK-CF-F-165 salaryMonths
104. MK-ST-F-048 currencySymbol
105. MK-ST-F-039 on
106. MK-CF-F-100 taxableIncomeFor
107. MK-ST-F-034 firstDate
108. MK-XS-F-147 call
109. MK-ST-F-047 activeCurrency
110. MK-CF-F-099 deductionFor
111. MK-XS-F-064 currentIdToken
112. MK-XS-F-112 relayUrl
113.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1123</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1157</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1194</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1227</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1269</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1314</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1360</v>
      </c>
      <c r="E87" s="3" t="inlineStr">
        <is>
          <t>2 · DISPLAYED</t>
        </is>
      </c>
      <c r="F87" s="3" t="inlineStr">
        <is>
          <t>What state tax rate applies?</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1404</v>
      </c>
      <c r="E88" s="3" t="inlineStr">
        <is>
          <t>2 · DISPLAYED</t>
        </is>
      </c>
      <c r="F88" s="3" t="inlineStr">
        <is>
          <t>PRD F2#11 — the ONE per-calendar-month effective tax-rate vector (Jan→Dec).</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NOT FOUND — a screen calls it, but the words printed beside its answer could not be traced automatically. Needs reading.</t>
        </is>
      </c>
      <c r="M88" s="3" t="inlineStr">
        <is>
          <t>· Uses today's date from the device clock, so the answer changes by itself overnight.</t>
        </is>
      </c>
      <c r="N88" s="3" t="inlineStr">
        <is>
          <t>Yes</t>
        </is>
      </c>
      <c r="O88" s="3" t="inlineStr">
        <is>
          <t>1. MK-CF-F-203 MONTH
2. MK-CF-F-090 effectiveRate
3. MK-CF-F-085 filingStatusOf
4. MK-CF-F-132 map
5. MK-CF-F-089 over65CountOf
6. MK-CF-F-098 progressiveMonthlyTax
7. MK-CF-F-181 rateInForce
8. MK-CF-F-086 stateRateOf
9. MK-CF-F-088 taxableByCalendarMonth
10. MK-ST-F-052 toNum</t>
        </is>
      </c>
      <c r="P88" s="3" t="n">
        <v>101</v>
      </c>
      <c r="Q88" s="3" t="inlineStr">
        <is>
          <t>1. MK-CF-F-203 MONTH
2. MK-CF-F-090 effectiveRate
3. MK-CF-F-085 filingStatusOf
4. MK-CF-F-132 map
5. MK-CF-F-089 over65CountOf
6. MK-CF-F-098 progressiveMonthlyTax
7. MK-CF-F-181 rateInForce
8. MK-CF-F-086 stateRateOf
9. MK-CF-F-088 taxableByCalendarMonth
10. MK-ST-F-052 toNum
11. MK-CF-O-010 theMonth
12. MK-CF-F-101 taxOwedFor
13. MK-CF-F-100 taxableIncomeFor
14. MK-CF-F-173 earnerWages
15. MK-CF-F-102 effectiveRateOnGrossFor
16. MK-CF-F-180 enteredLandsAnnual
17. MK-CF-F-082 salaryAnnual
18. MK-CF-F-084 taxableAnnual
19. MK-CF-F-072 currentRetirementIncomeMonthly
20. MK-CF-F-065 equityVestWeights
21. MK-CF-F-071 extraIncome
22. MK-CF-F-206 householdK401ByMonth
23. MK-CF-F-073 otherIncomeMonth
24. MK-CF-F-068 rentalNetAnnual
25. MK-CF-F-066 rsuAnnual
26. MK-CF-F-060 salaryGrossByMonth
27. MK-XS-F-122 n
28. MK-CF-F-155 cash
29. MK-CF-O-002 expenses
30. MK-CF-O-003 thisMonth
31. MK-CF-F-099 deductionFor
32. MK-CF-F-172 hasWage
33. MK-CF-F-074 tipsAnnual
34. MK-CF-F-075 retirementIncomeMonthly
35. MK-CF-F-062 equityRowValue
36. MK-CF-F-070 benefitAnnual
37. MK-ST-F-039 on
38. MK-CF-F-176 sumMonthsOverEarners
39. MK-CF-F-177 wageGrossByMonth
40. MK-CF-F-067 rentalList
41. MK-CF-F-063 rowVestYear
42. MK-CF-F-151 actualSpending
43. MK-CF-F-150 debtPaymentsCountedAsExpenses
44. MK-CF-F-153 radar
45. MK-CF-F-149 recurringDebtPayments
46. MK-CF-F-005 actualMonthFlow
47. MK-CF-F-156 plannedMonthFlow
48. MK-CF-F-187 seniorDeductionFor
49. MK-ST-F-056 has
50. MK-CF-F-081 salaryActiveMonths
51. MK-CF-F-069 benefitActiveMonths
52. MK-CF-F-130 enteredMonthlyRaw
53. MK-CF-F-166 hasMonthlySalaryTable
54. MK-ST-F-036 reconcile
55. MK-CF-F-167 salaryCalendarYear
56. MK-CF-F-148 inMonth
57. MK-CF-F-191 ym
58. MK-CF-F-022 paymentShape
59. MK-CF-F-152 isRadarItem
60. MK-CF-F-023 requiredPayment
61. MK-NW-F-078 ONE
62. MK-CF-F-157 debtPaymentsByDebt
63. MK-CF-F-192 inflowLabel
64. MK-XS-F-027 takeHomeMonthly
65. MK-CF-F-165 salaryMonths
66. MK-CF-F-021 defaultPaymentType
67. MK-NW-F-077 ALL
68. MK-NW-F-059 currentYield
69. MK-XS-F-180 declareFigures
70. MK-ST-F-049 formatMoney
71. MK-ST-F-053 money
72. MK-NW-O-001 theBonds
73. MK-CF-F-193 inflowSourceWord
74. MK-CF-F-092 incomeMonthlyGrid
75. MK-CF-F-011 savingsByMonth
76. MK-NW-F-057 annualCoupon
77. MK-ST-F-048 currencySymbol
78. MK-ST-F-027 accountId
79. MK-NW-F-056 bondInfo
80. MK-NW-F-064 bondRateSensitivity
81. MK-NW-F-061 bondSummary
82. MK-NW-F-055 isBond
83. MK-NW-F-072 rowOf
84. MK-CF-F-077 scholarshipByCalendarMonth
85. MK-PL-F-012 waterfall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2026-09-08</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1531</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1605</v>
      </c>
      <c r="E90" s="3" t="inlineStr">
        <is>
          <t>2 · DISPLAYED</t>
        </is>
      </c>
      <c r="F90" s="3" t="inlineStr">
        <is>
          <t>E8 (founder brief 2026-08-20): how many people on the return are 65+.</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1651</v>
      </c>
      <c r="E91" s="3" t="inlineStr">
        <is>
          <t>3 · DEPENDENT</t>
        </is>
      </c>
      <c r="F91" s="3" t="inlineStr">
        <is>
          <t>NOT DETERMINED — the code carries no note saying what this is for, and it has no row in the old inventory. Needs reading.</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MK-CF-F-102 effectiveRateOnGrossFor
4. MK-CF-F-180 enteredLandsAnnual
5. MK-CF-F-085 filingStatusOf
6. MK-CF-F-089 over65CountOf
7. MK-CF-F-082 salaryAnnual
8. MK-CF-F-086 stateRateOf
9. MK-CF-F-084 taxableAnnual
10. MK-ST-F-052 toNum
11. MK-CF-F-172 hasWage
12. MK-CF-F-101 taxOwedFor
13. MK-CF-F-060 salaryGrossByMonth
14. MK-CF-F-072 currentRetirementIncomeMonthly
15. MK-CF-F-071 extraIncome
16. MK-CF-F-068 rentalNetAnnual
17. MK-CF-F-066 rsuAnnual
18. MK-CF-F-074 tipsAnnual
19. MK-XS-F-122 n
20. MK-ST-F-056 has
21. MK-CF-F-100 taxableIncomeFor
22. MK-CF-F-176 sumMonthsOverEarners
23. MK-CF-F-177 wageGrossByMonth
24. MK-CF-F-075 retirementIncomeMonthly
25. MK-CF-F-070 benefitAnnual
26. MK-ST-F-039 on
27. MK-CF-O-002 expenses
28. MK-CF-F-067 rentalList
29. MK-CF-F-062 equityRowValue
30. MK-CF-F-132 map
31. MK-CF-F-063 rowVestYear
32. MK-CF-F-081 salaryActiveMonths
33. MK-CF-F-099 deductionFor
34. MK-CF-F-130 enteredMonthlyRaw
35. MK-CF-F-166 hasMonthlySalaryTable
36. MK-ST-F-036 reconcile
37. MK-CF-F-167 salaryCalendarYear
38. MK-CF-F-069 benefitActiveMonths
39. MK-CF-F-151 actualSpending
40. MK-CF-F-150 debtPaymentsCountedAsExpenses
41. MK-CF-F-153 radar
42. MK-CF-F-149 recurringDebtPayments
43. MK-CF-F-187 seniorDeductionFor
44. MK-CF-F-165 salaryMonths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MK-CF-F-099 deductionFor → MK-CF-F-100 taxableIncomeFor → MK-CF-F-101 taxOwedFor → MK-CF-F-102 effectiveRateOnGrossFor → MK-CF-F-181 rateInForce → MK-CF-F-090 effectiveRate
3. MK-ST-F-056 has → MK-CF-F-172 hasWage → MK-CF-F-173 earnerWages → MK-CF-F-180 enteredLandsAnnual → MK-CF-F-181 rateInForce → MK-CF-F-090 effectiveRate
4. MK-XS-F-122 n → MK-ST-F-052 toNum → MK-CF-F-180 enteredLandsAnnual → MK-CF-F-181 rateInForce → MK-CF-F-090 effectiveRate
5. MK-CF-F-085 filingStatusOf → MK-CF-F-181 rateInForce → MK-CF-F-090 effectiveRate
6. MK-XS-F-122 n → MK-ST-F-052 toNum → MK-CF-F-089 over65CountOf → MK-CF-F-181 rateInForce → MK-CF-F-090 effectiveRate
7. MK-CF-F-173 earnerWages → MK-CF-F-176 sumMonthsOverEarners → MK-CF-F-060 salaryGrossByMonth → MK-CF-F-082 salaryAnnual → MK-CF-F-181 rateInForce → MK-CF-F-090 effectiveRate
8. MK-CF-F-132 map → MK-CF-F-176 sumMonthsOverEarners → MK-CF-F-060 salaryGrossByMonth → MK-CF-F-082 salaryAnnual → MK-CF-F-181 rateInForce → MK-CF-F-090 effectiveRate
9. … and 4 more paths</t>
        </is>
      </c>
      <c r="S91" s="3" t="inlineStr">
        <is>
          <t>MK-CF-M-029</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1685</v>
      </c>
      <c r="E92" s="3" t="inlineStr">
        <is>
          <t>3 · DEPENDENT (feeds an action only)</t>
        </is>
      </c>
      <c r="F92" s="3" t="inlineStr">
        <is>
          <t>PRD F3#17 — the user's OWN capital-gains rates (long: 0/15/20 ladder by filing status; short: their marginal bracket), each plus the flat state rate.</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1744</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 Uses today's date from the device clock, so the answer changes by itself overnight.</t>
        </is>
      </c>
      <c r="N93" s="3" t="inlineStr">
        <is>
          <t>Yes</t>
        </is>
      </c>
      <c r="O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t>
        </is>
      </c>
      <c r="P93" s="3" t="n">
        <v>101</v>
      </c>
      <c r="Q93" s="3" t="inlineStr">
        <is>
          <t>1. MK-CF-F-069 benefitActiveMonths
2. MK-CF-F-072 currentRetirementIncomeMonthly
3. MK-CF-F-065 equityVestWeights
4. MK-CF-F-071 extraIncome
5. MK-ST-F-056 has
6. MK-CF-F-206 householdK401ByMonth
7. MK-CF-F-132 map
8. MK-CF-F-087 monthlyTaxRates
9. MK-CF-F-073 otherIncomeMonth
10. MK-CF-F-181 rateInForce
11. MK-CF-F-068 rentalNetAnnual
12. MK-CF-F-066 rsuAnnual
13. MK-CF-F-060 salaryGrossByMonth
14. MK-CF-F-077 scholarshipByCalendarMonth
15. MK-CF-F-088 taxableByCalendarMonth
16. MK-ST-F-052 toNum
17. MK-PL-F-012 waterfall
18. MK-CF-F-075 retirementIncomeMonthly
19. MK-CF-F-062 equityRowValue
20. MK-CF-F-070 benefitAnnual
21. MK-ST-F-039 on
22. MK-CF-F-176 sumMonthsOverEarners
23. MK-CF-F-177 wageGrossByMonth
24. MK-CF-F-203 MONTH
25. MK-CF-F-090 effectiveRate
26. MK-CF-F-085 filingStatusOf
27. MK-CF-F-089 over65CountOf
28. MK-CF-F-098 progressiveMonthlyTax
29. MK-CF-F-086 stateRateOf
30. MK-CF-F-173 earnerWages
31. MK-CF-F-102 effectiveRateOnGrossFor
32. MK-CF-F-180 enteredLandsAnnual
33. MK-CF-F-082 salaryAnnual
34. MK-CF-F-084 taxableAnnual
35. MK-CF-O-002 expenses
36. MK-CF-F-067 rentalList
37. MK-CF-F-063 rowVestYear
38. MK-XS-F-122 n
39. MK-CF-F-130 enteredMonthlyRaw
40. MK-CF-F-166 hasMonthlySalaryTable
41. MK-ST-F-036 reconcile
42. MK-CF-F-167 salaryCalendarYear
43. MK-CF-O-010 theMonth
44. MK-CF-F-101 taxOwedFor
45. MK-CF-F-100 taxableIncomeFor
46. MK-CF-F-172 hasWage
47. MK-CF-F-074 tipsAnnual
48. MK-CF-F-151 actualSpending
49. MK-CF-F-150 debtPaymentsCountedAsExpenses
50. MK-CF-F-153 radar
51. MK-CF-F-149 recurringDebtPayments
52. MK-CF-F-165 salaryMonths
53. MK-CF-F-155 cash
54. MK-CF-O-003 thisMonth
55. MK-CF-F-099 deductionFor
56. MK-CF-F-081 salaryActiveMonths
57. MK-CF-F-148 inMonth
58. MK-CF-F-191 ym
59. MK-CF-F-022 paymentShape
60. MK-CF-F-152 isRadarItem
61. MK-CF-F-023 requiredPayment
62. MK-CF-F-005 actualMonthFlow
63. MK-CF-F-156 plannedMonthFlow
64. MK-CF-F-187 seniorDeductionFor
65. MK-CF-F-021 defaultPaymentType
66. MK-NW-F-078 ONE
67. MK-CF-F-157 debtPaymentsByDebt
68. MK-CF-F-192 inflowLabel
69. MK-XS-F-027 takeHomeMonthly
70. MK-NW-F-077 ALL
71. MK-NW-F-059 currentYield
72. MK-XS-F-180 declareFigures
73. MK-ST-F-049 formatMoney
74. MK-ST-F-053 money
75. MK-NW-O-001 theBonds
76. MK-CF-F-193 inflowSourceWord
77. MK-CF-F-011 savingsByMonth
78. MK-NW-F-057 annualCoupon
79. MK-ST-F-048 currencySymbol
80. MK-ST-F-027 accountId
81. MK-NW-F-056 bondInfo
82. MK-NW-F-064 bondRateSensitivity
83. MK-NW-F-061 bondSummary
84. MK-NW-F-055 isBond
85. MK-NW-F-072 rowOf
86. MK-CF-F-008 spendByMonth
87. MK-ST-F-047 activeCurrency
88. MK-NW-F-060 approxYTM
89. MK-NW-F-069 priceAtYield
90. MK-NW-F-011 assetClassOf
91. MK-NW-F-070 accruedInterestCaveat
92. MK-NW-F-071 isCertificateOfDeposit
93. MK-NW-F-058 yearsToMaturity
94. MK-CF-F-120 pctBaseMonthly
95. MK-CF-F-004 spendBuckets
96. MK-NW-F-008 incomeBearingClassOf
97. MK-CF-F-003 categoryMonthly
98. MK-ST-F-010 nameEvidence
99. MK-XS-F-147 call
100. MK-XS-F-064 currentIdToken
101. MK-XS-F-112 relayUrl</t>
        </is>
      </c>
      <c r="R93" s="3" t="inlineStr">
        <is>
          <t>1. MK-CF-F-069 benefitActiveMonths → MK-CF-F-092 incomeMonthlyGrid
2. MK-XS-F-122 n → MK-ST-F-052 toNum → MK-CF-F-075 retirementIncomeMonthly → MK-CF-F-072 currentRetirementIncomeMonthly → MK-CF-F-092 incomeMonthlyGrid
3. MK-XS-F-122 n → MK-ST-F-052 toNum → MK-CF-F-062 equityRowValue → MK-CF-F-065 equityVestWeights → MK-CF-F-092 incomeMonthlyGrid
4. MK-CF-F-132 map → MK-CF-F-065 equityVestWeights → MK-CF-F-092 incomeMonthlyGrid
5. MK-CF-F-069 benefitActiveMonths → MK-CF-F-070 benefitAnnual → MK-CF-F-071 extraIncome → MK-CF-F-092 incomeMonthlyGrid
6. MK-XS-F-122 n → MK-ST-F-052 toNum → MK-CF-F-070 benefitAnnual → MK-CF-F-071 extraIncome → MK-CF-F-092 incomeMonthlyGrid
7. MK-ST-F-039 on → MK-CF-F-071 extraIncome → MK-CF-F-092 incomeMonthlyGrid
8. MK-XS-F-122 n → MK-ST-F-052 toNum → MK-CF-F-071 extraIncome → MK-CF-F-092 incomeMonthlyGrid
9. … and 5 more paths</t>
        </is>
      </c>
      <c r="S93" s="3" t="inlineStr">
        <is>
          <t>MK-CF-M-018 · 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103</v>
      </c>
      <c r="E95" s="3" t="inlineStr">
        <is>
          <t>3 · DEPENDENT</t>
        </is>
      </c>
      <c r="F95" s="3" t="inlineStr">
        <is>
          <t>PRD F2#11 — progressive PER-MONTH tax: brackets fill as the year's taxable income accumulates month by month (Jan→Dec), so tax_m = taxOwedFor(cumulative through m) − taxOwedFor(cumulative through m−1).</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260</v>
      </c>
      <c r="E96" s="3" t="inlineStr">
        <is>
          <t>3 · DEPENDENT</t>
        </is>
      </c>
      <c r="F96" s="3" t="inlineStr">
        <is>
          <t>What amount of income is tax-free before the brackets start. Answers: $16,100 single · $32</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294</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337</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380</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415</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453</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2026-08-27</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2026-09-09</t>
        </is>
      </c>
      <c r="W103" s="3" t="n"/>
      <c r="X103" s="3" t="n"/>
      <c r="Y103" s="3" t="inlineStr">
        <is>
          <t>NOTHING OPEN</t>
        </is>
      </c>
    </row>
    <row r="104" ht="60" customHeight="1">
      <c r="A104" s="3" t="inlineStr">
        <is>
          <t>MK-CF-F-107</t>
        </is>
      </c>
      <c r="B104" s="3" t="inlineStr">
        <is>
          <t>buildPaycheckYear</t>
        </is>
      </c>
      <c r="C104" s="3" t="inlineStr">
        <is>
          <t>src/domain/paycheck/index.ts</t>
        </is>
      </c>
      <c r="D104" s="3" t="n">
        <v>222</v>
      </c>
      <c r="E104" s="3" t="inlineStr">
        <is>
          <t>2 · DISPLAYED</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NOT FOUND — a screen calls it, but the words printed beside its answer could not be traced automatically. Needs reading.</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120</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MK-CF-F-085 filingStatusOf
38. MK-CF-F-089 over65CountOf
39. MK-CF-F-098 progressiveMonthlyTax
40. MK-CF-F-181 rateInForce
41. MK-CF-F-086 stateRateOf
42. MK-CF-F-088 taxableByCalendarMonth
43. MK-CF-F-021 defaultPaymentType
44. MK-CF-F-067 rentalList
45. MK-CF-F-176 sumMonthsOverEarners
46. MK-CF-F-177 wageGrossByMonth
47. MK-CF-F-120 pctBaseMonthly
48. MK-CF-F-004 spendBuckets
49. MK-NW-F-030 earmarkDefault
50. MK-NW-F-011 assetClassOf
51. MK-PL-F-074 median
52. MK-PL-F-072 mulberry32
53. MK-PL-F-073 normal
54. MK-PL-F-075 pctOfSorted
55. MK-ST-F-025 rmdStartAgeFromAge
56. MK-CF-F-063 rowVestYear
57. MK-CF-F-148 inMonth
58. MK-CF-F-191 ym
59. MK-CF-F-152 isRadarItem
60. MK-CF-O-010 theMonth
61. MK-ST-F-048 currencySymbol
62. MK-ST-F-039 on
63. MK-CF-F-101 taxOwedFor
64. MK-CF-F-100 taxableIncomeFor
65. MK-CF-F-173 earnerWages
66. MK-CF-F-102 effectiveRateOnGrossFor
67. MK-CF-F-180 enteredLandsAnnual
68. MK-CF-F-082 salaryAnnual
69. MK-CF-F-084 taxableAnnual
70. MK-CF-F-065 equityVestWeights
71. MK-CF-F-071 extraIncome
72. MK-CF-F-206 householdK401ByMonth
73. MK-CF-F-130 enteredMonthlyRaw
74. MK-CF-F-166 hasMonthlySalaryTable
75. MK-ST-F-036 reconcile
76. MK-CF-F-167 salaryCalendarYear
77. MK-CF-F-092 incomeMonthlyGrid
78. MK-CF-F-003 categoryMonthly
79. MK-NW-F-013 realEstateUseOf
80. MK-NW-F-008 incomeBearingClassOf
81. MK-ST-F-024 rmdStartAge
82. MK-CF-F-155 cash
83. MK-CF-O-003 thisMonth
84. MK-ST-F-047 activeCurrency
85. MK-CF-F-099 deductionFor
86. MK-CF-F-172 hasWage
87. MK-CF-F-074 tipsAnnual
88. MK-CF-F-070 benefitAnnual
89. MK-CF-F-165 salaryMonths
90. MK-CF-F-077 scholarshipByCalendarMonth
91. MK-PL-F-012 waterfall
92. MK-XS-F-027 takeHomeMonthly
93. MK-ST-F-010 nameEvidence
94. MK-CF-F-005 actualMonthFlow
95. MK-CF-F-156 plannedMonthFlow
96. MK-CF-F-187 seniorDeductionFor
97. MK-CF-F-081 salaryActiveMonths
98. MK-CF-F-011 savingsByMonth
99. MK-XS-F-147 call
100. MK-NW-F-078 ONE
101. MK-CF-F-157 debtPaymentsByDebt
102. MK-CF-F-192 inflowLabel
103. MK-ST-F-027 accountId
104. MK-XS-F-064 currentIdToken
105. MK-XS-F-112 relayUrl
106. MK-NW-F-077 ALL
107. MK-NW-F-059 currentYield
108. MK-NW-O-001 theBonds
109. MK-CF-F-193 inflowSourceWord
110. MK-NW-F-057 annualCoupon
111. MK-NW-F-056 bondInfo
112. MK-NW-F-064 bondRateSensitivity
113. MK-NW-F-061 bondSummary
114. MK-NW-F-055 isBond
115. MK-NW-F-072 rowOf
116. MK-NW-F-060 approxYTM
117. MK-NW-F-069 priceAtYield
118. MK-NW-F-070 accruedInterestCaveat
119. MK-NW-F-071 isCertificateOfDeposit
120.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2026-09-09</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203</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326</v>
      </c>
      <c r="E107" s="3" t="inlineStr">
        <is>
          <t>2 · DISPLAYED</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"WHY WE'RE SHOWING THIS" — on the Worth a look screen</t>
        </is>
      </c>
      <c r="M107" s="3" t="inlineStr">
        <is>
          <t>· Rounds the answer to a whole number.</t>
        </is>
      </c>
      <c r="N107" s="3" t="inlineStr">
        <is>
          <t>Yes</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2026-08-27</t>
        </is>
      </c>
      <c r="W107" s="3" t="n"/>
      <c r="X107" s="3" t="n"/>
      <c r="Y107" s="3" t="inlineStr">
        <is>
          <t>NOTHING OPEN</t>
        </is>
      </c>
    </row>
    <row r="108" ht="60" customHeight="1">
      <c r="A108" s="3" t="inlineStr">
        <is>
          <t>MK-CF-F-111</t>
        </is>
      </c>
      <c r="B108" s="3" t="inlineStr">
        <is>
          <t>applyTransaction</t>
        </is>
      </c>
      <c r="C108" s="3" t="inlineStr">
        <is>
          <t>src/domain/transactions/index.ts</t>
        </is>
      </c>
      <c r="D108" s="3" t="n">
        <v>460</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548</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587</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620</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656</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698</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738</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771</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806</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101</v>
      </c>
      <c r="Q117" s="3" t="inlineStr">
        <is>
          <t>1. MK-CF-F-092 incomeMonthlyGrid
2. MK-CF-F-069 benefitActiveMonths
3. MK-CF-F-072 currentRetirementIncomeMonthly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MK-PL-F-012 waterfall
19. MK-CF-F-075 retirementIncomeMonthly
20. MK-CF-F-062 equityRowValue
21. MK-CF-F-070 benefitAnnual
22. MK-ST-F-039 on
23. MK-CF-F-176 sumMonthsOverEarners
24. MK-CF-F-177 wageGrossByMonth
25. MK-CF-F-203 MONTH
26. MK-CF-F-090 effectiveRate
27. MK-CF-F-085 filingStatusOf
28. MK-CF-F-089 over65CountOf
29. MK-CF-F-098 progressiveMonthlyTax
30. MK-CF-F-086 stateRateOf
31. MK-CF-F-173 earnerWages
32. MK-CF-F-102 effectiveRateOnGrossFor
33. MK-CF-F-180 enteredLandsAnnual
34. MK-CF-F-082 salaryAnnual
35. MK-CF-F-084 taxableAnnual
36. MK-CF-O-002 expenses
37. MK-CF-F-067 rentalList
38. MK-CF-F-063 rowVestYear
39. MK-XS-F-122 n
40. MK-CF-F-130 enteredMonthlyRaw
41. MK-CF-F-166 hasMonthlySalaryTable
42. MK-ST-F-036 reconcile
43. MK-CF-F-167 salaryCalendarYear
44. MK-CF-O-010 theMonth
45. MK-CF-F-101 taxOwedFor
46. MK-CF-F-100 taxableIncomeFor
47. MK-CF-F-172 hasWage
48. MK-CF-F-074 tipsAnnual
49. MK-CF-F-151 actualSpending
50. MK-CF-F-150 debtPaymentsCountedAsExpenses
51. MK-CF-F-153 radar
52. MK-CF-F-149 recurringDebtPayments
53. MK-CF-F-165 salaryMonths
54. MK-CF-F-155 cash
55. MK-CF-O-003 thisMonth
56. MK-CF-F-099 deductionFor
57. MK-CF-F-081 salaryActiveMonths
58. MK-CF-F-148 inMonth
59. MK-CF-F-191 ym
60. MK-CF-F-022 paymentShape
61. MK-CF-F-152 isRadarItem
62. MK-CF-F-023 requiredPayment
63. MK-CF-F-005 actualMonthFlow
64. MK-CF-F-156 plannedMonthFlow
65. MK-CF-F-187 seniorDeductionFor
66. MK-CF-F-021 defaultPaymentType
67. MK-NW-F-078 ONE
68. MK-CF-F-157 debtPaymentsByDebt
69. MK-CF-F-192 inflowLabel
70. MK-XS-F-027 takeHomeMonthly
71. MK-NW-F-077 ALL
72. MK-NW-F-059 currentYield
73. MK-XS-F-180 declareFigures
74. MK-ST-F-049 formatMoney
75. MK-ST-F-053 money
76. MK-NW-O-001 theBonds
77. MK-CF-F-193 inflowSourceWord
78. MK-CF-F-011 savingsByMonth
79. MK-NW-F-057 annualCoupon
80. MK-ST-F-048 currencySymbol
81. MK-ST-F-027 accountId
82. MK-NW-F-056 bondInfo
83. MK-NW-F-064 bondRateSensitivity
84. MK-NW-F-061 bondSummary
85. MK-NW-F-055 isBond
86. MK-NW-F-072 rowOf
87. MK-CF-F-008 spendByMonth
88. MK-ST-F-047 activeCurrency
89. MK-NW-F-060 approxYTM
90. MK-NW-F-069 priceAtYield
91. MK-NW-F-011 assetClassOf
92. MK-NW-F-070 accruedInterestCaveat
93. MK-NW-F-071 isCertificateOfDeposit
94. MK-NW-F-058 yearsToMaturity
95. MK-CF-F-004 spendBuckets
96. MK-NW-F-008 incomeBearingClassOf
97. MK-CF-F-003 categoryMonthly
98. MK-ST-F-010 nameEvidence
99. MK-XS-F-147 call
100. MK-XS-F-064 currentIdToken
101.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MK-XS-F-122 n → MK-ST-F-052 toNum → MK-CF-F-062 equityRowValue → MK-CF-F-065 equityVestWeights → MK-CF-F-092 incomeMonthlyGrid → MK-CF-F-120 pctBaseMonthly
4. MK-CF-F-132 map → MK-CF-F-065 equityVestWeights → MK-CF-F-092 incomeMonthlyGrid → MK-CF-F-120 pctBaseMonthly
5. MK-CF-F-069 benefitActiveMonths → MK-CF-F-070 benefitAnnual → MK-CF-F-071 extraIncome → MK-CF-F-092 incomeMonthlyGrid → MK-CF-F-120 pctBaseMonthly
6. MK-XS-F-122 n → MK-ST-F-052 toNum → MK-CF-F-070 benefitAnnual → MK-CF-F-071 extraIncome → MK-CF-F-092 incomeMonthlyGrid → MK-CF-F-120 pctBaseMonthly
7. MK-ST-F-039 on → MK-CF-F-071 extraIncome → MK-CF-F-092 incomeMonthlyGrid → MK-CF-F-120 pctBaseMonthly
8. MK-XS-F-122 n → MK-ST-F-052 toNum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60" customHeight="1">
      <c r="A118" s="3" t="inlineStr">
        <is>
          <t>MK-CF-F-121</t>
        </is>
      </c>
      <c r="B118" s="3" t="inlineStr">
        <is>
          <t>zero12</t>
        </is>
      </c>
      <c r="C118" s="3" t="inlineStr">
        <is>
          <t>src/domain/cashflow/index.ts</t>
        </is>
      </c>
      <c r="D118" s="3" t="n">
        <v>34</v>
      </c>
      <c r="E118" s="3" t="inlineStr">
        <is>
          <t>3 · DEPENDENT</t>
        </is>
      </c>
      <c r="F118" s="3" t="inlineStr">
        <is>
          <t>NOT DETERMINED — the code carries no note saying what this is for, and it has no row in the old inventory. Needs reading.</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60" customHeight="1">
      <c r="A119" s="3" t="inlineStr">
        <is>
          <t>MK-CF-F-122</t>
        </is>
      </c>
      <c r="B119" s="3" t="inlineStr">
        <is>
          <t>addDays</t>
        </is>
      </c>
      <c r="C119" s="3" t="inlineStr">
        <is>
          <t>src/domain/cashflow/index.ts</t>
        </is>
      </c>
      <c r="D119" s="3" t="n">
        <v>133</v>
      </c>
      <c r="E119" s="3" t="inlineStr">
        <is>
          <t>2 · DISPLAYED</t>
        </is>
      </c>
      <c r="F119" s="3" t="inlineStr">
        <is>
          <t>NOT DETERMINED — the code carries no note saying what this is for, and it has no row in the old inventory. Needs reading.</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159</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60" customHeight="1">
      <c r="A123" s="3" t="inlineStr">
        <is>
          <t>MK-CF-F-127</t>
        </is>
      </c>
      <c r="B123" s="3" t="inlineStr">
        <is>
          <t>isRental</t>
        </is>
      </c>
      <c r="C123" s="3" t="inlineStr">
        <is>
          <t>src/domain/income/calc.ts</t>
        </is>
      </c>
      <c r="D123" s="3" t="n">
        <v>29</v>
      </c>
      <c r="E123" s="3" t="inlineStr">
        <is>
          <t>1 · ACTION</t>
        </is>
      </c>
      <c r="F123" s="3" t="inlineStr">
        <is>
          <t>NOT DETERMINED — the code carries no note saying what this is for, and it has no row in the old inventory. Needs reading.</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60" customHeight="1">
      <c r="A125" s="3" t="inlineStr">
        <is>
          <t>MK-CF-F-129</t>
        </is>
      </c>
      <c r="B125" s="3" t="inlineStr">
        <is>
          <t>round4</t>
        </is>
      </c>
      <c r="C125" s="3" t="inlineStr">
        <is>
          <t>src/domain/income/calc.ts</t>
        </is>
      </c>
      <c r="D125" s="3" t="n">
        <v>275</v>
      </c>
      <c r="E125" s="3" t="inlineStr">
        <is>
          <t>1 · ACTION</t>
        </is>
      </c>
      <c r="F125" s="3" t="inlineStr">
        <is>
          <t>NOT DETERMINED — the code carries no note saying what this is for, and it has no row in the old inventory. Needs reading.</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60" customHeight="1">
      <c r="A127" s="3" t="inlineStr">
        <is>
          <t>MK-CF-F-131</t>
        </is>
      </c>
      <c r="B127" s="3" t="inlineStr">
        <is>
          <t>normPayee</t>
        </is>
      </c>
      <c r="C127" s="3" t="inlineStr">
        <is>
          <t>src/domain/transactions/flags.ts</t>
        </is>
      </c>
      <c r="D127" s="3" t="n">
        <v>92</v>
      </c>
      <c r="E127" s="3" t="inlineStr">
        <is>
          <t>1 · ACTION</t>
        </is>
      </c>
      <c r="F127" s="3" t="inlineStr">
        <is>
          <t>NOT DETERMINED — the code carries no note saying what this is for, and it has no row in the old inventory. Needs reading.</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121</v>
      </c>
      <c r="E128" s="3" t="inlineStr">
        <is>
          <t>1 · ACTION</t>
        </is>
      </c>
      <c r="F128" s="3" t="inlineStr">
        <is>
          <t>NOT DETERMINED — the code carries no note saying what this is for, and it has no row in the old inventory. Needs reading.</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 share of what they put in, or a flat amount." — on the base pay screen
2. "ACCOUNTS (year-end)" — on the Tax organiser screen, under "ACCOUNTS (year-end)"
3. "Account name" — on the Import holdings screen, under "REVIEW YOUR HOLDINGS"
4. "Add a goal ›" — on the Goals together screen, under "TRY THESE TOGETHER"
5. "Add your income ›" — on the income summary screen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60" customHeight="1">
      <c r="A129" s="3" t="inlineStr">
        <is>
          <t>MK-CF-F-133</t>
        </is>
      </c>
      <c r="B129" s="3" t="inlineStr">
        <is>
          <t>cashOf</t>
        </is>
      </c>
      <c r="C129" s="3" t="inlineStr">
        <is>
          <t>src/domain/transactions/index.ts</t>
        </is>
      </c>
      <c r="D129" s="3" t="n">
        <v>154</v>
      </c>
      <c r="E129" s="3" t="inlineStr">
        <is>
          <t>1 · ACTION</t>
        </is>
      </c>
      <c r="F129" s="3" t="inlineStr">
        <is>
          <t>NOT DETERMINED — the code carries no note saying what this is for, and it has no row in the old inventory. Needs reading.</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190</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216</v>
      </c>
      <c r="E131" s="3" t="inlineStr">
        <is>
          <t>1 · ACTION</t>
        </is>
      </c>
      <c r="F131" s="3" t="inlineStr">
        <is>
          <t>NOT DETERMINED — the code carries no note saying what this is for, and it has no row in the old inventory. Needs reading.</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256</v>
      </c>
      <c r="E132" s="3" t="inlineStr">
        <is>
          <t>3 · DEPENDENT</t>
        </is>
      </c>
      <c r="F132" s="3" t="inlineStr">
        <is>
          <t>NOT DETERMINED — the code carries no note saying what this is for, and it has no row in the old inventory. Needs reading.</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60" customHeight="1">
      <c r="A133" s="3" t="inlineStr">
        <is>
          <t>MK-CF-F-137</t>
        </is>
      </c>
      <c r="B133" s="3" t="inlineStr">
        <is>
          <t>findPos</t>
        </is>
      </c>
      <c r="C133" s="3" t="inlineStr">
        <is>
          <t>src/domain/transactions/index.ts</t>
        </is>
      </c>
      <c r="D133" s="3" t="n">
        <v>305</v>
      </c>
      <c r="E133" s="3" t="inlineStr">
        <is>
          <t>1 · ACTION</t>
        </is>
      </c>
      <c r="F133" s="3" t="inlineStr">
        <is>
          <t>NOT DETERMINED — the code carries no note saying what this is for, and it has no row in the old inventory. Needs reading.</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353</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398</v>
      </c>
      <c r="E135" s="3" t="inlineStr">
        <is>
          <t>3 · DEPENDENT</t>
        </is>
      </c>
      <c r="F135" s="3" t="inlineStr">
        <is>
          <t>Remove `shares` from a position FIFO (oldest lots first); returns updated account.</t>
        </is>
      </c>
      <c r="G135" s="11" t="inlineStr">
        <is>
          <t>pos = find pos(a, t)
a   when pos is missing
remaining = shares
lots = for each of pos.lots: { ...each }
take = min(shares, remaining)
kept = lots where shares &gt; 1e − 9
the answer = { ...a, positions }</t>
        </is>
      </c>
      <c r="H135" s="3" t="inlineStr">
        <is>
          <t>Pos is find pos(a, t). When pos is missing, it answers a. Remaining is shares. Lots is for each of pos.lots: { ...each }. Take: the smaller of shares and remaining. Kept is lots where shares &gt; 1e minus 9. The answer is { ...a, positions }.</t>
        </is>
      </c>
      <c r="I135" s="3" t="inlineStr">
        <is>
          <t>READ FROM THE CODE — rendered from the expressions the function runs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2026-09-12</t>
        </is>
      </c>
      <c r="W135" s="3" t="n"/>
      <c r="X135" s="3" t="n"/>
      <c r="Y135" s="3" t="inlineStr">
        <is>
          <t>NOTHING OPEN</t>
        </is>
      </c>
    </row>
    <row r="136" ht="60" customHeight="1">
      <c r="A136" s="3" t="inlineStr">
        <is>
          <t>MK-CF-F-140</t>
        </is>
      </c>
      <c r="B136" s="3" t="inlineStr">
        <is>
          <t>periodsAYear</t>
        </is>
      </c>
      <c r="C136" s="3" t="inlineStr">
        <is>
          <t>MoneyKeel/functions/cashflow/base-pay.ts</t>
        </is>
      </c>
      <c r="D136" s="3" t="n">
        <v>79</v>
      </c>
      <c r="E136" s="3" t="inlineStr">
        <is>
          <t>1 · ACTION</t>
        </is>
      </c>
      <c r="F136" s="3" t="inlineStr">
        <is>
          <t>NOT DETERMINED — the code carries no note saying what this is for, and it has no row in the old inventory. Needs reading.</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290</v>
      </c>
      <c r="E140" s="3" t="inlineStr">
        <is>
          <t>3 · DEPENDENT</t>
        </is>
      </c>
      <c r="F140" s="3" t="inlineStr">
        <is>
          <t>NOT DETERMINED — the code carries no note saying what this is for, and it has no row in the old inventory. Needs reading.</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MK-CF-F-141 perMonth
5. MK-CF-F-101 taxOwedFor
6. MK-ST-F-052 toNum</t>
        </is>
      </c>
      <c r="P140" s="3" t="n">
        <v>15</v>
      </c>
      <c r="Q140" s="3" t="inlineStr">
        <is>
          <t>1. MK-CF-F-143 annualisedGross
2. MK-CF-F-142 monthsOf
3. MK-ST-F-039 on
4. MK-CF-F-141 perMonth
5. MK-CF-F-101 taxOwedFor
6. MK-ST-F-052 toNum
7. MK-CF-F-128 grossByMonth
8. MK-ST-F-035 covers
9. MK-CF-F-132 map
10. MK-CF-F-140 periodsAYear
11. MK-CF-F-100 taxableIncomeFor
12. MK-XS-F-122 n
13. MK-ST-F-034 firstDate
14. MK-CF-F-099 deductionFor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5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368</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MK-CF-F-141 perMonth
8. MK-CF-F-101 taxOwedFor
9. MK-XS-F-122 n
10. MK-ST-F-035 covers
11. MK-CF-F-132 map
12. MK-CF-F-140 periodsAYear
13. MK-CF-F-100 taxableIncomeFor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435</v>
      </c>
      <c r="E142" s="3" t="inlineStr">
        <is>
          <t>3 · DEPENDENT</t>
        </is>
      </c>
      <c r="F142" s="3" t="inlineStr">
        <is>
          <t>NOT DETERMINED — the code carries no note saying what this is for, and it has no row in the old inventory. Needs reading.</t>
        </is>
      </c>
      <c r="G142" s="11" t="inlineStr">
        <is>
          <t>t = take home as entered(e)
ok = true
warn = false
say = ''   when estimated
k401 = monthly401k read as a number (0 when it is not one)
gm = gross by month(e)
lands = a lookup of lm
landed = lands.get(key) as number   if lands.has(key)
per month(lands typical, 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per month(lands typical, e)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MK-CF-F-141 perMonth
7. MK-CF-F-144 takeHomeAsEntered
8. MK-ST-F-052 toNum</t>
        </is>
      </c>
      <c r="P142" s="3" t="n">
        <v>21</v>
      </c>
      <c r="Q142" s="3" t="inlineStr">
        <is>
          <t>1. MK-CF-F-128 grossByMonth
2. MK-ST-F-056 has
3. MK-CF-F-132 map
4. MK-ST-F-053 money
5. MK-CF-F-142 monthsOf
6. MK-CF-F-141 perMonth
7. MK-CF-F-144 takeHomeAsEntered
8. MK-ST-F-052 toNum
9. MK-ST-F-049 formatMoney
10. MK-XS-F-122 n
11. MK-ST-F-035 covers
12. MK-CF-F-140 periodsAYear
13. MK-CF-F-143 annualisedGross
14. MK-ST-F-039 on
15. MK-CF-F-101 taxOwedFor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2026-09-09</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158</v>
      </c>
      <c r="E146" s="3" t="inlineStr">
        <is>
          <t>3 · DEPENDENT</t>
        </is>
      </c>
      <c r="F146" s="3" t="inlineStr">
        <is>
          <t>NOT DETERMINED — the code carries no note saying what this is for, and it has no row in the old inventory. Needs reading.</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s: ExpensesInput</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210</v>
      </c>
      <c r="E147" s="3" t="inlineStr">
        <is>
          <t>3 · DEPENDENT</t>
        </is>
      </c>
      <c r="F147" s="3" t="inlineStr">
        <is>
          <t>NOT DETERMINED — the code carries no note saying what this is for, and it has no row in the old inventory. Needs reading.</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249</v>
      </c>
      <c r="E148" s="3" t="inlineStr">
        <is>
          <t>3 · DEPENDENT</t>
        </is>
      </c>
      <c r="F148" s="3" t="inlineStr">
        <is>
          <t>NOT DETERMINED — the code carries no note saying what this is for, and it has no row in the old inventory. Needs reading.</t>
        </is>
      </c>
      <c r="G148" s="11" t="inlineStr">
        <is>
          <t>out = []
reason = is radar item(d)
amount = paid   if paid &gt; 0
required payment(d)   otherwise
counted = !purchases captured.has(string(debt id))
the answer = out</t>
        </is>
      </c>
      <c r="H148" s="3" t="inlineStr">
        <is>
          <t>Out is []. Reason is is radar item(d). Amount is paid — when paid &gt; 0; required payment(d) — otherwise. Counted is !purchases captured.has(string(debt id)).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MK-ST-F-056 has
2. MK-CF-F-148 inMonth
3. MK-CF-F-152 isRadarItem
4. MK-CF-F-023 requiredPayment
5. MK-ST-F-052 toNum
6. MK-CF-F-191 ym</t>
        </is>
      </c>
      <c r="P148" s="3" t="n">
        <v>9</v>
      </c>
      <c r="Q148" s="3" t="inlineStr">
        <is>
          <t>1. MK-ST-F-056 has
2. MK-CF-F-148 inMonth
3. MK-CF-F-152 isRadarItem
4. MK-CF-F-023 requiredPayment
5. MK-ST-F-052 toNum
6. MK-CF-F-191 ym
7. MK-CF-F-022 paymentShape
8. MK-XS-F-122 n
9. MK-CF-F-021 defaultPaymentType</t>
        </is>
      </c>
      <c r="R148" s="3" t="inlineStr">
        <is>
          <t>1. MK-ST-F-056 has → MK-CF-F-153 radar
2. MK-CF-F-191 ym → MK-CF-F-148 inMonth → MK-CF-F-153 radar
3. MK-CF-F-021 defaultPaymentType → MK-CF-F-022 paymentShape → MK-CF-F-152 isRadarItem → MK-CF-F-153 radar
4. MK-CF-F-021 defaultPaymentType → MK-CF-F-022 paymentShape → MK-CF-F-023 requiredPayment → MK-CF-F-153 radar
5. MK-XS-F-122 n → MK-ST-F-052 toNum → MK-CF-F-153 radar
6. MK-CF-F-191 ym → MK-CF-F-153 radar</t>
        </is>
      </c>
      <c r="S148" s="3" t="inlineStr">
        <is>
          <t>—</t>
        </is>
      </c>
      <c r="T148" s="3" t="inlineStr">
        <is>
          <t>—</t>
        </is>
      </c>
      <c r="U148" s="3" t="inlineStr">
        <is>
          <t>ACTIVE</t>
        </is>
      </c>
      <c r="V148" s="3" t="inlineStr">
        <is>
          <t>2026-09-28</t>
        </is>
      </c>
      <c r="W148" s="3" t="n"/>
      <c r="X148" s="3" t="n"/>
      <c r="Y148" s="3" t="inlineStr">
        <is>
          <t>NOTHING OPEN</t>
        </is>
      </c>
    </row>
    <row r="149" ht="60" customHeight="1">
      <c r="A149" s="3" t="inlineStr">
        <is>
          <t>MK-CF-F-155</t>
        </is>
      </c>
      <c r="B149" s="3" t="inlineStr">
        <is>
          <t>cash</t>
        </is>
      </c>
      <c r="C149" s="3" t="inlineStr">
        <is>
          <t>MoneyKeel/functions/cashflow/this-month.ts</t>
        </is>
      </c>
      <c r="D149" s="3" t="n">
        <v>196</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236</v>
      </c>
      <c r="E150" s="3" t="inlineStr">
        <is>
          <t>3 · DEPENDENT</t>
        </is>
      </c>
      <c r="F150" s="3" t="inlineStr">
        <is>
          <t>THE PLAN for this month: the take-home, less each debt, less planned expenses.</t>
        </is>
      </c>
      <c r="G150" s="11" t="inlineStr">
        <is>
          <t>lines = [{ label: inflow label('Inflow', inflow sources), amount: (take home monthly), kind: 'in' }]
due = required payment(d)
radar kind = is radar item(d)
the answer:
lines = lines
surplus = cash(lines.reduce((t, l) =&gt; t + amount, 0))</t>
        </is>
      </c>
      <c r="H150" s="3" t="inlineStr">
        <is>
          <t>Lines is [{ label: inflow label('Inflow', inflow sources), amount: (take home monthly), kind: 'in' }]. Due is required payment(d). Radar kind is is radar item(d). The answer is lines = lines; surplus = cash(lines.reduce((t, l) =&gt; t plus amount, 0)).</t>
        </is>
      </c>
      <c r="I150" s="3" t="inlineStr">
        <is>
          <t>PARTLY READ — some of the code is still showing through; needs a hand pass</t>
        </is>
      </c>
      <c r="J150" s="3" t="inlineStr">
        <is>
          <t>m: MonthInput</t>
        </is>
      </c>
      <c r="K150" s="3" t="inlineStr">
        <is>
          <t>MonthBlock</t>
        </is>
      </c>
      <c r="L150" s="3" t="inlineStr">
        <is>
          <t>—</t>
        </is>
      </c>
      <c r="M150" s="3" t="inlineStr">
        <is>
          <t>None found in this function — anything it assumes comes from the functions it depends on.</t>
        </is>
      </c>
      <c r="N150" s="3" t="inlineStr">
        <is>
          <t>Yes</t>
        </is>
      </c>
      <c r="O150" s="3" t="inlineStr">
        <is>
          <t>1. MK-CF-F-155 cash
2. MK-CF-F-192 inflowLabel
3. MK-CF-F-152 isRadarItem
4. MK-CF-F-023 requiredPayment
5. MK-XS-F-027 takeHomeMonthly</t>
        </is>
      </c>
      <c r="P150" s="3" t="n">
        <v>101</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MK-ST-F-052 toNum
28. MK-PL-F-012 waterfall
29. MK-CF-F-008 spendByMonth
30. MK-CF-F-075 retirementIncomeMonthly
31. MK-CF-F-062 equityRowValue
32. MK-CF-F-070 benefitAnnual
33. MK-ST-F-039 on
34. MK-CF-F-176 sumMonthsOverEarners
35. MK-CF-F-177 wageGrossByMonth
36. MK-CF-F-203 MONTH
37. MK-CF-F-090 effectiveRate
38. MK-CF-F-085 filingStatusOf
39. MK-CF-F-089 over65CountOf
40. MK-CF-F-098 progressiveMonthlyTax
41. MK-CF-F-086 stateRateOf
42. MK-CF-F-173 earnerWages
43. MK-CF-F-102 effectiveRateOnGrossFor
44. MK-CF-F-180 enteredLandsAnnual
45. MK-CF-F-082 salaryAnnual
46. MK-CF-F-084 taxableAnnual
47. MK-CF-O-002 expenses
48. MK-CF-F-067 rentalList
49. MK-CF-F-063 rowVestYear
50. MK-CF-F-120 pctBaseMonthly
51. MK-CF-F-004 spendBuckets
52. MK-CF-F-130 enteredMonthlyRaw
53. MK-CF-F-166 hasMonthlySalaryTable
54. MK-ST-F-036 reconcile
55. MK-CF-F-167 salaryCalendarYear
56. MK-CF-O-010 theMonth
57. MK-CF-F-101 taxOwedFor
58. MK-CF-F-100 taxableIncomeFor
59. MK-CF-F-172 hasWage
60. MK-CF-F-074 tipsAnnual
61. MK-CF-F-151 actualSpending
62. MK-CF-F-150 debtPaymentsCountedAsExpenses
63. MK-CF-F-153 radar
64. MK-CF-F-149 recurringDebtPayments
65. MK-CF-F-003 categoryMonthly
66. MK-CF-F-165 salaryMonths
67. MK-CF-O-003 thisMonth
68. MK-CF-F-099 deductionFor
69. MK-CF-F-081 salaryActiveMonths
70. MK-CF-F-148 inMonth
71. MK-CF-F-191 ym
72. MK-CF-F-005 actualMonthFlow
73. MK-CF-F-187 seniorDeductionFor
74. MK-NW-F-078 ONE
75. MK-CF-F-157 debtPaymentsByDebt
76. MK-NW-F-077 ALL
77. MK-NW-F-059 currentYield
78. MK-XS-F-180 declareFigures
79. MK-ST-F-049 formatMoney
80. MK-ST-F-053 money
81. MK-NW-O-001 theBonds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MK-ST-F-052 toNum → MK-CF-F-062 equityRowValue → MK-CF-F-065 equityVestWeights → MK-CF-F-092 incomeMonthlyGrid → MK-XS-F-027 takeHomeMonthly → MK-CF-F-156 plannedMonthFlow
8. MK-CF-F-132 map → MK-CF-F-065 equityVestWeights → MK-CF-F-092 incomeMonthlyGrid → MK-XS-F-027 takeHomeMonthly → MK-CF-F-156 plannedMonthFlow
9. … and 4 more paths</t>
        </is>
      </c>
      <c r="S150" s="3" t="inlineStr">
        <is>
          <t>—</t>
        </is>
      </c>
      <c r="T150" s="3" t="inlineStr">
        <is>
          <t>—</t>
        </is>
      </c>
      <c r="U150" s="3" t="inlineStr">
        <is>
          <t>ACTIVE</t>
        </is>
      </c>
      <c r="V150" s="3" t="inlineStr">
        <is>
          <t>2026-09-30</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394</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101</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656</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60" customHeight="1">
      <c r="A153" s="3" t="inlineStr">
        <is>
          <t>MK-CF-F-160</t>
        </is>
      </c>
      <c r="B153" s="3" t="inlineStr">
        <is>
          <t>daysBetweenDates</t>
        </is>
      </c>
      <c r="C153" s="3" t="inlineStr">
        <is>
          <t>src/domain/cashflow/index.ts</t>
        </is>
      </c>
      <c r="D153" s="3" t="n">
        <v>113</v>
      </c>
      <c r="E153" s="3" t="inlineStr">
        <is>
          <t>3 · DEPENDENT</t>
        </is>
      </c>
      <c r="F153" s="3" t="inlineStr">
        <is>
          <t>NOT DETERMINED — the code carries no note saying what this is for, and it has no row in the old inventory. Needs reading.</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186</v>
      </c>
      <c r="E154" s="3" t="inlineStr">
        <is>
          <t>3 · DEPENDENT</t>
        </is>
      </c>
      <c r="F154" s="3" t="inlineStr">
        <is>
          <t>── monthly cash-flow grid ─────────────────────────────────────────────────── Gross dollars a source delivers in each of the 12 months (lumpy items land on specific months; even cadences spread evenly).</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130</v>
      </c>
      <c r="E155" s="3" t="inlineStr">
        <is>
          <t>1 · ACTION</t>
        </is>
      </c>
      <c r="F155" s="3" t="inlineStr">
        <is>
          <t>NOT DETERMINED — the code carries no note saying what this is for, and it has no row in the old inventory. Needs reading.</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527</v>
      </c>
      <c r="E164" s="3" t="inlineStr">
        <is>
          <t>3 · DEPENDENT</t>
        </is>
      </c>
      <c r="F164" s="3" t="inlineStr">
        <is>
          <t>NOT DETERMINED — the code carries no note saying what this is for, and it has no row in the old inventory. Needs reading.</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60" customHeight="1">
      <c r="A165" s="3" t="inlineStr">
        <is>
          <t>MK-CF-F-172</t>
        </is>
      </c>
      <c r="B165" s="3" t="inlineStr">
        <is>
          <t>hasWage</t>
        </is>
      </c>
      <c r="C165" s="3" t="inlineStr">
        <is>
          <t>src/domain/income/earners.ts</t>
        </is>
      </c>
      <c r="D165" s="3" t="n">
        <v>62</v>
      </c>
      <c r="E165" s="3" t="inlineStr">
        <is>
          <t>1 · ACTION</t>
        </is>
      </c>
      <c r="F165" s="3" t="inlineStr">
        <is>
          <t>NOT DETERMINED — the code carries no note saying what this is for, and it has no row in the old inventory. Needs reading.</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105</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137</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166</v>
      </c>
      <c r="E168" s="3" t="inlineStr">
        <is>
          <t>3 · DEPENDENT</t>
        </is>
      </c>
      <c r="F168" s="3" t="inlineStr">
        <is>
          <t>Add up one number per earner.</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202</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171</v>
      </c>
      <c r="E170" s="3" t="inlineStr">
        <is>
          <t>2 · DISPLAYED</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NOT FOUND — a screen calls it, but the words printed beside its answer could not be traced automatically. Needs reading.</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2026-09-09</t>
        </is>
      </c>
      <c r="W170" s="3" t="n"/>
      <c r="X170" s="3" t="n"/>
      <c r="Y170" s="3" t="inlineStr">
        <is>
          <t>NOTHING OPEN</t>
        </is>
      </c>
    </row>
    <row r="171" ht="60" customHeight="1">
      <c r="A171" s="3" t="inlineStr">
        <is>
          <t>MK-CF-F-178</t>
        </is>
      </c>
      <c r="B171" s="3" t="inlineStr">
        <is>
          <t>wageMatchMonthly</t>
        </is>
      </c>
      <c r="C171" s="3" t="inlineStr">
        <is>
          <t>src/domain/income/onboarding.ts</t>
        </is>
      </c>
      <c r="D171" s="3" t="n">
        <v>1016</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1064</v>
      </c>
      <c r="E172" s="3" t="inlineStr">
        <is>
          <t>2 · DISPLAYED</t>
        </is>
      </c>
      <c r="F172" s="3" t="inlineStr">
        <is>
          <t>WHAT IS STORED → WHAT THIS FILE READS.</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80</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 Uses a built-in total of 0.</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135</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rate = effective rate on gross for(taxable annual(op), filing status of(op), state rate of(op), over65 count of(op))</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Rate is effective rate on gross for(taxable annual(op), filing status of(op), state rate of(op), over65 count of(op)).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MK-CF-F-102 effectiveRateOnGrossFor
3. MK-CF-F-180 enteredLandsAnnual
4. MK-CF-F-085 filingStatusOf
5. MK-CF-F-089 over65CountOf
6. MK-CF-F-082 salaryAnnual
7. MK-CF-F-086 stateRateOf
8. MK-CF-F-084 taxableAnnual
9. MK-ST-F-052 toNum</t>
        </is>
      </c>
      <c r="P174" s="3" t="n">
        <v>49</v>
      </c>
      <c r="Q174" s="3" t="inlineStr">
        <is>
          <t>1. MK-CF-F-173 earnerWages
2. MK-CF-F-102 effectiveRateOnGrossFor
3. MK-CF-F-180 enteredLandsAnnual
4. MK-CF-F-085 filingStatusOf
5. MK-CF-F-089 over65CountOf
6. MK-CF-F-082 salaryAnnual
7. MK-CF-F-086 stateRateOf
8. MK-CF-F-084 taxableAnnual
9. MK-ST-F-052 toNum
10. MK-CF-F-172 hasWage
11. MK-CF-F-101 taxOwedFor
12. MK-CF-F-060 salaryGrossByMonth
13. MK-CF-F-072 currentRetirementIncomeMonthly
14. MK-CF-F-071 extraIncome
15. MK-CF-F-068 rentalNetAnnual
16. MK-CF-F-066 rsuAnnual
17. MK-CF-F-074 tipsAnnual
18. MK-XS-F-122 n
19. MK-ST-F-056 has
20. MK-CF-F-100 taxableIncomeFor
21. MK-CF-F-176 sumMonthsOverEarners
22. MK-CF-F-177 wageGrossByMonth
23. MK-CF-F-075 retirementIncomeMonthly
24. MK-CF-F-070 benefitAnnual
25. MK-ST-F-039 on
26. MK-CF-O-002 expenses
27. MK-CF-F-067 rentalList
28. MK-CF-F-062 equityRowValue
29. MK-CF-F-132 map
30. MK-CF-F-063 rowVestYear
31. MK-CF-F-081 salaryActiveMonths
32. MK-CF-F-099 deductionFor
33. MK-CF-F-130 enteredMonthlyRaw
34. MK-CF-F-166 hasMonthlySalaryTable
35. MK-ST-F-036 reconcile
36. MK-CF-F-167 salaryCalendarYear
37. MK-CF-F-069 benefitActiveMonths
38. MK-CF-F-151 actualSpending
39. MK-CF-F-150 debtPaymentsCountedAsExpenses
40. MK-CF-F-153 radar
41. MK-CF-F-149 recurringDebtPayments
42. MK-CF-F-187 seniorDeductionFor
43. MK-CF-F-165 salaryMonths
44. MK-CF-F-148 inMonth
45. MK-CF-F-191 ym
46. MK-CF-F-022 paymentShape
47. MK-CF-F-152 isRadarItem
48. MK-CF-F-023 requiredPayment
49. MK-CF-F-021 defaultPaymentType</t>
        </is>
      </c>
      <c r="R174" s="3" t="inlineStr">
        <is>
          <t>1. MK-ST-F-056 has → MK-CF-F-172 hasWage → MK-CF-F-173 earnerWages → MK-CF-F-181 rateInForce
2. MK-CF-F-187 seniorDeductionFor → MK-CF-F-099 deductionFor → MK-CF-F-100 taxableIncomeFor → MK-CF-F-101 taxOwedFor → MK-CF-F-102 effectiveRateOnGrossFor → MK-CF-F-181 rateInForce
3. MK-ST-F-056 has → MK-CF-F-172 hasWage → MK-CF-F-173 earnerWages → MK-CF-F-180 enteredLandsAnnual → MK-CF-F-181 rateInForce
4. MK-XS-F-122 n → MK-ST-F-052 toNum → MK-CF-F-180 enteredLandsAnnual → MK-CF-F-181 rateInForce
5. MK-CF-F-085 filingStatusOf → MK-CF-F-181 rateInForce
6. MK-XS-F-122 n → MK-ST-F-052 toNum → MK-CF-F-089 over65CountOf → MK-CF-F-181 rateInForce
7. MK-CF-F-172 hasWage → MK-CF-F-173 earnerWages → MK-CF-F-176 sumMonthsOverEarners → MK-CF-F-060 salaryGrossByMonth → MK-CF-F-082 salaryAnnual → MK-CF-F-181 rateInForce
8. MK-CF-F-132 map → MK-CF-F-176 sumMonthsOverEarners → MK-CF-F-060 salaryGrossByMonth → MK-CF-F-082 salaryAnnual → MK-CF-F-181 rateInForce
9. … and 5 more paths</t>
        </is>
      </c>
      <c r="S174" s="3" t="inlineStr">
        <is>
          <t>—</t>
        </is>
      </c>
      <c r="T174" s="3" t="inlineStr">
        <is>
          <t>—</t>
        </is>
      </c>
      <c r="U174" s="3" t="inlineStr">
        <is>
          <t>ACTIVE</t>
        </is>
      </c>
      <c r="V174" s="3" t="inlineStr">
        <is>
          <t>2026-08-28</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56</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NOT DECLARED — the code does not say what it gives back</t>
        </is>
      </c>
      <c r="L175" s="3" t="inlineStr">
        <is>
          <t>—</t>
        </is>
      </c>
      <c r="M175" s="3" t="inlineStr">
        <is>
          <t>None found in this function — anything it assumes comes from the functions it depends on.</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87</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146</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"Dividends, interest &amp; coupons" — on the Income manager screen, under "INVESTMENT INCOME"</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91</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None found in this function — anything it assumes comes from the functions it depends on.</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215</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234</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88</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139</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60" customHeight="1">
      <c r="A184" s="3" t="inlineStr">
        <is>
          <t>MK-CF-F-191</t>
        </is>
      </c>
      <c r="B184" s="3" t="inlineStr">
        <is>
          <t>ym</t>
        </is>
      </c>
      <c r="C184" s="3" t="inlineStr">
        <is>
          <t>MoneyKeel/functions/cashflow/essentials.ts</t>
        </is>
      </c>
      <c r="D184" s="3" t="n">
        <v>53</v>
      </c>
      <c r="E184" s="3" t="inlineStr">
        <is>
          <t>1 · ACTION</t>
        </is>
      </c>
      <c r="F184" s="3" t="inlineStr">
        <is>
          <t>NOT DETERMINED — the code carries no note saying what this is for, and it has no row in the old inventory. Needs reading.</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99</v>
      </c>
      <c r="E185" s="3" t="inlineStr">
        <is>
          <t>2 · DISPLAYED</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NOT FOUND — a screen calls it, but the words printed beside its answer could not be traced automatically. Needs reading.</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2026-09-11</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142</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62</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 under "YOUR BUDGET"</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81</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108</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49</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1023</v>
      </c>
      <c r="E191" s="3" t="inlineStr">
        <is>
          <t>3 · DEPENDENT</t>
        </is>
      </c>
      <c r="F191" s="3" t="inlineStr">
        <is>
          <t>NOT DETERMINED — the code carries no note saying what this is for, and it has no row in the old inventory. Needs reading.</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174</v>
      </c>
      <c r="E192" s="3" t="inlineStr">
        <is>
          <t>1 · ACTION</t>
        </is>
      </c>
      <c r="F192" s="3" t="inlineStr">
        <is>
          <t>NOT DETERMINED — the code carries no note saying what this is for, and it has no row in the old inventory. Needs reading.</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124</v>
      </c>
      <c r="E193" s="3" t="inlineStr">
        <is>
          <t>1 · ACTION</t>
        </is>
      </c>
      <c r="F193" s="3" t="inlineStr">
        <is>
          <t>NOT DETERMINED — the code carries no note saying what this is for, and it has no row in the old inventory. Needs reading.</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105</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95</v>
      </c>
      <c r="E194" s="3" t="inlineStr">
        <is>
          <t>1 · ACTION</t>
        </is>
      </c>
      <c r="F194" s="3" t="inlineStr">
        <is>
          <t>NOT DETERMINED — the code carries no note saying what this is for, and it has no row in the old inventory. Needs reading.</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MK-XS-F-180 declareFigures
2. MK-CF-O-004 incomeSummary</t>
        </is>
      </c>
      <c r="P194" s="3" t="n">
        <v>121</v>
      </c>
      <c r="Q194" s="3" t="inlineStr">
        <is>
          <t>1. MK-XS-F-180 declareFigures
2. MK-CF-O-004 incomeSummary
3. MK-CF-O-001 basePay
4. MK-CF-F-173 earnerWages
5. MK-CF-F-179 entryFromWage
6. MK-CF-F-071 extraIncome
7. MK-CF-F-085 filingStatusOf
8. MK-CF-F-092 incomeMonthlyGrid
9. MK-CF-F-132 map
10. MK-CF-F-103 marginalBracketFor
11. MK-CF-F-089 over65CountOf
12. MK-CF-F-181 rateInForce
13. MK-CF-F-068 rentalNetAnnual
14. MK-CF-F-082 salaryAnnual
15. MK-CF-F-084 taxableAnnual
16. MK-ST-F-052 toNum
17. MK-ST-F-035 covers
18. MK-CF-F-171 earnerPay
19. MK-CF-F-204 line
20. MK-ST-F-053 money
21. MK-HM-F-006 money0
22. MK-XS-F-122 n
23. MK-CF-F-198 payrollTaxWithheld
24. MK-CF-F-172 hasWage
25. MK-CF-F-165 salaryMonths
26. MK-CF-F-070 benefitAnnual
27. MK-ST-F-039 on
28. MK-CF-F-069 benefitActiveMonths
29. MK-CF-F-072 currentRetirementIncomeMonthly
30. MK-CF-F-065 equityVestWeights
31. MK-ST-F-056 has
32. MK-CF-F-206 householdK401ByMonth
33. MK-CF-F-087 monthlyTaxRates
34. MK-CF-F-073 otherIncomeMonth
35. MK-CF-F-066 rsuAnnual
36. MK-CF-F-060 salaryGrossByMonth
37. MK-CF-F-077 scholarshipByCalendarMonth
38. MK-CF-F-088 taxableByCalendarMonth
39. MK-PL-F-012 waterfall
40. MK-CF-F-100 taxableIncomeFor
41. MK-CF-F-102 effectiveRateOnGrossFor
42. MK-CF-F-180 enteredLandsAnnual
43. MK-CF-F-086 stateRateOf
44. MK-CF-O-002 expenses
45. MK-CF-F-067 rentalList
46. MK-CF-F-074 tipsAnnual
47. MK-ST-F-034 firstDate
48. MK-CF-F-143 annualisedGross
49. MK-CF-F-145 deductionsFromPay
50. MK-CF-F-128 grossByMonth
51. MK-CF-F-146 payFiguresAgree
52. MK-CF-F-144 takeHomeAsEntered
53. MK-CF-F-203 MONTH
54. MK-ST-F-049 formatMoney
55. MK-CF-F-155 cash
56. MK-HM-F-005 pctTxt
57. MK-CF-F-075 retirementIncomeMonthly
58. MK-CF-F-062 equityRowValue
59. MK-CF-F-176 sumMonthsOverEarners
60. MK-CF-F-177 wageGrossByMonth
61. MK-CF-F-090 effectiveRate
62. MK-CF-F-098 progressiveMonthlyTax
63. MK-CF-F-063 rowVestYear
64. MK-CF-F-099 deductionFor
65. MK-CF-F-101 taxOwedFor
66. MK-CF-F-151 actualSpending
67. MK-CF-F-150 debtPaymentsCountedAsExpenses
68. MK-CF-F-153 radar
69. MK-CF-F-149 recurringDebtPayments
70. MK-CF-F-081 salaryActiveMonths
71. MK-CF-F-142 monthsOf
72. MK-CF-F-141 perMonth
73. MK-CF-O-010 theMonth
74. MK-ST-F-048 currencySymbol
75. MK-CF-F-130 enteredMonthlyRaw
76. MK-CF-F-166 hasMonthlySalaryTable
77. MK-ST-F-036 reconcile
78. MK-CF-F-167 salaryCalendarYear
79. MK-CF-F-187 seniorDeductionFor
80. MK-CF-F-148 inMonth
81. MK-CF-F-191 ym
82. MK-CF-F-022 paymentShape
83. MK-CF-F-152 isRadarItem
84. MK-CF-F-023 requiredPayment
85. MK-CF-F-140 periodsAYear
86. MK-CF-O-003 thisMonth
87. MK-ST-F-047 activeCurrency
88. MK-CF-F-021 defaultPaymentType
89. MK-CF-F-005 actualMonthFlow
90. MK-CF-F-156 plannedMonthFlow
91. MK-NW-F-078 ONE
92. MK-CF-F-157 debtPaymentsByDebt
93. MK-CF-F-192 inflowLabel
94. MK-XS-F-027 takeHomeMonthly
95. MK-NW-F-077 ALL
96. MK-NW-F-059 currentYield
97. MK-NW-O-001 theBonds
98. MK-CF-F-193 inflowSourceWord
99. MK-CF-F-011 savingsByMonth
100. MK-NW-F-057 annualCoupon
101. MK-ST-F-027 accountId
102. MK-NW-F-056 bondInfo
103. MK-NW-F-064 bondRateSensitivity
104. MK-NW-F-061 bondSummary
105. MK-NW-F-055 isBond
106. MK-NW-F-072 rowOf
107. MK-CF-F-008 spendByMonth
108. MK-NW-F-060 approxYTM
109. MK-NW-F-069 priceAtYield
110. MK-NW-F-011 assetClassOf
111. MK-NW-F-070 accruedInterestCaveat
112. MK-NW-F-071 isCertificateOfDeposit
113. MK-NW-F-058 yearsToMaturity
114. MK-CF-F-120 pctBaseMonthly
115. MK-CF-F-004 spendBuckets
116. MK-NW-F-008 incomeBearingClassOf
117. MK-CF-F-003 categoryMonthly
118. MK-ST-F-010 nameEvidence
119. MK-XS-F-147 call
120. MK-XS-F-064 currentIdToken
121. MK-XS-F-112 relayUrl</t>
        </is>
      </c>
      <c r="R194" s="3" t="inlineStr">
        <is>
          <t>1. MK-XS-F-180 declareFigures → MK-CF-F-201 INCOME
2. MK-ST-F-034 firstDate → MK-ST-F-035 covers → MK-CF-O-001 basePay → MK-CF-O-004 incomeSummary → MK-CF-F-201 INCOME
3. MK-CF-F-128 grossByMonth → MK-CF-F-143 annualisedGross → MK-CF-F-171 earnerPay → MK-CF-O-001 basePay → MK-CF-O-004 incomeSummary → MK-CF-F-201 INCOME
4. MK-CF-F-143 annualisedGross → MK-CF-F-145 deductionsFromPay → MK-CF-F-171 earnerPay → MK-CF-O-001 basePay → MK-CF-O-004 incomeSummary → MK-CF-F-201 INCOME
5. MK-CF-F-144 takeHomeAsEntered → MK-CF-F-145 deductionsFromPay → MK-CF-F-171 earnerPay → MK-CF-O-001 basePay → MK-CF-O-004 incomeSummary → MK-CF-F-201 INCOME
6. MK-ST-F-052 toNum → MK-CF-F-145 deductionsFromPay → MK-CF-F-171 earnerPay → MK-CF-O-001 basePay → MK-CF-O-004 incomeSummary → MK-CF-F-201 INCOME
7. MK-CF-F-142 monthsOf → MK-CF-F-128 grossByMonth → MK-CF-F-171 earnerPay → MK-CF-O-001 basePay → MK-CF-O-004 incomeSummary → MK-CF-F-201 INCOME
8. MK-CF-F-141 perMonth → MK-CF-F-128 grossByMonth → MK-CF-F-171 earnerPay → MK-CF-O-001 basePay → MK-CF-O-004 incomeSummary → MK-CF-F-201 INCOME
9. … and 4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125</v>
      </c>
      <c r="E195" s="3" t="inlineStr">
        <is>
          <t>1 · ACTION</t>
        </is>
      </c>
      <c r="F195" s="3" t="inlineStr">
        <is>
          <t>NOT DETERMINED — the code carries no note saying what this is for, and it has no row in the old inventory. Needs reading.</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MK-CF-F-102 effectiveRateOnGrossFor
44. MK-CF-F-180 enteredLandsAnnual
45. MK-CF-F-086 stateRateOf
46. MK-CF-F-084 taxableAnnual
47. MK-CF-F-151 actualSpending
48. MK-CF-F-150 debtPaymentsCountedAsExpenses
49. MK-CF-F-153 radar
50. MK-CF-F-149 recurringDebtPayments
51. MK-CF-F-176 sumMonthsOverEarners
52. MK-CF-F-177 wageGrossByMonth
53. MK-CF-F-175 sumOverEarners
54. MK-XS-F-147 call
55. MK-ST-F-047 activeCurrency
56. MK-CF-F-172 hasWage
57. MK-CF-F-101 taxOwedFor
58. MK-CF-F-071 extraIncome
59. MK-CF-F-148 inMonth
60. MK-CF-F-191 ym
61. MK-CF-F-022 paymentShape
62. MK-CF-F-152 isRadarItem
63. MK-CF-F-023 requiredPayment
64. MK-CF-F-130 enteredMonthlyRaw
65. MK-CF-F-166 hasMonthlySalaryTable
66. MK-ST-F-036 reconcile
67. MK-CF-F-167 salaryCalendarYear
68. MK-ST-F-027 accountId
69. MK-XS-F-064 currentIdToken
70. MK-XS-F-112 relayUrl
71. MK-CF-F-100 taxableIncomeFor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187</v>
      </c>
      <c r="E196" s="3" t="inlineStr">
        <is>
          <t>1 · ACTION</t>
        </is>
      </c>
      <c r="F196" s="3" t="inlineStr">
        <is>
          <t>NOT DETERMINED — the code carries no note saying what this is for, and it has no row in the old inventory. Needs reading.</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101</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221</v>
      </c>
      <c r="E197" s="3" t="inlineStr">
        <is>
          <t>1 · ACTION</t>
        </is>
      </c>
      <c r="F197" s="3" t="inlineStr">
        <is>
          <t>NOT DETERMINED — the code carries no note saying what this is for, and it has no row in the old inventory. Needs reading.</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102</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MK-NW-F-072 rowOf
44. MK-CF-F-069 benefitActiveMonths
45. MK-CF-F-072 currentRetirementIncomeMonthly
46. MK-CF-F-065 equityVestWeights
47. MK-CF-F-071 extraIncome
48. MK-CF-F-206 householdK401ByMonth
49. MK-CF-F-087 monthlyTaxRates
50. MK-CF-F-073 otherIncomeMonth
51. MK-CF-F-181 rateInForce
52. MK-CF-F-068 rentalNetAnnual
53. MK-CF-F-066 rsuAnnual
54. MK-CF-F-060 salaryGrossByMonth
55. MK-CF-F-077 scholarshipByCalendarMonth
56. MK-CF-F-088 taxableByCalendarMonth
57. MK-PL-F-012 waterfall
58. MK-CF-F-008 spendByMonth
59. MK-ST-F-047 activeCurrency
60. MK-NW-F-060 approxYTM
61. MK-NW-F-069 priceAtYield
62. MK-NW-F-011 assetClassOf
63. MK-NW-F-070 accruedInterestCaveat
64. MK-NW-F-071 isCertificateOfDeposit
65. MK-NW-F-058 yearsToMaturity
66. MK-CF-F-075 retirementIncomeMonthly
67. MK-CF-F-062 equityRowValue
68. MK-CF-F-070 benefitAnnual
69. MK-CF-F-176 sumMonthsOverEarners
70. MK-CF-F-177 wageGrossByMonth
71. MK-CF-F-090 effectiveRate
72. MK-CF-F-085 filingStatusOf
73. MK-CF-F-089 over65CountOf
74. MK-CF-F-098 progressiveMonthlyTax
75. MK-CF-F-086 stateRateOf
76. MK-CF-F-173 earnerWages
77. MK-CF-F-102 effectiveRateOnGrossFor
78. MK-CF-F-180 enteredLandsAnnual
79. MK-CF-F-082 salaryAnnual
80. MK-CF-F-084 taxableAnnual
81. MK-CF-F-067 rentalList
82. MK-CF-F-063 rowVestYear
83. MK-CF-F-120 pctBaseMonthly
84. MK-CF-F-004 spendBuckets
85. MK-NW-F-008 incomeBearingClassOf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138</v>
      </c>
      <c r="E198" s="3" t="inlineStr">
        <is>
          <t>1 · ACTION</t>
        </is>
      </c>
      <c r="F198" s="3" t="inlineStr">
        <is>
          <t>NOT DETERMINED — the code carries no note saying what this is for, and it has no row in the old inventory. Needs reading.</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No</t>
        </is>
      </c>
      <c r="O198" s="3" t="inlineStr">
        <is>
          <t>1. MK-XS-F-180 declareFigures
2. MK-CF-O-008 whatsComing</t>
        </is>
      </c>
      <c r="P198" s="3" t="n">
        <v>110</v>
      </c>
      <c r="Q198" s="3" t="inlineStr">
        <is>
          <t>1. MK-XS-F-180 declareFigures
2. MK-CF-O-008 whatsComing
3. MK-CF-F-019 upcomingBills
4. MK-CF-F-122 addDays
5. MK-CF-F-070 benefitAnnual
6. MK-CF-F-072 currentRetirementIncomeMonthly
7. MK-CF-F-160 daysBetweenDates
8. MK-CF-F-090 effectiveRate
9. MK-CF-F-061 grossSalaryMonthly
10. MK-ST-F-065 isoLocalDate
11. MK-CF-F-132 map
12. MK-CF-F-124 nextOccurrence
13. MK-CF-F-068 rentalNetAnnual
14. MK-CF-F-004 spendBuckets
15. MK-CF-F-084 taxableAnnual
16. MK-ST-F-052 toNum
17. MK-CF-F-083 totalGrossAnnual
18. MK-CF-F-069 benefitActiveMonths
19. MK-CF-F-075 retirementIncomeMonthly
20. MK-CF-F-181 rateInForce
21. MK-CF-F-060 salaryGrossByMonth
22. MK-CF-O-002 expenses
23. MK-CF-F-067 rentalList
24. MK-CF-F-003 categoryMonthly
25. MK-CF-F-071 extraIncome
26. MK-CF-F-066 rsuAnnual
27. MK-CF-F-082 salaryAnnual
28. MK-CF-F-074 tipsAnnual
29. MK-XS-F-122 n
30. MK-CF-F-173 earnerWages
31. MK-CF-F-102 effectiveRateOnGrossFor
32. MK-CF-F-180 enteredLandsAnnual
33. MK-CF-F-085 filingStatusOf
34. MK-CF-F-089 over65CountOf
35. MK-CF-F-086 stateRateOf
36. MK-CF-F-176 sumMonthsOverEarners
37. MK-CF-F-177 wageGrossByMonth
38. MK-CF-F-151 actualSpending
39. MK-CF-F-150 debtPaymentsCountedAsExpenses
40. MK-CF-F-153 radar
41. MK-CF-F-149 recurringDebtPayments
42. MK-CF-F-120 pctBaseMonthly
43. MK-XS-F-027 takeHomeMonthly
44. MK-ST-F-039 on
45. MK-CF-F-062 equityRowValue
46. MK-CF-F-063 rowVestYear
47. MK-CF-F-081 salaryActiveMonths
48. MK-CF-F-172 hasWage
49. MK-CF-F-101 taxOwedFor
50. MK-CF-F-130 enteredMonthlyRaw
51. MK-CF-F-166 hasMonthlySalaryTable
52. MK-ST-F-036 reconcile
53. MK-CF-F-167 salaryCalendarYear
54. MK-CF-F-148 inMonth
55. MK-CF-F-191 ym
56. MK-ST-F-056 has
57. MK-CF-F-022 paymentShape
58. MK-CF-F-152 isRadarItem
59. MK-CF-F-023 requiredPayment
60. MK-CF-F-092 incomeMonthlyGrid
61. MK-CF-F-011 savingsByMonth
62. MK-CF-F-100 taxableIncomeFor
63. MK-CF-F-165 salaryMonths
64. MK-CF-F-021 defaultPaymentType
65. MK-CF-F-065 equityVestWeights
66. MK-CF-F-206 householdK401ByMonth
67. MK-CF-F-087 monthlyTaxRates
68. MK-CF-F-073 otherIncomeMonth
69. MK-CF-F-077 scholarshipByCalendarMonth
70. MK-CF-F-088 taxableByCalendarMonth
71. MK-PL-F-012 waterfall
72. MK-CF-F-008 spendByMonth
73. MK-CF-F-099 deductionFor
74. MK-CF-F-203 MONTH
75. MK-CF-F-098 progressiveMonthlyTax
76. MK-CF-F-187 seniorDeductionFor
77. MK-CF-O-010 theMonth
78. MK-CF-F-155 cash
79. MK-CF-O-003 thisMonth
80. MK-CF-F-005 actualMonthFlow
81. MK-CF-F-156 plannedMonthFlow
82. MK-NW-F-078 ONE
83. MK-CF-F-157 debtPaymentsByDebt
84. MK-CF-F-192 inflowLabel
85. MK-NW-F-077 ALL
86. MK-NW-F-059 currentYield
87. MK-ST-F-049 formatMoney
88. MK-ST-F-053 money
89. MK-NW-O-001 theBonds
90. MK-CF-F-193 inflowSourceWord
91. MK-NW-F-057 annualCoupon
92. MK-ST-F-048 currencySymbol
93. MK-ST-F-027 accountId
94. MK-NW-F-056 bondInfo
95. MK-NW-F-064 bondRateSensitivity
96. MK-NW-F-061 bondSummary
97. MK-NW-F-055 isBond
98. MK-NW-F-072 rowOf
99. MK-ST-F-047 activeCurrency
100. MK-NW-F-060 approxYTM
101. MK-NW-F-069 priceAtYield
102. MK-NW-F-011 assetClassOf
103. MK-NW-F-070 accruedInterestCaveat
104. MK-NW-F-071 isCertificateOfDeposit
105. MK-NW-F-058 yearsToMaturity
106. MK-NW-F-008 incomeBearingClassOf
107. MK-ST-F-010 nameEvidence
108. MK-XS-F-147 call
109. MK-XS-F-064 currentIdToken
110. MK-XS-F-112 relayUrl</t>
        </is>
      </c>
      <c r="R198" s="3" t="inlineStr">
        <is>
          <t>1. MK-XS-F-180 declareFigures → MK-CF-F-205 COMING
2. MK-CF-F-122 addDays → MK-CF-F-019 upcomingBills → MK-CF-O-008 whatsComing → MK-CF-F-205 COMING
3. MK-CF-F-069 benefitActiveMonths → MK-CF-F-070 benefitAnnual → MK-CF-F-019 upcomingBills → MK-CF-O-008 whatsComing → MK-CF-F-205 COMING
4. MK-XS-F-122 n → MK-ST-F-052 toNum → MK-CF-F-070 benefitAnnual → MK-CF-F-019 upcomingBills → MK-CF-O-008 whatsComing → MK-CF-F-205 COMING
5. MK-ST-F-052 toNum → MK-CF-F-075 retirementIncomeMonthly → MK-CF-F-072 currentRetirementIncomeMonthly → MK-CF-F-019 upcomingBills → MK-CF-O-008 whatsComing → MK-CF-F-205 COMING
6. MK-CF-F-160 daysBetweenDates → MK-CF-F-019 upcomingBills → MK-CF-O-008 whatsComing → MK-CF-F-205 COMING
7. MK-CF-F-173 earnerWages → MK-CF-F-181 rateInForce → MK-CF-F-090 effectiveRate → MK-CF-F-019 upcomingBills → MK-CF-O-008 whatsComing → MK-CF-F-205 COMING
8. MK-CF-F-102 effectiveRateOnGrossFor → MK-CF-F-181 rateInForce → MK-CF-F-090 effectiveRate → MK-CF-F-019 upcomingBills → MK-CF-O-008 whatsComing → MK-CF-F-205 COMING
9. … and 4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1477</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MK-CF-O-001</t>
        </is>
      </c>
      <c r="B200" s="3" t="inlineStr">
        <is>
          <t>basePay</t>
        </is>
      </c>
      <c r="C200" s="3" t="inlineStr">
        <is>
          <t>MoneyKeel/functions/cashflow/base-pay.ts</t>
        </is>
      </c>
      <c r="D200" s="3" t="n">
        <v>886</v>
      </c>
      <c r="E200" s="3" t="inlineStr">
        <is>
          <t>2 · DISPLAYED</t>
        </is>
      </c>
      <c r="F200" s="3" t="inlineStr">
        <is>
          <t>NOT DETERMINED — the code carries no note saying what this is for, and it has no row in the old inventory. Needs reading.</t>
        </is>
      </c>
      <c r="G200"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0"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0" s="3" t="inlineStr">
        <is>
          <t>PARTLY READ — some of the code is still showing through; needs a hand pass</t>
        </is>
      </c>
      <c r="J200" s="3" t="inlineStr">
        <is>
          <t>h: HouseholdPayInput</t>
        </is>
      </c>
      <c r="K200" s="3" t="inlineStr">
        <is>
          <t>BasePay</t>
        </is>
      </c>
      <c r="L200" s="3" t="inlineStr">
        <is>
          <t>1. "Calculated federal tax" — on the base pay screen
2. "Each person’s pay" — on the base pay screen
3. "Everything else taken out" — on the base pay screen
4. "Federal tax bracket" — on the base pay screen
5. "Gross /year" — on the base pay screen
6. "Your 401(k)s" — on the base pay screen</t>
        </is>
      </c>
      <c r="M200" s="3" t="inlineStr">
        <is>
          <t>1. If over65 is missing it uses 0.
2. If gross annualised is missing it uses 0.
3. Uses a built-in f i c a s h a r e of 7.65%.
4. Rounds the answer to a whole number.</t>
        </is>
      </c>
      <c r="N200" s="3" t="inlineStr">
        <is>
          <t>Yes</t>
        </is>
      </c>
      <c r="O200" s="3" t="inlineStr">
        <is>
          <t>1. MK-ST-F-035 covers
2. MK-CF-F-171 earnerPay
3. MK-CF-F-204 line
4. MK-CF-F-132 map
5. MK-CF-F-103 marginalBracketFor
6. MK-ST-F-053 money
7. MK-HM-F-006 money0
8. MK-XS-F-122 n
9. MK-CF-F-198 payrollTaxWithheld
10. MK-CF-F-181 rateInForce</t>
        </is>
      </c>
      <c r="P200" s="3" t="n">
        <v>118</v>
      </c>
      <c r="Q200"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MK-CF-F-102 effectiveRateOnGrossFor
26. MK-CF-F-180 enteredLandsAnnual
27. MK-CF-F-085 filingStatusOf
28. MK-CF-F-089 over65CountOf
29. MK-CF-F-082 salaryAnnual
30. MK-CF-F-086 stateRateOf
31. MK-CF-F-084 taxableAnnual
32. MK-CF-F-142 monthsOf
33. MK-CF-F-141 perMonth
34. MK-ST-F-056 has
35. MK-ST-F-039 on
36. MK-CF-F-101 taxOwedFor
37. MK-CF-O-010 theMonth
38. MK-CF-F-099 deductionFor
39. MK-ST-F-048 currencySymbol
40. MK-CF-F-172 hasWage
41. MK-CF-F-060 salaryGrossByMonth
42. MK-CF-F-072 currentRetirementIncomeMonthly
43. MK-CF-F-071 extraIncome
44. MK-CF-F-068 rentalNetAnnual
45. MK-CF-F-066 rsuAnnual
46. MK-CF-F-074 tipsAnnual
47. MK-CF-F-140 periodsAYear
48. MK-CF-O-002 expenses
49. MK-CF-O-003 thisMonth
50. MK-CF-F-187 seniorDeductionFor
51. MK-ST-F-047 activeCurrency
52. MK-CF-F-176 sumMonthsOverEarners
53. MK-CF-F-177 wageGrossByMonth
54. MK-CF-F-075 retirementIncomeMonthly
55. MK-CF-F-070 benefitAnnual
56. MK-CF-F-067 rentalList
57. MK-CF-F-062 equityRowValue
58. MK-CF-F-063 rowVestYear
59. MK-CF-F-081 salaryActiveMonths
60. MK-CF-F-151 actualSpending
61. MK-CF-F-150 debtPaymentsCountedAsExpenses
62. MK-CF-F-153 radar
63. MK-CF-F-149 recurringDebtPayments
64. MK-CF-F-005 actualMonthFlow
65. MK-CF-F-156 plannedMonthFlow
66. MK-CF-F-130 enteredMonthlyRaw
67. MK-CF-F-166 hasMonthlySalaryTable
68. MK-ST-F-036 reconcile
69. MK-CF-F-167 salaryCalendarYear
70. MK-CF-F-069 benefitActiveMonths
71. MK-CF-F-148 inMonth
72. MK-CF-F-191 ym
73. MK-CF-F-022 paymentShape
74. MK-CF-F-152 isRadarItem
75. MK-CF-F-023 requiredPayment
76. MK-NW-F-078 ONE
77. MK-CF-F-157 debtPaymentsByDebt
78. MK-CF-F-192 inflowLabel
79. MK-XS-F-027 takeHomeMonthly
80. MK-CF-F-165 salaryMonths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MK-NW-F-072 rowOf
95. MK-CF-F-065 equityVestWeights
96. MK-CF-F-206 householdK401ByMonth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MK-CF-F-098 progressiveMonthlyTax
111. MK-CF-F-120 pctBaseMonthly
112. MK-CF-F-004 spendBuckets
113. MK-NW-F-008 incomeBearingClassOf
114. MK-CF-F-003 categoryMonthly
115. MK-ST-F-010 nameEvidence
116. MK-XS-F-147 call
117. MK-XS-F-064 currentIdToken
118. MK-XS-F-112 relayUrl</t>
        </is>
      </c>
      <c r="R200"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0" s="3" t="inlineStr">
        <is>
          <t>MK-CF-M-030 · MK-CF-M-031 · MK-CF-M-032 · MK-CF-M-033 · MK-CF-M-034 · MK-CF-M-035 · MK-CF-M-036 · MK-CF-M-045 · MK-CF-M-046</t>
        </is>
      </c>
      <c r="T200" s="3" t="inlineStr">
        <is>
          <t>—</t>
        </is>
      </c>
      <c r="U200" s="3" t="inlineStr">
        <is>
          <t>ACTIVE</t>
        </is>
      </c>
      <c r="V200" s="3" t="inlineStr">
        <is>
          <t>2026-09-09</t>
        </is>
      </c>
      <c r="W200" s="3" t="n"/>
      <c r="X200" s="3" t="n"/>
      <c r="Y200" s="6" t="inlineStr">
        <is>
          <t>TESTED, NOT VERIFIED (G37, G38, G4, G41, G42, G45)</t>
        </is>
      </c>
    </row>
    <row r="201" ht="60" customHeight="1">
      <c r="A201" s="3" t="inlineStr">
        <is>
          <t>MK-CF-O-002</t>
        </is>
      </c>
      <c r="B201" s="3" t="inlineStr">
        <is>
          <t>expenses</t>
        </is>
      </c>
      <c r="C201" s="3" t="inlineStr">
        <is>
          <t>MoneyKeel/functions/cashflow/expenses.ts</t>
        </is>
      </c>
      <c r="D201" s="3" t="n">
        <v>324</v>
      </c>
      <c r="E201" s="3" t="inlineStr">
        <is>
          <t>2 · DISPLAYED</t>
        </is>
      </c>
      <c r="F201" s="3" t="inlineStr">
        <is>
          <t>NOT DETERMINED — the code carries no note saying what this is for, and it has no row in the old inventory. Needs reading.</t>
        </is>
      </c>
      <c r="G201" s="11" t="inlineStr">
        <is>
          <t>rec = recurring debt payments(s)
act = actual expenses(s)
debt exp = debt payments counted as expenses(s, purchases captured)</t>
        </is>
      </c>
      <c r="H201" s="3" t="inlineStr">
        <is>
          <t>Rec is recurring debt payments(s). Act is actual expenses(s). Debt exp is debt payments counted as expenses(s, purchases captured).</t>
        </is>
      </c>
      <c r="I201" s="3" t="inlineStr">
        <is>
          <t>READ FROM THE CODE — rendered from the expressions the function runs</t>
        </is>
      </c>
      <c r="J201" s="3" t="inlineStr">
        <is>
          <t>1. s: ExpensesInput
2. purchasesCaptured: Set&lt;string&gt; = new Set()</t>
        </is>
      </c>
      <c r="K201" s="3" t="inlineStr">
        <is>
          <t>Expenses</t>
        </is>
      </c>
      <c r="L201" s="3" t="inlineStr">
        <is>
          <t>NOT FOUND — a screen calls it, but the words printed beside its answer could not be traced automatically. Needs reading.</t>
        </is>
      </c>
      <c r="M201" s="3" t="inlineStr">
        <is>
          <t>None found in this function — anything it assumes comes from the functions it depends on.</t>
        </is>
      </c>
      <c r="N201" s="3" t="inlineStr">
        <is>
          <t>Yes</t>
        </is>
      </c>
      <c r="O201" s="3" t="inlineStr">
        <is>
          <t>1. MK-CF-F-151 actualSpending
2. MK-CF-F-150 debtPaymentsCountedAsExpenses
3. MK-CF-F-153 radar
4. MK-CF-F-149 recurringDebtPayments</t>
        </is>
      </c>
      <c r="P201" s="3" t="n">
        <v>14</v>
      </c>
      <c r="Q201"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1"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1" s="3" t="inlineStr">
        <is>
          <t>—</t>
        </is>
      </c>
      <c r="T201" s="3" t="inlineStr">
        <is>
          <t>—</t>
        </is>
      </c>
      <c r="U201" s="3" t="inlineStr">
        <is>
          <t>DECOMMISSIONED 2026-09-28 — it was here and is not any more. Kept so the number is never reused and earlier work can still be traced.</t>
        </is>
      </c>
      <c r="V201" s="3" t="inlineStr">
        <is>
          <t>2026-09-28</t>
        </is>
      </c>
      <c r="W201" s="3" t="n"/>
      <c r="X201" s="3" t="n"/>
      <c r="Y201" s="9" t="inlineStr">
        <is>
          <t>CODED, NOT TESTED (Cash-flow worked example)</t>
        </is>
      </c>
    </row>
    <row r="202" ht="60" customHeight="1">
      <c r="A202" s="3" t="inlineStr">
        <is>
          <t>MK-CF-O-003</t>
        </is>
      </c>
      <c r="B202" s="3" t="inlineStr">
        <is>
          <t>thisMonth</t>
        </is>
      </c>
      <c r="C202" s="3" t="inlineStr">
        <is>
          <t>MoneyKeel/functions/cashflow/this-month.ts</t>
        </is>
      </c>
      <c r="D202" s="3" t="n">
        <v>634</v>
      </c>
      <c r="E202" s="3" t="inlineStr">
        <is>
          <t>3 · DEPENDENT</t>
        </is>
      </c>
      <c r="F202" s="3" t="inlineStr">
        <is>
          <t>NOT DETERMINED — the code carries no note saying what this is for, and it has no row in the old inventory. Needs reading.</t>
        </is>
      </c>
      <c r="G202" s="11" t="inlineStr">
        <is>
          <t>planned = planned month flow(m)
actual = actual month flow(m)</t>
        </is>
      </c>
      <c r="H202" s="3" t="inlineStr">
        <is>
          <t>planned = planned month flow(m); actual = actual month flow(m).</t>
        </is>
      </c>
      <c r="I202" s="3" t="inlineStr">
        <is>
          <t>READ FROM THE CODE — rendered from the expressions the function runs</t>
        </is>
      </c>
      <c r="J202" s="3" t="inlineStr">
        <is>
          <t>m: MonthInput</t>
        </is>
      </c>
      <c r="K202" s="3" t="inlineStr">
        <is>
          <t>ThisMonth</t>
        </is>
      </c>
      <c r="L202" s="3" t="inlineStr">
        <is>
          <t>—</t>
        </is>
      </c>
      <c r="M202" s="3" t="inlineStr">
        <is>
          <t>None found in this function — anything it assumes comes from the functions it depends on.</t>
        </is>
      </c>
      <c r="N202" s="3" t="inlineStr">
        <is>
          <t>Yes</t>
        </is>
      </c>
      <c r="O202" s="3" t="inlineStr">
        <is>
          <t>1. MK-CF-F-005 actualMonthFlow
2. MK-CF-F-156 plannedMonthFlow</t>
        </is>
      </c>
      <c r="P202" s="3" t="n">
        <v>101</v>
      </c>
      <c r="Q202"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MK-NW-F-072 rowOf
35. MK-CF-O-010 theMonth
36. MK-CF-F-021 defaultPaymentType
37. MK-CF-F-069 benefitActiveMonths
38. MK-CF-F-072 currentRetirementIncomeMonthly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MK-PL-F-012 waterfall
52. MK-CF-F-008 spendByMonth
53. MK-ST-F-047 activeCurrency
54. MK-NW-F-060 approxYTM
55. MK-NW-F-069 priceAtYield
56. MK-NW-F-011 assetClassOf
57. MK-NW-F-070 accruedInterestCaveat
58. MK-NW-F-071 isCertificateOfDeposit
59. MK-NW-F-058 yearsToMaturity
60. MK-CF-O-002 expenses
61. MK-CF-F-075 retirementIncomeMonthly
62. MK-CF-F-062 equityRowValue
63. MK-CF-F-070 benefitAnnual
64. MK-CF-F-176 sumMonthsOverEarners
65. MK-CF-F-177 wageGrossByMonth
66. MK-CF-F-090 effectiveRate
67. MK-CF-F-085 filingStatusOf
68. MK-CF-F-089 over65CountOf
69. MK-CF-F-098 progressiveMonthlyTax
70. MK-CF-F-086 stateRateOf
71. MK-CF-F-173 earnerWages
72. MK-CF-F-102 effectiveRateOnGrossFor
73. MK-CF-F-180 enteredLandsAnnual
74. MK-CF-F-082 salaryAnnual
75. MK-CF-F-084 taxableAnnual
76. MK-CF-F-067 rentalList
77. MK-CF-F-063 rowVestYear
78. MK-CF-F-120 pctBaseMonthly
79. MK-CF-F-004 spendBuckets
80. MK-NW-F-008 incomeBearingClassOf
81. MK-CF-F-151 actualSpending
82. MK-CF-F-150 debtPaymentsCountedAsExpenses
83. MK-CF-F-153 radar
84. MK-CF-F-149 recurringDebtPayments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2"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MK-CF-F-132 map → MK-NW-O-001 theBonds → MK-NW-F-077 ALL → MK-NW-F-078 ONE → MK-CF-F-005 actualMonthFlow → MK-CF-O-003 thisMonth
8. MK-NW-F-072 rowOf → MK-NW-O-001 theBonds → MK-NW-F-077 ALL → MK-NW-F-078 ONE → MK-CF-F-005 actualMonthFlow → MK-CF-O-003 thisMonth
9. … and 5 more paths</t>
        </is>
      </c>
      <c r="S202" s="3" t="inlineStr">
        <is>
          <t>MK-CF-M-047 · MK-CF-M-048 · MK-CF-M-049 · MK-CF-M-050 · MK-CF-M-051 · MK-CF-M-052 · MK-CF-M-053 · MK-CF-M-054</t>
        </is>
      </c>
      <c r="T202" s="3" t="inlineStr">
        <is>
          <t>—</t>
        </is>
      </c>
      <c r="U202" s="3" t="inlineStr">
        <is>
          <t>ACTIVE</t>
        </is>
      </c>
      <c r="V202" s="3" t="inlineStr">
        <is>
          <t>2026-09-28</t>
        </is>
      </c>
      <c r="W202" s="3" t="n"/>
      <c r="X202" s="3" t="n"/>
      <c r="Y202" s="9" t="inlineStr">
        <is>
          <t>CODED, NOT TESTED (Cash-flow worked example)</t>
        </is>
      </c>
    </row>
    <row r="203" ht="60" customHeight="1">
      <c r="A203" s="3" t="inlineStr">
        <is>
          <t>MK-CF-O-004</t>
        </is>
      </c>
      <c r="B203" s="3" t="inlineStr">
        <is>
          <t>incomeSummary</t>
        </is>
      </c>
      <c r="C203" s="3" t="inlineStr">
        <is>
          <t>MoneyKeel/functions/cashflow/income-summary.ts</t>
        </is>
      </c>
      <c r="D203" s="3" t="n">
        <v>409</v>
      </c>
      <c r="E203" s="3" t="inlineStr">
        <is>
          <t>2 · DISPLAYED</t>
        </is>
      </c>
      <c r="F203" s="3" t="inlineStr">
        <is>
          <t>NOT DETERMINED — the code carries no note saying what this is for, and it has no row in the old inventory. Needs reading.</t>
        </is>
      </c>
      <c r="G203" s="11" t="inlineStr">
        <is>
          <t>a = op (or none when missing)
wages = earner wages(op as any)
rent = rental net annual(op as any) ÷ 12
grid = income monthly grid(op as any, 'available')
months = for each of grid: amount
usual = months.slice().sort((x, y) =&gt; x − y)[math.floor(months.length ÷ 2)]   if count of months
0   otherwise
biggest = months.reduce((best, v, i) =&gt; (v &gt; months[best] ? i : best), 0)
taxed lines = []
rent annual = rental net annual(op as any)
inv = inv annual read as a number (0 when it is not one)
bonus = bonus annual read as a number (0 when it is not one)
… the first steps only — the rest of the body needs reading by hand.</t>
        </is>
      </c>
      <c r="H203" s="3" t="inlineStr">
        <is>
          <t>A is op (or none — when missing). Wages is earner wages(op as any). Rent is rental net annual(op as any) divided by 12. Grid is income monthly grid(op as any, 'available'). Months is for each of grid: amount. Usual is months.slice().sort((x, y) =&gt; x minus y)[math.floor(months.length divided by 2)] — when how many months there are; 0 — otherwise. Biggest is months.reduce((best, v, i) =&gt; (v &gt; months[best] ? i : best), 0). Taxed lines is []. Rent annual is rental net annual(op as any). Inv is inv annual read as a number (0 — when it is one is missing). Bonus is bonus annual read as a number (0 — when it is one is missing). Only the first steps are shown; the rest of the body needs reading by hand.</t>
        </is>
      </c>
      <c r="I203" s="3" t="inlineStr">
        <is>
          <t>PARTLY READ — some of the code is still showing through; needs a hand pass</t>
        </is>
      </c>
      <c r="J203" s="3" t="inlineStr">
        <is>
          <t>op: Record&lt;string, any&gt; | null</t>
        </is>
      </c>
      <c r="K203" s="3" t="inlineStr">
        <is>
          <t>IncomeSummary</t>
        </is>
      </c>
      <c r="L203" s="3" t="inlineStr">
        <is>
          <t>1. "Add your income ›" — on the income summary screen
2. "Federal tax bracket" — on the income summary screen
3. "Take-home each month" — on the income summary screen
4. "What it is taxed on" — on the income summary screen</t>
        </is>
      </c>
      <c r="M203" s="3" t="inlineStr">
        <is>
          <t>None found in this function — anything it assumes comes from the functions it depends on.</t>
        </is>
      </c>
      <c r="N203" s="3" t="inlineStr">
        <is>
          <t>Yes</t>
        </is>
      </c>
      <c r="O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t>
        </is>
      </c>
      <c r="P203" s="3" t="n">
        <v>120</v>
      </c>
      <c r="Q203" s="3" t="inlineStr">
        <is>
          <t>1. MK-CF-O-001 basePay
2. MK-CF-F-173 earnerWages
3. MK-CF-F-179 entryFromWage
4. MK-CF-F-071 extraIncome
5. MK-CF-F-085 filingStatusOf
6. MK-CF-F-092 incomeMonthlyGrid
7. MK-CF-F-132 map
8. MK-CF-F-103 marginalBracketFor
9. MK-CF-F-089 over65CountOf
10. MK-CF-F-181 rateInForce
11. MK-CF-F-068 rentalNetAnnual
12. MK-CF-F-082 salaryAnnual
13. MK-CF-F-084 taxableAnnual
14. MK-ST-F-052 toNum
15. MK-ST-F-035 covers
16. MK-CF-F-171 earnerPay
17. MK-CF-F-204 line
18. MK-ST-F-053 money
19. MK-HM-F-006 money0
20. MK-XS-F-122 n
21. MK-CF-F-198 payrollTaxWithheld
22. MK-CF-F-172 hasWage
23. MK-CF-F-165 salaryMonths
24. MK-CF-F-070 benefitAnnual
25. MK-ST-F-039 on
26. MK-CF-F-069 benefitActiveMonths
27. MK-CF-F-072 currentRetirementIncomeMonthly
28. MK-CF-F-065 equityVestWeights
29. MK-ST-F-056 has
30. MK-CF-F-206 householdK401ByMonth
31. MK-CF-F-087 monthlyTaxRates
32. MK-CF-F-073 otherIncomeMonth
33. MK-CF-F-066 rsuAnnual
34. MK-CF-F-060 salaryGrossByMonth
35. MK-CF-F-077 scholarshipByCalendarMonth
36. MK-CF-F-088 taxableByCalendarMonth
37. MK-PL-F-012 waterfall
38. MK-CF-F-100 taxableIncomeFor
39. MK-CF-F-102 effectiveRateOnGrossFor
40. MK-CF-F-180 enteredLandsAnnual
41. MK-CF-F-086 stateRateOf
42. MK-CF-O-002 expenses
43. MK-CF-F-067 rentalList
44. MK-CF-F-074 tipsAnnual
45. MK-ST-F-034 firstDate
46. MK-CF-F-143 annualisedGross
47. MK-CF-F-145 deductionsFromPay
48. MK-CF-F-128 grossByMonth
49. MK-CF-F-146 payFiguresAgree
50. MK-CF-F-144 takeHomeAsEntered
51. MK-CF-F-203 MONTH
52. MK-XS-F-180 declareFigures
53. MK-ST-F-049 formatMoney
54. MK-CF-F-155 cash
55. MK-HM-F-005 pctTxt
56. MK-CF-F-075 retirementIncomeMonthly
57. MK-CF-F-062 equityRowValue
58. MK-CF-F-176 sumMonthsOverEarners
59. MK-CF-F-177 wageGrossByMonth
60. MK-CF-F-090 effectiveRate
61. MK-CF-F-098 progressiveMonthlyTax
62. MK-CF-F-063 rowVestYear
63. MK-CF-F-099 deductionFor
64. MK-CF-F-101 taxOwedFor
65. MK-CF-F-151 actualSpending
66. MK-CF-F-150 debtPaymentsCountedAsExpenses
67. MK-CF-F-153 radar
68. MK-CF-F-149 recurringDebtPayments
69. MK-CF-F-081 salaryActiveMonths
70. MK-CF-F-142 monthsOf
71. MK-CF-F-141 perMonth
72. MK-CF-O-010 theMonth
73. MK-ST-F-048 currencySymbol
74. MK-CF-F-130 enteredMonthlyRaw
75. MK-CF-F-166 hasMonthlySalaryTable
76. MK-ST-F-036 reconcile
77. MK-CF-F-167 salaryCalendarYear
78. MK-CF-F-187 seniorDeductionFor
79. MK-CF-F-148 inMonth
80. MK-CF-F-191 ym
81. MK-CF-F-022 paymentShape
82. MK-CF-F-152 isRadarItem
83. MK-CF-F-023 requiredPayment
84. MK-CF-F-140 periodsAYear
85. MK-CF-O-003 thisMonth
86. MK-ST-F-047 activeCurrency
87. MK-CF-F-021 defaultPaymentType
88. MK-CF-F-005 actualMonthFlow
89. MK-CF-F-156 plannedMonthFlow
90. MK-NW-F-078 ONE
91. MK-CF-F-157 debtPaymentsByDebt
92. MK-CF-F-192 inflowLabel
93. MK-XS-F-027 takeHomeMonthly
94. MK-NW-F-077 ALL
95. MK-NW-F-059 currentYield
96. MK-NW-O-001 theBonds
97. MK-CF-F-193 inflowSourceWord
98. MK-CF-F-011 savingsByMonth
99. MK-NW-F-057 annualCoupon
100. MK-ST-F-027 accountId
101. MK-NW-F-056 bondInfo
102. MK-NW-F-064 bondRateSensitivity
103. MK-NW-F-061 bondSummary
104. MK-NW-F-055 isBond
105. MK-NW-F-072 rowOf
106. MK-CF-F-008 spendByMonth
107. MK-NW-F-060 approxYTM
108. MK-NW-F-069 priceAtYield
109. MK-NW-F-011 assetClassOf
110. MK-NW-F-070 accruedInterestCaveat
111. MK-NW-F-071 isCertificateOfDeposit
112. MK-NW-F-058 yearsToMaturity
113. MK-CF-F-120 pctBaseMonthly
114. MK-CF-F-004 spendBuckets
115. MK-NW-F-008 incomeBearingClassOf
116. MK-CF-F-003 categoryMonthly
117. MK-ST-F-010 nameEvidence
118. MK-XS-F-147 call
119. MK-XS-F-064 currentIdToken
120. MK-XS-F-112 relayUrl</t>
        </is>
      </c>
      <c r="R203" s="3" t="inlineStr">
        <is>
          <t>1. MK-ST-F-034 firstDate → MK-ST-F-035 covers → MK-CF-O-001 basePay → MK-CF-O-004 incomeSummary
2. MK-CF-F-142 monthsOf → MK-CF-F-128 grossByMonth → MK-CF-F-143 annualisedGross → MK-CF-F-171 earnerPay → MK-CF-O-001 basePay → MK-CF-O-004 incomeSummary
3. MK-CF-F-141 perMonth → MK-CF-F-128 grossByMonth → MK-CF-F-143 annualisedGross → MK-CF-F-171 earnerPay → MK-CF-O-001 basePay → MK-CF-O-004 incomeSummary
4. MK-CF-F-128 grossByMonth → MK-CF-F-143 annualisedGross → MK-CF-F-145 deductionsFromPay → MK-CF-F-171 earnerPay → MK-CF-O-001 basePay → MK-CF-O-004 incomeSummary
5. MK-CF-F-143 annualisedGross → MK-CF-F-144 takeHomeAsEntered → MK-CF-F-145 deductionsFromPay → MK-CF-F-171 earnerPay → MK-CF-O-001 basePay → MK-CF-O-004 incomeSummary
6. MK-CF-F-142 monthsOf → MK-CF-F-144 takeHomeAsEntered → MK-CF-F-145 deductionsFromPay → MK-CF-F-171 earnerPay → MK-CF-O-001 basePay → MK-CF-O-004 incomeSummary
7. MK-ST-F-039 on → MK-CF-F-144 takeHomeAsEntered → MK-CF-F-145 deductionsFromPay → MK-CF-F-171 earnerPay → MK-CF-O-001 basePay → MK-CF-O-004 incomeSummary
8. MK-CF-F-141 perMonth → MK-CF-F-144 takeHomeAsEntered → MK-CF-F-145 deductionsFromPay → MK-CF-F-171 earnerPay → MK-CF-O-001 basePay → MK-CF-O-004 incomeSummary
9. … and 5 more paths</t>
        </is>
      </c>
      <c r="S203" s="3" t="inlineStr">
        <is>
          <t>MK-CF-M-006 · MK-CF-M-007 · MK-CF-M-008 · MK-CF-M-027 · MK-CF-M-037 · MK-CF-M-038 · MK-CF-M-039 · MK-CF-M-040 · MK-CF-M-041 · MK-CF-M-042 · MK-CF-M-043 · MK-CF-M-044 · MK-MN-M-011 · MK-MN-M-012 · MK-MN-M-013</t>
        </is>
      </c>
      <c r="T203" s="3" t="inlineStr">
        <is>
          <t>—</t>
        </is>
      </c>
      <c r="U203" s="3" t="inlineStr">
        <is>
          <t>ACTIVE</t>
        </is>
      </c>
      <c r="V203" s="3" t="inlineStr">
        <is>
          <t>2026-09-09</t>
        </is>
      </c>
      <c r="W203" s="3" t="n"/>
      <c r="X203" s="3" t="n"/>
      <c r="Y203" s="6" t="inlineStr">
        <is>
          <t>TESTED, NOT VERIFIED (G37, G47, G48)</t>
        </is>
      </c>
    </row>
    <row r="204" ht="60" customHeight="1">
      <c r="A204" s="3" t="inlineStr">
        <is>
          <t>MK-CF-O-005</t>
        </is>
      </c>
      <c r="B204" s="3" t="inlineStr">
        <is>
          <t>theContributionRoom</t>
        </is>
      </c>
      <c r="C204" s="3" t="inlineStr">
        <is>
          <t>MoneyKeel/functions/cashflow/contribution-room.ts</t>
        </is>
      </c>
      <c r="D204" s="3" t="n">
        <v>106</v>
      </c>
      <c r="E204" s="3" t="inlineStr">
        <is>
          <t>2 · DISPLAYED</t>
        </is>
      </c>
      <c r="F204" s="3" t="inlineStr">
        <is>
          <t>── ORCHESTRATOR ───────────────────────────────────────────────────────────────────── The one function a screen calls for this question.</t>
        </is>
      </c>
      <c r="G204"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4"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4" s="3" t="inlineStr">
        <is>
          <t>PARTLY READ — some of the code is still showing through; needs a hand pass</t>
        </is>
      </c>
      <c r="J204" s="3" t="inlineStr">
        <is>
          <t>Nothing is handed to it</t>
        </is>
      </c>
      <c r="K204" s="3" t="inlineStr">
        <is>
          <t>NOT DECLARED — the code does not say what it gives back</t>
        </is>
      </c>
      <c r="L204" s="3" t="inlineStr">
        <is>
          <t>NOT FOUND — a screen calls it, but the words printed beside its answer could not be traced automatically. Needs reading.</t>
        </is>
      </c>
      <c r="M204" s="3" t="inlineStr">
        <is>
          <t>· Turns a monthly figure into a year by multiplying by twelve.</t>
        </is>
      </c>
      <c r="N204" s="3" t="inlineStr">
        <is>
          <t>Yes</t>
        </is>
      </c>
      <c r="O204" s="3" t="inlineStr">
        <is>
          <t>1. MK-CF-F-197 ageAttainedInYear
2. MK-CF-F-055 annualHsaLimit
3. MK-CF-F-054 annualIraLimit
4. MK-CF-F-056 k401Headroom
5. MK-CF-F-195 monthsLeftInYear
6. MK-CF-F-196 perMonthToFill</t>
        </is>
      </c>
      <c r="P204" s="3" t="n">
        <v>7</v>
      </c>
      <c r="Q204" s="3" t="inlineStr">
        <is>
          <t>1. MK-CF-F-197 ageAttainedInYear
2. MK-CF-F-055 annualHsaLimit
3. MK-CF-F-054 annualIraLimit
4. MK-CF-F-056 k401Headroom
5. MK-CF-F-195 monthsLeftInYear
6. MK-CF-F-196 perMonthToFill
7. MK-CF-F-053 annual401kLimit</t>
        </is>
      </c>
      <c r="R204"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4" s="3" t="inlineStr">
        <is>
          <t>—</t>
        </is>
      </c>
      <c r="T204" s="3" t="inlineStr">
        <is>
          <t>—</t>
        </is>
      </c>
      <c r="U204" s="3" t="inlineStr">
        <is>
          <t>ACTIVE</t>
        </is>
      </c>
      <c r="V204" s="3" t="inlineStr">
        <is>
          <t>2026-09-28</t>
        </is>
      </c>
      <c r="W204" s="3" t="n"/>
      <c r="X204" s="3" t="n"/>
      <c r="Y204" s="3" t="inlineStr">
        <is>
          <t>NOTHING OPEN</t>
        </is>
      </c>
    </row>
    <row r="205" ht="60" customHeight="1">
      <c r="A205" s="3" t="inlineStr">
        <is>
          <t>MK-CF-O-006</t>
        </is>
      </c>
      <c r="B205" s="3" t="inlineStr">
        <is>
          <t>theCreditLine</t>
        </is>
      </c>
      <c r="C205" s="3" t="inlineStr">
        <is>
          <t>MoneyKeel/functions/cashflow/credit-line.ts</t>
        </is>
      </c>
      <c r="D205" s="3" t="n">
        <v>90</v>
      </c>
      <c r="E205" s="3" t="inlineStr">
        <is>
          <t>2 · DISPLAYED</t>
        </is>
      </c>
      <c r="F205" s="3" t="inlineStr">
        <is>
          <t>── ORCHESTRATOR ───────────────────────────────────────────────────────────────────── The one function a screen calls for this question.</t>
        </is>
      </c>
      <c r="G205"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5"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5" s="3" t="inlineStr">
        <is>
          <t>PARTLY READ — some of the code is still showing through; needs a hand pass</t>
        </is>
      </c>
      <c r="J205" s="3" t="inlineStr">
        <is>
          <t>input: { balance: number; limit: number }</t>
        </is>
      </c>
      <c r="K205" s="3" t="inlineStr">
        <is>
          <t>CreditLine</t>
        </is>
      </c>
      <c r="L205" s="3" t="inlineStr">
        <is>
          <t>NOT FOUND — a screen calls it, but the words printed beside its answer could not be traced automatically. Needs reading.</t>
        </is>
      </c>
      <c r="M205" s="3" t="inlineStr">
        <is>
          <t>1. If balance is missing it counts as zero, so nothing recorded and a real zero look the same.
2. If limit is missing it counts as zero, so nothing recorded and a real zero look the same.</t>
        </is>
      </c>
      <c r="N205" s="3" t="inlineStr">
        <is>
          <t>Yes</t>
        </is>
      </c>
      <c r="O205" s="3" t="inlineStr">
        <is>
          <t>1. MK-CF-F-031 creditUtilization
2. MK-CF-F-204 line</t>
        </is>
      </c>
      <c r="P205" s="3" t="n">
        <v>104</v>
      </c>
      <c r="Q205"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205"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5" s="3" t="inlineStr">
        <is>
          <t>MK-MN-M-006</t>
        </is>
      </c>
      <c r="T205" s="3" t="inlineStr">
        <is>
          <t>—</t>
        </is>
      </c>
      <c r="U205" s="3" t="inlineStr">
        <is>
          <t>ACTIVE</t>
        </is>
      </c>
      <c r="V205" s="3" t="inlineStr">
        <is>
          <t>2026-09-28</t>
        </is>
      </c>
      <c r="W205" s="3" t="n"/>
      <c r="X205" s="3" t="n"/>
      <c r="Y205" s="3" t="inlineStr">
        <is>
          <t>NOTHING OPEN</t>
        </is>
      </c>
    </row>
    <row r="206" ht="60" customHeight="1">
      <c r="A206" s="3" t="inlineStr">
        <is>
          <t>MK-CF-O-007</t>
        </is>
      </c>
      <c r="B206" s="3" t="inlineStr">
        <is>
          <t>theTaxOrganizer</t>
        </is>
      </c>
      <c r="C206" s="3" t="inlineStr">
        <is>
          <t>MoneyKeel/functions/cashflow/tax-organizer.ts</t>
        </is>
      </c>
      <c r="D206" s="3" t="n">
        <v>68</v>
      </c>
      <c r="E206" s="3" t="inlineStr">
        <is>
          <t>2 · DISPLAYED</t>
        </is>
      </c>
      <c r="F206" s="3" t="inlineStr">
        <is>
          <t>── ORCHESTRATOR ───────────────────────────────────────────────────────────────────── The one function a screen calls for this question.</t>
        </is>
      </c>
      <c r="G206" s="11" t="inlineStr">
        <is>
          <t>year = input.year (or the date ).get full year( when missing)
actual passive = round(income from accounts(input.accounts ?? [], input.transactions ?? []).annual)</t>
        </is>
      </c>
      <c r="H206" s="3" t="inlineStr">
        <is>
          <t>Year is input.year (or the date ).get full year( — when missing). Actual passive is income from accounts(input.accounts ?? [], input.transactions ?? [], to a whole number.annual).</t>
        </is>
      </c>
      <c r="I206" s="3" t="inlineStr">
        <is>
          <t>PARTLY READ — some of the code is still showing through; needs a hand pass</t>
        </is>
      </c>
      <c r="J206" s="3" t="inlineStr">
        <is>
          <t>Nothing is handed to it</t>
        </is>
      </c>
      <c r="K206" s="3" t="inlineStr">
        <is>
          <t>NOT DECLARED — the code does not say what it gives back</t>
        </is>
      </c>
      <c r="L206" s="3" t="inlineStr">
        <is>
          <t>NOT FOUND — a screen calls it, but the words printed beside its answer could not be traced automatically. Needs reading.</t>
        </is>
      </c>
      <c r="M206" s="3" t="inlineStr">
        <is>
          <t>1. Uses today's date from the device clock, so the answer changes by itself overnight.
2. Rounds the answer to a whole number.</t>
        </is>
      </c>
      <c r="N206" s="3" t="inlineStr">
        <is>
          <t>Yes</t>
        </is>
      </c>
      <c r="O206" s="3" t="inlineStr">
        <is>
          <t>1. MK-CF-F-184 incomeFromAccounts
2. MK-PL-F-031 taxOrganizer</t>
        </is>
      </c>
      <c r="P206" s="3" t="n">
        <v>71</v>
      </c>
      <c r="Q206"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MK-CF-F-102 effectiveRateOnGrossFor
42. MK-CF-F-180 enteredLandsAnnual
43. MK-CF-F-086 stateRateOf
44. MK-CF-F-084 taxableAnnual
45. MK-CF-F-151 actualSpending
46. MK-CF-F-150 debtPaymentsCountedAsExpenses
47. MK-CF-F-153 radar
48. MK-CF-F-149 recurringDebtPayments
49. MK-CF-F-176 sumMonthsOverEarners
50. MK-CF-F-177 wageGrossByMonth
51. MK-CF-F-175 sumOverEarners
52. MK-XS-F-147 call
53. MK-ST-F-047 activeCurrency
54. MK-CF-F-172 hasWage
55. MK-CF-F-101 taxOwedFor
56. MK-CF-F-071 extraIncome
57. MK-CF-F-148 inMonth
58. MK-CF-F-191 ym
59. MK-CF-F-022 paymentShape
60. MK-CF-F-152 isRadarItem
61. MK-CF-F-023 requiredPayment
62. MK-CF-F-130 enteredMonthlyRaw
63. MK-CF-F-166 hasMonthlySalaryTable
64. MK-ST-F-036 reconcile
65. MK-CF-F-167 salaryCalendarYear
66. MK-ST-F-027 accountId
67. MK-XS-F-064 currentIdToken
68. MK-XS-F-112 relayUrl
69. MK-CF-F-100 taxableIncomeFor
70. MK-CF-F-021 defaultPaymentType
71. MK-CF-F-165 salaryMonths</t>
        </is>
      </c>
      <c r="R206"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06" s="3" t="inlineStr">
        <is>
          <t>—</t>
        </is>
      </c>
      <c r="T206" s="3" t="inlineStr">
        <is>
          <t>—</t>
        </is>
      </c>
      <c r="U206" s="3" t="inlineStr">
        <is>
          <t>ACTIVE</t>
        </is>
      </c>
      <c r="V206" s="3" t="inlineStr">
        <is>
          <t>2026-09-28</t>
        </is>
      </c>
      <c r="W206" s="3" t="n"/>
      <c r="X206" s="3" t="n"/>
      <c r="Y206" s="3" t="inlineStr">
        <is>
          <t>NOTHING OPEN</t>
        </is>
      </c>
    </row>
    <row r="207" ht="60" customHeight="1">
      <c r="A207" s="3" t="inlineStr">
        <is>
          <t>MK-CF-O-008</t>
        </is>
      </c>
      <c r="B207" s="3" t="inlineStr">
        <is>
          <t>whatsComing</t>
        </is>
      </c>
      <c r="C207" s="3" t="inlineStr">
        <is>
          <t>MoneyKeel/functions/cashflow/whats-coming.ts</t>
        </is>
      </c>
      <c r="D207" s="3" t="n">
        <v>80</v>
      </c>
      <c r="E207" s="3" t="inlineStr">
        <is>
          <t>2 · DISPLAYED</t>
        </is>
      </c>
      <c r="F207" s="3" t="inlineStr">
        <is>
          <t>── ORCHESTRATOR ───────────────────────────────────────────────────────────────────── The one function a screen calls for this question.</t>
        </is>
      </c>
      <c r="G207" s="11" t="inlineStr">
        <is>
          <t>bills = bills
next = the first of bills   if count of bills
nothing   otherwise</t>
        </is>
      </c>
      <c r="H207" s="3" t="inlineStr">
        <is>
          <t>bills = bills; next = the first of bills — when how many bills there are; no answer — otherwise.</t>
        </is>
      </c>
      <c r="I207" s="3" t="inlineStr">
        <is>
          <t>READ FROM THE CODE — rendered from the expressions the function runs</t>
        </is>
      </c>
      <c r="J207" s="3" t="inlineStr">
        <is>
          <t>Nothing is handed to it</t>
        </is>
      </c>
      <c r="K207" s="3" t="inlineStr">
        <is>
          <t>NOT DECLARED — the code does not say what it gives back</t>
        </is>
      </c>
      <c r="L207" s="3" t="inlineStr">
        <is>
          <t>1. "Bill calendar" — on the Bill calendar screen
2. "If you can't pay everything, pay these first" — on the Bill calendar screen</t>
        </is>
      </c>
      <c r="M207" s="3" t="inlineStr">
        <is>
          <t>1. If start balance is missing it uses 0.
2. Uses today's date from the device clock, so the answer changes by itself overnight.</t>
        </is>
      </c>
      <c r="N207" s="3" t="inlineStr">
        <is>
          <t>Yes</t>
        </is>
      </c>
      <c r="O207" s="3" t="inlineStr">
        <is>
          <t>MK-CF-F-019 upcomingBills</t>
        </is>
      </c>
      <c r="P207" s="3" t="n">
        <v>109</v>
      </c>
      <c r="Q207"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MK-CF-F-102 effectiveRateOnGrossFor
30. MK-CF-F-180 enteredLandsAnnual
31. MK-CF-F-085 filingStatusOf
32. MK-CF-F-089 over65CountOf
33. MK-CF-F-086 stateRateOf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MK-CF-F-101 taxOwedFor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MK-CF-F-100 taxableIncomeFor
61. MK-CF-F-165 salaryMonths
62. MK-CF-F-021 defaultPaymentType
63. MK-CF-F-065 equityVestWeights
64. MK-CF-F-206 householdK401ByMonth
65. MK-CF-F-087 monthlyTaxRates
66. MK-CF-F-073 otherIncomeMonth
67. MK-CF-F-077 scholarshipByCalendarMonth
68. MK-CF-F-088 taxableByCalendarMonth
69. MK-PL-F-012 waterfall
70. MK-CF-F-008 spendByMonth
71. MK-CF-F-099 deductionFor
72. MK-CF-F-203 MONTH
73. MK-CF-F-098 progressiveMonthlyTax
74. MK-CF-F-187 seniorDeductionFor
75. MK-CF-O-010 theMonth
76. MK-CF-F-155 cash
77. MK-CF-O-003 thisMonth
78. MK-CF-F-005 actualMonthFlow
79. MK-CF-F-156 plannedMonthFlow
80. MK-NW-F-078 ONE
81. MK-CF-F-157 debtPaymentsByDebt
82. MK-CF-F-192 inflowLabel
83. MK-NW-F-077 ALL
84. MK-NW-F-059 currentYield
85. MK-XS-F-180 declareFigures
86. MK-ST-F-049 formatMoney
87. MK-ST-F-053 money
88. MK-NW-O-001 theBonds
89. MK-CF-F-193 inflowSourceWord
90. MK-NW-F-057 annualCoupon
91. MK-ST-F-048 currencySymbol
92. MK-ST-F-027 accountId
93. MK-NW-F-056 bondInfo
94. MK-NW-F-064 bondRateSensitivity
95. MK-NW-F-061 bondSummary
96. MK-NW-F-055 isBond
97. MK-NW-F-072 rowOf
98. MK-ST-F-047 activeCurrency
99. MK-NW-F-060 approxYTM
100. MK-NW-F-069 priceAtYield
101. MK-NW-F-011 assetClassOf
102. MK-NW-F-070 accruedInterestCaveat
103. MK-NW-F-071 isCertificateOfDeposit
104. MK-NW-F-058 yearsToMaturity
105. MK-NW-F-008 incomeBearingClassOf
106. MK-ST-F-010 nameEvidence
107. MK-XS-F-147 call
108. MK-XS-F-064 currentIdToken
109. MK-XS-F-112 relayUrl</t>
        </is>
      </c>
      <c r="R207"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MK-CF-F-101 taxOwedFor → MK-CF-F-102 effectiveRateOnGrossFor → MK-CF-F-181 rateInForce → MK-CF-F-090 effectiveRate → MK-CF-F-019 upcomingBills → MK-CF-O-008 whatsComing
8. MK-CF-F-173 earnerWages → MK-CF-F-180 enteredLandsAnnual → MK-CF-F-181 rateInForce → MK-CF-F-090 effectiveRate → MK-CF-F-019 upcomingBills → MK-CF-O-008 whatsComing
9. … and 4 more paths</t>
        </is>
      </c>
      <c r="S207" s="3" t="inlineStr">
        <is>
          <t>MK-CF-M-012 · MK-CF-M-016 · MK-CF-M-017 · MK-CF-M-026 · MK-CF-M-028 · MK-MN-M-030</t>
        </is>
      </c>
      <c r="T207" s="3" t="inlineStr">
        <is>
          <t>—</t>
        </is>
      </c>
      <c r="U207" s="3" t="inlineStr">
        <is>
          <t>ACTIVE</t>
        </is>
      </c>
      <c r="V207" s="3" t="inlineStr">
        <is>
          <t>2026-09-28</t>
        </is>
      </c>
      <c r="W207" s="3" t="n"/>
      <c r="X207" s="3" t="n"/>
      <c r="Y207" s="3" t="inlineStr">
        <is>
          <t>NOTHING OPEN</t>
        </is>
      </c>
    </row>
    <row r="208" ht="60" customHeight="1">
      <c r="A208" s="3" t="inlineStr">
        <is>
          <t>MK-CF-O-010</t>
        </is>
      </c>
      <c r="B208" s="3" t="inlineStr">
        <is>
          <t>theMonth</t>
        </is>
      </c>
      <c r="C208" s="3" t="inlineStr">
        <is>
          <t>MoneyKeel/functions/cashflow/the-month.ts</t>
        </is>
      </c>
      <c r="D208" s="3" t="n">
        <v>104</v>
      </c>
      <c r="E208" s="3" t="inlineStr">
        <is>
          <t>2 · DISPLAYED</t>
        </is>
      </c>
      <c r="F208" s="3" t="inlineStr">
        <is>
          <t>── ORCHESTRATOR ───────────────────────────────────────────────────────────────────── The one function a screen calls for this question.</t>
        </is>
      </c>
      <c r="G208" s="11" t="inlineStr">
        <is>
          <t>flow = this month(input)
committed = cash((input.commitments ?? []).reduce((t, c) =&gt; t + (monthly amount or 0), 0))</t>
        </is>
      </c>
      <c r="H208" s="3" t="inlineStr">
        <is>
          <t>Flow is this month(input). Committed is cash((input.commitments ?? []).reduce((t, c) =&gt; t plus (monthly amount or 0), 0)).</t>
        </is>
      </c>
      <c r="I208" s="3" t="inlineStr">
        <is>
          <t>PARTLY READ — some of the code is still showing through; needs a hand pass</t>
        </is>
      </c>
      <c r="J208" s="3" t="inlineStr">
        <is>
          <t>input: MonthInput &amp; ExpensesInput</t>
        </is>
      </c>
      <c r="K208" s="3" t="inlineStr">
        <is>
          <t>TheMonth</t>
        </is>
      </c>
      <c r="L208" s="3" t="inlineStr">
        <is>
          <t>1. "Cash flow" — on the Cash flow screen
2. "Outflow (expenses + debt)" — on the Cash flow screen, under "YOUR BUDGET"
3. "Planned inflow" — on the Cash flow screen, under "YOUR BUDGET"
4. "That month’s activity ›" — on the Cash flow screen, under "YOUR BUDGET"</t>
        </is>
      </c>
      <c r="M208" s="3" t="inlineStr">
        <is>
          <t>· If monthly amount is missing it counts as zero, so nothing recorded and a real zero look the same.</t>
        </is>
      </c>
      <c r="N208" s="3" t="inlineStr">
        <is>
          <t>Yes</t>
        </is>
      </c>
      <c r="O208" s="3" t="inlineStr">
        <is>
          <t>1. MK-CF-F-203 MONTH
2. MK-CF-F-155 cash
3. MK-CF-O-002 expenses
4. MK-CF-O-003 thisMonth</t>
        </is>
      </c>
      <c r="P208" s="3" t="n">
        <v>101</v>
      </c>
      <c r="Q208"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MK-NW-F-072 rowOf
43. MK-CF-F-069 benefitActiveMonths
44. MK-CF-F-072 currentRetirementIncomeMonthly
45. MK-CF-F-065 equityVestWeights
46. MK-CF-F-071 extraIncome
47. MK-CF-F-206 householdK401ByMonth
48. MK-CF-F-087 monthlyTaxRates
49. MK-CF-F-073 otherIncomeMonth
50. MK-CF-F-181 rateInForce
51. MK-CF-F-068 rentalNetAnnual
52. MK-CF-F-066 rsuAnnual
53. MK-CF-F-060 salaryGrossByMonth
54. MK-CF-F-077 scholarshipByCalendarMonth
55. MK-CF-F-088 taxableByCalendarMonth
56. MK-PL-F-012 waterfall
57. MK-CF-F-008 spendByMonth
58. MK-ST-F-047 activeCurrency
59. MK-NW-F-060 approxYTM
60. MK-NW-F-069 priceAtYield
61. MK-NW-F-011 assetClassOf
62. MK-NW-F-070 accruedInterestCaveat
63. MK-NW-F-071 isCertificateOfDeposit
64. MK-NW-F-058 yearsToMaturity
65. MK-CF-F-075 retirementIncomeMonthly
66. MK-CF-F-062 equityRowValue
67. MK-CF-F-070 benefitAnnual
68. MK-CF-F-176 sumMonthsOverEarners
69. MK-CF-F-177 wageGrossByMonth
70. MK-CF-F-090 effectiveRate
71. MK-CF-F-085 filingStatusOf
72. MK-CF-F-089 over65CountOf
73. MK-CF-F-098 progressiveMonthlyTax
74. MK-CF-F-086 stateRateOf
75. MK-CF-F-173 earnerWages
76. MK-CF-F-102 effectiveRateOnGrossFor
77. MK-CF-F-180 enteredLandsAnnual
78. MK-CF-F-082 salaryAnnual
79. MK-CF-F-084 taxableAnnual
80. MK-CF-F-067 rentalList
81. MK-CF-F-063 rowVestYear
82. MK-CF-F-120 pctBaseMonthly
83. MK-CF-F-004 spendBuckets
84. MK-NW-F-008 incomeBearingClassOf
85. MK-CF-F-130 enteredMonthlyRaw
86. MK-CF-F-166 hasMonthlySalaryTable
87. MK-ST-F-036 reconcile
88. MK-CF-F-167 salaryCalendarYear
89. MK-CF-F-101 taxOwedFor
90. MK-CF-F-100 taxableIncomeFor
91. MK-CF-F-172 hasWage
92. MK-CF-F-074 tipsAnnual
93. MK-CF-F-003 categoryMonthly
94. MK-ST-F-010 nameEvidence
95. MK-CF-F-165 salaryMonths
96. MK-CF-F-099 deductionFor
97. MK-CF-F-081 salaryActiveMonths
98. MK-XS-F-147 call
99. MK-CF-F-187 seniorDeductionFor
100. MK-XS-F-064 currentIdToken
101. MK-XS-F-112 relayUrl</t>
        </is>
      </c>
      <c r="R208"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08" s="3" t="inlineStr">
        <is>
          <t>MK-CF-M-001 · MK-CF-M-002 · MK-CF-M-003</t>
        </is>
      </c>
      <c r="T208" s="3" t="inlineStr">
        <is>
          <t>—</t>
        </is>
      </c>
      <c r="U208" s="3" t="inlineStr">
        <is>
          <t>ACTIVE</t>
        </is>
      </c>
      <c r="V208" s="3" t="inlineStr">
        <is>
          <t>2026-10-01</t>
        </is>
      </c>
      <c r="W208" s="3" t="n"/>
      <c r="X208" s="3" t="n"/>
      <c r="Y208" s="3" t="inlineStr">
        <is>
          <t>NOTHING OPEN</t>
        </is>
      </c>
    </row>
    <row r="209" ht="60" customHeight="1">
      <c r="A209" s="3" t="inlineStr">
        <is>
          <t>MK-CF-O-011</t>
        </is>
      </c>
      <c r="B209" s="3" t="inlineStr">
        <is>
          <t>PAY</t>
        </is>
      </c>
      <c r="C209" s="3" t="inlineStr">
        <is>
          <t>MoneyKeel/functions/cashflow/base-pay.ts</t>
        </is>
      </c>
      <c r="D209" s="3" t="n">
        <v>662</v>
      </c>
      <c r="E209" s="3" t="inlineStr">
        <is>
          <t>1 · ACTION</t>
        </is>
      </c>
      <c r="F209" s="3" t="inlineStr">
        <is>
          <t>NOT DETERMINED — the code carries no note saying what this is for, and it has no row in the old inventory. Needs reading.</t>
        </is>
      </c>
      <c r="G209" s="11" t="inlineStr">
        <is>
          <t>NOT READ YET — the body is not a shape this can render faithfully, so nothing is claimed rather than something being guessed. It needs reading by hand.</t>
        </is>
      </c>
      <c r="H209" s="3" t="inlineStr">
        <is>
          <t>NOT READ YET — the body is not a shape this can render faithfully, so nothing is claimed rather than something being guessed. It needs reading by hand.</t>
        </is>
      </c>
      <c r="I209" s="3" t="inlineStr">
        <is>
          <t>NOT READ — nothing is claimed rather than something guessed</t>
        </is>
      </c>
      <c r="J209" s="3" t="inlineStr">
        <is>
          <t>Nothing is handed to it</t>
        </is>
      </c>
      <c r="K209" s="3" t="inlineStr">
        <is>
          <t>EXAMPLE_EARNERS as any, filingStatus: 'married', over65: 0,</t>
        </is>
      </c>
      <c r="L209" s="3" t="inlineStr">
        <is>
          <t>—</t>
        </is>
      </c>
      <c r="M209" s="3" t="inlineStr">
        <is>
          <t>None found in this function — anything it assumes comes from the functions it depends on.</t>
        </is>
      </c>
      <c r="N209" s="3" t="inlineStr">
        <is>
          <t>No</t>
        </is>
      </c>
      <c r="O209" s="3" t="inlineStr">
        <is>
          <t>MK-CF-O-001 basePay</t>
        </is>
      </c>
      <c r="P209" s="3" t="n">
        <v>119</v>
      </c>
      <c r="Q209"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09"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MK-CF-F-141 perMonth → MK-CF-F-144 takeHomeAsEntered → MK-CF-F-145 deductionsFromPay → MK-CF-F-171 earnerPay → MK-CF-O-001 basePay → MK-CF-O-011 PAY
9. … and 4 more paths</t>
        </is>
      </c>
      <c r="S209" s="3" t="inlineStr">
        <is>
          <t>—</t>
        </is>
      </c>
      <c r="T209" s="3" t="inlineStr">
        <is>
          <t>—</t>
        </is>
      </c>
      <c r="U209" s="3" t="inlineStr">
        <is>
          <t>ACTIVE</t>
        </is>
      </c>
      <c r="V209" s="3" t="inlineStr">
        <is>
          <t>2026-09-28</t>
        </is>
      </c>
      <c r="W209" s="3" t="n"/>
      <c r="X209" s="3" t="n"/>
      <c r="Y209" s="3" t="inlineStr">
        <is>
          <t>NOTHING OPEN</t>
        </is>
      </c>
    </row>
    <row r="210" ht="60" customHeight="1">
      <c r="A210" s="3" t="inlineStr">
        <is>
          <t>MK-CF-O-012</t>
        </is>
      </c>
      <c r="B210" s="3" t="inlineStr">
        <is>
          <t>PAY_ESTIMATED</t>
        </is>
      </c>
      <c r="C210" s="3" t="inlineStr">
        <is>
          <t>MoneyKeel/functions/cashflow/base-pay.ts</t>
        </is>
      </c>
      <c r="D210" s="3" t="n">
        <v>683</v>
      </c>
      <c r="E210" s="3" t="inlineStr">
        <is>
          <t>1 · ACTION</t>
        </is>
      </c>
      <c r="F210" s="3" t="inlineStr">
        <is>
          <t>NOT DETERMINED — the code carries no note saying what this is for, and it has no row in the old inventory. Needs reading.</t>
        </is>
      </c>
      <c r="G210" s="11" t="inlineStr">
        <is>
          <t>NOT READ YET — the body is not a shape this can render faithfully, so nothing is claimed rather than something being guessed. It needs reading by hand.</t>
        </is>
      </c>
      <c r="H210" s="3" t="inlineStr">
        <is>
          <t>NOT READ YET — the body is not a shape this can render faithfully, so nothing is claimed rather than something being guessed. It needs reading by hand.</t>
        </is>
      </c>
      <c r="I210" s="3" t="inlineStr">
        <is>
          <t>NOT READ — nothing is claimed rather than something guessed</t>
        </is>
      </c>
      <c r="J210" s="3" t="inlineStr">
        <is>
          <t>Nothing is handed to it</t>
        </is>
      </c>
      <c r="K210" s="3" t="inlineStr">
        <is>
          <t>EXAMPLE_EARNERS as any, filingStatus: 'married', over65: 0, profile:</t>
        </is>
      </c>
      <c r="L210" s="3" t="inlineStr">
        <is>
          <t>—</t>
        </is>
      </c>
      <c r="M210" s="3" t="inlineStr">
        <is>
          <t>None found in this function — anything it assumes comes from the functions it depends on.</t>
        </is>
      </c>
      <c r="N210" s="3" t="inlineStr">
        <is>
          <t>No</t>
        </is>
      </c>
      <c r="O210" s="3" t="inlineStr">
        <is>
          <t>MK-CF-O-001 basePay</t>
        </is>
      </c>
      <c r="P210" s="3" t="n">
        <v>119</v>
      </c>
      <c r="Q210"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MK-CF-F-102 effectiveRateOnGrossFor
27. MK-CF-F-180 enteredLandsAnnual
28. MK-CF-F-085 filingStatusOf
29. MK-CF-F-089 over65CountOf
30. MK-CF-F-082 salaryAnnual
31. MK-CF-F-086 stateRateOf
32. MK-CF-F-084 taxableAnnual
33. MK-CF-F-142 monthsOf
34. MK-CF-F-141 perMonth
35. MK-ST-F-056 has
36. MK-ST-F-039 on
37. MK-CF-F-101 taxOwedFor
38. MK-CF-O-010 theMonth
39. MK-CF-F-099 deductionFor
40. MK-ST-F-048 currencySymbol
41. MK-CF-F-172 hasWage
42. MK-CF-F-060 salaryGrossByMonth
43. MK-CF-F-072 currentRetirementIncomeMonthly
44. MK-CF-F-071 extraIncome
45. MK-CF-F-068 rentalNetAnnual
46. MK-CF-F-066 rsuAnnual
47. MK-CF-F-074 tipsAnnual
48. MK-CF-F-140 periodsAYear
49. MK-CF-O-002 expenses
50. MK-CF-O-003 thisMonth
51. MK-CF-F-187 seniorDeductionFor
52. MK-ST-F-047 activeCurrency
53. MK-CF-F-176 sumMonthsOverEarners
54. MK-CF-F-177 wageGrossByMonth
55. MK-CF-F-075 retirementIncomeMonthly
56. MK-CF-F-070 benefitAnnual
57. MK-CF-F-067 rentalList
58. MK-CF-F-062 equityRowValue
59. MK-CF-F-063 rowVestYear
60. MK-CF-F-081 salaryActiveMonths
61. MK-CF-F-151 actualSpending
62. MK-CF-F-150 debtPaymentsCountedAsExpenses
63. MK-CF-F-153 radar
64. MK-CF-F-149 recurringDebtPayments
65. MK-CF-F-005 actualMonthFlow
66. MK-CF-F-156 plannedMonthFlow
67. MK-CF-F-130 enteredMonthlyRaw
68. MK-CF-F-166 hasMonthlySalaryTable
69. MK-ST-F-036 reconcile
70. MK-CF-F-167 salaryCalendarYear
71. MK-CF-F-069 benefitActiveMonths
72. MK-CF-F-148 inMonth
73. MK-CF-F-191 ym
74. MK-CF-F-022 paymentShape
75. MK-CF-F-152 isRadarItem
76. MK-CF-F-023 requiredPayment
77. MK-NW-F-078 ONE
78. MK-CF-F-157 debtPaymentsByDebt
79. MK-CF-F-192 inflowLabel
80. MK-XS-F-027 takeHomeMonthly
81. MK-CF-F-165 salaryMonths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MK-NW-F-072 rowOf
96. MK-CF-F-065 equityVestWeights
97. MK-CF-F-206 householdK401ByMonth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MK-CF-F-098 progressiveMonthlyTax
112. MK-CF-F-120 pctBaseMonthly
113. MK-CF-F-004 spendBuckets
114. MK-NW-F-008 incomeBearingClassOf
115. MK-CF-F-003 categoryMonthly
116. MK-ST-F-010 nameEvidence
117. MK-XS-F-147 call
118. MK-XS-F-064 currentIdToken
119. MK-XS-F-112 relayUrl</t>
        </is>
      </c>
      <c r="R210"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MK-CF-F-141 perMonth → MK-CF-F-144 takeHomeAsEntered → MK-CF-F-145 deductionsFromPay → MK-CF-F-171 earnerPay → MK-CF-O-001 basePay → MK-CF-O-012 PAY_ESTIMATED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MK-CF-O-013</t>
        </is>
      </c>
      <c r="B211" s="3" t="inlineStr">
        <is>
          <t>PAY_LANDS_TYPED</t>
        </is>
      </c>
      <c r="C211" s="3" t="inlineStr">
        <is>
          <t>MoneyKeel/functions/cashflow/base-pay.ts</t>
        </is>
      </c>
      <c r="D211" s="3" t="n">
        <v>701</v>
      </c>
      <c r="E211" s="3" t="inlineStr">
        <is>
          <t>1 · ACTION</t>
        </is>
      </c>
      <c r="F211" s="3" t="inlineStr">
        <is>
          <t>NOT DETERMINED — the code carries no note saying what this is for, and it has no row in the old inventory. Needs reading.</t>
        </is>
      </c>
      <c r="G211" s="11" t="inlineStr">
        <is>
          <t>NOT READ YET — the body is not a shape this can render faithfully, so nothing is claimed rather than something being guessed. It needs reading by hand.</t>
        </is>
      </c>
      <c r="H211" s="3" t="inlineStr">
        <is>
          <t>NOT READ YET — the body is not a shape this can render faithfully, so nothing is claimed rather than something being guessed. It needs reading by hand.</t>
        </is>
      </c>
      <c r="I211" s="3" t="inlineStr">
        <is>
          <t>NOT READ — nothing is claimed rather than something guessed</t>
        </is>
      </c>
      <c r="J211" s="3" t="inlineStr">
        <is>
          <t>Nothing is handed to it</t>
        </is>
      </c>
      <c r="K211" s="3" t="inlineStr">
        <is>
          <t>EXAMPLE_EARNERS_WITH_LANDS as any, filingStatus: 'married', over65: 0, profile:</t>
        </is>
      </c>
      <c r="L211" s="3" t="inlineStr">
        <is>
          <t>—</t>
        </is>
      </c>
      <c r="M211" s="3" t="inlineStr">
        <is>
          <t>None found in this function — anything it assumes comes from the functions it depends on.</t>
        </is>
      </c>
      <c r="N211" s="3" t="inlineStr">
        <is>
          <t>No</t>
        </is>
      </c>
      <c r="O211" s="3" t="inlineStr">
        <is>
          <t>1. MK-CF-O-011 PAY
2. MK-CF-O-012 PAY_ESTIMATED
3. MK-CF-O-001 basePay
4. MK-XS-F-180 declareFigures
5. MK-ST-F-039 on</t>
        </is>
      </c>
      <c r="P211" s="3" t="n">
        <v>121</v>
      </c>
      <c r="Q211"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MK-CF-F-102 effectiveRateOnGrossFor
30. MK-CF-F-180 enteredLandsAnnual
31. MK-CF-F-085 filingStatusOf
32. MK-CF-F-089 over65CountOf
33. MK-CF-F-082 salaryAnnual
34. MK-CF-F-086 stateRateOf
35. MK-CF-F-084 taxableAnnual
36. MK-CF-F-142 monthsOf
37. MK-CF-F-141 perMonth
38. MK-ST-F-056 has
39. MK-CF-F-101 taxOwedFor
40. MK-CF-O-010 theMonth
41. MK-CF-F-099 deductionFor
42. MK-ST-F-048 currencySymbol
43. MK-CF-F-172 hasWage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MK-CF-F-176 sumMonthsOverEarners
56. MK-CF-F-177 wageGrossByMonth
57. MK-CF-F-075 retirementIncomeMonthly
58. MK-CF-F-070 benefitAnnual
59. MK-CF-F-067 rentalList
60. MK-CF-F-062 equityRowValue
61. MK-CF-F-063 rowVestYear
62. MK-CF-F-081 salaryActiveMonths
63. MK-CF-F-151 actualSpending
64. MK-CF-F-150 debtPaymentsCountedAsExpenses
65. MK-CF-F-153 radar
66. MK-CF-F-149 recurringDebtPayments
67. MK-CF-F-005 actualMonthFlow
68. MK-CF-F-156 plannedMonthFlow
69. MK-CF-F-130 enteredMonthlyRaw
70. MK-CF-F-166 hasMonthlySalaryTable
71. MK-ST-F-036 reconcile
72. MK-CF-F-167 salaryCalendarYear
73. MK-CF-F-069 benefitActiveMonths
74. MK-CF-F-148 inMonth
75. MK-CF-F-191 ym
76. MK-CF-F-022 paymentShape
77. MK-CF-F-152 isRadarItem
78. MK-CF-F-023 requiredPayment
79. MK-NW-F-078 ONE
80. MK-CF-F-157 debtPaymentsByDebt
81. MK-CF-F-192 inflowLabel
82. MK-XS-F-027 takeHomeMonthly
83. MK-CF-F-165 salaryMonths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MK-NW-F-072 rowOf
98. MK-CF-F-065 equityVestWeights
99. MK-CF-F-206 householdK401ByMonth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MK-CF-F-098 progressiveMonthlyTax
114. MK-CF-F-120 pctBaseMonthly
115. MK-CF-F-004 spendBuckets
116. MK-NW-F-008 incomeBearingClassOf
117. MK-CF-F-003 categoryMonthly
118. MK-ST-F-010 nameEvidence
119. MK-XS-F-147 call
120. MK-XS-F-064 currentIdToken
121. MK-XS-F-112 relayUrl</t>
        </is>
      </c>
      <c r="R211"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1" s="3" t="inlineStr">
        <is>
          <t>—</t>
        </is>
      </c>
      <c r="T211" s="3" t="inlineStr">
        <is>
          <t>—</t>
        </is>
      </c>
      <c r="U211" s="3" t="inlineStr">
        <is>
          <t>ACTIVE</t>
        </is>
      </c>
      <c r="V211" s="3" t="inlineStr">
        <is>
          <t>2026-09-28</t>
        </is>
      </c>
      <c r="W211" s="3" t="n"/>
      <c r="X211" s="3" t="n"/>
      <c r="Y211" s="3" t="inlineStr">
        <is>
          <t>NOTHING OPEN</t>
        </is>
      </c>
    </row>
    <row r="212" ht="60" customHeight="1">
      <c r="A212" s="3" t="inlineStr">
        <is>
          <t>MK-CF-O-014</t>
        </is>
      </c>
      <c r="B212" s="3" t="inlineStr">
        <is>
          <t>M</t>
        </is>
      </c>
      <c r="C212" s="3" t="inlineStr">
        <is>
          <t>MoneyKeel/functions/cashflow/this-month.ts</t>
        </is>
      </c>
      <c r="D212" s="3" t="n">
        <v>459</v>
      </c>
      <c r="E212" s="3" t="inlineStr">
        <is>
          <t>1 · ACTION</t>
        </is>
      </c>
      <c r="F212" s="3" t="inlineStr">
        <is>
          <t>NOT DETERMINED — the code carries no note saying what this is for, and it has no row in the old inventory. Needs reading.</t>
        </is>
      </c>
      <c r="G212" s="11" t="inlineStr">
        <is>
          <t>this month(EXAMPLE)</t>
        </is>
      </c>
      <c r="H212" s="3" t="inlineStr">
        <is>
          <t>this month(EXAMPLE)</t>
        </is>
      </c>
      <c r="I212" s="3" t="inlineStr">
        <is>
          <t>READ FROM THE CODE — rendered from the expressions the function runs</t>
        </is>
      </c>
      <c r="J212" s="3" t="inlineStr">
        <is>
          <t>Nothing is handed to it</t>
        </is>
      </c>
      <c r="K212" s="3" t="inlineStr">
        <is>
          <t>NOT DECLARED — the code does not say what it gives back</t>
        </is>
      </c>
      <c r="L212" s="3" t="inlineStr">
        <is>
          <t>—</t>
        </is>
      </c>
      <c r="M212" s="3" t="inlineStr">
        <is>
          <t>None found in this function — anything it assumes comes from the functions it depends on.</t>
        </is>
      </c>
      <c r="N212" s="3" t="inlineStr">
        <is>
          <t>No</t>
        </is>
      </c>
      <c r="O212" s="3" t="inlineStr">
        <is>
          <t>MK-CF-O-003 thisMonth</t>
        </is>
      </c>
      <c r="P212" s="3" t="n">
        <v>102</v>
      </c>
      <c r="Q212"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MK-NW-F-072 rowOf
36. MK-CF-O-010 theMonth
37. MK-CF-F-021 defaultPaymentType
38. MK-CF-F-069 benefitActiveMonths
39. MK-CF-F-072 currentRetirementIncomeMonthly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MK-PL-F-012 waterfall
53. MK-CF-F-008 spendByMonth
54. MK-ST-F-047 activeCurrency
55. MK-NW-F-060 approxYTM
56. MK-NW-F-069 priceAtYield
57. MK-NW-F-011 assetClassOf
58. MK-NW-F-070 accruedInterestCaveat
59. MK-NW-F-071 isCertificateOfDeposit
60. MK-NW-F-058 yearsToMaturity
61. MK-CF-O-002 expenses
62. MK-CF-F-075 retirementIncomeMonthly
63. MK-CF-F-062 equityRowValue
64. MK-CF-F-070 benefitAnnual
65. MK-CF-F-176 sumMonthsOverEarners
66. MK-CF-F-177 wageGrossByMonth
67. MK-CF-F-090 effectiveRate
68. MK-CF-F-085 filingStatusOf
69. MK-CF-F-089 over65CountOf
70. MK-CF-F-098 progressiveMonthlyTax
71. MK-CF-F-086 stateRateOf
72. MK-CF-F-173 earnerWages
73. MK-CF-F-102 effectiveRateOnGrossFor
74. MK-CF-F-180 enteredLandsAnnual
75. MK-CF-F-082 salaryAnnual
76. MK-CF-F-084 taxableAnnual
77. MK-CF-F-067 rentalList
78. MK-CF-F-063 rowVestYear
79. MK-CF-F-120 pctBaseMonthly
80. MK-CF-F-004 spendBuckets
81. MK-NW-F-008 incomeBearingClassOf
82. MK-CF-F-151 actualSpending
83. MK-CF-F-150 debtPaymentsCountedAsExpenses
84. MK-CF-F-153 radar
85. MK-CF-F-149 recurringDebtPayments
86. MK-CF-F-130 enteredMonthlyRaw
87. MK-CF-F-166 hasMonthlySalaryTable
88. MK-ST-F-036 reconcile
89. MK-CF-F-167 salaryCalendarYear
90. MK-CF-F-101 taxOwedFor
91. MK-CF-F-100 taxableIncomeFor
92. MK-CF-F-172 hasWage
93. MK-CF-F-074 tipsAnnual
94. MK-CF-F-003 categoryMonthly
95. MK-ST-F-010 nameEvidence
96. MK-CF-F-165 salaryMonths
97. MK-CF-F-099 deductionFor
98. MK-CF-F-081 salaryActiveMonths
99. MK-XS-F-147 call
100. MK-CF-F-187 seniorDeductionFor
101. MK-XS-F-064 currentIdToken
102. MK-XS-F-112 relayUrl</t>
        </is>
      </c>
      <c r="R212"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2" s="3" t="inlineStr">
        <is>
          <t>—</t>
        </is>
      </c>
      <c r="T212" s="3" t="inlineStr">
        <is>
          <t>—</t>
        </is>
      </c>
      <c r="U212" s="3" t="inlineStr">
        <is>
          <t>ACTIVE</t>
        </is>
      </c>
      <c r="V212" s="3" t="inlineStr">
        <is>
          <t>2026-09-28</t>
        </is>
      </c>
      <c r="W212" s="3" t="n"/>
      <c r="X212" s="3" t="n"/>
      <c r="Y212" s="3" t="inlineStr">
        <is>
          <t>NOTHING OPEN</t>
        </is>
      </c>
    </row>
    <row r="213" ht="60" customHeight="1">
      <c r="A213" s="3" t="inlineStr">
        <is>
          <t>MK-CF-O-015</t>
        </is>
      </c>
      <c r="B213" s="3" t="inlineStr">
        <is>
          <t>workedLineAmount</t>
        </is>
      </c>
      <c r="C213" s="3" t="inlineStr">
        <is>
          <t>MoneyKeel/functions/cashflow/this-month.ts</t>
        </is>
      </c>
      <c r="D213" s="3" t="n">
        <v>477</v>
      </c>
      <c r="E213" s="3" t="inlineStr">
        <is>
          <t>1 · ACTION</t>
        </is>
      </c>
      <c r="F213" s="3" t="inlineStr">
        <is>
          <t>NOT DETERMINED — the code carries no note saying what this is for, and it has no row in the old inventory. Needs reading.</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1. block: 'planned' | 'actual'
2. startsWith: string</t>
        </is>
      </c>
      <c r="K213" s="3" t="inlineStr">
        <is>
          <t>NOT DECLARED — the code does not say what it gives back</t>
        </is>
      </c>
      <c r="L213" s="3" t="inlineStr">
        <is>
          <t>—</t>
        </is>
      </c>
      <c r="M213" s="3" t="inlineStr">
        <is>
          <t>None found in this function — anything it assumes comes from the functions it depends on.</t>
        </is>
      </c>
      <c r="N213" s="3" t="inlineStr">
        <is>
          <t>No</t>
        </is>
      </c>
      <c r="O213" s="3" t="inlineStr">
        <is>
          <t>1. MK-CF-O-014 M
2. MK-XS-F-180 declareFigures</t>
        </is>
      </c>
      <c r="P213" s="3" t="n">
        <v>103</v>
      </c>
      <c r="Q213"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MK-NW-F-072 rowOf
37. MK-CF-O-010 theMonth
38. MK-CF-F-021 defaultPaymentType
39. MK-CF-F-069 benefitActiveMonths
40. MK-CF-F-072 currentRetirementIncomeMonthly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MK-PL-F-012 waterfall
54. MK-CF-F-008 spendByMonth
55. MK-ST-F-047 activeCurrency
56. MK-NW-F-060 approxYTM
57. MK-NW-F-069 priceAtYield
58. MK-NW-F-011 assetClassOf
59. MK-NW-F-070 accruedInterestCaveat
60. MK-NW-F-071 isCertificateOfDeposit
61. MK-NW-F-058 yearsToMaturity
62. MK-CF-O-002 expenses
63. MK-CF-F-075 retirementIncomeMonthly
64. MK-CF-F-062 equityRowValue
65. MK-CF-F-070 benefitAnnual
66. MK-CF-F-176 sumMonthsOverEarners
67. MK-CF-F-177 wageGrossByMonth
68. MK-CF-F-090 effectiveRate
69. MK-CF-F-085 filingStatusOf
70. MK-CF-F-089 over65CountOf
71. MK-CF-F-098 progressiveMonthlyTax
72. MK-CF-F-086 stateRateOf
73. MK-CF-F-173 earnerWages
74. MK-CF-F-102 effectiveRateOnGrossFor
75. MK-CF-F-180 enteredLandsAnnual
76. MK-CF-F-082 salaryAnnual
77. MK-CF-F-084 taxableAnnual
78. MK-CF-F-067 rentalList
79. MK-CF-F-063 rowVestYear
80. MK-CF-F-120 pctBaseMonthly
81. MK-CF-F-004 spendBuckets
82. MK-NW-F-008 incomeBearingClassOf
83. MK-CF-F-151 actualSpending
84. MK-CF-F-150 debtPaymentsCountedAsExpenses
85. MK-CF-F-153 radar
86. MK-CF-F-149 recurringDebtPayments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213"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MK-CF-O-016</t>
        </is>
      </c>
      <c r="B214" s="3" t="inlineStr">
        <is>
          <t>incomeSources</t>
        </is>
      </c>
      <c r="C214" s="3" t="inlineStr">
        <is>
          <t>MoneyKeel/functions/cashflow/income-summary.ts</t>
        </is>
      </c>
      <c r="D214" s="3" t="n">
        <v>308</v>
      </c>
      <c r="E214" s="3" t="inlineStr">
        <is>
          <t>3 · DEPENDENT (feeds an action only)</t>
        </is>
      </c>
      <c r="F214" s="3" t="inlineStr">
        <is>
          <t>NOT DETERMINED — the code carries no note saying what this is for, and it has no row in the old inventory. Needs reading.</t>
        </is>
      </c>
      <c r="G214"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4"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4" s="3" t="inlineStr">
        <is>
          <t>PARTLY READ — some of the code is still showing through; needs a hand pass</t>
        </is>
      </c>
      <c r="J214" s="3" t="inlineStr">
        <is>
          <t>op: Record&lt;string, any&gt; | null</t>
        </is>
      </c>
      <c r="K214" s="3" t="inlineStr">
        <is>
          <t>IncomeSource[]</t>
        </is>
      </c>
      <c r="L214" s="3" t="inlineStr">
        <is>
          <t>—</t>
        </is>
      </c>
      <c r="M214" s="3" t="inlineStr">
        <is>
          <t>None found in this function — anything it assumes comes from the functions it depends on.</t>
        </is>
      </c>
      <c r="N214" s="3" t="inlineStr">
        <is>
          <t>No</t>
        </is>
      </c>
      <c r="O214" s="3" t="inlineStr">
        <is>
          <t>1. MK-CF-F-072 currentRetirementIncomeMonthly
2. MK-CF-F-173 earnerWages
3. MK-CF-F-068 rentalNetAnnual
4. MK-CF-F-075 retirementIncomeMonthly
5. MK-CF-F-066 rsuAnnual
6. MK-ST-F-052 toNum</t>
        </is>
      </c>
      <c r="P214" s="3" t="n">
        <v>24</v>
      </c>
      <c r="Q214" s="3" t="inlineStr">
        <is>
          <t>1. MK-CF-F-072 currentRetirementIncomeMonthly
2. MK-CF-F-173 earnerWages
3. MK-CF-F-068 rentalNetAnnual
4. MK-CF-F-075 retirementIncomeMonthly
5. MK-CF-F-066 rsuAnnual
6. MK-ST-F-052 toNum
7. MK-CF-F-172 hasWage
8. MK-CF-O-002 expenses
9. MK-CF-F-067 rentalList
10. MK-CF-F-062 equityRowValue
11. MK-CF-F-132 map
12. MK-CF-F-063 rowVestYear
13. MK-XS-F-122 n
14. MK-ST-F-056 has
15. MK-CF-F-151 actualSpending
16. MK-CF-F-150 debtPaymentsCountedAsExpenses
17. MK-CF-F-153 radar
18. MK-CF-F-149 recurringDebtPayments
19. MK-CF-F-148 inMonth
20. MK-CF-F-191 ym
21. MK-CF-F-022 paymentShape
22. MK-CF-F-152 isRadarItem
23. MK-CF-F-023 requiredPayment
24. MK-CF-F-021 defaultPaymentType</t>
        </is>
      </c>
      <c r="R214" s="3" t="inlineStr">
        <is>
          <t>1. MK-XS-F-122 n → MK-ST-F-052 toNum → MK-CF-F-075 retirementIncomeMonthly → MK-CF-F-072 currentRetirementIncomeMonthly → MK-CF-O-016 incomeSources
2. MK-ST-F-056 has → MK-CF-F-172 hasWage → MK-CF-F-173 earnerWages → MK-CF-O-016 incomeSources
3. MK-CF-F-191 ym → MK-CF-F-148 inMonth → MK-CF-F-151 actualSpending → MK-CF-O-002 expenses → MK-CF-F-068 rentalNetAnnual → MK-CF-O-016 incomeSources
4. MK-XS-F-122 n → MK-ST-F-052 toNum → MK-CF-F-151 actualSpending → MK-CF-O-002 expenses → MK-CF-F-068 rentalNetAnnual → MK-CF-O-016 incomeSources
5. MK-CF-F-191 ym → MK-CF-F-151 actualSpending → MK-CF-O-002 expenses → MK-CF-F-068 rentalNetAnnual → MK-CF-O-016 incomeSources
6. MK-ST-F-056 has → MK-CF-F-150 debtPaymentsCountedAsExpenses → MK-CF-O-002 expenses → MK-CF-F-068 rentalNetAnnual → MK-CF-O-016 incomeSources
7. MK-CF-F-191 ym → MK-CF-F-148 inMonth → MK-CF-F-150 debtPaymentsCountedAsExpenses → MK-CF-O-002 expenses → MK-CF-F-068 rentalNetAnnual → MK-CF-O-016 incomeSources
8. MK-CF-F-021 defaultPaymentType → MK-CF-F-022 paymentShape → MK-CF-F-150 debtPaymentsCountedAsExpenses → MK-CF-O-002 expenses → MK-CF-F-068 rentalNetAnnual → MK-CF-O-016 incomeSources
9. … and 5 more paths</t>
        </is>
      </c>
      <c r="S214" s="3" t="inlineStr">
        <is>
          <t>—</t>
        </is>
      </c>
      <c r="T214" s="3" t="inlineStr">
        <is>
          <t>—</t>
        </is>
      </c>
      <c r="U214" s="3" t="inlineStr">
        <is>
          <t>ACTIVE</t>
        </is>
      </c>
      <c r="V214" s="3" t="inlineStr">
        <is>
          <t>2026-10-01</t>
        </is>
      </c>
      <c r="W214" s="3" t="n"/>
      <c r="X214" s="3" t="n"/>
      <c r="Y214" s="3" t="inlineStr">
        <is>
          <t>NOTHING OPEN</t>
        </is>
      </c>
    </row>
    <row r="215" ht="45" customHeight="1">
      <c r="A215" s="3" t="inlineStr">
        <is>
          <t>MK-HM-F-001</t>
        </is>
      </c>
      <c r="B215" s="3" t="inlineStr">
        <is>
          <t>buildInsights</t>
        </is>
      </c>
      <c r="C215" s="3" t="inlineStr">
        <is>
          <t>src/domain/insights/index.ts</t>
        </is>
      </c>
      <c r="D215" s="3" t="n">
        <v>180</v>
      </c>
      <c r="E215" s="3" t="inlineStr">
        <is>
          <t>2 · DISPLAYED</t>
        </is>
      </c>
      <c r="F215" s="3" t="inlineStr">
        <is>
          <t>Ranked insights (highest priority first).</t>
        </is>
      </c>
      <c r="G215" s="11" t="inlineStr">
        <is>
          <t>the first limit of out   if limit ≠ nothing
out   otherwise</t>
        </is>
      </c>
      <c r="H215" s="3" t="inlineStr">
        <is>
          <t>the first limit of out — when limit is not no answer; out — otherwise.</t>
        </is>
      </c>
      <c r="I215" s="3" t="inlineStr">
        <is>
          <t>READ FROM THE CODE — rendered from the expressions the function runs</t>
        </is>
      </c>
      <c r="J215" s="3" t="inlineStr">
        <is>
          <t>1. input: InsightInput
2. limit?: number</t>
        </is>
      </c>
      <c r="K215" s="3" t="inlineStr">
        <is>
          <t>Insight[]</t>
        </is>
      </c>
      <c r="L215" s="3" t="inlineStr">
        <is>
          <t>NOT FOUND — a screen calls it, but the words printed beside its answer could not be traced automatically. Needs reading.</t>
        </is>
      </c>
      <c r="M215" s="3" t="inlineStr">
        <is>
          <t>None found in this function — anything it assumes comes from the functions it depends on.</t>
        </is>
      </c>
      <c r="N215" s="3" t="inlineStr">
        <is>
          <t>Yes</t>
        </is>
      </c>
      <c r="O215" s="3" t="inlineStr">
        <is>
          <t>MK-CF-F-132 map</t>
        </is>
      </c>
      <c r="P215" s="3" t="n">
        <v>1</v>
      </c>
      <c r="Q215" s="3" t="inlineStr">
        <is>
          <t>MK-CF-F-132 map</t>
        </is>
      </c>
      <c r="R215" s="3" t="inlineStr">
        <is>
          <t>MK-CF-F-132 map → MK-HM-F-001 buildInsights</t>
        </is>
      </c>
      <c r="S215" s="3" t="inlineStr">
        <is>
          <t>—</t>
        </is>
      </c>
      <c r="T215" s="3" t="inlineStr">
        <is>
          <t>—</t>
        </is>
      </c>
      <c r="U215" s="3" t="inlineStr">
        <is>
          <t>ACTIVE</t>
        </is>
      </c>
      <c r="V215" s="3" t="inlineStr">
        <is>
          <t>2026-08-27</t>
        </is>
      </c>
      <c r="W215" s="3" t="n"/>
      <c r="X215" s="3" t="n"/>
      <c r="Y215" s="3" t="inlineStr">
        <is>
          <t>NOTHING OPEN</t>
        </is>
      </c>
    </row>
    <row r="216" ht="45" customHeight="1">
      <c r="A216" s="3" t="inlineStr">
        <is>
          <t>MK-HM-F-002</t>
        </is>
      </c>
      <c r="B216" s="3" t="inlineStr">
        <is>
          <t>milestoneLabel</t>
        </is>
      </c>
      <c r="C216" s="3" t="inlineStr">
        <is>
          <t>src/domain/milestones.ts</t>
        </is>
      </c>
      <c r="D216" s="3" t="n">
        <v>34</v>
      </c>
      <c r="E216" s="3" t="inlineStr">
        <is>
          <t>2 · DISPLAYED</t>
        </is>
      </c>
      <c r="F216" s="3" t="inlineStr">
        <is>
          <t>'$500k' / '$1M' — the label the celebration line uses.</t>
        </is>
      </c>
      <c r="G216" s="11" t="inlineStr">
        <is>
          <t>m = threshold ÷ 1000000
the answer = `$${number.is integer(m) ? m : to fixed(1)}M`</t>
        </is>
      </c>
      <c r="H216" s="3" t="inlineStr">
        <is>
          <t>M is threshold divided by 1000000. The answer is `$${number.is integer(m) ? m : to fixed(1)}M`.</t>
        </is>
      </c>
      <c r="I216" s="3" t="inlineStr">
        <is>
          <t>PARTLY READ — some of the code is still showing through; needs a hand pass</t>
        </is>
      </c>
      <c r="J216" s="3" t="inlineStr">
        <is>
          <t>threshold: number</t>
        </is>
      </c>
      <c r="K216" s="3" t="inlineStr">
        <is>
          <t>string</t>
        </is>
      </c>
      <c r="L216" s="3" t="inlineStr">
        <is>
          <t>NOT FOUND — a screen calls it, but the words printed beside its answer could not be traced automatically. Needs reading.</t>
        </is>
      </c>
      <c r="M216" s="3" t="inlineStr">
        <is>
          <t>1. Rounds the answer to a whole number.
2. Shows 1 decimal place.</t>
        </is>
      </c>
      <c r="N216" s="3" t="inlineStr">
        <is>
          <t>Yes</t>
        </is>
      </c>
      <c r="O216" s="3" t="inlineStr">
        <is>
          <t>—</t>
        </is>
      </c>
      <c r="P216" s="3" t="n">
        <v>0</v>
      </c>
      <c r="Q216" s="3" t="inlineStr">
        <is>
          <t>None — no dependent function stands behind it</t>
        </is>
      </c>
      <c r="R216" s="3" t="inlineStr">
        <is>
          <t>No dependent function — it reads its inputs and answers</t>
        </is>
      </c>
      <c r="S216" s="3" t="inlineStr">
        <is>
          <t>—</t>
        </is>
      </c>
      <c r="T216" s="3" t="inlineStr">
        <is>
          <t>—</t>
        </is>
      </c>
      <c r="U216" s="3" t="inlineStr">
        <is>
          <t>ACTIVE</t>
        </is>
      </c>
      <c r="V216" s="3" t="inlineStr">
        <is>
          <t>2026-08-27</t>
        </is>
      </c>
      <c r="W216" s="3" t="n"/>
      <c r="X216" s="3" t="n"/>
      <c r="Y216" s="3" t="inlineStr">
        <is>
          <t>NOTHING OPEN</t>
        </is>
      </c>
    </row>
    <row r="217" ht="45" customHeight="1">
      <c r="A217" s="3" t="inlineStr">
        <is>
          <t>MK-HM-F-003</t>
        </is>
      </c>
      <c r="B217" s="3" t="inlineStr">
        <is>
          <t>milestoneFloor</t>
        </is>
      </c>
      <c r="C217" s="3" t="inlineStr">
        <is>
          <t>src/domain/milestones.ts</t>
        </is>
      </c>
      <c r="D217" s="3" t="n">
        <v>65</v>
      </c>
      <c r="E217" s="3" t="inlineStr">
        <is>
          <t>2 · DISPLAYED</t>
        </is>
      </c>
      <c r="F217" s="3" t="inlineStr">
        <is>
          <t>The highest ladder rung at or below `netWorth` (0 when below the first rung).</t>
        </is>
      </c>
      <c r="G217" s="11" t="inlineStr">
        <is>
          <t>floor = 0
the answer = floor</t>
        </is>
      </c>
      <c r="H217" s="3" t="inlineStr">
        <is>
          <t>Floor is 0. The answer is floor.</t>
        </is>
      </c>
      <c r="I217" s="3" t="inlineStr">
        <is>
          <t>READ FROM THE CODE — rendered from the expressions the function runs</t>
        </is>
      </c>
      <c r="J217" s="3" t="inlineStr">
        <is>
          <t>netWorth: number</t>
        </is>
      </c>
      <c r="K217" s="3" t="inlineStr">
        <is>
          <t>number</t>
        </is>
      </c>
      <c r="L217" s="3" t="inlineStr">
        <is>
          <t>NOT FOUND — a screen calls it, but the words printed beside its answer could not be traced automatically. Needs reading.</t>
        </is>
      </c>
      <c r="M217" s="3" t="inlineStr">
        <is>
          <t>· Uses a built-in floor of 0.</t>
        </is>
      </c>
      <c r="N217" s="3" t="inlineStr">
        <is>
          <t>Yes</t>
        </is>
      </c>
      <c r="O217" s="3" t="inlineStr">
        <is>
          <t>—</t>
        </is>
      </c>
      <c r="P217" s="3" t="n">
        <v>0</v>
      </c>
      <c r="Q217" s="3" t="inlineStr">
        <is>
          <t>None — no dependent function stands behind it</t>
        </is>
      </c>
      <c r="R217" s="3" t="inlineStr">
        <is>
          <t>No dependent function — it reads its inputs and answers</t>
        </is>
      </c>
      <c r="S217" s="3" t="inlineStr">
        <is>
          <t>—</t>
        </is>
      </c>
      <c r="T217" s="3" t="inlineStr">
        <is>
          <t>—</t>
        </is>
      </c>
      <c r="U217" s="3" t="inlineStr">
        <is>
          <t>ACTIVE</t>
        </is>
      </c>
      <c r="V217" s="3" t="inlineStr">
        <is>
          <t>2026-08-27</t>
        </is>
      </c>
      <c r="W217" s="3" t="n"/>
      <c r="X217" s="3" t="n"/>
      <c r="Y217" s="3" t="inlineStr">
        <is>
          <t>NOTHING OPEN</t>
        </is>
      </c>
    </row>
    <row r="218" ht="60" customHeight="1">
      <c r="A218" s="3" t="inlineStr">
        <is>
          <t>MK-HM-F-004</t>
        </is>
      </c>
      <c r="B218" s="3" t="inlineStr">
        <is>
          <t>milestoneCrossed</t>
        </is>
      </c>
      <c r="C218" s="3" t="inlineStr">
        <is>
          <t>src/domain/milestones.ts</t>
        </is>
      </c>
      <c r="D218" s="3" t="n">
        <v>95</v>
      </c>
      <c r="E218" s="3" t="inlineStr">
        <is>
          <t>2 · DISPLAYED</t>
        </is>
      </c>
      <c r="F218" s="3" t="inlineStr">
        <is>
          <t>The one decision rule.</t>
        </is>
      </c>
      <c r="G218" s="11" t="inlineStr">
        <is>
          <t>nothing   when high seen = nothing
floor = milestone floor(net worth)
the answer:
floor   if floor &gt; high seen
nothing   otherwise</t>
        </is>
      </c>
      <c r="H218" s="3" t="inlineStr">
        <is>
          <t>When high seen is missing, it answers no answer. Floor is milestone floor(net worth). The answer is floor — when floor &gt; high seen; no answer — otherwise.</t>
        </is>
      </c>
      <c r="I218" s="3" t="inlineStr">
        <is>
          <t>READ FROM THE CODE — rendered from the expressions the function runs</t>
        </is>
      </c>
      <c r="J218" s="3" t="inlineStr">
        <is>
          <t>1. netWorth: number
2. highSeen: number | null</t>
        </is>
      </c>
      <c r="K218" s="3" t="inlineStr">
        <is>
          <t>number | null</t>
        </is>
      </c>
      <c r="L218" s="3" t="inlineStr">
        <is>
          <t>NOT FOUND — a screen calls it, but the words printed beside its answer could not be traced automatically. Needs reading.</t>
        </is>
      </c>
      <c r="M218" s="3" t="inlineStr">
        <is>
          <t>None found in this function — anything it assumes comes from the functions it depends on.</t>
        </is>
      </c>
      <c r="N218" s="3" t="inlineStr">
        <is>
          <t>Yes</t>
        </is>
      </c>
      <c r="O218" s="3" t="inlineStr">
        <is>
          <t>MK-HM-F-003 milestoneFloor</t>
        </is>
      </c>
      <c r="P218" s="3" t="n">
        <v>1</v>
      </c>
      <c r="Q218" s="3" t="inlineStr">
        <is>
          <t>MK-HM-F-003 milestoneFloor</t>
        </is>
      </c>
      <c r="R218" s="3" t="inlineStr">
        <is>
          <t>MK-HM-F-003 milestoneFloor → MK-HM-F-004 milestoneCrossed</t>
        </is>
      </c>
      <c r="S218" s="3" t="inlineStr">
        <is>
          <t>MK-HM-M-002</t>
        </is>
      </c>
      <c r="T218" s="3" t="inlineStr">
        <is>
          <t>—</t>
        </is>
      </c>
      <c r="U218" s="3" t="inlineStr">
        <is>
          <t>ACTIVE</t>
        </is>
      </c>
      <c r="V218" s="3" t="inlineStr">
        <is>
          <t>2026-08-27</t>
        </is>
      </c>
      <c r="W218" s="3" t="n"/>
      <c r="X218" s="3" t="n"/>
      <c r="Y218" s="3" t="inlineStr">
        <is>
          <t>NOTHING OPEN</t>
        </is>
      </c>
    </row>
    <row r="219" ht="60" customHeight="1">
      <c r="A219" s="3" t="inlineStr">
        <is>
          <t>MK-HM-F-005</t>
        </is>
      </c>
      <c r="B219" s="3" t="inlineStr">
        <is>
          <t>pctTxt</t>
        </is>
      </c>
      <c r="C219" s="3" t="inlineStr">
        <is>
          <t>src/domain/insights/index.ts</t>
        </is>
      </c>
      <c r="D219" s="3" t="n">
        <v>69</v>
      </c>
      <c r="E219" s="3" t="inlineStr">
        <is>
          <t>1 · ACTION</t>
        </is>
      </c>
      <c r="F219" s="3" t="inlineStr">
        <is>
          <t>NOT DETERMINED — the code carries no note saying what this is for, and it has no row in the old inventory. Needs reading.</t>
        </is>
      </c>
      <c r="G219" s="11" t="inlineStr">
        <is>
          <t>the answer = round(d × 100) followed by '%'</t>
        </is>
      </c>
      <c r="H219" s="3" t="inlineStr">
        <is>
          <t>A share written as a whole percent — 0.234 becomes 23%. Display only.</t>
        </is>
      </c>
      <c r="I219" s="3" t="inlineStr">
        <is>
          <t>READ BY HAND 2026-08-26 — checked line by line against the code</t>
        </is>
      </c>
      <c r="J219" s="3" t="inlineStr">
        <is>
          <t>d: number</t>
        </is>
      </c>
      <c r="K219" s="3" t="inlineStr">
        <is>
          <t>NOT DECLARED — the code does not say what it gives back</t>
        </is>
      </c>
      <c r="L219" s="3" t="inlineStr">
        <is>
          <t>—</t>
        </is>
      </c>
      <c r="M219" s="3" t="inlineStr">
        <is>
          <t>· Rounds the answer to a whole number.</t>
        </is>
      </c>
      <c r="N219" s="3" t="inlineStr">
        <is>
          <t>Yes</t>
        </is>
      </c>
      <c r="O219" s="3" t="inlineStr">
        <is>
          <t>—</t>
        </is>
      </c>
      <c r="P219" s="3" t="n">
        <v>0</v>
      </c>
      <c r="Q219" s="3" t="inlineStr">
        <is>
          <t>None — no dependent function stands behind it</t>
        </is>
      </c>
      <c r="R219" s="3" t="inlineStr">
        <is>
          <t>No dependent function — it reads its inputs and answers</t>
        </is>
      </c>
      <c r="S219" s="3" t="inlineStr">
        <is>
          <t>—</t>
        </is>
      </c>
      <c r="T219" s="3" t="inlineStr">
        <is>
          <t>—</t>
        </is>
      </c>
      <c r="U219" s="3" t="inlineStr">
        <is>
          <t>ACTIVE</t>
        </is>
      </c>
      <c r="V219" s="3" t="inlineStr">
        <is>
          <t>2026-09-12</t>
        </is>
      </c>
      <c r="W219" s="3" t="n"/>
      <c r="X219" s="3" t="n"/>
      <c r="Y219" s="3" t="inlineStr">
        <is>
          <t>NOTHING OPEN</t>
        </is>
      </c>
    </row>
    <row r="220" ht="60" customHeight="1">
      <c r="A220" s="3" t="inlineStr">
        <is>
          <t>MK-HM-F-006</t>
        </is>
      </c>
      <c r="B220" s="3" t="inlineStr">
        <is>
          <t>money0</t>
        </is>
      </c>
      <c r="C220" s="3" t="inlineStr">
        <is>
          <t>src/domain/insights/index.ts</t>
        </is>
      </c>
      <c r="D220" s="3" t="n">
        <v>102</v>
      </c>
      <c r="E220" s="3" t="inlineStr">
        <is>
          <t>3 · DEPENDENT</t>
        </is>
      </c>
      <c r="F220" s="3" t="inlineStr">
        <is>
          <t>NOT DETERMINED — the code carries no note saying what this is for, and it has no row in the old inventory. Needs reading.</t>
        </is>
      </c>
      <c r="G220" s="11" t="inlineStr">
        <is>
          <t>the answer = '$' + round(n) with thousands separators</t>
        </is>
      </c>
      <c r="H220" s="3" t="inlineStr">
        <is>
          <t>A dollar amount to the whole dollar with thousands separators, for the insight sentences. Display only.</t>
        </is>
      </c>
      <c r="I220" s="3" t="inlineStr">
        <is>
          <t>READ BY HAND 2026-08-26 — checked line by line against the code</t>
        </is>
      </c>
      <c r="J220" s="3" t="inlineStr">
        <is>
          <t>n: number</t>
        </is>
      </c>
      <c r="K220" s="3" t="inlineStr">
        <is>
          <t>NOT DECLARED — the code does not say what it gives back</t>
        </is>
      </c>
      <c r="L220" s="3" t="inlineStr">
        <is>
          <t>—</t>
        </is>
      </c>
      <c r="M220" s="3" t="inlineStr">
        <is>
          <t>1. Rounds the answer to a whole number.
2. Shows 1 decimal place.</t>
        </is>
      </c>
      <c r="N220" s="3" t="inlineStr">
        <is>
          <t>Yes</t>
        </is>
      </c>
      <c r="O220" s="3" t="inlineStr">
        <is>
          <t>1. MK-CF-F-155 cash
2. MK-XS-F-122 n
3. MK-HM-F-005 pctTxt</t>
        </is>
      </c>
      <c r="P220" s="3" t="n">
        <v>3</v>
      </c>
      <c r="Q220" s="3" t="inlineStr">
        <is>
          <t>1. MK-CF-F-155 cash
2. MK-XS-F-122 n
3. MK-HM-F-005 pctTxt</t>
        </is>
      </c>
      <c r="R220" s="3" t="inlineStr">
        <is>
          <t>1. MK-XS-F-122 n → MK-CF-F-155 cash → MK-HM-F-006 money0
2. MK-XS-F-122 n → MK-HM-F-006 money0
3. MK-HM-F-005 pctTxt → MK-HM-F-006 money0</t>
        </is>
      </c>
      <c r="S220" s="3" t="inlineStr">
        <is>
          <t>—</t>
        </is>
      </c>
      <c r="T220" s="3" t="inlineStr">
        <is>
          <t>—</t>
        </is>
      </c>
      <c r="U220" s="3" t="inlineStr">
        <is>
          <t>ACTIVE</t>
        </is>
      </c>
      <c r="V220" s="3" t="inlineStr">
        <is>
          <t>2026-09-12</t>
        </is>
      </c>
      <c r="W220" s="3" t="n"/>
      <c r="X220" s="3" t="n"/>
      <c r="Y220" s="3" t="inlineStr">
        <is>
          <t>NOTHING OPEN</t>
        </is>
      </c>
    </row>
    <row r="221" ht="45" customHeight="1">
      <c r="A221" s="3" t="inlineStr">
        <is>
          <t>MK-NW-F-001</t>
        </is>
      </c>
      <c r="B221" s="3" t="inlineStr">
        <is>
          <t>isAlternative</t>
        </is>
      </c>
      <c r="C221" s="3" t="inlineStr">
        <is>
          <t>src/domain/alternatives/index.ts</t>
        </is>
      </c>
      <c r="D221" s="3" t="n">
        <v>36</v>
      </c>
      <c r="E221" s="3" t="inlineStr">
        <is>
          <t>2 · DISPLAYED</t>
        </is>
      </c>
      <c r="F221" s="3" t="inlineStr">
        <is>
          <t>Is this account an "other investment" — an alternative held at a manual value (not a bond, not cash/property)?</t>
        </is>
      </c>
      <c r="G221" s="11" t="inlineStr">
        <is>
          <t>ALT_KINDS.includes((kind ?? '') as alt kind) and !maturity date and tax bucket ! = 'PROPERTY'</t>
        </is>
      </c>
      <c r="H221" s="3" t="inlineStr">
        <is>
          <t>ALT_KINDS.includes((kind ?? '') as alt kind) and !maturity date and tax bucket ! = 'PROPERTY'.</t>
        </is>
      </c>
      <c r="I221" s="3" t="inlineStr">
        <is>
          <t>PARTLY READ — some of the code is still showing through; needs a hand pass</t>
        </is>
      </c>
      <c r="J221" s="3" t="inlineStr">
        <is>
          <t>a: AssetAccount</t>
        </is>
      </c>
      <c r="K221" s="3" t="inlineStr">
        <is>
          <t>boolean</t>
        </is>
      </c>
      <c r="L221" s="3" t="inlineStr">
        <is>
          <t>NOT FOUND — a screen calls it, but the words printed beside its answer could not be traced automatically. Needs reading.</t>
        </is>
      </c>
      <c r="M221" s="3" t="inlineStr">
        <is>
          <t>None found in this function — anything it assumes comes from the functions it depends on.</t>
        </is>
      </c>
      <c r="N221" s="3" t="inlineStr">
        <is>
          <t>Yes</t>
        </is>
      </c>
      <c r="O221" s="3" t="inlineStr">
        <is>
          <t>—</t>
        </is>
      </c>
      <c r="P221" s="3" t="n">
        <v>0</v>
      </c>
      <c r="Q221" s="3" t="inlineStr">
        <is>
          <t>None — no dependent function stands behind it</t>
        </is>
      </c>
      <c r="R221" s="3" t="inlineStr">
        <is>
          <t>No dependent function — it reads its inputs and answers</t>
        </is>
      </c>
      <c r="S221" s="3" t="inlineStr">
        <is>
          <t>—</t>
        </is>
      </c>
      <c r="T221" s="3" t="inlineStr">
        <is>
          <t>IS_ALTERNATIVE</t>
        </is>
      </c>
      <c r="U221" s="3" t="inlineStr">
        <is>
          <t>ACTIVE</t>
        </is>
      </c>
      <c r="V221" s="3" t="inlineStr">
        <is>
          <t>2026-08-27</t>
        </is>
      </c>
      <c r="W221" s="3" t="n"/>
      <c r="X221" s="3" t="n"/>
      <c r="Y221" s="3" t="inlineStr">
        <is>
          <t>NOTHING OPEN</t>
        </is>
      </c>
    </row>
    <row r="222" ht="60" customHeight="1">
      <c r="A222" s="3" t="inlineStr">
        <is>
          <t>MK-NW-F-002</t>
        </is>
      </c>
      <c r="B222" s="3" t="inlineStr">
        <is>
          <t>alternativesSummary</t>
        </is>
      </c>
      <c r="C222" s="3" t="inlineStr">
        <is>
          <t>src/domain/alternatives/index.ts</t>
        </is>
      </c>
      <c r="D222" s="3" t="n">
        <v>66</v>
      </c>
      <c r="E222" s="3" t="inlineStr">
        <is>
          <t>3 · DEPENDENT</t>
        </is>
      </c>
      <c r="F222" s="3" t="inlineStr">
        <is>
          <t>NOT DETERMINED — the code carries no note saying what this is for, and it has no row in the old inventory. Needs reading.</t>
        </is>
      </c>
      <c r="G222" s="11" t="inlineStr">
        <is>
          <t>alts = accounts (or none when missing) where is alternative
total = Σ over alts of (balance (or 0 when missing or zero))
weighted = Σ over total &gt; 0 ? alts of ((balance or 0) × benchmark return(kind))÷ total : 0</t>
        </is>
      </c>
      <c r="H222" s="3" t="inlineStr">
        <is>
          <t>Alts is accounts (or none — when missing) where is alternative. Total: the balance (or 0 — when missing or zero) added up across alts. Weighted: the (balance or 0 added up across total &gt; 0 ? alts times benchmark return(kind))÷ total : 0.</t>
        </is>
      </c>
      <c r="I222" s="3" t="inlineStr">
        <is>
          <t>READ FROM THE CODE — rendered from the expressions the function runs</t>
        </is>
      </c>
      <c r="J222" s="3" t="inlineStr">
        <is>
          <t>accounts: AssetAccount[]</t>
        </is>
      </c>
      <c r="K222" s="3" t="inlineStr">
        <is>
          <t>AltSummary</t>
        </is>
      </c>
      <c r="L222" s="3" t="inlineStr">
        <is>
          <t>—</t>
        </is>
      </c>
      <c r="M222" s="3" t="inlineStr">
        <is>
          <t>· If balance is missing it counts as zero, so nothing recorded and a real zero look the same.</t>
        </is>
      </c>
      <c r="N222" s="3" t="inlineStr">
        <is>
          <t>Yes</t>
        </is>
      </c>
      <c r="O222" s="3" t="inlineStr">
        <is>
          <t>1. MK-NW-F-034 benchmarkReturn
2. MK-NW-F-001 isAlternative</t>
        </is>
      </c>
      <c r="P222" s="3" t="n">
        <v>14</v>
      </c>
      <c r="Q222"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22"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MK-NW-F-001 isAlternative → MK-NW-F-002 alternativesSummary</t>
        </is>
      </c>
      <c r="S222" s="3" t="inlineStr">
        <is>
          <t>—</t>
        </is>
      </c>
      <c r="T222" s="3" t="inlineStr">
        <is>
          <t>—</t>
        </is>
      </c>
      <c r="U222" s="3" t="inlineStr">
        <is>
          <t>ACTIVE</t>
        </is>
      </c>
      <c r="V222" s="3" t="inlineStr">
        <is>
          <t>2026-10-01</t>
        </is>
      </c>
      <c r="W222" s="3" t="n"/>
      <c r="X222" s="3" t="n"/>
      <c r="Y222" s="3" t="inlineStr">
        <is>
          <t>NOTHING OPEN</t>
        </is>
      </c>
    </row>
    <row r="223" ht="60" customHeight="1">
      <c r="A223" s="3" t="inlineStr">
        <is>
          <t>MK-NW-F-003</t>
        </is>
      </c>
      <c r="B223" s="3" t="inlineStr">
        <is>
          <t>valueFreshness</t>
        </is>
      </c>
      <c r="C223" s="3" t="inlineStr">
        <is>
          <t>src/domain/assets/index.ts</t>
        </is>
      </c>
      <c r="D223" s="3" t="n">
        <v>127</v>
      </c>
      <c r="E223" s="3" t="inlineStr">
        <is>
          <t>2 · DISPLAYED</t>
        </is>
      </c>
      <c r="F223" s="3" t="inlineStr">
        <is>
          <t>Manual-value freshness (FCC): how old a hand-entered value is, and whether it needs a nudge.</t>
        </is>
      </c>
      <c r="G223" s="11" t="inlineStr">
        <is>
          <t>nothing   when derive balance
nothing   when value as of is missing
m = value as of.match( ÷ ^(\d{4}) − (\d{2}) ÷ )
nothing   when m is missing
months old = max(0, (now.get full year() - +m[1]) × 12 + (now.get month() + 1 - +m[2]))
the answer:
as of = value as of
months old = months old
stale = months old ≥ 6</t>
        </is>
      </c>
      <c r="H223" s="3" t="inlineStr">
        <is>
          <t>When derive balance, it answers no answer. When value as of is missing, it answers no answer. M is value as of.match( divided by ^(\d{4}) minus (\d{2}) divided by ). When m is missing, it answers no answer. Months old is (now.get full year(, never below zero - +m[1]) times 12 plus (now.get month() plus 1 - +m[2])). The answer is as of = value as of; months old = months old; stale = months old is at least 6.</t>
        </is>
      </c>
      <c r="I223" s="3" t="inlineStr">
        <is>
          <t>PARTLY READ — some of the code is still showing through; needs a hand pass</t>
        </is>
      </c>
      <c r="J223" s="3" t="inlineStr">
        <is>
          <t>1. a: AssetAccount
2. now: Date = new Date()</t>
        </is>
      </c>
      <c r="K223" s="3" t="inlineStr">
        <is>
          <t>NOT DECLARED — the code does not say what it gives back</t>
        </is>
      </c>
      <c r="L223" s="3" t="inlineStr">
        <is>
          <t>NOT FOUND — a screen calls it, but the words printed beside its answer could not be traced automatically. Needs reading.</t>
        </is>
      </c>
      <c r="M223" s="3" t="inlineStr">
        <is>
          <t>1. Turns a monthly figure into a year by multiplying by twelve.
2. Uses today's date from the device clock, so the answer changes by itself overnight.</t>
        </is>
      </c>
      <c r="N223" s="3" t="inlineStr">
        <is>
          <t>Yes</t>
        </is>
      </c>
      <c r="O223" s="3" t="inlineStr">
        <is>
          <t>—</t>
        </is>
      </c>
      <c r="P223" s="3" t="n">
        <v>0</v>
      </c>
      <c r="Q223" s="3" t="inlineStr">
        <is>
          <t>None — no dependent function stands behind it</t>
        </is>
      </c>
      <c r="R223" s="3" t="inlineStr">
        <is>
          <t>No dependent function — it reads its inputs and answers</t>
        </is>
      </c>
      <c r="S223" s="3" t="inlineStr">
        <is>
          <t>—</t>
        </is>
      </c>
      <c r="T223" s="3" t="inlineStr">
        <is>
          <t>HAND_VALUE_AGE</t>
        </is>
      </c>
      <c r="U223" s="3" t="inlineStr">
        <is>
          <t>ACTIVE</t>
        </is>
      </c>
      <c r="V223" s="3" t="inlineStr">
        <is>
          <t>2026-08-27</t>
        </is>
      </c>
      <c r="W223" s="3" t="n"/>
      <c r="X223" s="3" t="n"/>
      <c r="Y223" s="3" t="inlineStr">
        <is>
          <t>NOTHING OPEN</t>
        </is>
      </c>
    </row>
    <row r="224" ht="60" customHeight="1">
      <c r="A224" s="3" t="inlineStr">
        <is>
          <t>MK-NW-F-004</t>
        </is>
      </c>
      <c r="B224" s="3" t="inlineStr">
        <is>
          <t>portfolioActualReturn</t>
        </is>
      </c>
      <c r="C224" s="3" t="inlineStr">
        <is>
          <t>src/domain/assets/index.ts</t>
        </is>
      </c>
      <c r="D224" s="3" t="n">
        <v>162</v>
      </c>
      <c r="E224" s="3" t="inlineStr">
        <is>
          <t>2 · DISPLAYED</t>
        </is>
      </c>
      <c r="F224" s="3" t="inlineStr">
        <is>
          <t>Value-weighted ACTUAL trailing-12mo return across holdings that have one reported.</t>
        </is>
      </c>
      <c r="G224"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24"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24" s="3" t="inlineStr">
        <is>
          <t>READ FROM THE CODE — rendered from the expressions the function runs</t>
        </is>
      </c>
      <c r="J224" s="3" t="inlineStr">
        <is>
          <t>accounts: AssetAccount[]</t>
        </is>
      </c>
      <c r="K224" s="3" t="inlineStr">
        <is>
          <t>number | null</t>
        </is>
      </c>
      <c r="L224" s="3" t="inlineStr">
        <is>
          <t>"Expected return" — on the Retirement cockpit screen, under "scRetired ?"</t>
        </is>
      </c>
      <c r="M224" s="3" t="inlineStr">
        <is>
          <t>None found in this function — anything it assumes comes from the functions it depends on.</t>
        </is>
      </c>
      <c r="N224" s="3" t="inlineStr">
        <is>
          <t>Yes</t>
        </is>
      </c>
      <c r="O224" s="3" t="inlineStr">
        <is>
          <t>1. MK-CF-F-155 cash
2. MK-NW-F-032 earmarkedAmount</t>
        </is>
      </c>
      <c r="P224" s="3" t="n">
        <v>14</v>
      </c>
      <c r="Q224"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24"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24" s="3" t="inlineStr">
        <is>
          <t>—</t>
        </is>
      </c>
      <c r="T224" s="3" t="inlineStr">
        <is>
          <t>REPORTED_RETURN</t>
        </is>
      </c>
      <c r="U224" s="3" t="inlineStr">
        <is>
          <t>ACTIVE</t>
        </is>
      </c>
      <c r="V224" s="3" t="inlineStr">
        <is>
          <t>2026-09-09</t>
        </is>
      </c>
      <c r="W224" s="3" t="n"/>
      <c r="X224" s="3" t="n"/>
      <c r="Y224" s="3" t="inlineStr">
        <is>
          <t>NOTHING OPEN</t>
        </is>
      </c>
    </row>
    <row r="225" ht="60" customHeight="1">
      <c r="A225" s="3" t="inlineStr">
        <is>
          <t>MK-NW-F-005</t>
        </is>
      </c>
      <c r="B225" s="3" t="inlineStr">
        <is>
          <t>accountAllowsTicker</t>
        </is>
      </c>
      <c r="C225" s="3" t="inlineStr">
        <is>
          <t>src/domain/assets/index.ts</t>
        </is>
      </c>
      <c r="D225" s="3" t="n">
        <v>194</v>
      </c>
      <c r="E225" s="3" t="inlineStr">
        <is>
          <t>2 · DISPLAYED</t>
        </is>
      </c>
      <c r="F225" s="3" t="inlineStr">
        <is>
          <t>Can this account hold individual ticker securities?</t>
        </is>
      </c>
      <c r="G225" s="11" t="inlineStr">
        <is>
          <t>false   when tax bucket = 'PROPERTY' (or tax bucket = 'CASH' when missing or zero)
false   when kind = 'college_529'
false   when kind = 'checking' (or kind = 'savings' when missing or zero)
cls = asset class of(a)
false   when cls = 'bonds' (or cls = 'alternatives' when missing or zero)
the answer = true</t>
        </is>
      </c>
      <c r="H225" s="3" t="inlineStr">
        <is>
          <t>When tax bucket = 'PROPERTY' (or tax bucket = 'CASH' — when missing or zero), it answers false. When kind = 'college_529', it answers false. When kind = 'checking' (or kind = 'savings' — when missing or zero), it answers false. Cls is asset class of(a). When cls = 'bonds' (or cls = 'alternatives' — when missing or zero), it answers false. The answer is true.</t>
        </is>
      </c>
      <c r="I225" s="3" t="inlineStr">
        <is>
          <t>READ FROM THE CODE — rendered from the expressions the function runs</t>
        </is>
      </c>
      <c r="J225" s="3" t="inlineStr">
        <is>
          <t>a: AssetAccount</t>
        </is>
      </c>
      <c r="K225" s="3" t="inlineStr">
        <is>
          <t>boolean</t>
        </is>
      </c>
      <c r="L225" s="3" t="inlineStr">
        <is>
          <t>NOT FOUND — a screen calls it, but the words printed beside its answer could not be traced automatically. Needs reading.</t>
        </is>
      </c>
      <c r="M225" s="3" t="inlineStr">
        <is>
          <t>None found in this function — anything it assumes comes from the functions it depends on.</t>
        </is>
      </c>
      <c r="N225" s="3" t="inlineStr">
        <is>
          <t>Yes</t>
        </is>
      </c>
      <c r="O225" s="3" t="inlineStr">
        <is>
          <t>1. MK-NW-F-011 assetClassOf
2. MK-CF-F-155 cash</t>
        </is>
      </c>
      <c r="P225" s="3" t="n">
        <v>11</v>
      </c>
      <c r="Q225" s="3" t="inlineStr">
        <is>
          <t>1. MK-NW-F-011 assetClassOf
2. MK-CF-F-155 cash
3. MK-NW-F-008 incomeBearingClassOf
4. MK-XS-F-122 n
5. MK-ST-F-010 nameEvidence
6. MK-XS-F-147 call
7. MK-ST-F-056 has
8. MK-CF-F-132 map
9. MK-ST-F-027 accountId
10. MK-XS-F-064 currentIdToken
11. MK-XS-F-112 relayUrl</t>
        </is>
      </c>
      <c r="R225"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25" s="3" t="inlineStr">
        <is>
          <t>—</t>
        </is>
      </c>
      <c r="T225" s="3" t="inlineStr">
        <is>
          <t>CAN_HOLD_TICKERS</t>
        </is>
      </c>
      <c r="U225" s="3" t="inlineStr">
        <is>
          <t>ACTIVE</t>
        </is>
      </c>
      <c r="V225" s="3" t="inlineStr">
        <is>
          <t>2026-08-27</t>
        </is>
      </c>
      <c r="W225" s="3" t="n"/>
      <c r="X225" s="3" t="n"/>
      <c r="Y225" s="3" t="inlineStr">
        <is>
          <t>NOTHING OPEN</t>
        </is>
      </c>
    </row>
    <row r="226" ht="60" customHeight="1">
      <c r="A226" s="3" t="inlineStr">
        <is>
          <t>MK-NW-F-006</t>
        </is>
      </c>
      <c r="B226" s="3" t="inlineStr">
        <is>
          <t>isCashKind</t>
        </is>
      </c>
      <c r="C226" s="3" t="inlineStr">
        <is>
          <t>src/domain/assets/index.ts</t>
        </is>
      </c>
      <c r="D226" s="3" t="n">
        <v>261</v>
      </c>
      <c r="E226" s="3" t="inlineStr">
        <is>
          <t>1 · ACTION</t>
        </is>
      </c>
      <c r="F226" s="3" t="inlineStr">
        <is>
          <t>Does this account type sit under the Cash heading on screen?</t>
        </is>
      </c>
      <c r="G226" s="11" t="inlineStr">
        <is>
          <t>asset kind(kind).bucket = 'CASH'</t>
        </is>
      </c>
      <c r="H226" s="3" t="inlineStr">
        <is>
          <t>asset kind(kind).bucket = 'CASH'</t>
        </is>
      </c>
      <c r="I226" s="3" t="inlineStr">
        <is>
          <t>PARTLY READ — some of the code is still showing through; needs a hand pass</t>
        </is>
      </c>
      <c r="J226" s="3" t="inlineStr">
        <is>
          <t>kind?: string</t>
        </is>
      </c>
      <c r="K226" s="3" t="inlineStr">
        <is>
          <t>NOT DECLARED — the code does not say what it gives back</t>
        </is>
      </c>
      <c r="L226" s="3" t="inlineStr">
        <is>
          <t>—</t>
        </is>
      </c>
      <c r="M226" s="3" t="inlineStr">
        <is>
          <t>None found in this function — anything it assumes comes from the functions it depends on.</t>
        </is>
      </c>
      <c r="N226" s="3" t="inlineStr">
        <is>
          <t>No</t>
        </is>
      </c>
      <c r="O226" s="3" t="inlineStr">
        <is>
          <t>MK-NW-F-007 assetKind</t>
        </is>
      </c>
      <c r="P226" s="3" t="n">
        <v>12</v>
      </c>
      <c r="Q226" s="3" t="inlineStr">
        <is>
          <t>1. MK-NW-F-007 assetKind
2. MK-NW-F-011 assetClassOf
3. MK-CF-F-155 cash
4. MK-NW-F-008 incomeBearingClassOf
5. MK-XS-F-122 n
6. MK-ST-F-010 nameEvidence
7. MK-XS-F-147 call
8. MK-ST-F-056 has
9. MK-CF-F-132 map
10. MK-ST-F-027 accountId
11. MK-XS-F-064 currentIdToken
12. MK-XS-F-112 relayUrl</t>
        </is>
      </c>
      <c r="R226"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26" s="3" t="inlineStr">
        <is>
          <t>—</t>
        </is>
      </c>
      <c r="T226" s="3" t="inlineStr">
        <is>
          <t>KIND_IS_CASH</t>
        </is>
      </c>
      <c r="U226" s="3" t="inlineStr">
        <is>
          <t>ACTIVE</t>
        </is>
      </c>
      <c r="V226" s="3" t="inlineStr">
        <is>
          <t>2026-08-27</t>
        </is>
      </c>
      <c r="W226" s="3" t="n"/>
      <c r="X226" s="3" t="n"/>
      <c r="Y226" s="3" t="inlineStr">
        <is>
          <t>NOTHING OPEN</t>
        </is>
      </c>
    </row>
    <row r="227" ht="60" customHeight="1">
      <c r="A227" s="3" t="inlineStr">
        <is>
          <t>MK-NW-F-007</t>
        </is>
      </c>
      <c r="B227" s="3" t="inlineStr">
        <is>
          <t>assetKind</t>
        </is>
      </c>
      <c r="C227" s="3" t="inlineStr">
        <is>
          <t>src/domain/assets/index.ts</t>
        </is>
      </c>
      <c r="D227" s="3" t="n">
        <v>285</v>
      </c>
      <c r="E227" s="3" t="inlineStr">
        <is>
          <t>2 · DISPLAYED</t>
        </is>
      </c>
      <c r="F227" s="3" t="inlineStr">
        <is>
          <t>What do we know about this kind of account?</t>
        </is>
      </c>
      <c r="G227" s="11" t="inlineStr">
        <is>
          <t>id = id); }</t>
        </is>
      </c>
      <c r="H227" s="3" t="inlineStr">
        <is>
          <t>id = id); }</t>
        </is>
      </c>
      <c r="I227" s="3" t="inlineStr">
        <is>
          <t>READ FROM THE CODE — rendered from the expressions the function runs</t>
        </is>
      </c>
      <c r="J227" s="3" t="inlineStr">
        <is>
          <t>id?: string</t>
        </is>
      </c>
      <c r="K227" s="3" t="inlineStr">
        <is>
          <t>NOT DECLARED — the code does not say what it gives back</t>
        </is>
      </c>
      <c r="L227" s="3" t="inlineStr">
        <is>
          <t>1. "ACCOUNTS / INVESTING" — on a card used on more than one screen (MoneySheets)
2. "Type" — on the Other investments screen
3. "Type" — on the account portfolio screen, under "IF INTEREST RATES MOVE"</t>
        </is>
      </c>
      <c r="M227" s="3" t="inlineStr">
        <is>
          <t>None found in this function — anything it assumes comes from the functions it depends on.</t>
        </is>
      </c>
      <c r="N227" s="3" t="inlineStr">
        <is>
          <t>Yes</t>
        </is>
      </c>
      <c r="O227" s="3" t="inlineStr">
        <is>
          <t>1. MK-NW-F-011 assetClassOf
2. MK-CF-F-155 cash</t>
        </is>
      </c>
      <c r="P227" s="3" t="n">
        <v>11</v>
      </c>
      <c r="Q227" s="3" t="inlineStr">
        <is>
          <t>1. MK-NW-F-011 assetClassOf
2. MK-CF-F-155 cash
3. MK-NW-F-008 incomeBearingClassOf
4. MK-XS-F-122 n
5. MK-ST-F-010 nameEvidence
6. MK-XS-F-147 call
7. MK-ST-F-056 has
8. MK-CF-F-132 map
9. MK-ST-F-027 accountId
10. MK-XS-F-064 currentIdToken
11. MK-XS-F-112 relayUrl</t>
        </is>
      </c>
      <c r="R227"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27" s="3" t="inlineStr">
        <is>
          <t>—</t>
        </is>
      </c>
      <c r="T227" s="3" t="inlineStr">
        <is>
          <t>ACCOUNT_TYPE_FACTS</t>
        </is>
      </c>
      <c r="U227" s="3" t="inlineStr">
        <is>
          <t>ACTIVE</t>
        </is>
      </c>
      <c r="V227" s="3" t="inlineStr">
        <is>
          <t>2026-08-27</t>
        </is>
      </c>
      <c r="W227" s="3" t="n"/>
      <c r="X227" s="3" t="n"/>
      <c r="Y227" s="3" t="inlineStr">
        <is>
          <t>NOTHING OPEN</t>
        </is>
      </c>
    </row>
    <row r="228" ht="60" customHeight="1">
      <c r="A228" s="3" t="inlineStr">
        <is>
          <t>MK-NW-F-008</t>
        </is>
      </c>
      <c r="B228" s="3" t="inlineStr">
        <is>
          <t>incomeBearingClassOf</t>
        </is>
      </c>
      <c r="C228" s="3" t="inlineStr">
        <is>
          <t>src/domain/assets/index.ts</t>
        </is>
      </c>
      <c r="D228" s="3" t="n">
        <v>340</v>
      </c>
      <c r="E228" s="3" t="inlineStr">
        <is>
          <t>3 · DEPENDENT</t>
        </is>
      </c>
      <c r="F228" s="3" t="inlineStr">
        <is>
          <t>FOUNDER RULE 2026-08-04 (supersedes the money-market=cash rule and the 12-month CD split): CASH means cash only — a sweep/settlement balance.</t>
        </is>
      </c>
      <c r="G228" s="11" t="inlineStr">
        <is>
          <t>name evidence(label)</t>
        </is>
      </c>
      <c r="H228" s="3" t="inlineStr">
        <is>
          <t>name evidence(label).</t>
        </is>
      </c>
      <c r="I228" s="3" t="inlineStr">
        <is>
          <t>READ FROM THE CODE — rendered from the expressions the function runs</t>
        </is>
      </c>
      <c r="J228" s="3" t="inlineStr">
        <is>
          <t>label?: string</t>
        </is>
      </c>
      <c r="K228" s="3" t="inlineStr">
        <is>
          <t>AssetClass | null</t>
        </is>
      </c>
      <c r="L228" s="3" t="inlineStr">
        <is>
          <t>—</t>
        </is>
      </c>
      <c r="M228" s="3" t="inlineStr">
        <is>
          <t>None found in this function — anything it assumes comes from the functions it depends on.</t>
        </is>
      </c>
      <c r="N228" s="3" t="inlineStr">
        <is>
          <t>Yes</t>
        </is>
      </c>
      <c r="O228" s="3" t="inlineStr">
        <is>
          <t>1. MK-CF-F-155 cash
2. MK-ST-F-010 nameEvidence</t>
        </is>
      </c>
      <c r="P228" s="3" t="n">
        <v>9</v>
      </c>
      <c r="Q228" s="3" t="inlineStr">
        <is>
          <t>1. MK-CF-F-155 cash
2. MK-ST-F-010 nameEvidence
3. MK-XS-F-122 n
4. MK-XS-F-147 call
5. MK-ST-F-056 has
6. MK-CF-F-132 map
7. MK-ST-F-027 accountId
8. MK-XS-F-064 currentIdToken
9. MK-XS-F-112 relayUrl</t>
        </is>
      </c>
      <c r="R228"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28" s="3" t="inlineStr">
        <is>
          <t>—</t>
        </is>
      </c>
      <c r="T228" s="3" t="inlineStr">
        <is>
          <t>CLASS_FROM_NAME_TEXT</t>
        </is>
      </c>
      <c r="U228" s="3" t="inlineStr">
        <is>
          <t>ACTIVE</t>
        </is>
      </c>
      <c r="V228" s="3" t="inlineStr">
        <is>
          <t>2026-08-27</t>
        </is>
      </c>
      <c r="W228" s="3" t="n"/>
      <c r="X228" s="3" t="n"/>
      <c r="Y228" s="3" t="inlineStr">
        <is>
          <t>NOTHING OPEN</t>
        </is>
      </c>
    </row>
    <row r="229" ht="60" customHeight="1">
      <c r="A229" s="3" t="inlineStr">
        <is>
          <t>MK-NW-F-009</t>
        </is>
      </c>
      <c r="B229" s="3" t="inlineStr">
        <is>
          <t>maturityClass</t>
        </is>
      </c>
      <c r="C229" s="3" t="inlineStr">
        <is>
          <t>src/domain/assets/index.ts</t>
        </is>
      </c>
      <c r="D229" s="3" t="n">
        <v>375</v>
      </c>
      <c r="E229" s="3" t="inlineStr">
        <is>
          <t>2 · DISPLAYED</t>
        </is>
      </c>
      <c r="F229" s="3" t="inlineStr">
        <is>
          <t>FOUNDER RULE 2026-08-04 (supersedes build-34 #8's 12-month split): ANY maturity-dated instrument is a BOND — it pays interest, so it must sit in the measured bucket regardless of how soon it matures.</t>
        </is>
      </c>
      <c r="G229" s="11" t="inlineStr">
        <is>
          <t>'bonds'   if maturity date and string(maturity date).trim()
'cash'   otherwise</t>
        </is>
      </c>
      <c r="H229" s="3" t="inlineStr">
        <is>
          <t>'bonds' — when maturity date and string(maturity date).trim(); 'cash' — otherwise.</t>
        </is>
      </c>
      <c r="I229" s="3" t="inlineStr">
        <is>
          <t>PARTLY READ — some of the code is still showing through; needs a hand pass</t>
        </is>
      </c>
      <c r="J229" s="3" t="inlineStr">
        <is>
          <t>maturityDate?: string | null</t>
        </is>
      </c>
      <c r="K229" s="3" t="inlineStr">
        <is>
          <t>'cash' | 'bonds'</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t>
        </is>
      </c>
      <c r="P229" s="3" t="n">
        <v>0</v>
      </c>
      <c r="Q229" s="3" t="inlineStr">
        <is>
          <t>None — no dependent function stands behind it</t>
        </is>
      </c>
      <c r="R229" s="3" t="inlineStr">
        <is>
          <t>No dependent function — it reads its inputs and answers</t>
        </is>
      </c>
      <c r="S229" s="3" t="inlineStr">
        <is>
          <t>—</t>
        </is>
      </c>
      <c r="T229" s="3" t="inlineStr">
        <is>
          <t>MATURITY_MEANS_BOND</t>
        </is>
      </c>
      <c r="U229" s="3" t="inlineStr">
        <is>
          <t>ACTIVE</t>
        </is>
      </c>
      <c r="V229" s="3" t="inlineStr">
        <is>
          <t>2026-08-27</t>
        </is>
      </c>
      <c r="W229" s="3" t="n"/>
      <c r="X229" s="3" t="n"/>
      <c r="Y229" s="3" t="inlineStr">
        <is>
          <t>NOTHING OPEN</t>
        </is>
      </c>
    </row>
    <row r="230" ht="60" customHeight="1">
      <c r="A230" s="3" t="inlineStr">
        <is>
          <t>MK-NW-F-010</t>
        </is>
      </c>
      <c r="B230" s="3" t="inlineStr">
        <is>
          <t>wrapperAccount</t>
        </is>
      </c>
      <c r="C230" s="3" t="inlineStr">
        <is>
          <t>src/domain/assets/index.ts</t>
        </is>
      </c>
      <c r="D230" s="3" t="n">
        <v>404</v>
      </c>
      <c r="E230" s="3" t="inlineStr">
        <is>
          <t>2 · DISPLAYED</t>
        </is>
      </c>
      <c r="F230" s="3" t="inlineStr">
        <is>
          <t>The person picked how this account is taxed — what does that make it?</t>
        </is>
      </c>
      <c r="G230" s="11" t="inlineStr">
        <is>
          <t>401k → kind '401k', bucket PRE_TAX
trad_ira → 'trad_ira', PRE_TAX
roth → 'roth_ira', ROTH
hsa → 'hsa', PRE_TAX
anything else → 'brokerage', TAXABLE</t>
        </is>
      </c>
      <c r="H230" s="3" t="inlineStr">
        <is>
          <t>The account kind and tax bucket for the wrapper a person picked when adding an account — a 401(k), traditional IRA and HSA are pre-tax, a Roth is tax-free, anything else (or nothing) is a taxable brokerage. No arithmetic.</t>
        </is>
      </c>
      <c r="I230" s="3" t="inlineStr">
        <is>
          <t>READ BY HAND 2026-08-26 — checked line by line against the code</t>
        </is>
      </c>
      <c r="J230" s="3" t="inlineStr">
        <is>
          <t>w?: AddWrapper | null</t>
        </is>
      </c>
      <c r="K230" s="3" t="inlineStr">
        <is>
          <t>NOT DECLARED — the code does not say what it gives back</t>
        </is>
      </c>
      <c r="L230" s="3" t="inlineStr">
        <is>
          <t>NOT FOUND — a screen calls it, but the words printed beside its answer could not be traced automatically. Needs reading.</t>
        </is>
      </c>
      <c r="M230" s="3" t="inlineStr">
        <is>
          <t>None found in this function — anything it assumes comes from the functions it depends on.</t>
        </is>
      </c>
      <c r="N230" s="3" t="inlineStr">
        <is>
          <t>Yes</t>
        </is>
      </c>
      <c r="O230" s="3" t="inlineStr">
        <is>
          <t>MK-CF-F-155 cash</t>
        </is>
      </c>
      <c r="P230" s="3" t="n">
        <v>2</v>
      </c>
      <c r="Q230" s="3" t="inlineStr">
        <is>
          <t>1. MK-CF-F-155 cash
2. MK-XS-F-122 n</t>
        </is>
      </c>
      <c r="R230" s="3" t="inlineStr">
        <is>
          <t>MK-XS-F-122 n → MK-CF-F-155 cash → MK-NW-F-010 wrapperAccount</t>
        </is>
      </c>
      <c r="S230" s="3" t="inlineStr">
        <is>
          <t>—</t>
        </is>
      </c>
      <c r="T230" s="3" t="inlineStr">
        <is>
          <t>TAX_TYPE_TO_ACCOUNT</t>
        </is>
      </c>
      <c r="U230" s="3" t="inlineStr">
        <is>
          <t>ACTIVE</t>
        </is>
      </c>
      <c r="V230" s="3" t="inlineStr">
        <is>
          <t>2026-09-12</t>
        </is>
      </c>
      <c r="W230" s="3" t="n"/>
      <c r="X230" s="3" t="n"/>
      <c r="Y230" s="3" t="inlineStr">
        <is>
          <t>NOTHING OPEN</t>
        </is>
      </c>
    </row>
    <row r="231" ht="60" customHeight="1">
      <c r="A231" s="3" t="inlineStr">
        <is>
          <t>MK-NW-F-011</t>
        </is>
      </c>
      <c r="B231" s="3" t="inlineStr">
        <is>
          <t>assetClassOf</t>
        </is>
      </c>
      <c r="C231" s="3" t="inlineStr">
        <is>
          <t>src/domain/assets/index.ts</t>
        </is>
      </c>
      <c r="D231" s="3" t="n">
        <v>466</v>
      </c>
      <c r="E231" s="3" t="inlineStr">
        <is>
          <t>2 · DISPLAYED</t>
        </is>
      </c>
      <c r="F231" s="3" t="inlineStr">
        <is>
          <t>WHAT the account is (asset class).</t>
        </is>
      </c>
      <c r="G231" s="11" t="inlineStr">
        <is>
          <t>asset class   when asset class
by label = income bearing class of(label)
by label   when by label
'bonds'   when maturity date
by kind = KIND_TO_CLASS[kind]   if kind
undefined   otherwise
by kind   when by kind
'stocks_etf'   when count of positions and positions
'cash'   when tax bucket = 'CASH'
'real_estate'   when tax bucket = 'PROPERTY'
the answer = 'mixed'</t>
        </is>
      </c>
      <c r="H231" s="3" t="inlineStr">
        <is>
          <t>When asset class, it answers asset class. By label is income bearing class of(label). When by label, it answers by label. When maturity date, it answers 'bonds'. By kind is KIND_TO_CLASS[kind] — when kind; undefined — otherwise. When by kind, it answers by kind. When how many positions and positions there are, it answers 'stocks_etf'. When tax bucket = 'CASH', it answers 'cash'. When tax bucket = 'PROPERTY', it answers 'real_estate'. The answer is 'mixed'.</t>
        </is>
      </c>
      <c r="I231" s="3" t="inlineStr">
        <is>
          <t>PARTLY READ — some of the code is still showing through; needs a hand pass</t>
        </is>
      </c>
      <c r="J231" s="3" t="inlineStr">
        <is>
          <t>a: AssetAccount</t>
        </is>
      </c>
      <c r="K231" s="3" t="inlineStr">
        <is>
          <t>AssetClass</t>
        </is>
      </c>
      <c r="L231" s="3" t="inlineStr">
        <is>
          <t>1. "Bonds &amp; alternatives — recorded on their own pages" — on the Performance screen
2. "Nothing entered yet." — on the Net worth screen, under "DEBTS"</t>
        </is>
      </c>
      <c r="M231" s="3" t="inlineStr">
        <is>
          <t>None found in this function — anything it assumes comes from the functions it depends on.</t>
        </is>
      </c>
      <c r="N231" s="3" t="inlineStr">
        <is>
          <t>Yes</t>
        </is>
      </c>
      <c r="O231" s="3" t="inlineStr">
        <is>
          <t>MK-NW-F-008 incomeBearingClassOf</t>
        </is>
      </c>
      <c r="P231" s="3" t="n">
        <v>10</v>
      </c>
      <c r="Q231" s="3" t="inlineStr">
        <is>
          <t>1. MK-NW-F-008 incomeBearingClassOf
2. MK-CF-F-155 cash
3. MK-ST-F-010 nameEvidence
4. MK-XS-F-122 n
5. MK-XS-F-147 call
6. MK-ST-F-056 has
7. MK-CF-F-132 map
8. MK-ST-F-027 accountId
9. MK-XS-F-064 currentIdToken
10. MK-XS-F-112 relayUrl</t>
        </is>
      </c>
      <c r="R231"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1" s="3" t="inlineStr">
        <is>
          <t>—</t>
        </is>
      </c>
      <c r="T231" s="3" t="inlineStr">
        <is>
          <t>ASSET_CLASS_OF_ACCOUNT</t>
        </is>
      </c>
      <c r="U231" s="3" t="inlineStr">
        <is>
          <t>ACTIVE</t>
        </is>
      </c>
      <c r="V231" s="3" t="inlineStr">
        <is>
          <t>2026-08-27</t>
        </is>
      </c>
      <c r="W231" s="3" t="n"/>
      <c r="X231" s="3" t="n"/>
      <c r="Y231" s="3" t="inlineStr">
        <is>
          <t>NOTHING OPEN</t>
        </is>
      </c>
    </row>
    <row r="232" ht="60" customHeight="1">
      <c r="A232" s="3" t="inlineStr">
        <is>
          <t>MK-NW-F-012</t>
        </is>
      </c>
      <c r="B232" s="3" t="inlineStr">
        <is>
          <t>taxTreatmentOf</t>
        </is>
      </c>
      <c r="C232" s="3" t="inlineStr">
        <is>
          <t>src/domain/assets/index.ts</t>
        </is>
      </c>
      <c r="D232" s="3" t="n">
        <v>507</v>
      </c>
      <c r="E232" s="3" t="inlineStr">
        <is>
          <t>2 · DISPLAYED</t>
        </is>
      </c>
      <c r="F232" s="3" t="inlineStr">
        <is>
          <t>HOW the account is taxed (wrapper).</t>
        </is>
      </c>
      <c r="G232" s="11" t="inlineStr">
        <is>
          <t>tax treatment   when tax treatment
'tax_deferred'   when tax bucket = 'PRE_TAX'
'tax_free'   when tax bucket = 'ROTH'
'taxable'</t>
        </is>
      </c>
      <c r="H232" s="3" t="inlineStr">
        <is>
          <t>When tax treatment, it answers tax treatment. When tax bucket = 'PRE_TAX', it answers 'tax_deferred'. When tax bucket = 'ROTH', it answers 'tax_free'. 'taxable'.</t>
        </is>
      </c>
      <c r="I232" s="3" t="inlineStr">
        <is>
          <t>READ FROM THE CODE — rendered from the expressions the function runs</t>
        </is>
      </c>
      <c r="J232" s="3" t="inlineStr">
        <is>
          <t>a: AssetAccount</t>
        </is>
      </c>
      <c r="K232" s="3" t="inlineStr">
        <is>
          <t>TaxTreatment</t>
        </is>
      </c>
      <c r="L232" s="3" t="inlineStr">
        <is>
          <t>NOT FOUND — a screen calls it, but the words printed beside its answer could not be traced automatically. Needs reading.</t>
        </is>
      </c>
      <c r="M232" s="3" t="inlineStr">
        <is>
          <t>None found in this function — anything it assumes comes from the functions it depends on.</t>
        </is>
      </c>
      <c r="N232" s="3" t="inlineStr">
        <is>
          <t>Yes</t>
        </is>
      </c>
      <c r="O232" s="3" t="inlineStr">
        <is>
          <t>—</t>
        </is>
      </c>
      <c r="P232" s="3" t="n">
        <v>0</v>
      </c>
      <c r="Q232" s="3" t="inlineStr">
        <is>
          <t>None — no dependent function stands behind it</t>
        </is>
      </c>
      <c r="R232" s="3" t="inlineStr">
        <is>
          <t>No dependent function — it reads its inputs and answers</t>
        </is>
      </c>
      <c r="S232" s="3" t="inlineStr">
        <is>
          <t>—</t>
        </is>
      </c>
      <c r="T232" s="3" t="inlineStr">
        <is>
          <t>TAX_TREATMENT</t>
        </is>
      </c>
      <c r="U232" s="3" t="inlineStr">
        <is>
          <t>ACTIVE</t>
        </is>
      </c>
      <c r="V232" s="3" t="inlineStr">
        <is>
          <t>2026-08-27</t>
        </is>
      </c>
      <c r="W232" s="3" t="n"/>
      <c r="X232" s="3" t="n"/>
      <c r="Y232" s="3" t="inlineStr">
        <is>
          <t>NOTHING OPEN</t>
        </is>
      </c>
    </row>
    <row r="233" ht="45" customHeight="1">
      <c r="A233" s="3" t="inlineStr">
        <is>
          <t>MK-NW-F-013</t>
        </is>
      </c>
      <c r="B233" s="3" t="inlineStr">
        <is>
          <t>realEstateUseOf</t>
        </is>
      </c>
      <c r="C233" s="3" t="inlineStr">
        <is>
          <t>src/domain/assets/index.ts</t>
        </is>
      </c>
      <c r="D233" s="3" t="n">
        <v>543</v>
      </c>
      <c r="E233" s="3" t="inlineStr">
        <is>
          <t>3 · DEPENDENT</t>
        </is>
      </c>
      <c r="F233" s="3" t="inlineStr">
        <is>
          <t>Real-estate use (primary/rental/secondary/land); only meaningful when assetClassOf === 'real_estate'.</t>
        </is>
      </c>
      <c r="G233" s="11" t="inlineStr">
        <is>
          <t>re use (or 'primary' when missing)</t>
        </is>
      </c>
      <c r="H233" s="3" t="inlineStr">
        <is>
          <t>re use (or 'primary' — when missing).</t>
        </is>
      </c>
      <c r="I233" s="3" t="inlineStr">
        <is>
          <t>READ FROM THE CODE — rendered from the expressions the function runs</t>
        </is>
      </c>
      <c r="J233" s="3" t="inlineStr">
        <is>
          <t>a: AssetAccount</t>
        </is>
      </c>
      <c r="K233" s="3" t="inlineStr">
        <is>
          <t>RealEstateUse</t>
        </is>
      </c>
      <c r="L233" s="3" t="inlineStr">
        <is>
          <t>—</t>
        </is>
      </c>
      <c r="M233" s="3" t="inlineStr">
        <is>
          <t>None found in this function — anything it assumes comes from the functions it depends on.</t>
        </is>
      </c>
      <c r="N233" s="3" t="inlineStr">
        <is>
          <t>Yes</t>
        </is>
      </c>
      <c r="O233" s="3" t="inlineStr">
        <is>
          <t>—</t>
        </is>
      </c>
      <c r="P233" s="3" t="n">
        <v>0</v>
      </c>
      <c r="Q233" s="3" t="inlineStr">
        <is>
          <t>None — no dependent function stands behind it</t>
        </is>
      </c>
      <c r="R233" s="3" t="inlineStr">
        <is>
          <t>No dependent function — it reads its inputs and answers</t>
        </is>
      </c>
      <c r="S233" s="3" t="inlineStr">
        <is>
          <t>—</t>
        </is>
      </c>
      <c r="T233" s="3" t="inlineStr">
        <is>
          <t>HOW_A_HOME_IS_USED</t>
        </is>
      </c>
      <c r="U233" s="3" t="inlineStr">
        <is>
          <t>ACTIVE</t>
        </is>
      </c>
      <c r="V233" s="3" t="inlineStr">
        <is>
          <t>2026-08-27</t>
        </is>
      </c>
      <c r="W233" s="3" t="n"/>
      <c r="X233" s="3" t="n"/>
      <c r="Y233" s="3" t="inlineStr">
        <is>
          <t>NOTHING OPEN</t>
        </is>
      </c>
    </row>
    <row r="234" ht="60" customHeight="1">
      <c r="A234" s="3" t="inlineStr">
        <is>
          <t>MK-NW-F-014</t>
        </is>
      </c>
      <c r="B234" s="3" t="inlineStr">
        <is>
          <t>isRealAsset</t>
        </is>
      </c>
      <c r="C234" s="3" t="inlineStr">
        <is>
          <t>src/domain/assets/index.ts</t>
        </is>
      </c>
      <c r="D234" s="3" t="n">
        <v>570</v>
      </c>
      <c r="E234" s="3" t="inlineStr">
        <is>
          <t>3 · DEPENDENT</t>
        </is>
      </c>
      <c r="F234" s="3" t="inlineStr">
        <is>
          <t>True when the asset is a real/physical asset (real estate or personal property) — excluded from investable assets and the nest egg (Term #4/#7).</t>
        </is>
      </c>
      <c r="G234" s="11" t="inlineStr">
        <is>
          <t>c = asset class of(a)
the answer = c = 'real_estate' (or c = 'personal_property' when missing or zero)</t>
        </is>
      </c>
      <c r="H234" s="3" t="inlineStr">
        <is>
          <t>C is asset class of(a). The answer is c = 'real_estate' (or c = 'personal_property' — when missing or zero).</t>
        </is>
      </c>
      <c r="I234" s="3" t="inlineStr">
        <is>
          <t>READ FROM THE CODE — rendered from the expressions the function runs</t>
        </is>
      </c>
      <c r="J234" s="3" t="inlineStr">
        <is>
          <t>a: AssetAccount</t>
        </is>
      </c>
      <c r="K234" s="3" t="inlineStr">
        <is>
          <t>boolean</t>
        </is>
      </c>
      <c r="L234" s="3" t="inlineStr">
        <is>
          <t>—</t>
        </is>
      </c>
      <c r="M234" s="3" t="inlineStr">
        <is>
          <t>None found in this function — anything it assumes comes from the functions it depends on.</t>
        </is>
      </c>
      <c r="N234" s="3" t="inlineStr">
        <is>
          <t>Yes</t>
        </is>
      </c>
      <c r="O234" s="3" t="inlineStr">
        <is>
          <t>MK-NW-F-011 assetClassOf</t>
        </is>
      </c>
      <c r="P234" s="3" t="n">
        <v>11</v>
      </c>
      <c r="Q234" s="3" t="inlineStr">
        <is>
          <t>1. MK-NW-F-011 assetClassOf
2. MK-NW-F-008 incomeBearingClassOf
3. MK-CF-F-155 cash
4. MK-ST-F-010 nameEvidence
5. MK-XS-F-122 n
6. MK-XS-F-147 call
7. MK-ST-F-056 has
8. MK-CF-F-132 map
9. MK-ST-F-027 accountId
10. MK-XS-F-064 currentIdToken
11. MK-XS-F-112 relayUrl</t>
        </is>
      </c>
      <c r="R234"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34" s="3" t="inlineStr">
        <is>
          <t>—</t>
        </is>
      </c>
      <c r="T234" s="3" t="inlineStr">
        <is>
          <t>IS_PHYSICAL_ASSET</t>
        </is>
      </c>
      <c r="U234" s="3" t="inlineStr">
        <is>
          <t>ACTIVE</t>
        </is>
      </c>
      <c r="V234" s="3" t="inlineStr">
        <is>
          <t>2026-08-27</t>
        </is>
      </c>
      <c r="W234" s="3" t="n"/>
      <c r="X234" s="3" t="n"/>
      <c r="Y234" s="3" t="inlineStr">
        <is>
          <t>NOTHING OPEN</t>
        </is>
      </c>
    </row>
    <row r="235" ht="60" customHeight="1">
      <c r="A235" s="3" t="inlineStr">
        <is>
          <t>MK-NW-F-015</t>
        </is>
      </c>
      <c r="B235" s="3" t="inlineStr">
        <is>
          <t>totalAssets</t>
        </is>
      </c>
      <c r="C235" s="3" t="inlineStr">
        <is>
          <t>src/domain/assets/index.ts</t>
        </is>
      </c>
      <c r="D235" s="3" t="n">
        <v>633</v>
      </c>
      <c r="E235" s="3" t="inlineStr">
        <is>
          <t>3 · DEPENDENT</t>
        </is>
      </c>
      <c r="F235" s="3" t="inlineStr">
        <is>
          <t>NOT DETERMINED — the code carries no note saying what this is for, and it has no row in the old inventory. Needs reading.</t>
        </is>
      </c>
      <c r="G235" s="11" t="inlineStr">
        <is>
          <t>Σ over accounts (or none when missing) of (balance (or 0 when missing or zero))</t>
        </is>
      </c>
      <c r="H235" s="3" t="inlineStr">
        <is>
          <t>the balance (or 0 — when missing or zero) added up across accounts (or none — when missing).</t>
        </is>
      </c>
      <c r="I235" s="3" t="inlineStr">
        <is>
          <t>READ FROM THE CODE — rendered from the expressions the function runs</t>
        </is>
      </c>
      <c r="J235" s="3" t="inlineStr">
        <is>
          <t>accounts: AssetAccount[]</t>
        </is>
      </c>
      <c r="K235" s="3" t="inlineStr">
        <is>
          <t>number</t>
        </is>
      </c>
      <c r="L235" s="3" t="inlineStr">
        <is>
          <t>—</t>
        </is>
      </c>
      <c r="M235" s="3" t="inlineStr">
        <is>
          <t>· If balance is missing it counts as zero, so nothing recorded and a real zero look the same.</t>
        </is>
      </c>
      <c r="N235" s="3" t="inlineStr">
        <is>
          <t>Yes</t>
        </is>
      </c>
      <c r="O235" s="3" t="inlineStr">
        <is>
          <t>—</t>
        </is>
      </c>
      <c r="P235" s="3" t="n">
        <v>0</v>
      </c>
      <c r="Q235" s="3" t="inlineStr">
        <is>
          <t>None — no dependent function stands behind it</t>
        </is>
      </c>
      <c r="R235" s="3" t="inlineStr">
        <is>
          <t>No dependent function — it reads its inputs and answers</t>
        </is>
      </c>
      <c r="S235" s="3" t="inlineStr">
        <is>
          <t>—</t>
        </is>
      </c>
      <c r="T235" s="3" t="inlineStr">
        <is>
          <t>—</t>
        </is>
      </c>
      <c r="U235" s="3" t="inlineStr">
        <is>
          <t>ACTIVE</t>
        </is>
      </c>
      <c r="V235" s="3" t="inlineStr">
        <is>
          <t>2026-09-09</t>
        </is>
      </c>
      <c r="W235" s="3" t="n"/>
      <c r="X235" s="3" t="n"/>
      <c r="Y235" s="3" t="inlineStr">
        <is>
          <t>NOTHING OPEN</t>
        </is>
      </c>
    </row>
    <row r="236" ht="60" customHeight="1">
      <c r="A236" s="3" t="inlineStr">
        <is>
          <t>MK-NW-F-016</t>
        </is>
      </c>
      <c r="B236" s="3" t="inlineStr">
        <is>
          <t>cashTotal</t>
        </is>
      </c>
      <c r="C236" s="3" t="inlineStr">
        <is>
          <t>src/domain/assets/index.ts</t>
        </is>
      </c>
      <c r="D236" s="3" t="n">
        <v>665</v>
      </c>
      <c r="E236" s="3" t="inlineStr">
        <is>
          <t>2 · DISPLAYED</t>
        </is>
      </c>
      <c r="F236" s="3" t="inlineStr">
        <is>
          <t>Cash &amp; cash equivalents (Term #3) — THE cash number, and the same one the Net Worth CASH group shows.</t>
        </is>
      </c>
      <c r="G236" s="11" t="inlineStr">
        <is>
          <t>b = account class breakdown(a)
the answer = t + (b ? cash : asset class of(a) = 'cash' ? (balance or 0) : 0)</t>
        </is>
      </c>
      <c r="H236" s="3" t="inlineStr">
        <is>
          <t>B is account class breakdown(a). The answer is t plus (b ? cash : asset class of(a) = 'cash' ? (balance or 0) : 0).</t>
        </is>
      </c>
      <c r="I236" s="3" t="inlineStr">
        <is>
          <t>READ FROM THE CODE — rendered from the expressions the function runs</t>
        </is>
      </c>
      <c r="J236" s="3" t="inlineStr">
        <is>
          <t>accounts: AssetAccount[]</t>
        </is>
      </c>
      <c r="K236" s="3" t="inlineStr">
        <is>
          <t>number</t>
        </is>
      </c>
      <c r="L236" s="3" t="inlineStr">
        <is>
          <t>"Cash on hand now" — on the Bill calendar screen</t>
        </is>
      </c>
      <c r="M236" s="3" t="inlineStr">
        <is>
          <t>· If balance is missing it counts as zero, so nothing recorded and a real zero look the same.</t>
        </is>
      </c>
      <c r="N236" s="3" t="inlineStr">
        <is>
          <t>Yes</t>
        </is>
      </c>
      <c r="O236" s="3" t="inlineStr">
        <is>
          <t>1. MK-NW-F-027 accountClassBreakdown
2. MK-NW-F-011 assetClassOf</t>
        </is>
      </c>
      <c r="P236" s="3" t="n">
        <v>12</v>
      </c>
      <c r="Q236"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36"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MK-NW-F-008 incomeBearingClassOf → MK-NW-F-027 accountClassBreakdown → MK-NW-F-016 cashTotal
7. MK-ST-F-027 accountId → MK-XS-F-147 call → MK-ST-F-010 nameEvidence → MK-NW-F-008 incomeBearingClassOf → MK-NW-F-027 accountClassBreakdown → MK-NW-F-016 cashTotal
8. MK-XS-F-064 currentIdToken → MK-XS-F-147 call → MK-ST-F-010 nameEvidence → MK-NW-F-008 incomeBearingClassOf → MK-NW-F-027 accountClassBreakdown → MK-NW-F-016 cashTotal
9. … and 4 more paths</t>
        </is>
      </c>
      <c r="S236" s="3" t="inlineStr">
        <is>
          <t>MK-NW-M-014</t>
        </is>
      </c>
      <c r="T236" s="3" t="inlineStr">
        <is>
          <t>TOTAL_CASH</t>
        </is>
      </c>
      <c r="U236" s="3" t="inlineStr">
        <is>
          <t>ACTIVE</t>
        </is>
      </c>
      <c r="V236" s="3" t="inlineStr">
        <is>
          <t>2026-08-27</t>
        </is>
      </c>
      <c r="W236" s="3" t="n"/>
      <c r="X236" s="3" t="n"/>
      <c r="Y236" s="3" t="inlineStr">
        <is>
          <t>NOTHING OPEN</t>
        </is>
      </c>
    </row>
    <row r="237" ht="60" customHeight="1">
      <c r="A237" s="3" t="inlineStr">
        <is>
          <t>MK-NW-F-017</t>
        </is>
      </c>
      <c r="B237" s="3" t="inlineStr">
        <is>
          <t>equitiesTotal</t>
        </is>
      </c>
      <c r="C237" s="3" t="inlineStr">
        <is>
          <t>src/domain/assets/index.ts</t>
        </is>
      </c>
      <c r="D237" s="3" t="n">
        <v>686</v>
      </c>
      <c r="E237" s="3" t="inlineStr">
        <is>
          <t>3 · DEPENDENT (feeds an action only)</t>
        </is>
      </c>
      <c r="F237" s="3" t="inlineStr">
        <is>
          <t>NOT DETERMINED — the code carries no note saying what this is for, and it has no row in the old inventory. Needs reading.</t>
        </is>
      </c>
      <c r="G237" s="11" t="inlineStr">
        <is>
          <t>sum where(accounts, (a) =&gt; asset class of(a) = 'stocks_etf')</t>
        </is>
      </c>
      <c r="H237" s="3" t="inlineStr">
        <is>
          <t>sum where(accounts, (a) =&gt; asset class of(a) = 'stocks_etf').</t>
        </is>
      </c>
      <c r="I237" s="3" t="inlineStr">
        <is>
          <t>PARTLY READ — some of the code is still showing through; needs a hand pass</t>
        </is>
      </c>
      <c r="J237" s="3" t="inlineStr">
        <is>
          <t>accounts: AssetAccount[]</t>
        </is>
      </c>
      <c r="K237" s="3" t="inlineStr">
        <is>
          <t>number</t>
        </is>
      </c>
      <c r="L237" s="3" t="inlineStr">
        <is>
          <t>—</t>
        </is>
      </c>
      <c r="M237" s="3" t="inlineStr">
        <is>
          <t>None found in this function — anything it assumes comes from the functions it depends on.</t>
        </is>
      </c>
      <c r="N237" s="3" t="inlineStr">
        <is>
          <t>No</t>
        </is>
      </c>
      <c r="O237" s="3" t="inlineStr">
        <is>
          <t>1. MK-NW-F-011 assetClassOf
2. MK-NW-F-066 sumWhere</t>
        </is>
      </c>
      <c r="P237" s="3" t="n">
        <v>12</v>
      </c>
      <c r="Q237" s="3" t="inlineStr">
        <is>
          <t>1. MK-NW-F-011 assetClassOf
2. MK-NW-F-066 sumWhere
3. MK-NW-F-008 incomeBearingClassOf
4. MK-CF-F-155 cash
5. MK-ST-F-010 nameEvidence
6. MK-XS-F-122 n
7. MK-XS-F-147 call
8. MK-ST-F-056 has
9. MK-CF-F-132 map
10. MK-ST-F-027 accountId
11. MK-XS-F-064 currentIdToken
12. MK-XS-F-112 relayUrl</t>
        </is>
      </c>
      <c r="R237" s="3" t="inlineStr">
        <is>
          <t>1. MK-XS-F-122 n → MK-CF-F-155 cash → MK-NW-F-008 incomeBearingClassOf → MK-NW-F-011 assetClassOf → MK-NW-F-017 equitiesTotal
2. MK-ST-F-027 accountId → MK-XS-F-147 call → MK-ST-F-010 nameEvidence → MK-NW-F-008 incomeBearingClassOf → MK-NW-F-011 assetClassOf → MK-NW-F-017 equitiesTotal
3. MK-XS-F-064 currentIdToken → MK-XS-F-147 call → MK-ST-F-010 nameEvidence → MK-NW-F-008 incomeBearingClassOf → MK-NW-F-011 assetClassOf → MK-NW-F-017 equitiesTotal
4. MK-XS-F-112 relayUrl → MK-XS-F-147 call → MK-ST-F-010 nameEvidence → MK-NW-F-008 incomeBearingClassOf → MK-NW-F-011 assetClassOf → MK-NW-F-017 equitiesTotal
5. MK-ST-F-056 has → MK-ST-F-010 nameEvidence → MK-NW-F-008 incomeBearingClassOf → MK-NW-F-011 assetClassOf → MK-NW-F-017 equitiesTotal
6. MK-CF-F-132 map → MK-ST-F-010 nameEvidence → MK-NW-F-008 incomeBearingClassOf → MK-NW-F-011 assetClassOf → MK-NW-F-017 equitiesTotal
7. MK-NW-F-066 sumWhere → MK-NW-F-017 equitiesTotal</t>
        </is>
      </c>
      <c r="S237" s="3" t="inlineStr">
        <is>
          <t>—</t>
        </is>
      </c>
      <c r="T237" s="3" t="inlineStr">
        <is>
          <t>—</t>
        </is>
      </c>
      <c r="U237" s="3" t="inlineStr">
        <is>
          <t>ACTIVE</t>
        </is>
      </c>
      <c r="V237" s="3" t="inlineStr">
        <is>
          <t>2026-08-27</t>
        </is>
      </c>
      <c r="W237" s="3" t="n"/>
      <c r="X237" s="3" t="n"/>
      <c r="Y237" s="3" t="inlineStr">
        <is>
          <t>NOTHING OPEN</t>
        </is>
      </c>
    </row>
    <row r="238" ht="60" customHeight="1">
      <c r="A238" s="3" t="inlineStr">
        <is>
          <t>MK-NW-F-018</t>
        </is>
      </c>
      <c r="B238" s="3" t="inlineStr">
        <is>
          <t>fixedIncomeTotal</t>
        </is>
      </c>
      <c r="C238" s="3" t="inlineStr">
        <is>
          <t>src/domain/assets/index.ts</t>
        </is>
      </c>
      <c r="D238" s="3" t="n">
        <v>704</v>
      </c>
      <c r="E238" s="3" t="inlineStr">
        <is>
          <t>3 · DEPENDENT (feeds an action only)</t>
        </is>
      </c>
      <c r="F238" s="3" t="inlineStr">
        <is>
          <t>NOT DETERMINED — the code carries no note saying what this is for, and it has no row in the old inventory. Needs reading.</t>
        </is>
      </c>
      <c r="G238" s="11" t="inlineStr">
        <is>
          <t>sum where(accounts, (a) =&gt; asset class of(a) = 'bonds')</t>
        </is>
      </c>
      <c r="H238" s="3" t="inlineStr">
        <is>
          <t>sum where(accounts, (a) =&gt; asset class of(a) = 'bonds').</t>
        </is>
      </c>
      <c r="I238" s="3" t="inlineStr">
        <is>
          <t>PARTLY READ — some of the code is still showing through; needs a hand pass</t>
        </is>
      </c>
      <c r="J238" s="3" t="inlineStr">
        <is>
          <t>accounts: AssetAccount[]</t>
        </is>
      </c>
      <c r="K238" s="3" t="inlineStr">
        <is>
          <t>number</t>
        </is>
      </c>
      <c r="L238" s="3" t="inlineStr">
        <is>
          <t>—</t>
        </is>
      </c>
      <c r="M238" s="3" t="inlineStr">
        <is>
          <t>None found in this function — anything it assumes comes from the functions it depends on.</t>
        </is>
      </c>
      <c r="N238" s="3" t="inlineStr">
        <is>
          <t>No</t>
        </is>
      </c>
      <c r="O238" s="3" t="inlineStr">
        <is>
          <t>1. MK-NW-F-011 assetClassOf
2. MK-NW-F-066 sumWhere</t>
        </is>
      </c>
      <c r="P238" s="3" t="n">
        <v>12</v>
      </c>
      <c r="Q238" s="3" t="inlineStr">
        <is>
          <t>1. MK-NW-F-011 assetClassOf
2. MK-NW-F-066 sumWhere
3. MK-NW-F-008 incomeBearingClassOf
4. MK-CF-F-155 cash
5. MK-ST-F-010 nameEvidence
6. MK-XS-F-122 n
7. MK-XS-F-147 call
8. MK-ST-F-056 has
9. MK-CF-F-132 map
10. MK-ST-F-027 accountId
11. MK-XS-F-064 currentIdToken
12. MK-XS-F-112 relayUrl</t>
        </is>
      </c>
      <c r="R238" s="3" t="inlineStr">
        <is>
          <t>1. MK-XS-F-122 n → MK-CF-F-155 cash → MK-NW-F-008 incomeBearingClassOf → MK-NW-F-011 assetClassOf → MK-NW-F-018 fixedIncomeTotal
2. MK-ST-F-027 accountId → MK-XS-F-147 call → MK-ST-F-010 nameEvidence → MK-NW-F-008 incomeBearingClassOf → MK-NW-F-011 assetClassOf → MK-NW-F-018 fixedIncomeTotal
3. MK-XS-F-064 currentIdToken → MK-XS-F-147 call → MK-ST-F-010 nameEvidence → MK-NW-F-008 incomeBearingClassOf → MK-NW-F-011 assetClassOf → MK-NW-F-018 fixedIncomeTotal
4. MK-XS-F-112 relayUrl → MK-XS-F-147 call → MK-ST-F-010 nameEvidence → MK-NW-F-008 incomeBearingClassOf → MK-NW-F-011 assetClassOf → MK-NW-F-018 fixedIncomeTotal
5. MK-ST-F-056 has → MK-ST-F-010 nameEvidence → MK-NW-F-008 incomeBearingClassOf → MK-NW-F-011 assetClassOf → MK-NW-F-018 fixedIncomeTotal
6. MK-CF-F-132 map → MK-ST-F-010 nameEvidence → MK-NW-F-008 incomeBearingClassOf → MK-NW-F-011 assetClassOf → MK-NW-F-018 fixedIncomeTotal
7. MK-NW-F-066 sumWhere → MK-NW-F-018 fixedIncomeTotal</t>
        </is>
      </c>
      <c r="S238" s="3" t="inlineStr">
        <is>
          <t>—</t>
        </is>
      </c>
      <c r="T238" s="3" t="inlineStr">
        <is>
          <t>—</t>
        </is>
      </c>
      <c r="U238" s="3" t="inlineStr">
        <is>
          <t>ACTIVE</t>
        </is>
      </c>
      <c r="V238" s="3" t="inlineStr">
        <is>
          <t>2026-08-27</t>
        </is>
      </c>
      <c r="W238" s="3" t="n"/>
      <c r="X238" s="3" t="n"/>
      <c r="Y238" s="3" t="inlineStr">
        <is>
          <t>NOTHING OPEN</t>
        </is>
      </c>
    </row>
    <row r="239" ht="60" customHeight="1">
      <c r="A239" s="3" t="inlineStr">
        <is>
          <t>MK-NW-F-019</t>
        </is>
      </c>
      <c r="B239" s="3" t="inlineStr">
        <is>
          <t>alternativesTotal</t>
        </is>
      </c>
      <c r="C239" s="3" t="inlineStr">
        <is>
          <t>src/domain/assets/index.ts</t>
        </is>
      </c>
      <c r="D239" s="3" t="n">
        <v>722</v>
      </c>
      <c r="E239" s="3" t="inlineStr">
        <is>
          <t>3 · DEPENDENT (feeds an action only)</t>
        </is>
      </c>
      <c r="F239" s="3" t="inlineStr">
        <is>
          <t>NOT DETERMINED — the code carries no note saying what this is for, and it has no row in the old inventory. Needs reading.</t>
        </is>
      </c>
      <c r="G239" s="11" t="inlineStr">
        <is>
          <t>sum where(accounts, (a) =&gt; asset class of(a) = 'alternatives')</t>
        </is>
      </c>
      <c r="H239" s="3" t="inlineStr">
        <is>
          <t>sum where(accounts, (a) =&gt; asset class of(a) = 'alternatives').</t>
        </is>
      </c>
      <c r="I239" s="3" t="inlineStr">
        <is>
          <t>PARTLY READ — some of the code is still showing through; needs a hand pass</t>
        </is>
      </c>
      <c r="J239" s="3" t="inlineStr">
        <is>
          <t>accounts: AssetAccount[]</t>
        </is>
      </c>
      <c r="K239" s="3" t="inlineStr">
        <is>
          <t>number</t>
        </is>
      </c>
      <c r="L239" s="3" t="inlineStr">
        <is>
          <t>—</t>
        </is>
      </c>
      <c r="M239" s="3" t="inlineStr">
        <is>
          <t>None found in this function — anything it assumes comes from the functions it depends on.</t>
        </is>
      </c>
      <c r="N239" s="3" t="inlineStr">
        <is>
          <t>No</t>
        </is>
      </c>
      <c r="O239" s="3" t="inlineStr">
        <is>
          <t>1. MK-NW-F-011 assetClassOf
2. MK-NW-F-066 sumWhere</t>
        </is>
      </c>
      <c r="P239" s="3" t="n">
        <v>12</v>
      </c>
      <c r="Q239" s="3" t="inlineStr">
        <is>
          <t>1. MK-NW-F-011 assetClassOf
2. MK-NW-F-066 sumWhere
3. MK-NW-F-008 incomeBearingClassOf
4. MK-CF-F-155 cash
5. MK-ST-F-010 nameEvidence
6. MK-XS-F-122 n
7. MK-XS-F-147 call
8. MK-ST-F-056 has
9. MK-CF-F-132 map
10. MK-ST-F-027 accountId
11. MK-XS-F-064 currentIdToken
12. MK-XS-F-112 relayUrl</t>
        </is>
      </c>
      <c r="R239" s="3" t="inlineStr">
        <is>
          <t>1. MK-XS-F-122 n → MK-CF-F-155 cash → MK-NW-F-008 incomeBearingClassOf → MK-NW-F-011 assetClassOf → MK-NW-F-019 alternativesTotal
2. MK-ST-F-027 accountId → MK-XS-F-147 call → MK-ST-F-010 nameEvidence → MK-NW-F-008 incomeBearingClassOf → MK-NW-F-011 assetClassOf → MK-NW-F-019 alternativesTotal
3. MK-XS-F-064 currentIdToken → MK-XS-F-147 call → MK-ST-F-010 nameEvidence → MK-NW-F-008 incomeBearingClassOf → MK-NW-F-011 assetClassOf → MK-NW-F-019 alternativesTotal
4. MK-XS-F-112 relayUrl → MK-XS-F-147 call → MK-ST-F-010 nameEvidence → MK-NW-F-008 incomeBearingClassOf → MK-NW-F-011 assetClassOf → MK-NW-F-019 alternativesTotal
5. MK-ST-F-056 has → MK-ST-F-010 nameEvidence → MK-NW-F-008 incomeBearingClassOf → MK-NW-F-011 assetClassOf → MK-NW-F-019 alternativesTotal
6. MK-CF-F-132 map → MK-ST-F-010 nameEvidence → MK-NW-F-008 incomeBearingClassOf → MK-NW-F-011 assetClassOf → MK-NW-F-019 alternativesTotal
7. MK-NW-F-066 sumWhere → MK-NW-F-019 alternativesTotal</t>
        </is>
      </c>
      <c r="S239" s="3" t="inlineStr">
        <is>
          <t>—</t>
        </is>
      </c>
      <c r="T239" s="3" t="inlineStr">
        <is>
          <t>—</t>
        </is>
      </c>
      <c r="U239" s="3" t="inlineStr">
        <is>
          <t>ACTIVE</t>
        </is>
      </c>
      <c r="V239" s="3" t="inlineStr">
        <is>
          <t>2026-08-27</t>
        </is>
      </c>
      <c r="W239" s="3" t="n"/>
      <c r="X239" s="3" t="n"/>
      <c r="Y239" s="3" t="inlineStr">
        <is>
          <t>NOTHING OPEN</t>
        </is>
      </c>
    </row>
    <row r="240" ht="60" customHeight="1">
      <c r="A240" s="3" t="inlineStr">
        <is>
          <t>MK-NW-F-020</t>
        </is>
      </c>
      <c r="B240" s="3" t="inlineStr">
        <is>
          <t>realEstateTotal</t>
        </is>
      </c>
      <c r="C240" s="3" t="inlineStr">
        <is>
          <t>src/domain/assets/index.ts</t>
        </is>
      </c>
      <c r="D240" s="3" t="n">
        <v>740</v>
      </c>
      <c r="E240" s="3" t="inlineStr">
        <is>
          <t>3 · DEPENDENT (feeds an action only)</t>
        </is>
      </c>
      <c r="F240" s="3" t="inlineStr">
        <is>
          <t>NOT DETERMINED — the code carries no note saying what this is for, and it has no row in the old inventory. Needs reading.</t>
        </is>
      </c>
      <c r="G240" s="11" t="inlineStr">
        <is>
          <t>sum where(accounts, (a) =&gt; asset class of(a) = 'real_estate')</t>
        </is>
      </c>
      <c r="H240" s="3" t="inlineStr">
        <is>
          <t>sum where(accounts, (a) =&gt; asset class of(a) = 'real_estate').</t>
        </is>
      </c>
      <c r="I240" s="3" t="inlineStr">
        <is>
          <t>PARTLY READ — some of the code is still showing through; needs a hand pass</t>
        </is>
      </c>
      <c r="J240" s="3" t="inlineStr">
        <is>
          <t>accounts: AssetAccount[]</t>
        </is>
      </c>
      <c r="K240" s="3" t="inlineStr">
        <is>
          <t>number</t>
        </is>
      </c>
      <c r="L240" s="3" t="inlineStr">
        <is>
          <t>—</t>
        </is>
      </c>
      <c r="M240" s="3" t="inlineStr">
        <is>
          <t>None found in this function — anything it assumes comes from the functions it depends on.</t>
        </is>
      </c>
      <c r="N240" s="3" t="inlineStr">
        <is>
          <t>No</t>
        </is>
      </c>
      <c r="O240" s="3" t="inlineStr">
        <is>
          <t>1. MK-NW-F-011 assetClassOf
2. MK-NW-F-066 sumWhere</t>
        </is>
      </c>
      <c r="P240" s="3" t="n">
        <v>12</v>
      </c>
      <c r="Q240" s="3" t="inlineStr">
        <is>
          <t>1. MK-NW-F-011 assetClassOf
2. MK-NW-F-066 sumWhere
3. MK-NW-F-008 incomeBearingClassOf
4. MK-CF-F-155 cash
5. MK-ST-F-010 nameEvidence
6. MK-XS-F-122 n
7. MK-XS-F-147 call
8. MK-ST-F-056 has
9. MK-CF-F-132 map
10. MK-ST-F-027 accountId
11. MK-XS-F-064 currentIdToken
12. MK-XS-F-112 relayUrl</t>
        </is>
      </c>
      <c r="R240" s="3" t="inlineStr">
        <is>
          <t>1. MK-XS-F-122 n → MK-CF-F-155 cash → MK-NW-F-008 incomeBearingClassOf → MK-NW-F-011 assetClassOf → MK-NW-F-020 realEstateTotal
2. MK-ST-F-027 accountId → MK-XS-F-147 call → MK-ST-F-010 nameEvidence → MK-NW-F-008 incomeBearingClassOf → MK-NW-F-011 assetClassOf → MK-NW-F-020 realEstateTotal
3. MK-XS-F-064 currentIdToken → MK-XS-F-147 call → MK-ST-F-010 nameEvidence → MK-NW-F-008 incomeBearingClassOf → MK-NW-F-011 assetClassOf → MK-NW-F-020 realEstateTotal
4. MK-XS-F-112 relayUrl → MK-XS-F-147 call → MK-ST-F-010 nameEvidence → MK-NW-F-008 incomeBearingClassOf → MK-NW-F-011 assetClassOf → MK-NW-F-020 realEstateTotal
5. MK-ST-F-056 has → MK-ST-F-010 nameEvidence → MK-NW-F-008 incomeBearingClassOf → MK-NW-F-011 assetClassOf → MK-NW-F-020 realEstateTotal
6. MK-CF-F-132 map → MK-ST-F-010 nameEvidence → MK-NW-F-008 incomeBearingClassOf → MK-NW-F-011 assetClassOf → MK-NW-F-020 realEstateTotal
7. MK-NW-F-066 sumWhere → MK-NW-F-020 realEstateTotal</t>
        </is>
      </c>
      <c r="S240" s="3" t="inlineStr">
        <is>
          <t>—</t>
        </is>
      </c>
      <c r="T240" s="3" t="inlineStr">
        <is>
          <t>—</t>
        </is>
      </c>
      <c r="U240" s="3" t="inlineStr">
        <is>
          <t>ACTIVE</t>
        </is>
      </c>
      <c r="V240" s="3" t="inlineStr">
        <is>
          <t>2026-08-27</t>
        </is>
      </c>
      <c r="W240" s="3" t="n"/>
      <c r="X240" s="3" t="n"/>
      <c r="Y240" s="3" t="inlineStr">
        <is>
          <t>NOTHING OPEN</t>
        </is>
      </c>
    </row>
    <row r="241" ht="60" customHeight="1">
      <c r="A241" s="3" t="inlineStr">
        <is>
          <t>MK-NW-F-021</t>
        </is>
      </c>
      <c r="B241" s="3" t="inlineStr">
        <is>
          <t>investmentsTotal</t>
        </is>
      </c>
      <c r="C241" s="3" t="inlineStr">
        <is>
          <t>src/domain/assets/index.ts</t>
        </is>
      </c>
      <c r="D241" s="3" t="n">
        <v>764</v>
      </c>
      <c r="E241" s="3" t="inlineStr">
        <is>
          <t>2 · DISPLAYED</t>
        </is>
      </c>
      <c r="F241" s="3" t="inlineStr">
        <is>
          <t>Investments / holdings (allocation view, Term #4) = equities + fixed income + alternatives, ACROSS all wrappers (so a 401(k)'s stocks count).</t>
        </is>
      </c>
      <c r="G241" s="11" t="inlineStr">
        <is>
          <t>sum where(accounts, (a) =&gt; { const c = asset class of(a); return c = 'stocks_etf' or c = 'bonds' or c = 'alternatives' or c = 'mixed'; })</t>
        </is>
      </c>
      <c r="H241" s="3" t="inlineStr">
        <is>
          <t>sum where(accounts, (a) =&gt; { const c = asset class of(a); return c = 'stocks_etf' or c = 'bonds' or c = 'alternatives' or c = 'mixed'; }).</t>
        </is>
      </c>
      <c r="I241" s="3" t="inlineStr">
        <is>
          <t>PARTLY READ — some of the code is still showing through; needs a hand pass</t>
        </is>
      </c>
      <c r="J241" s="3" t="inlineStr">
        <is>
          <t>accounts: AssetAccount[]</t>
        </is>
      </c>
      <c r="K241" s="3" t="inlineStr">
        <is>
          <t>number</t>
        </is>
      </c>
      <c r="L241" s="3" t="inlineStr">
        <is>
          <t>NOT FOUND — a screen calls it, but the words printed beside its answer could not be traced automatically. Needs reading.</t>
        </is>
      </c>
      <c r="M241" s="3" t="inlineStr">
        <is>
          <t>None found in this function — anything it assumes comes from the functions it depends on.</t>
        </is>
      </c>
      <c r="N241" s="3" t="inlineStr">
        <is>
          <t>Yes</t>
        </is>
      </c>
      <c r="O241" s="3" t="inlineStr">
        <is>
          <t>1. MK-NW-F-011 assetClassOf
2. MK-NW-F-066 sumWhere</t>
        </is>
      </c>
      <c r="P241" s="3" t="n">
        <v>12</v>
      </c>
      <c r="Q241" s="3" t="inlineStr">
        <is>
          <t>1. MK-NW-F-011 assetClassOf
2. MK-NW-F-066 sumWhere
3. MK-NW-F-008 incomeBearingClassOf
4. MK-CF-F-155 cash
5. MK-ST-F-010 nameEvidence
6. MK-XS-F-122 n
7. MK-XS-F-147 call
8. MK-ST-F-056 has
9. MK-CF-F-132 map
10. MK-ST-F-027 accountId
11. MK-XS-F-064 currentIdToken
12. MK-XS-F-112 relayUrl</t>
        </is>
      </c>
      <c r="R241" s="3" t="inlineStr">
        <is>
          <t>1. MK-XS-F-122 n → MK-CF-F-155 cash → MK-NW-F-008 incomeBearingClassOf → MK-NW-F-011 assetClassOf → MK-NW-F-021 investmentsTotal
2. MK-ST-F-027 accountId → MK-XS-F-147 call → MK-ST-F-010 nameEvidence → MK-NW-F-008 incomeBearingClassOf → MK-NW-F-011 assetClassOf → MK-NW-F-021 investmentsTotal
3. MK-XS-F-064 currentIdToken → MK-XS-F-147 call → MK-ST-F-010 nameEvidence → MK-NW-F-008 incomeBearingClassOf → MK-NW-F-011 assetClassOf → MK-NW-F-021 investmentsTotal
4. MK-XS-F-112 relayUrl → MK-XS-F-147 call → MK-ST-F-010 nameEvidence → MK-NW-F-008 incomeBearingClassOf → MK-NW-F-011 assetClassOf → MK-NW-F-021 investmentsTotal
5. MK-ST-F-056 has → MK-ST-F-010 nameEvidence → MK-NW-F-008 incomeBearingClassOf → MK-NW-F-011 assetClassOf → MK-NW-F-021 investmentsTotal
6. MK-CF-F-132 map → MK-ST-F-010 nameEvidence → MK-NW-F-008 incomeBearingClassOf → MK-NW-F-011 assetClassOf → MK-NW-F-021 investmentsTotal
7. MK-NW-F-066 sumWhere → MK-NW-F-021 investmentsTotal</t>
        </is>
      </c>
      <c r="S241" s="3" t="inlineStr">
        <is>
          <t>—</t>
        </is>
      </c>
      <c r="T241" s="3" t="inlineStr">
        <is>
          <t>TOTAL_INVESTMENTS</t>
        </is>
      </c>
      <c r="U241" s="3" t="inlineStr">
        <is>
          <t>ACTIVE</t>
        </is>
      </c>
      <c r="V241" s="3" t="inlineStr">
        <is>
          <t>2026-08-27</t>
        </is>
      </c>
      <c r="W241" s="3" t="n"/>
      <c r="X241" s="3" t="n"/>
      <c r="Y241" s="6" t="inlineStr">
        <is>
          <t>TESTED, NOT VERIFIED (C3)</t>
        </is>
      </c>
    </row>
    <row r="242" ht="60" customHeight="1">
      <c r="A242" s="3" t="inlineStr">
        <is>
          <t>MK-NW-F-022</t>
        </is>
      </c>
      <c r="B242" s="3" t="inlineStr">
        <is>
          <t>investableAssets</t>
        </is>
      </c>
      <c r="C242" s="3" t="inlineStr">
        <is>
          <t>src/domain/assets/index.ts</t>
        </is>
      </c>
      <c r="D242" s="3" t="n">
        <v>788</v>
      </c>
      <c r="E242" s="3" t="inlineStr">
        <is>
          <t>2 · DISPLAYED</t>
        </is>
      </c>
      <c r="F242" s="3" t="inlineStr">
        <is>
          <t>Investable assets (Term #4) = all financial assets (cash + investments + retirement balances), EXCLUDING real estate + personal property.</t>
        </is>
      </c>
      <c r="G242" s="11" t="inlineStr">
        <is>
          <t>sum where(accounts, (a) =&gt; !is real asset(a))</t>
        </is>
      </c>
      <c r="H242" s="3" t="inlineStr">
        <is>
          <t>sum where(accounts, (a) =&gt; !is real asset(a)).</t>
        </is>
      </c>
      <c r="I242" s="3" t="inlineStr">
        <is>
          <t>PARTLY READ — some of the code is still showing through; needs a hand pass</t>
        </is>
      </c>
      <c r="J242" s="3" t="inlineStr">
        <is>
          <t>accounts: AssetAccount[]</t>
        </is>
      </c>
      <c r="K242" s="3" t="inlineStr">
        <is>
          <t>number</t>
        </is>
      </c>
      <c r="L242" s="3" t="inlineStr">
        <is>
          <t>NOT FOUND — a screen calls it, but the words printed beside its answer could not be traced automatically. Needs reading.</t>
        </is>
      </c>
      <c r="M242" s="3" t="inlineStr">
        <is>
          <t>None found in this function — anything it assumes comes from the functions it depends on.</t>
        </is>
      </c>
      <c r="N242" s="3" t="inlineStr">
        <is>
          <t>Yes</t>
        </is>
      </c>
      <c r="O242" s="3" t="inlineStr">
        <is>
          <t>1. MK-NW-F-014 isRealAsset
2. MK-NW-F-066 sumWhere
3. MK-NW-F-015 totalAssets</t>
        </is>
      </c>
      <c r="P242" s="3" t="n">
        <v>14</v>
      </c>
      <c r="Q242" s="3" t="inlineStr">
        <is>
          <t>1. MK-NW-F-014 isRealAsset
2. MK-NW-F-066 sumWhere
3. MK-NW-F-015 totalAssets
4. MK-NW-F-011 assetClassOf
5. MK-NW-F-008 incomeBearingClassOf
6. MK-CF-F-155 cash
7. MK-ST-F-010 nameEvidence
8. MK-XS-F-122 n
9. MK-XS-F-147 call
10. MK-ST-F-056 has
11. MK-CF-F-132 map
12. MK-ST-F-027 accountId
13. MK-XS-F-064 currentIdToken
14. MK-XS-F-112 relayUrl</t>
        </is>
      </c>
      <c r="R242"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MK-NW-F-015 totalAssets → MK-NW-F-022 investableAssets</t>
        </is>
      </c>
      <c r="S242" s="3" t="inlineStr">
        <is>
          <t>—</t>
        </is>
      </c>
      <c r="T242" s="3" t="inlineStr">
        <is>
          <t>TOTAL_INVESTABLE</t>
        </is>
      </c>
      <c r="U242" s="3" t="inlineStr">
        <is>
          <t>ACTIVE</t>
        </is>
      </c>
      <c r="V242" s="3" t="inlineStr">
        <is>
          <t>2026-08-27</t>
        </is>
      </c>
      <c r="W242" s="3" t="n"/>
      <c r="X242" s="3" t="n"/>
      <c r="Y242" s="3" t="inlineStr">
        <is>
          <t>NOTHING OPEN</t>
        </is>
      </c>
    </row>
    <row r="243" ht="60" customHeight="1">
      <c r="A243" s="3" t="inlineStr">
        <is>
          <t>MK-NW-F-023</t>
        </is>
      </c>
      <c r="B243" s="3" t="inlineStr">
        <is>
          <t>wrapperWord</t>
        </is>
      </c>
      <c r="C243" s="3" t="inlineStr">
        <is>
          <t>src/domain/assets/index.ts</t>
        </is>
      </c>
      <c r="D243" s="3" t="n">
        <v>829</v>
      </c>
      <c r="E243" s="3" t="inlineStr">
        <is>
          <t>1 · ACTION</t>
        </is>
      </c>
      <c r="F243" s="3" t="inlineStr">
        <is>
          <t>NOT DETERMINED — the code carries no note saying what this is for, and it has no row in the old inventory. Needs reading.</t>
        </is>
      </c>
      <c r="G243" s="11" t="inlineStr">
        <is>
          <t>KIND_TO_WRAPPER[kind] (or '' when missing)   if kind
''   otherwise</t>
        </is>
      </c>
      <c r="H243" s="3" t="inlineStr">
        <is>
          <t>KIND_TO_WRAPPER[kind] (or '' when missing) — when kind; '' — otherwise</t>
        </is>
      </c>
      <c r="I243" s="3" t="inlineStr">
        <is>
          <t>READ FROM THE CODE — rendered from the expressions the function runs</t>
        </is>
      </c>
      <c r="J243" s="3" t="inlineStr">
        <is>
          <t>kind?: string</t>
        </is>
      </c>
      <c r="K243" s="3" t="inlineStr">
        <is>
          <t>string</t>
        </is>
      </c>
      <c r="L243" s="3" t="inlineStr">
        <is>
          <t>—</t>
        </is>
      </c>
      <c r="M243" s="3" t="inlineStr">
        <is>
          <t>None found in this function — anything it assumes comes from the functions it depends on.</t>
        </is>
      </c>
      <c r="N243" s="3" t="inlineStr">
        <is>
          <t>Yes</t>
        </is>
      </c>
      <c r="O243" s="3" t="inlineStr">
        <is>
          <t>—</t>
        </is>
      </c>
      <c r="P243" s="3" t="n">
        <v>0</v>
      </c>
      <c r="Q243" s="3" t="inlineStr">
        <is>
          <t>None — no dependent function stands behind it</t>
        </is>
      </c>
      <c r="R243" s="3" t="inlineStr">
        <is>
          <t>No dependent function — it reads its inputs and answers</t>
        </is>
      </c>
      <c r="S243" s="3" t="inlineStr">
        <is>
          <t>—</t>
        </is>
      </c>
      <c r="T243" s="3" t="inlineStr">
        <is>
          <t>—</t>
        </is>
      </c>
      <c r="U243" s="3" t="inlineStr">
        <is>
          <t>ACTIVE</t>
        </is>
      </c>
      <c r="V243" s="3" t="inlineStr">
        <is>
          <t>2026-08-27</t>
        </is>
      </c>
      <c r="W243" s="3" t="n"/>
      <c r="X243" s="3" t="n"/>
      <c r="Y243" s="3" t="inlineStr">
        <is>
          <t>NOTHING OPEN</t>
        </is>
      </c>
    </row>
    <row r="244" ht="60" customHeight="1">
      <c r="A244" s="3" t="inlineStr">
        <is>
          <t>MK-NW-F-024</t>
        </is>
      </c>
      <c r="B244" s="3" t="inlineStr">
        <is>
          <t>accountLastFour</t>
        </is>
      </c>
      <c r="C244" s="3" t="inlineStr">
        <is>
          <t>src/domain/assets/index.ts</t>
        </is>
      </c>
      <c r="D244" s="3" t="n">
        <v>857</v>
      </c>
      <c r="E244" s="3" t="inlineStr">
        <is>
          <t>3 · DEPENDENT</t>
        </is>
      </c>
      <c r="F244" s="3" t="inlineStr">
        <is>
          <t>The last four digits of an account, or null when we genuinely don't have them.</t>
        </is>
      </c>
      <c r="G244" s="11" t="inlineStr">
        <is>
          <t>digits = string(raw ?? '').replace( ÷ \D ÷ g, '')
digits.slice(-4)   when digits.length ≥ 4
[LOOP — the answer is found inside a loop the extractor cannot render; the steps above are the ones before it. Read by hand.]</t>
        </is>
      </c>
      <c r="H244" s="3" t="inlineStr">
        <is>
          <t>Digits is string(raw ?? '').replace( divided by \D divided by g, ''). When digits.length is at least 4, it answers digits.slice(-4). The answer is no answer. The answer is found inside a loop that cannot be rendered here; read the code by hand.</t>
        </is>
      </c>
      <c r="I244" s="3" t="inlineStr">
        <is>
          <t>PARTLY READ — the body has a loop the extractor cannot render; the steps shown are the ones before it. Needs a hand pass (G23).</t>
        </is>
      </c>
      <c r="J244" s="3" t="inlineStr">
        <is>
          <t>a: { mask?: string; account_number?: string }</t>
        </is>
      </c>
      <c r="K244" s="3" t="inlineStr">
        <is>
          <t>string | null</t>
        </is>
      </c>
      <c r="L244" s="3" t="inlineStr">
        <is>
          <t>—</t>
        </is>
      </c>
      <c r="M244" s="3" t="inlineStr">
        <is>
          <t>None found in this function — anything it assumes comes from the functions it depends on.</t>
        </is>
      </c>
      <c r="N244" s="3" t="inlineStr">
        <is>
          <t>Yes</t>
        </is>
      </c>
      <c r="O244" s="3" t="inlineStr">
        <is>
          <t>—</t>
        </is>
      </c>
      <c r="P244" s="3" t="n">
        <v>0</v>
      </c>
      <c r="Q244" s="3" t="inlineStr">
        <is>
          <t>None — no dependent function stands behind it</t>
        </is>
      </c>
      <c r="R244" s="3" t="inlineStr">
        <is>
          <t>No dependent function — it reads its inputs and answers</t>
        </is>
      </c>
      <c r="S244" s="3" t="inlineStr">
        <is>
          <t>—</t>
        </is>
      </c>
      <c r="T244" s="3" t="inlineStr">
        <is>
          <t>—</t>
        </is>
      </c>
      <c r="U244" s="3" t="inlineStr">
        <is>
          <t>ACTIVE</t>
        </is>
      </c>
      <c r="V244" s="3" t="inlineStr">
        <is>
          <t>2026-09-08</t>
        </is>
      </c>
      <c r="W244" s="3" t="n"/>
      <c r="X244" s="3" t="n"/>
      <c r="Y244" s="3" t="inlineStr">
        <is>
          <t>NOTHING OPEN</t>
        </is>
      </c>
    </row>
    <row r="245" ht="60" customHeight="1">
      <c r="A245" s="3" t="inlineStr">
        <is>
          <t>MK-NW-F-025</t>
        </is>
      </c>
      <c r="B245" s="3" t="inlineStr">
        <is>
          <t>accountDisplayName</t>
        </is>
      </c>
      <c r="C245" s="3" t="inlineStr">
        <is>
          <t>src/domain/assets/index.ts</t>
        </is>
      </c>
      <c r="D245" s="3" t="n">
        <v>904</v>
      </c>
      <c r="E245" s="3" t="inlineStr">
        <is>
          <t>3 · DEPENDENT</t>
        </is>
      </c>
      <c r="F245" s="3" t="inlineStr">
        <is>
          <t>The ONE display name for an account row (build-43 finding #1): institution prefixes the label ONLY when the label doesn't already say it (E*TRADE's own name is "E*Trade Individual Brokerage" — prefixing the institution again rendered "E-Trade E*Trade Individual…"), and the broker's mask suffixes when present so two same-named accounts are tellable apart (wireframe: "Brokerage ...4821").</t>
        </is>
      </c>
      <c r="G245" s="11" t="inlineStr">
        <is>
          <t>inst raw = (institution ?? '').trim()
last4 = account last four(a)
wrapper = wrapper word((a as any).kind)
tax advantaged = tax treatment of(a as asset account) ! = 'taxable'
`${inst raw} ${wrapper} -${last4}`   if last4
`${inst raw} ${wrapper}`   otherwise   when tax advantaged and wrapper
`${inst raw} -${last4}`   when last4
`${inst raw} ${wrapper}`   when wrapper
label = (label ?? '').trim()
pos = ((a as any).positions ?? []) as any[]
inst = (institution ?? '').trim()
norm = (s: string) =&gt; to lower case().replace( ÷ [^a − z0 − 9] ÷ g, '')
… the first steps only — the rest of the body needs reading by hand.</t>
        </is>
      </c>
      <c r="H245" s="3" t="inlineStr">
        <is>
          <t>Inst raw is (institution ?? '').trim(). Last4 is account last four(a). Wrapper is wrapper word((a as any).kind). Tax advantaged is tax treatment of(a as asset account) ! = 'taxable'. When tax advantaged and wrapper, it answers `${inst raw} ${wrapper} -${last4}` — when last4; `${inst raw} ${wrapper}` — otherwise. When last4, it answers `${inst raw} -${last4}`. When wrapper, it answers `${inst raw} ${wrapper}`. Label is (label ?? '').trim(). Pos is ((a as any).positions ?? []) as any[]. Inst is (institution ?? '').trim(). Norm is (s: string) =&gt; to lower case().replace( divided by [^a minus z0 minus 9] divided by g, ''). Only the first steps are shown; the rest of the body needs reading by hand.</t>
        </is>
      </c>
      <c r="I245" s="3" t="inlineStr">
        <is>
          <t>PARTLY READ — some of the code is still showing through; needs a hand pass</t>
        </is>
      </c>
      <c r="J245" s="3" t="inlineStr">
        <is>
          <t>a: Pick&lt;AssetAccount, 'label' | 'institution' | 'mask'&gt; &amp; { positions?: unknown[]; kind?: string; tax_bucket?: TaxBucket; tax_treatment?: TaxTreatment }</t>
        </is>
      </c>
      <c r="K245" s="3" t="inlineStr">
        <is>
          <t>string</t>
        </is>
      </c>
      <c r="L245" s="3" t="inlineStr">
        <is>
          <t>—</t>
        </is>
      </c>
      <c r="M245" s="3" t="inlineStr">
        <is>
          <t>None found in this function — anything it assumes comes from the functions it depends on.</t>
        </is>
      </c>
      <c r="N245" s="3" t="inlineStr">
        <is>
          <t>Yes</t>
        </is>
      </c>
      <c r="O245" s="3" t="inlineStr">
        <is>
          <t>1. MK-NW-F-026 accountDisplayNames
2. MK-NW-F-024 accountLastFour
3. MK-NW-F-012 taxTreatmentOf
4. MK-NW-F-023 wrapperWord</t>
        </is>
      </c>
      <c r="P245" s="3" t="n">
        <v>7</v>
      </c>
      <c r="Q245" s="3" t="inlineStr">
        <is>
          <t>1. MK-NW-F-026 accountDisplayNames
2. MK-NW-F-024 accountLastFour
3. MK-NW-F-012 taxTreatmentOf
4. MK-NW-F-023 wrapperWord
5. MK-CF-F-155 cash
6. MK-CF-F-132 map
7. MK-XS-F-122 n</t>
        </is>
      </c>
      <c r="R245" s="3" t="inlineStr">
        <is>
          <t>1. accountDisplayName (already above — a loop) → MK-NW-F-026 accountDisplayNames → MK-NW-F-025 accountDisplayName
2. MK-XS-F-122 n → MK-CF-F-155 cash → MK-NW-F-026 accountDisplayNames → MK-NW-F-025 accountDisplayName
3. MK-CF-F-132 map → MK-NW-F-026 accountDisplayNames → MK-NW-F-025 accountDisplayName
4. MK-XS-F-122 n → MK-NW-F-026 accountDisplayNames → MK-NW-F-025 accountDisplayName
5. MK-NW-F-024 accountLastFour → MK-NW-F-025 accountDisplayName
6. MK-NW-F-012 taxTreatmentOf → MK-NW-F-025 accountDisplayName
7. MK-NW-F-023 wrapperWord → MK-NW-F-025 accountDisplayName</t>
        </is>
      </c>
      <c r="S245" s="3" t="inlineStr">
        <is>
          <t>—</t>
        </is>
      </c>
      <c r="T245" s="3" t="inlineStr">
        <is>
          <t>—</t>
        </is>
      </c>
      <c r="U245" s="3" t="inlineStr">
        <is>
          <t>ACTIVE</t>
        </is>
      </c>
      <c r="V245" s="3" t="inlineStr">
        <is>
          <t>2026-08-27</t>
        </is>
      </c>
      <c r="W245" s="3" t="n"/>
      <c r="X245" s="3" t="n"/>
      <c r="Y245" s="3" t="inlineStr">
        <is>
          <t>NOTHING OPEN</t>
        </is>
      </c>
    </row>
    <row r="246" ht="60" customHeight="1">
      <c r="A246" s="3" t="inlineStr">
        <is>
          <t>MK-NW-F-026</t>
        </is>
      </c>
      <c r="B246" s="3" t="inlineStr">
        <is>
          <t>accountDisplayNames</t>
        </is>
      </c>
      <c r="C246" s="3" t="inlineStr">
        <is>
          <t>src/domain/assets/index.ts</t>
        </is>
      </c>
      <c r="D246" s="3" t="n">
        <v>978</v>
      </c>
      <c r="E246" s="3" t="inlineStr">
        <is>
          <t>2 · DISPLAYED</t>
        </is>
      </c>
      <c r="F246" s="3" t="inlineStr">
        <is>
          <t>Display names for a whole LIST of accounts.</t>
        </is>
      </c>
      <c r="G246" s="11" t="inlineStr">
        <is>
          <t>base = a lookup of for each of accounts: [asset id, account display name(each)]
counts = new map&lt;string, number&gt;()
seen = new map&lt;string, number&gt;()
out = new map&lt;string, string&gt;()
n = base.get(asset id)!
i = (seen.get(n) ?? 0) + 1
the answer = out</t>
        </is>
      </c>
      <c r="H246" s="3" t="inlineStr">
        <is>
          <t>Base is a lookup of for each of accounts: [asset id, account display name(each)]. Counts is new map&lt;string, number&gt;(). Seen is new map&lt;string, number&gt;(). Out is new map&lt;string, string&gt;(). N is base.get(asset id)!. I is (seen.get(n) ?? 0) plus 1. The answer is out.</t>
        </is>
      </c>
      <c r="I246" s="3" t="inlineStr">
        <is>
          <t>PARTLY READ — some of the code is still showing through; needs a hand pass</t>
        </is>
      </c>
      <c r="J246" s="3" t="inlineStr">
        <is>
          <t>accounts: (Pick&lt;AssetAccount, 'asset_id' | 'label' | 'institution' | 'mask'&gt; &amp; { positions?: unknown[] })[]</t>
        </is>
      </c>
      <c r="K246" s="3" t="inlineStr">
        <is>
          <t>Map&lt;string, string&gt;</t>
        </is>
      </c>
      <c r="L246" s="3" t="inlineStr">
        <is>
          <t>"Bonds &amp; alternatives — recorded on their own pages" — on the Performance screen</t>
        </is>
      </c>
      <c r="M246" s="3" t="inlineStr">
        <is>
          <t>None found in this function — anything it assumes comes from the functions it depends on.</t>
        </is>
      </c>
      <c r="N246" s="3" t="inlineStr">
        <is>
          <t>Yes</t>
        </is>
      </c>
      <c r="O246" s="3" t="inlineStr">
        <is>
          <t>1. MK-NW-F-025 accountDisplayName
2. MK-CF-F-155 cash
3. MK-CF-F-132 map
4. MK-XS-F-122 n</t>
        </is>
      </c>
      <c r="P246" s="3" t="n">
        <v>7</v>
      </c>
      <c r="Q246" s="3" t="inlineStr">
        <is>
          <t>1. MK-NW-F-025 accountDisplayName
2. MK-CF-F-155 cash
3. MK-CF-F-132 map
4. MK-XS-F-122 n
5. MK-NW-F-024 accountLastFour
6. MK-NW-F-012 taxTreatmentOf
7. MK-NW-F-023 wrapperWord</t>
        </is>
      </c>
      <c r="R246" s="3" t="inlineStr">
        <is>
          <t>1. accountDisplayNames (already above — a loop) → MK-NW-F-025 accountDisplayName → MK-NW-F-026 accountDisplayNames
2. MK-NW-F-024 accountLastFour → MK-NW-F-025 accountDisplayName → MK-NW-F-026 accountDisplayNames
3. MK-NW-F-012 taxTreatmentOf → MK-NW-F-025 accountDisplayName → MK-NW-F-026 accountDisplayNames
4. MK-NW-F-023 wrapperWord → MK-NW-F-025 accountDisplayName → MK-NW-F-026 accountDisplayNames
5. MK-XS-F-122 n → MK-CF-F-155 cash → MK-NW-F-026 accountDisplayNames
6. MK-CF-F-132 map → MK-NW-F-026 accountDisplayNames
7. MK-XS-F-122 n → MK-NW-F-026 accountDisplayNames</t>
        </is>
      </c>
      <c r="S246" s="3" t="inlineStr">
        <is>
          <t>—</t>
        </is>
      </c>
      <c r="T246" s="3" t="inlineStr">
        <is>
          <t>ACCOUNT_NAMES</t>
        </is>
      </c>
      <c r="U246" s="3" t="inlineStr">
        <is>
          <t>ACTIVE</t>
        </is>
      </c>
      <c r="V246" s="3" t="inlineStr">
        <is>
          <t>2026-08-27</t>
        </is>
      </c>
      <c r="W246" s="3" t="n"/>
      <c r="X246" s="3" t="n"/>
      <c r="Y246" s="3" t="inlineStr">
        <is>
          <t>NOTHING OPEN</t>
        </is>
      </c>
    </row>
    <row r="247" ht="60" customHeight="1">
      <c r="A247" s="3" t="inlineStr">
        <is>
          <t>MK-NW-F-027</t>
        </is>
      </c>
      <c r="B247" s="3" t="inlineStr">
        <is>
          <t>accountClassBreakdown</t>
        </is>
      </c>
      <c r="C247" s="3" t="inlineStr">
        <is>
          <t>src/domain/assets/index.ts</t>
        </is>
      </c>
      <c r="D247" s="3" t="n">
        <v>1052</v>
      </c>
      <c r="E247" s="3" t="inlineStr">
        <is>
          <t>2 · DISPLAYED</t>
        </is>
      </c>
      <c r="F247" s="3" t="inlineStr">
        <is>
          <t>APPROVED v6 (2026-07-19): a CONNECTED account splits across the asset classes it actually holds — CDs under bonds, money market + sleeve under cash, options under alternatives, stocks under stocks — with the slices summing EXACTLY to the broker's authoritative balance.</t>
        </is>
      </c>
      <c r="G247" s="11" t="inlineStr">
        <is>
          <t>nothing   when source ! = 'connected'
out = cash = 0
bonds = 0
stocks etf = 0
alternatives = 0
real estate = 0
personal property = 0
mixed = 0
sh = (lots ?? []).reduce((t: number, l: any) =&gt; t + (shares or 0), 0)
v = sh × last price   if last price ≠ nothing
0   otherwise
by name = income bearing class of(`${ticker ?? ''} ${name ?? description ?? ''}`)
sum = Σ over object.values(out) as number[] of (each)
r = (balance or 0) − sum
own = asset class of(a)
bucket = 'mixed'   if own = 'mixed'
own   otherwise
the answer = out</t>
        </is>
      </c>
      <c r="H247" s="3" t="inlineStr">
        <is>
          <t>When source ! = 'connected', it answers no answer. Out is cash = 0; bonds = 0; stocks etf = 0; alternatives = 0; real estate = 0; personal property = 0; mixed = 0. Sh is (lots ?? []).reduce((t: number, l: any) =&gt; t plus (shares or 0), 0). V is sh times last price — when last price is not no answer; 0 — otherwise. By name is income bearing class of(`${ticker ?? ''} ${name ?? description ?? ''}`). Sum: the each added up across object.values(out) as number[]. R is (balance or 0) minus sum. Own is asset class of(a). Bucket is 'mixed' — when own = 'mixed'; own — otherwise. The answer is out.</t>
        </is>
      </c>
      <c r="I247" s="3" t="inlineStr">
        <is>
          <t>PARTLY READ — some of the code is still showing through; needs a hand pass</t>
        </is>
      </c>
      <c r="J247" s="3" t="inlineStr">
        <is>
          <t>a: AssetAccount</t>
        </is>
      </c>
      <c r="K247" s="3" t="inlineStr">
        <is>
          <t>Record&lt;AssetClass, number&gt; | null</t>
        </is>
      </c>
      <c r="L247" s="3" t="inlineStr">
        <is>
          <t>NOT FOUND — a screen calls it, but the words printed beside its answer could not be traced automatically. Needs reading.</t>
        </is>
      </c>
      <c r="M247" s="3" t="inlineStr">
        <is>
          <t>1. If cash balance is missing it uses 0.
2. If shares is missing it counts as zero, so nothing recorded and a real zero look the same.
3. If value is missing it counts as zero, so nothing recorded and a real zero look the same.
4. If balance is missing it counts as zero, so nothing recorded and a real zero look the same.</t>
        </is>
      </c>
      <c r="N247" s="3" t="inlineStr">
        <is>
          <t>Yes</t>
        </is>
      </c>
      <c r="O247" s="3" t="inlineStr">
        <is>
          <t>1. MK-NW-F-011 assetClassOf
2. MK-CF-F-155 cash
3. MK-NW-F-008 incomeBearingClassOf</t>
        </is>
      </c>
      <c r="P247" s="3" t="n">
        <v>11</v>
      </c>
      <c r="Q247" s="3" t="inlineStr">
        <is>
          <t>1. MK-NW-F-011 assetClassOf
2. MK-CF-F-155 cash
3. MK-NW-F-008 incomeBearingClassOf
4. MK-XS-F-122 n
5. MK-ST-F-010 nameEvidence
6. MK-XS-F-147 call
7. MK-ST-F-056 has
8. MK-CF-F-132 map
9. MK-ST-F-027 accountId
10. MK-XS-F-064 currentIdToken
11. MK-XS-F-112 relayUrl</t>
        </is>
      </c>
      <c r="R247"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MK-NW-F-008 incomeBearingClassOf → MK-NW-F-027 accountClassBreakdown
9. … and 4 more paths</t>
        </is>
      </c>
      <c r="S247" s="3" t="inlineStr">
        <is>
          <t>—</t>
        </is>
      </c>
      <c r="T247" s="3" t="inlineStr">
        <is>
          <t>ACCOUNT_SPLIT</t>
        </is>
      </c>
      <c r="U247" s="3" t="inlineStr">
        <is>
          <t>ACTIVE</t>
        </is>
      </c>
      <c r="V247" s="3" t="inlineStr">
        <is>
          <t>2026-09-09</t>
        </is>
      </c>
      <c r="W247" s="3" t="n"/>
      <c r="X247" s="3" t="n"/>
      <c r="Y247" s="3" t="inlineStr">
        <is>
          <t>NOTHING OPEN</t>
        </is>
      </c>
    </row>
    <row r="248" ht="60" customHeight="1">
      <c r="A248" s="3" t="inlineStr">
        <is>
          <t>MK-NW-F-028</t>
        </is>
      </c>
      <c r="B248" s="3" t="inlineStr">
        <is>
          <t>classPortionLabel</t>
        </is>
      </c>
      <c r="C248" s="3" t="inlineStr">
        <is>
          <t>src/domain/assets/index.ts</t>
        </is>
      </c>
      <c r="D248" s="3" t="n">
        <v>1162</v>
      </c>
      <c r="E248" s="3" t="inlineStr">
        <is>
          <t>2 · DISPLAYED</t>
        </is>
      </c>
      <c r="F248" s="3" t="inlineStr">
        <is>
          <t>Plain words for an account's slice inside a class row.</t>
        </is>
      </c>
      <c r="G248" s="11" t="inlineStr">
        <is>
          <t>pos = (positions ?? []) as any[]
c = 'bonds'   if asset class = 'bond'
'alternatives'   if asset class = 'other'
'cash'   if asset class = 'cash'
'stocks_etf'   otherwise   otherwise   otherwise
the answer = c = cls
name of = (p: any) =&gt; `${ticker ?? ''} ${name ?? label ?? ''}`
opts = count of ((a as any).option holdings ?? []) as any[]
cds = in class where CD_RE.test(name of(each))count of 
treas = in class where !CD_RE.test(name of(each)) and TREASURY_RE.test(name of(each))count of 
rest = in class.length − cds − treas
parts = [opts ? plural(opts, 'option') : '', in class.length ? plural(in class.length, 'holding') : ''] where boolean</t>
        </is>
      </c>
      <c r="H248" s="3" t="inlineStr">
        <is>
          <t>Pos is (positions ?? []) as any[]. C is 'bonds' — when asset class = 'bond'; 'alternatives' — when asset class = 'other'; 'cash' — when asset class = 'cash'; 'stocks_etf' — otherwise — otherwise — otherwise. The answer is c = cls. Name of is (p: any) =&gt; `${ticker ?? ''} ${name ?? label ?? ''}`. Opts: how many ((a as any).option holdings ?? []) as any[] there are. Cds is in class where CD_RE.test(name of(each))count of. Treas is in class where !CD_RE.test(name of(each)) and TREASURY_RE.test(name of(each))count of. Rest is in class.length minus cds minus treas. Parts is [opts ? plural(opts, 'option') : '', in class.length ? plural(in class.length, 'holding') : ''] where boolean.</t>
        </is>
      </c>
      <c r="I248" s="3" t="inlineStr">
        <is>
          <t>PARTLY READ — some of the code is still showing through; needs a hand pass</t>
        </is>
      </c>
      <c r="J248" s="3" t="inlineStr">
        <is>
          <t>1. a: AssetAccount
2. cls: AssetClass</t>
        </is>
      </c>
      <c r="K248" s="3" t="inlineStr">
        <is>
          <t>string</t>
        </is>
      </c>
      <c r="L248" s="3" t="inlineStr">
        <is>
          <t>NOT FOUND — a screen calls it, but the words printed beside its answer could not be traced automatically. Needs reading.</t>
        </is>
      </c>
      <c r="M248" s="3" t="inlineStr">
        <is>
          <t>None found in this function — anything it assumes comes from the functions it depends on.</t>
        </is>
      </c>
      <c r="N248" s="3" t="inlineStr">
        <is>
          <t>Yes</t>
        </is>
      </c>
      <c r="O248" s="3" t="inlineStr">
        <is>
          <t>1. MK-CF-F-204 line
2. MK-XS-F-120 nameOf
3. MK-NW-F-067 plural</t>
        </is>
      </c>
      <c r="P248" s="3" t="n">
        <v>105</v>
      </c>
      <c r="Q248" s="3" t="inlineStr">
        <is>
          <t>1. MK-CF-F-204 line
2. MK-XS-F-120 nameOf
3. MK-NW-F-067 plural
4. MK-CF-F-203 MONTH
5. MK-XS-F-180 declareFigures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MK-NW-F-072 rowOf
47. MK-CF-F-069 benefitActiveMonths
48. MK-CF-F-072 currentRetirementIncomeMonthly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MK-CF-F-062 equityRowValue
71. MK-CF-F-070 benefitAnnual
72. MK-CF-F-176 sumMonthsOverEarners
73. MK-CF-F-177 wageGrossByMonth
74. MK-CF-F-090 effectiveRate
75. MK-CF-F-085 filingStatusOf
76. MK-CF-F-089 over65CountOf
77. MK-CF-F-098 progressiveMonthlyTax
78. MK-CF-F-086 stateRateOf
79. MK-CF-F-173 earnerWages
80. MK-CF-F-102 effectiveRateOnGrossFor
81. MK-CF-F-180 enteredLandsAnnual
82. MK-CF-F-082 salaryAnnual
83. MK-CF-F-084 taxableAnnual
84. MK-CF-F-067 rentalList
85. MK-CF-F-063 rowVestYear
86. MK-CF-F-120 pctBaseMonthly
87. MK-CF-F-004 spendBuckets
88. MK-NW-F-008 incomeBearingClassOf
89. MK-CF-F-130 enteredMonthlyRaw
90. MK-CF-F-166 hasMonthlySalaryTable
91. MK-ST-F-036 reconcile
92. MK-CF-F-167 salaryCalendarYear
93. MK-CF-F-101 taxOwedFor
94. MK-CF-F-100 taxableIncomeFor
95. MK-CF-F-172 hasWage
96. MK-CF-F-074 tipsAnnual
97. MK-CF-F-003 categoryMonthly
98. MK-ST-F-010 nameEvidence
99. MK-CF-F-165 salaryMonths
100. MK-CF-F-099 deductionFor
101. MK-CF-F-081 salaryActiveMonths
102. MK-XS-F-147 call
103. MK-CF-F-187 seniorDeductionFor
104. MK-XS-F-064 currentIdToken
105. MK-XS-F-112 relayUrl</t>
        </is>
      </c>
      <c r="R248" s="3" t="inlineStr">
        <is>
          <t>1. MONTH (already above — a loop) → MK-CF-O-010 theMonth → MK-CF-F-203 MONTH → MK-CF-F-204 line → MK-NW-F-028 classPortionLabel
2. MK-XS-F-122 n → MK-CF-F-155 cash → MK-CF-O-010 theMonth → MK-CF-F-203 MONTH → MK-CF-F-204 line → MK-NW-F-028 classPortionLabel
3. MK-CF-F-151 actualSpending → MK-CF-O-002 expenses → MK-CF-O-010 theMonth → MK-CF-F-203 MONTH → MK-CF-F-204 line → MK-NW-F-028 classPortionLabel
4. MK-CF-F-150 debtPaymentsCountedAsExpenses → MK-CF-O-002 expenses → MK-CF-O-010 theMonth → MK-CF-F-203 MONTH → MK-CF-F-204 line → MK-NW-F-028 classPortionLabel
5. MK-CF-F-153 radar → MK-CF-O-002 expenses → MK-CF-O-010 theMonth → MK-CF-F-203 MONTH → MK-CF-F-204 line → MK-NW-F-028 classPortionLabel
6. MK-CF-F-149 recurringDebtPayments → MK-CF-O-002 expenses → MK-CF-O-010 theMonth → MK-CF-F-203 MONTH → MK-CF-F-204 line → MK-NW-F-028 classPortionLabel
7. MK-CF-F-005 actualMonthFlow → MK-CF-O-003 thisMonth → MK-CF-O-010 theMonth → MK-CF-F-203 MONTH → MK-CF-F-204 line → MK-NW-F-028 classPortionLabel
8. MK-CF-F-156 plannedMonthFlow → MK-CF-O-003 thisMonth → MK-CF-O-010 theMonth → MK-CF-F-203 MONTH → MK-CF-F-204 line → MK-NW-F-028 classPortionLabel
9. … and 3 more paths</t>
        </is>
      </c>
      <c r="S248" s="3" t="inlineStr">
        <is>
          <t>—</t>
        </is>
      </c>
      <c r="T248" s="3" t="inlineStr">
        <is>
          <t>SLICE_WORDING</t>
        </is>
      </c>
      <c r="U248" s="3" t="inlineStr">
        <is>
          <t>ACTIVE</t>
        </is>
      </c>
      <c r="V248" s="3" t="inlineStr">
        <is>
          <t>2026-08-27</t>
        </is>
      </c>
      <c r="W248" s="3" t="n"/>
      <c r="X248" s="3" t="n"/>
      <c r="Y248" s="3" t="inlineStr">
        <is>
          <t>NOTHING OPEN</t>
        </is>
      </c>
    </row>
    <row r="249" ht="60" customHeight="1">
      <c r="A249" s="3" t="inlineStr">
        <is>
          <t>MK-NW-F-029</t>
        </is>
      </c>
      <c r="B249" s="3" t="inlineStr">
        <is>
          <t>assetAllocation</t>
        </is>
      </c>
      <c r="C249" s="3" t="inlineStr">
        <is>
          <t>src/domain/assets/index.ts</t>
        </is>
      </c>
      <c r="D249" s="3" t="n">
        <v>1230</v>
      </c>
      <c r="E249" s="3" t="inlineStr">
        <is>
          <t>2 · DISPLAYED</t>
        </is>
      </c>
      <c r="F249" s="3" t="inlineStr">
        <is>
          <t>How much money sits in each of the seven classes?</t>
        </is>
      </c>
      <c r="G249" s="11" t="inlineStr">
        <is>
          <t>out = cash = 0
bonds = 0
stocks etf = 0
alternatives = 0
real estate = 0
personal property = 0
mixed = 0
b = account class breakdown(a)
the answer = out</t>
        </is>
      </c>
      <c r="H249" s="3" t="inlineStr">
        <is>
          <t>Out is cash = 0; bonds = 0; stocks etf = 0; alternatives = 0; real estate = 0; personal property = 0; mixed = 0. B is account class breakdown(a). The answer is out.</t>
        </is>
      </c>
      <c r="I249" s="3" t="inlineStr">
        <is>
          <t>READ FROM THE CODE — rendered from the expressions the function runs</t>
        </is>
      </c>
      <c r="J249" s="3" t="inlineStr">
        <is>
          <t>accounts: AssetAccount[]</t>
        </is>
      </c>
      <c r="K249" s="3" t="inlineStr">
        <is>
          <t>Record&lt;AssetClass, number&gt;</t>
        </is>
      </c>
      <c r="L249" s="3" t="inlineStr">
        <is>
          <t>NOT FOUND — a screen calls it, but the words printed beside its answer could not be traced automatically. Needs reading.</t>
        </is>
      </c>
      <c r="M249" s="3" t="inlineStr">
        <is>
          <t>· If balance is missing it counts as zero, so nothing recorded and a real zero look the same.</t>
        </is>
      </c>
      <c r="N249" s="3" t="inlineStr">
        <is>
          <t>Yes</t>
        </is>
      </c>
      <c r="O249" s="3" t="inlineStr">
        <is>
          <t>1. MK-NW-F-027 accountClassBreakdown
2. MK-NW-F-011 assetClassOf</t>
        </is>
      </c>
      <c r="P249" s="3" t="n">
        <v>12</v>
      </c>
      <c r="Q249" s="3" t="inlineStr">
        <is>
          <t>1. MK-NW-F-027 accountClassBreakdown
2. MK-NW-F-011 assetClassOf
3. MK-CF-F-155 cash
4. MK-NW-F-008 incomeBearingClassOf
5. MK-XS-F-122 n
6. MK-ST-F-010 nameEvidence
7. MK-XS-F-147 call
8. MK-ST-F-056 has
9. MK-CF-F-132 map
10. MK-ST-F-027 accountId
11. MK-XS-F-064 currentIdToken
12. MK-XS-F-112 relayUrl</t>
        </is>
      </c>
      <c r="R249"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MK-NW-F-008 incomeBearingClassOf → MK-NW-F-027 accountClassBreakdown → MK-NW-F-029 assetAllocation
7. MK-ST-F-027 accountId → MK-XS-F-147 call → MK-ST-F-010 nameEvidence → MK-NW-F-008 incomeBearingClassOf → MK-NW-F-027 accountClassBreakdown → MK-NW-F-029 assetAllocation
8. MK-XS-F-064 currentIdToken → MK-XS-F-147 call → MK-ST-F-010 nameEvidence → MK-NW-F-008 incomeBearingClassOf → MK-NW-F-027 accountClassBreakdown → MK-NW-F-029 assetAllocation
9. … and 4 more paths</t>
        </is>
      </c>
      <c r="S249" s="3" t="inlineStr">
        <is>
          <t>—</t>
        </is>
      </c>
      <c r="T249" s="3" t="inlineStr">
        <is>
          <t>ALLOCATION_BY_CLASS</t>
        </is>
      </c>
      <c r="U249" s="3" t="inlineStr">
        <is>
          <t>ACTIVE</t>
        </is>
      </c>
      <c r="V249" s="3" t="inlineStr">
        <is>
          <t>2026-08-27</t>
        </is>
      </c>
      <c r="W249" s="3" t="n"/>
      <c r="X249" s="3" t="n"/>
      <c r="Y249" s="3" t="inlineStr">
        <is>
          <t>NOTHING OPEN</t>
        </is>
      </c>
    </row>
    <row r="250" ht="60" customHeight="1">
      <c r="A250" s="3" t="inlineStr">
        <is>
          <t>MK-NW-F-030</t>
        </is>
      </c>
      <c r="B250" s="3" t="inlineStr">
        <is>
          <t>earmarkDefault</t>
        </is>
      </c>
      <c r="C250" s="3" t="inlineStr">
        <is>
          <t>src/domain/assets/index.ts</t>
        </is>
      </c>
      <c r="D250" s="3" t="n">
        <v>1287</v>
      </c>
      <c r="E250" s="3" t="inlineStr">
        <is>
          <t>2 · DISPLAYED</t>
        </is>
      </c>
      <c r="F250" s="3" t="inlineStr">
        <is>
          <t>Default % of an account that's earmarked for retirement (rest funds other goals).</t>
        </is>
      </c>
      <c r="G250" s="11" t="inlineStr">
        <is>
          <t>0   when kind = 'college_529'
0   when asset class of(a) = 'real_estate' and real estate use of(a) = 'primary'
0   when asset id = primary car id
100</t>
        </is>
      </c>
      <c r="H250" s="3" t="inlineStr">
        <is>
          <t>When kind = 'college_529', it answers 0. When asset class of(a) = 'real_estate' and real estate use of(a) = 'primary', it answers 0. When asset id = primary car id, it answers 0. 100.</t>
        </is>
      </c>
      <c r="I250" s="3" t="inlineStr">
        <is>
          <t>READ FROM THE CODE — rendered from the expressions the function runs</t>
        </is>
      </c>
      <c r="J250" s="3" t="inlineStr">
        <is>
          <t>1. a: AssetAccount
2. primaryCarId?: string</t>
        </is>
      </c>
      <c r="K250" s="3" t="inlineStr">
        <is>
          <t>number</t>
        </is>
      </c>
      <c r="L250"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0" s="3" t="inlineStr">
        <is>
          <t>None found in this function — anything it assumes comes from the functions it depends on.</t>
        </is>
      </c>
      <c r="N250" s="3" t="inlineStr">
        <is>
          <t>Yes</t>
        </is>
      </c>
      <c r="O250" s="3" t="inlineStr">
        <is>
          <t>1. MK-NW-F-011 assetClassOf
2. MK-NW-F-013 realEstateUseOf</t>
        </is>
      </c>
      <c r="P250" s="3" t="n">
        <v>12</v>
      </c>
      <c r="Q250"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0"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0" s="3" t="inlineStr">
        <is>
          <t>—</t>
        </is>
      </c>
      <c r="T250" s="3" t="inlineStr">
        <is>
          <t>RETIREMENT_SHARE_DEFAULT</t>
        </is>
      </c>
      <c r="U250" s="3" t="inlineStr">
        <is>
          <t>ACTIVE</t>
        </is>
      </c>
      <c r="V250" s="3" t="inlineStr">
        <is>
          <t>2026-08-27</t>
        </is>
      </c>
      <c r="W250" s="3" t="n"/>
      <c r="X250" s="3" t="n"/>
      <c r="Y250" s="3" t="inlineStr">
        <is>
          <t>NOTHING OPEN</t>
        </is>
      </c>
    </row>
    <row r="251" ht="60" customHeight="1">
      <c r="A251" s="3" t="inlineStr">
        <is>
          <t>MK-NW-F-031</t>
        </is>
      </c>
      <c r="B251" s="3" t="inlineStr">
        <is>
          <t>primaryCarIdOf</t>
        </is>
      </c>
      <c r="C251" s="3" t="inlineStr">
        <is>
          <t>src/domain/assets/index.ts</t>
        </is>
      </c>
      <c r="D251" s="3" t="n">
        <v>1328</v>
      </c>
      <c r="E251" s="3" t="inlineStr">
        <is>
          <t>2 · DISPLAYED</t>
        </is>
      </c>
      <c r="F251" s="3" t="inlineStr">
        <is>
          <t>The vehicle treated as "the car you drive" — the most valuable one, so a second car stays a real asset.</t>
        </is>
      </c>
      <c r="G251"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1"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1" s="3" t="inlineStr">
        <is>
          <t>PARTLY READ — some of the code is still showing through; needs a hand pass</t>
        </is>
      </c>
      <c r="J251" s="3" t="inlineStr">
        <is>
          <t>accounts: AssetAccount[]</t>
        </is>
      </c>
      <c r="K251" s="3" t="inlineStr">
        <is>
          <t>string | undefined</t>
        </is>
      </c>
      <c r="L251" s="3" t="inlineStr">
        <is>
          <t>"WHAT COUNTS TOWARD RETIREMENT" — on a card used on more than one screen (PlanInputs), under "WHAT COUNTS TOWARD RETIREMENT"</t>
        </is>
      </c>
      <c r="M251" s="3" t="inlineStr">
        <is>
          <t>· If balance is missing it counts as zero, so nothing recorded and a real zero look the same.</t>
        </is>
      </c>
      <c r="N251" s="3" t="inlineStr">
        <is>
          <t>Yes</t>
        </is>
      </c>
      <c r="O251" s="3" t="inlineStr">
        <is>
          <t>MK-NW-F-011 assetClassOf</t>
        </is>
      </c>
      <c r="P251" s="3" t="n">
        <v>11</v>
      </c>
      <c r="Q251" s="3" t="inlineStr">
        <is>
          <t>1. MK-NW-F-011 assetClassOf
2. MK-NW-F-008 incomeBearingClassOf
3. MK-CF-F-155 cash
4. MK-ST-F-010 nameEvidence
5. MK-XS-F-122 n
6. MK-XS-F-147 call
7. MK-ST-F-056 has
8. MK-CF-F-132 map
9. MK-ST-F-027 accountId
10. MK-XS-F-064 currentIdToken
11. MK-XS-F-112 relayUrl</t>
        </is>
      </c>
      <c r="R251"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1" s="3" t="inlineStr">
        <is>
          <t>—</t>
        </is>
      </c>
      <c r="T251" s="3" t="inlineStr">
        <is>
          <t>PRIMARY_CAR</t>
        </is>
      </c>
      <c r="U251" s="3" t="inlineStr">
        <is>
          <t>ACTIVE</t>
        </is>
      </c>
      <c r="V251" s="3" t="inlineStr">
        <is>
          <t>2026-08-27</t>
        </is>
      </c>
      <c r="W251" s="3" t="n"/>
      <c r="X251" s="3" t="n"/>
      <c r="Y251" s="3" t="inlineStr">
        <is>
          <t>NOTHING OPEN</t>
        </is>
      </c>
    </row>
    <row r="252" ht="60" customHeight="1">
      <c r="A252" s="3" t="inlineStr">
        <is>
          <t>MK-NW-F-032</t>
        </is>
      </c>
      <c r="B252" s="3" t="inlineStr">
        <is>
          <t>earmarkedAmount</t>
        </is>
      </c>
      <c r="C252" s="3" t="inlineStr">
        <is>
          <t>src/domain/assets/index.ts</t>
        </is>
      </c>
      <c r="D252" s="3" t="n">
        <v>1370</v>
      </c>
      <c r="E252" s="3" t="inlineStr">
        <is>
          <t>2 · DISPLAYED</t>
        </is>
      </c>
      <c r="F252" s="3" t="inlineStr">
        <is>
          <t>The retirement-earmarked $ for one account (uses the saved % or the smart default).</t>
        </is>
      </c>
      <c r="G252" s="11" t="inlineStr">
        <is>
          <t>pct = earmark default(a, primary car id)   if retirement pct = nothing
retirement pct   otherwise
the answer = (balance or 0) × max(0, min(100, pct)) ÷ 100</t>
        </is>
      </c>
      <c r="H252" s="3" t="inlineStr">
        <is>
          <t>Pct is earmark default(a, primary car id) — when retirement pct is missing; retirement pct — otherwise. The answer is (balance or 0) times the smaller of 100 and pct, never below zero divided by 100.</t>
        </is>
      </c>
      <c r="I252" s="3" t="inlineStr">
        <is>
          <t>READ FROM THE CODE — rendered from the expressions the function runs</t>
        </is>
      </c>
      <c r="J252" s="3" t="inlineStr">
        <is>
          <t>1. a: AssetAccount
2. primaryCarId?: string</t>
        </is>
      </c>
      <c r="K252" s="3" t="inlineStr">
        <is>
          <t>number</t>
        </is>
      </c>
      <c r="L252" s="3" t="inlineStr">
        <is>
          <t>"WHAT COUNTS TOWARD RETIREMENT" — on a card used on more than one screen (PlanInputs), under "WHAT COUNTS TOWARD RETIREMENT"</t>
        </is>
      </c>
      <c r="M252" s="3" t="inlineStr">
        <is>
          <t>1. If balance is missing it counts as zero, so nothing recorded and a real zero look the same.
2. Caps percent at 100.</t>
        </is>
      </c>
      <c r="N252" s="3" t="inlineStr">
        <is>
          <t>Yes</t>
        </is>
      </c>
      <c r="O252" s="3" t="inlineStr">
        <is>
          <t>MK-NW-F-030 earmarkDefault</t>
        </is>
      </c>
      <c r="P252" s="3" t="n">
        <v>13</v>
      </c>
      <c r="Q252"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52"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52" s="3" t="inlineStr">
        <is>
          <t>—</t>
        </is>
      </c>
      <c r="T252" s="3" t="inlineStr">
        <is>
          <t>RETIREMENT_SHARE_AMOUNT</t>
        </is>
      </c>
      <c r="U252" s="3" t="inlineStr">
        <is>
          <t>ACTIVE</t>
        </is>
      </c>
      <c r="V252" s="3" t="inlineStr">
        <is>
          <t>2026-09-09</t>
        </is>
      </c>
      <c r="W252" s="3" t="n"/>
      <c r="X252" s="3" t="n"/>
      <c r="Y252" s="3" t="inlineStr">
        <is>
          <t>NOTHING OPEN</t>
        </is>
      </c>
    </row>
    <row r="253" ht="60" customHeight="1">
      <c r="A253" s="3" t="inlineStr">
        <is>
          <t>MK-NW-F-033</t>
        </is>
      </c>
      <c r="B253" s="3" t="inlineStr">
        <is>
          <t>retirementEarmarkedValue</t>
        </is>
      </c>
      <c r="C253" s="3" t="inlineStr">
        <is>
          <t>src/domain/assets/index.ts</t>
        </is>
      </c>
      <c r="D253" s="3" t="n">
        <v>1398</v>
      </c>
      <c r="E253" s="3" t="inlineStr">
        <is>
          <t>2 · DISPLAYED</t>
        </is>
      </c>
      <c r="F253" s="3" t="inlineStr">
        <is>
          <t>Total nest egg = sum of each account's retirement-earmarked portion.</t>
        </is>
      </c>
      <c r="G253" s="11" t="inlineStr">
        <is>
          <t>car = primary car id of(accounts)
the answer = Σ over accounts (or none when missing) of (earmarked amount(each, car))</t>
        </is>
      </c>
      <c r="H253" s="3" t="inlineStr">
        <is>
          <t>Car is primary car id of(accounts). The answer: the earmarked amount(each, car) added up across accounts (or none — when missing).</t>
        </is>
      </c>
      <c r="I253" s="3" t="inlineStr">
        <is>
          <t>READ FROM THE CODE — rendered from the expressions the function runs</t>
        </is>
      </c>
      <c r="J253" s="3" t="inlineStr">
        <is>
          <t>accounts: AssetAccount[]</t>
        </is>
      </c>
      <c r="K253" s="3" t="inlineStr">
        <is>
          <t>number</t>
        </is>
      </c>
      <c r="L253"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53" s="3" t="inlineStr">
        <is>
          <t>None found in this function — anything it assumes comes from the functions it depends on.</t>
        </is>
      </c>
      <c r="N253" s="3" t="inlineStr">
        <is>
          <t>Yes</t>
        </is>
      </c>
      <c r="O253" s="3" t="inlineStr">
        <is>
          <t>1. MK-NW-F-032 earmarkedAmount
2. MK-NW-F-031 primaryCarIdOf</t>
        </is>
      </c>
      <c r="P253" s="3" t="n">
        <v>15</v>
      </c>
      <c r="Q253"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53"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53" s="3" t="inlineStr">
        <is>
          <t>—</t>
        </is>
      </c>
      <c r="T253" s="3" t="inlineStr">
        <is>
          <t>NEST_EGG</t>
        </is>
      </c>
      <c r="U253" s="3" t="inlineStr">
        <is>
          <t>ACTIVE</t>
        </is>
      </c>
      <c r="V253" s="3" t="inlineStr">
        <is>
          <t>2026-09-09</t>
        </is>
      </c>
      <c r="W253" s="3" t="n"/>
      <c r="X253" s="3" t="n"/>
      <c r="Y253" s="3" t="inlineStr">
        <is>
          <t>NOTHING OPEN</t>
        </is>
      </c>
    </row>
    <row r="254" ht="60" customHeight="1">
      <c r="A254" s="3" t="inlineStr">
        <is>
          <t>MK-NW-F-034</t>
        </is>
      </c>
      <c r="B254" s="3" t="inlineStr">
        <is>
          <t>benchmarkReturn</t>
        </is>
      </c>
      <c r="C254" s="3" t="inlineStr">
        <is>
          <t>src/domain/assets/index.ts</t>
        </is>
      </c>
      <c r="D254" s="3" t="n">
        <v>1432</v>
      </c>
      <c r="E254" s="3" t="inlineStr">
        <is>
          <t>2 · DISPLAYED</t>
        </is>
      </c>
      <c r="F254" s="3" t="inlineStr">
        <is>
          <t>Benchmark expected annual return for an asset kind — user override if set, else the ASSET_KINDS default.</t>
        </is>
      </c>
      <c r="G254" s="11" t="inlineStr">
        <is>
          <t>overrides[kind]   when kind and overrides and overrides[kind] ≠ nothing
asset kind(kind).ret (or 0.06 when missing)</t>
        </is>
      </c>
      <c r="H254" s="3" t="inlineStr">
        <is>
          <t>When kind and overrides and overrides[kind] is not no answer, it answers overrides[kind]. asset kind(kind).ret (or 0.06 — when missing).</t>
        </is>
      </c>
      <c r="I254" s="3" t="inlineStr">
        <is>
          <t>PARTLY READ — some of the code is still showing through; needs a hand pass</t>
        </is>
      </c>
      <c r="J254" s="3" t="inlineStr">
        <is>
          <t>1. kind: string | undefined
2. overrides?: Record&lt;string, number&gt;</t>
        </is>
      </c>
      <c r="K254" s="3" t="inlineStr">
        <is>
          <t>number</t>
        </is>
      </c>
      <c r="L254" s="3" t="inlineStr">
        <is>
          <t>1. "Type" — on the Other investments screen
2. "Typical yearly return for this type" — on the account portfolio screen, under "IF INTEREST RATES MOVE"</t>
        </is>
      </c>
      <c r="M254" s="3" t="inlineStr">
        <is>
          <t>· If return is missing it uses 6%.</t>
        </is>
      </c>
      <c r="N254" s="3" t="inlineStr">
        <is>
          <t>Yes</t>
        </is>
      </c>
      <c r="O254" s="3" t="inlineStr">
        <is>
          <t>MK-NW-F-007 assetKind</t>
        </is>
      </c>
      <c r="P254" s="3" t="n">
        <v>12</v>
      </c>
      <c r="Q254" s="3" t="inlineStr">
        <is>
          <t>1. MK-NW-F-007 assetKind
2. MK-NW-F-011 assetClassOf
3. MK-CF-F-155 cash
4. MK-NW-F-008 incomeBearingClassOf
5. MK-XS-F-122 n
6. MK-ST-F-010 nameEvidence
7. MK-XS-F-147 call
8. MK-ST-F-056 has
9. MK-CF-F-132 map
10. MK-ST-F-027 accountId
11. MK-XS-F-064 currentIdToken
12. MK-XS-F-112 relayUrl</t>
        </is>
      </c>
      <c r="R254"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54" s="3" t="inlineStr">
        <is>
          <t>—</t>
        </is>
      </c>
      <c r="T254" s="3" t="inlineStr">
        <is>
          <t>EXPECTED_RETURN_BY_KIND</t>
        </is>
      </c>
      <c r="U254" s="3" t="inlineStr">
        <is>
          <t>ACTIVE</t>
        </is>
      </c>
      <c r="V254" s="3" t="inlineStr">
        <is>
          <t>2026-08-27</t>
        </is>
      </c>
      <c r="W254" s="3" t="n"/>
      <c r="X254" s="3" t="n"/>
      <c r="Y254" s="3" t="inlineStr">
        <is>
          <t>NOTHING OPEN</t>
        </is>
      </c>
    </row>
    <row r="255" ht="60" customHeight="1">
      <c r="A255" s="3" t="inlineStr">
        <is>
          <t>MK-NW-F-035</t>
        </is>
      </c>
      <c r="B255" s="3" t="inlineStr">
        <is>
          <t>blendedVolatility</t>
        </is>
      </c>
      <c r="C255" s="3" t="inlineStr">
        <is>
          <t>src/domain/assets/index.ts</t>
        </is>
      </c>
      <c r="D255" s="3" t="n">
        <v>1508</v>
      </c>
      <c r="E255" s="3" t="inlineStr">
        <is>
          <t>3 · DEPENDENT</t>
        </is>
      </c>
      <c r="F255" s="3" t="inlineStr">
        <is>
          <t>The volatility of THIS portfolio — each account's own class volatility, weighted the way the money actually is (the same weighting `blendedReturn` uses, so the pair always describes one portfolio).</t>
        </is>
      </c>
      <c r="G255"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55"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55" s="3" t="inlineStr">
        <is>
          <t>PARTLY READ — some of the code is still showing through; needs a hand pass</t>
        </is>
      </c>
      <c r="J255" s="3" t="inlineStr">
        <is>
          <t>1. accounts: AssetAccount[]
2. overrides?: Record&lt;string, number&gt;</t>
        </is>
      </c>
      <c r="K255" s="3" t="inlineStr">
        <is>
          <t>number</t>
        </is>
      </c>
      <c r="L255" s="3" t="inlineStr">
        <is>
          <t>—</t>
        </is>
      </c>
      <c r="M255" s="3" t="inlineStr">
        <is>
          <t>· If v is missing it uses 12%.</t>
        </is>
      </c>
      <c r="N255" s="3" t="inlineStr">
        <is>
          <t>Yes</t>
        </is>
      </c>
      <c r="O255" s="3" t="inlineStr">
        <is>
          <t>1. MK-CF-F-155 cash
2. MK-NW-F-032 earmarkedAmount
3. MK-NW-F-031 primaryCarIdOf</t>
        </is>
      </c>
      <c r="P255" s="3" t="n">
        <v>15</v>
      </c>
      <c r="Q255"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55"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55" s="3" t="inlineStr">
        <is>
          <t>—</t>
        </is>
      </c>
      <c r="T255" s="3" t="inlineStr">
        <is>
          <t>EXPECTED_SWING_BLENDED</t>
        </is>
      </c>
      <c r="U255" s="3" t="inlineStr">
        <is>
          <t>ACTIVE</t>
        </is>
      </c>
      <c r="V255" s="3" t="inlineStr">
        <is>
          <t>2026-08-27</t>
        </is>
      </c>
      <c r="W255" s="3" t="n"/>
      <c r="X255" s="3" t="n"/>
      <c r="Y255" s="6" t="inlineStr">
        <is>
          <t>TESTED, NOT VERIFIED (G24)</t>
        </is>
      </c>
    </row>
    <row r="256" ht="60" customHeight="1">
      <c r="A256" s="3" t="inlineStr">
        <is>
          <t>MK-NW-F-036</t>
        </is>
      </c>
      <c r="B256" s="3" t="inlineStr">
        <is>
          <t>benchmarkInfo</t>
        </is>
      </c>
      <c r="C256" s="3" t="inlineStr">
        <is>
          <t>src/domain/assets/index.ts</t>
        </is>
      </c>
      <c r="D256" s="3" t="n">
        <v>1568</v>
      </c>
      <c r="E256" s="3" t="inlineStr">
        <is>
          <t>2 · DISPLAYED</t>
        </is>
      </c>
      <c r="F256" s="3" t="inlineStr">
        <is>
          <t>Benchmark return + its source/period for an asset kind.</t>
        </is>
      </c>
      <c r="G256"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56"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56" s="3" t="inlineStr">
        <is>
          <t>PARTLY READ — some of the code is still showing through; needs a hand pass</t>
        </is>
      </c>
      <c r="J256" s="3" t="inlineStr">
        <is>
          <t>1. kind: string | undefined
2. overrides?: Record&lt;string, number&gt;</t>
        </is>
      </c>
      <c r="K256" s="3" t="inlineStr">
        <is>
          <t>NOT DECLARED — the code does not say what it gives back</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MK-NW-F-034 benchmarkReturn</t>
        </is>
      </c>
      <c r="P256" s="3" t="n">
        <v>13</v>
      </c>
      <c r="Q256"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56"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56" s="3" t="inlineStr">
        <is>
          <t>—</t>
        </is>
      </c>
      <c r="T256" s="3" t="inlineStr">
        <is>
          <t>—</t>
        </is>
      </c>
      <c r="U256" s="3" t="inlineStr">
        <is>
          <t>ACTIVE</t>
        </is>
      </c>
      <c r="V256" s="3" t="inlineStr">
        <is>
          <t>2026-08-27</t>
        </is>
      </c>
      <c r="W256" s="3" t="n"/>
      <c r="X256" s="3" t="n"/>
      <c r="Y256" s="3" t="inlineStr">
        <is>
          <t>NOTHING OPEN</t>
        </is>
      </c>
    </row>
    <row r="257" ht="60" customHeight="1">
      <c r="A257" s="3" t="inlineStr">
        <is>
          <t>MK-NW-F-037</t>
        </is>
      </c>
      <c r="B257" s="3" t="inlineStr">
        <is>
          <t>blendedReturn</t>
        </is>
      </c>
      <c r="C257" s="3" t="inlineStr">
        <is>
          <t>src/domain/assets/index.ts</t>
        </is>
      </c>
      <c r="D257" s="3" t="n">
        <v>1604</v>
      </c>
      <c r="E257" s="3" t="inlineStr">
        <is>
          <t>2 · DISPLAYED</t>
        </is>
      </c>
      <c r="F257" s="3" t="inlineStr">
        <is>
          <t>Blended expected return across the EARMARKED nest egg, weighted by each holding's share.</t>
        </is>
      </c>
      <c r="G257"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57"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57" s="3" t="inlineStr">
        <is>
          <t>READ FROM THE CODE — rendered from the expressions the function runs</t>
        </is>
      </c>
      <c r="J257" s="3" t="inlineStr">
        <is>
          <t>1. accounts: AssetAccount[]
2. overrides?: Record&lt;string, number&gt;</t>
        </is>
      </c>
      <c r="K257" s="3" t="inlineStr">
        <is>
          <t>number</t>
        </is>
      </c>
      <c r="L257" s="3" t="inlineStr">
        <is>
          <t>1. "Expected return" — on the Retirement cockpit screen, under "scRetired ?"
2. "Weighted average" — on the Retirement cockpit screen</t>
        </is>
      </c>
      <c r="M257" s="3" t="inlineStr">
        <is>
          <t>None found in this function — anything it assumes comes from the functions it depends on.</t>
        </is>
      </c>
      <c r="N257" s="3" t="inlineStr">
        <is>
          <t>Yes</t>
        </is>
      </c>
      <c r="O257" s="3" t="inlineStr">
        <is>
          <t>1. MK-NW-F-034 benchmarkReturn
2. MK-NW-F-032 earmarkedAmount
3. MK-NW-F-031 primaryCarIdOf</t>
        </is>
      </c>
      <c r="P257" s="3" t="n">
        <v>17</v>
      </c>
      <c r="Q257"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57"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57" s="3" t="inlineStr">
        <is>
          <t>—</t>
        </is>
      </c>
      <c r="T257" s="3" t="inlineStr">
        <is>
          <t>EXPECTED_RETURN_BLENDED</t>
        </is>
      </c>
      <c r="U257" s="3" t="inlineStr">
        <is>
          <t>ACTIVE</t>
        </is>
      </c>
      <c r="V257" s="3" t="inlineStr">
        <is>
          <t>2026-09-09</t>
        </is>
      </c>
      <c r="W257" s="3" t="n"/>
      <c r="X257" s="3" t="n"/>
      <c r="Y257" s="6" t="inlineStr">
        <is>
          <t>TESTED, NOT VERIFIED (G24)</t>
        </is>
      </c>
    </row>
    <row r="258" ht="60" customHeight="1">
      <c r="A258" s="3" t="inlineStr">
        <is>
          <t>MK-NW-F-038</t>
        </is>
      </c>
      <c r="B258" s="3" t="inlineStr">
        <is>
          <t>earmarkedKinds</t>
        </is>
      </c>
      <c r="C258" s="3" t="inlineStr">
        <is>
          <t>src/domain/assets/index.ts</t>
        </is>
      </c>
      <c r="D258" s="3" t="n">
        <v>1635</v>
      </c>
      <c r="E258" s="3" t="inlineStr">
        <is>
          <t>3 · DEPENDENT (feeds an action only)</t>
        </is>
      </c>
      <c r="F258" s="3" t="inlineStr">
        <is>
          <t>Distinct investment kinds present in the earmarked nest egg (for the benchmark editor).</t>
        </is>
      </c>
      <c r="G258" s="11" t="inlineStr">
        <is>
          <t>seen = new set&lt;string&gt;()
the answer = array.from(seen)</t>
        </is>
      </c>
      <c r="H258" s="3" t="inlineStr">
        <is>
          <t>Seen is new set&lt;string&gt;(). The answer is array.from(seen).</t>
        </is>
      </c>
      <c r="I258" s="3" t="inlineStr">
        <is>
          <t>PARTLY READ — some of the code is still showing through; needs a hand pass</t>
        </is>
      </c>
      <c r="J258" s="3" t="inlineStr">
        <is>
          <t>accounts: AssetAccount[]</t>
        </is>
      </c>
      <c r="K258" s="3" t="inlineStr">
        <is>
          <t>string[]</t>
        </is>
      </c>
      <c r="L258" s="3" t="inlineStr">
        <is>
          <t>—</t>
        </is>
      </c>
      <c r="M258" s="3" t="inlineStr">
        <is>
          <t>· Uses a built-in d e f a u l t r e t u r n of 7%.</t>
        </is>
      </c>
      <c r="N258" s="3" t="inlineStr">
        <is>
          <t>No</t>
        </is>
      </c>
      <c r="O258" s="3" t="inlineStr">
        <is>
          <t>MK-NW-F-032 earmarkedAmount</t>
        </is>
      </c>
      <c r="P258" s="3" t="n">
        <v>14</v>
      </c>
      <c r="Q258"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58"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58" s="3" t="inlineStr">
        <is>
          <t>—</t>
        </is>
      </c>
      <c r="T258" s="3" t="inlineStr">
        <is>
          <t>—</t>
        </is>
      </c>
      <c r="U258" s="3" t="inlineStr">
        <is>
          <t>ACTIVE</t>
        </is>
      </c>
      <c r="V258" s="3" t="inlineStr">
        <is>
          <t>2026-08-27</t>
        </is>
      </c>
      <c r="W258" s="3" t="n"/>
      <c r="X258" s="3" t="n"/>
      <c r="Y258" s="3" t="inlineStr">
        <is>
          <t>NOTHING OPEN</t>
        </is>
      </c>
    </row>
    <row r="259" ht="60" customHeight="1">
      <c r="A259" s="3" t="inlineStr">
        <is>
          <t>MK-NW-F-039</t>
        </is>
      </c>
      <c r="B259" s="3" t="inlineStr">
        <is>
          <t>buildAssetsState</t>
        </is>
      </c>
      <c r="C259" s="3" t="inlineStr">
        <is>
          <t>src/domain/assets/index.ts</t>
        </is>
      </c>
      <c r="D259" s="3" t="n">
        <v>1677</v>
      </c>
      <c r="E259" s="3" t="inlineStr">
        <is>
          <t>2 · DISPLAYED</t>
        </is>
      </c>
      <c r="F259" s="3" t="inlineStr">
        <is>
          <t>How much of everything sits in each account, and what return do they blend to?</t>
        </is>
      </c>
      <c r="G259" s="11" t="inlineStr">
        <is>
          <t>total asset value      = round(Σ over every account of (balance), 2 dp)
share of portfolio (a) = round(balance of a ÷ total × 100, 2 dp)
average target return  = round(Σ(target return × balance) ÷ total, 4 dp)</t>
        </is>
      </c>
      <c r="H259"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59" s="3" t="inlineStr">
        <is>
          <t>READ BY HAND 2026-08-26 — checked line by line against the code</t>
        </is>
      </c>
      <c r="J259" s="3" t="inlineStr">
        <is>
          <t>1. uid: UserId
2. accounts: AssetAccount[]</t>
        </is>
      </c>
      <c r="K259" s="3" t="inlineStr">
        <is>
          <t>AssetsState</t>
        </is>
      </c>
      <c r="L259" s="3" t="inlineStr">
        <is>
          <t>NOT FOUND — a screen calls it, but the words printed beside its answer could not be traced automatically. Needs reading.</t>
        </is>
      </c>
      <c r="M259" s="3" t="inlineStr">
        <is>
          <t>None found in this function — anything it assumes comes from the functions it depends on.</t>
        </is>
      </c>
      <c r="N259" s="3" t="inlineStr">
        <is>
          <t>Yes</t>
        </is>
      </c>
      <c r="O259" s="3" t="inlineStr">
        <is>
          <t>1. MK-CF-F-132 map
2. MK-XS-F-175 uid</t>
        </is>
      </c>
      <c r="P259" s="3" t="n">
        <v>80</v>
      </c>
      <c r="Q259" s="3" t="inlineStr">
        <is>
          <t>1. MK-CF-F-132 map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59"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59" s="3" t="inlineStr">
        <is>
          <t>—</t>
        </is>
      </c>
      <c r="T259" s="3" t="inlineStr">
        <is>
          <t>ACCOUNT_SHARE_OF_TOTAL</t>
        </is>
      </c>
      <c r="U259" s="3" t="inlineStr">
        <is>
          <t>ACTIVE</t>
        </is>
      </c>
      <c r="V259" s="3" t="inlineStr">
        <is>
          <t>2026-08-27</t>
        </is>
      </c>
      <c r="W259" s="3" t="n"/>
      <c r="X259" s="3" t="n"/>
      <c r="Y259" s="3" t="inlineStr">
        <is>
          <t>NOTHING OPEN</t>
        </is>
      </c>
    </row>
    <row r="260" ht="60" customHeight="1">
      <c r="A260" s="3" t="inlineStr">
        <is>
          <t>MK-NW-F-040</t>
        </is>
      </c>
      <c r="B260" s="3" t="inlineStr">
        <is>
          <t>assetsFromOnboarding</t>
        </is>
      </c>
      <c r="C260" s="3" t="inlineStr">
        <is>
          <t>src/domain/assets/index.ts</t>
        </is>
      </c>
      <c r="D260" s="3" t="n">
        <v>1726</v>
      </c>
      <c r="E260" s="3" t="inlineStr">
        <is>
          <t>3 · DEPENDENT</t>
        </is>
      </c>
      <c r="F260" s="3" t="inlineStr">
        <is>
          <t>Build asset accounts from onboarding answers (accumulation: retirement savings + holdings).</t>
        </is>
      </c>
      <c r="G260" s="11" t="inlineStr">
        <is>
          <t>a = op (or none when missing)
accounts = []
bal = raw read as a number (0 when it is not one)
the answer:
user id = uid
accounts = accounts</t>
        </is>
      </c>
      <c r="H260" s="3" t="inlineStr">
        <is>
          <t>A is op (or none — when missing). Accounts is []. Bal is raw read as a number (0 — when it is one is missing). The answer is user id = uid; accounts = accounts.</t>
        </is>
      </c>
      <c r="I260" s="3" t="inlineStr">
        <is>
          <t>READ FROM THE CODE — rendered from the expressions the function runs</t>
        </is>
      </c>
      <c r="J260" s="3" t="inlineStr">
        <is>
          <t>1. uid: UserId
2. op: Record&lt;string, any&gt; | null</t>
        </is>
      </c>
      <c r="K260" s="3" t="inlineStr">
        <is>
          <t>AssetsDoc</t>
        </is>
      </c>
      <c r="L260" s="3" t="inlineStr">
        <is>
          <t>—</t>
        </is>
      </c>
      <c r="M260" s="3" t="inlineStr">
        <is>
          <t>None found in this function — anything it assumes comes from the functions it depends on.</t>
        </is>
      </c>
      <c r="N260" s="3" t="inlineStr">
        <is>
          <t>Yes</t>
        </is>
      </c>
      <c r="O260" s="3" t="inlineStr">
        <is>
          <t>1. MK-ST-F-043 newEntityId
2. MK-ST-F-052 toNum
3. MK-XS-F-175 uid</t>
        </is>
      </c>
      <c r="P260" s="3" t="n">
        <v>79</v>
      </c>
      <c r="Q260" s="3" t="inlineStr">
        <is>
          <t>1. MK-ST-F-043 newEntityId
2. MK-ST-F-052 toNum
3. MK-XS-F-175 uid
4. MK-XS-F-122 n
5. MK-ST-F-027 accountId
6. MK-CF-F-111 applyTransaction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260"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0" s="3" t="inlineStr">
        <is>
          <t>—</t>
        </is>
      </c>
      <c r="T260" s="3" t="inlineStr">
        <is>
          <t>ACCOUNTS_FROM_SETUP</t>
        </is>
      </c>
      <c r="U260" s="3" t="inlineStr">
        <is>
          <t>ACTIVE</t>
        </is>
      </c>
      <c r="V260" s="3" t="inlineStr">
        <is>
          <t>2026-08-27</t>
        </is>
      </c>
      <c r="W260" s="3" t="n"/>
      <c r="X260" s="3" t="n"/>
      <c r="Y260" s="3" t="inlineStr">
        <is>
          <t>NOTHING OPEN</t>
        </is>
      </c>
    </row>
    <row r="261" ht="60" customHeight="1">
      <c r="A261" s="3" t="inlineStr">
        <is>
          <t>MK-NW-F-041</t>
        </is>
      </c>
      <c r="B261" s="3" t="inlineStr">
        <is>
          <t>monthlyContributionsFromOnboarding</t>
        </is>
      </c>
      <c r="C261" s="3" t="inlineStr">
        <is>
          <t>src/domain/assets/index.ts</t>
        </is>
      </c>
      <c r="D261" s="3" t="n">
        <v>1768</v>
      </c>
      <c r="E261" s="3" t="inlineStr">
        <is>
          <t>2 · DISPLAYED</t>
        </is>
      </c>
      <c r="F261" s="3" t="inlineStr">
        <is>
          <t>Total monthly contributions across types + employer match (feeds the retirement projection).</t>
        </is>
      </c>
      <c r="G261" s="11" t="inlineStr">
        <is>
          <t>a = op (or none when missing)
the answer = Σ over ['c_401k', 'c_roth', 'c_invest', 'c_property'] of (a[each] read as a number (0 when it is not one))+ employer match monthly(op)</t>
        </is>
      </c>
      <c r="H261" s="3" t="inlineStr">
        <is>
          <t>A is op (or none — when missing). The answer: the a[each] read as a number (0 — when it is one is missing))+ employer match monthly(op added up across ['c_401k', 'c_roth', 'c_invest', 'c_property'].</t>
        </is>
      </c>
      <c r="I261" s="3" t="inlineStr">
        <is>
          <t>PARTLY READ — some of the code is still showing through; needs a hand pass</t>
        </is>
      </c>
      <c r="J261" s="3" t="inlineStr">
        <is>
          <t>op: Record&lt;string, any&gt; | null</t>
        </is>
      </c>
      <c r="K261" s="3" t="inlineStr">
        <is>
          <t>number</t>
        </is>
      </c>
      <c r="L261" s="3" t="inlineStr">
        <is>
          <t>NOT FOUND — a screen calls it, but the words printed beside its answer could not be traced automatically. Needs reading.</t>
        </is>
      </c>
      <c r="M261" s="3" t="inlineStr">
        <is>
          <t>None found in this function — anything it assumes comes from the functions it depends on.</t>
        </is>
      </c>
      <c r="N261" s="3" t="inlineStr">
        <is>
          <t>Yes</t>
        </is>
      </c>
      <c r="O261" s="3" t="inlineStr">
        <is>
          <t>1. MK-CF-F-078 employerMatchMonthly
2. MK-ST-F-052 toNum</t>
        </is>
      </c>
      <c r="P261" s="3" t="n">
        <v>8</v>
      </c>
      <c r="Q261" s="3" t="inlineStr">
        <is>
          <t>1. MK-CF-F-078 employerMatchMonthly
2. MK-ST-F-052 toNum
3. MK-CF-F-175 sumOverEarners
4. MK-CF-F-178 wageMatchMonthly
5. MK-XS-F-122 n
6. MK-CF-F-173 earnerWages
7. MK-CF-F-172 hasWage
8. MK-ST-F-056 has</t>
        </is>
      </c>
      <c r="R261"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1" s="3" t="inlineStr">
        <is>
          <t>—</t>
        </is>
      </c>
      <c r="T261" s="3" t="inlineStr">
        <is>
          <t>MONTHLY_SAVING</t>
        </is>
      </c>
      <c r="U261" s="3" t="inlineStr">
        <is>
          <t>ACTIVE</t>
        </is>
      </c>
      <c r="V261" s="3" t="inlineStr">
        <is>
          <t>2026-08-27</t>
        </is>
      </c>
      <c r="W261" s="3" t="n"/>
      <c r="X261" s="3" t="n"/>
      <c r="Y261" s="3" t="inlineStr">
        <is>
          <t>NOTHING OPEN</t>
        </is>
      </c>
    </row>
    <row r="262" ht="60" customHeight="1">
      <c r="A262" s="3" t="inlineStr">
        <is>
          <t>MK-NW-F-042</t>
        </is>
      </c>
      <c r="B262" s="3" t="inlineStr">
        <is>
          <t>loadAssets</t>
        </is>
      </c>
      <c r="C262" s="3" t="inlineStr">
        <is>
          <t>src/domain/assets/index.ts</t>
        </is>
      </c>
      <c r="D262" s="3" t="n">
        <v>1793</v>
      </c>
      <c r="E262" s="3" t="inlineStr">
        <is>
          <t>3 · DEPENDENT (feeds an action only)</t>
        </is>
      </c>
      <c r="F262" s="3" t="inlineStr">
        <is>
          <t>NOT DETERMINED — the code carries no note saying what this is for, and it has no row in the old inventory. Needs reading.</t>
        </is>
      </c>
      <c r="G262" s="11" t="inlineStr">
        <is>
          <t>It reaches outside the app for data and hands back what came back — no arithmetic of its own.</t>
        </is>
      </c>
      <c r="H262" s="3" t="inlineStr">
        <is>
          <t>It reaches outside the app for data and hands back what came back — no arithmetic of its own.</t>
        </is>
      </c>
      <c r="I262" s="3" t="inlineStr">
        <is>
          <t>NO ARITHMETIC — there is no formula to state</t>
        </is>
      </c>
      <c r="J262" s="3" t="inlineStr">
        <is>
          <t>uid: UserId</t>
        </is>
      </c>
      <c r="K262" s="3" t="inlineStr">
        <is>
          <t>NOT DECLARED — the code does not say what it gives back</t>
        </is>
      </c>
      <c r="L262" s="3" t="inlineStr">
        <is>
          <t>—</t>
        </is>
      </c>
      <c r="M262" s="3" t="inlineStr">
        <is>
          <t>None found in this function — anything it assumes comes from the functions it depends on.</t>
        </is>
      </c>
      <c r="N262" s="3" t="inlineStr">
        <is>
          <t>No</t>
        </is>
      </c>
      <c r="O262" s="3" t="inlineStr">
        <is>
          <t>MK-XS-F-175 uid</t>
        </is>
      </c>
      <c r="P262" s="3" t="n">
        <v>80</v>
      </c>
      <c r="Q26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62"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62" s="3" t="inlineStr">
        <is>
          <t>—</t>
        </is>
      </c>
      <c r="T262" s="3" t="inlineStr">
        <is>
          <t>—</t>
        </is>
      </c>
      <c r="U262" s="3" t="inlineStr">
        <is>
          <t>ACTIVE</t>
        </is>
      </c>
      <c r="V262" s="3" t="inlineStr">
        <is>
          <t>2026-08-27</t>
        </is>
      </c>
      <c r="W262" s="3" t="n"/>
      <c r="X262" s="3" t="n"/>
      <c r="Y262" s="3" t="inlineStr">
        <is>
          <t>NOTHING OPEN</t>
        </is>
      </c>
    </row>
    <row r="263" ht="60" customHeight="1">
      <c r="A263" s="3" t="inlineStr">
        <is>
          <t>MK-NW-F-043</t>
        </is>
      </c>
      <c r="B263" s="3" t="inlineStr">
        <is>
          <t>saveAssets</t>
        </is>
      </c>
      <c r="C263" s="3" t="inlineStr">
        <is>
          <t>src/domain/assets/index.ts</t>
        </is>
      </c>
      <c r="D263" s="3" t="n">
        <v>1809</v>
      </c>
      <c r="E263" s="3" t="inlineStr">
        <is>
          <t>1 · ACTION</t>
        </is>
      </c>
      <c r="F263" s="3" t="inlineStr">
        <is>
          <t>NOT DETERMINED — the code carries no note saying what this is for, and it has no row in the old inventory. Needs reading.</t>
        </is>
      </c>
      <c r="G263" s="11" t="inlineStr">
        <is>
          <t>It records or announces something and returns no figure — no arithmetic of its own.</t>
        </is>
      </c>
      <c r="H263" s="3" t="inlineStr">
        <is>
          <t>It records or announces something and returns no figure — no arithmetic of its own.</t>
        </is>
      </c>
      <c r="I263" s="3" t="inlineStr">
        <is>
          <t>NO ARITHMETIC — there is no formula to state</t>
        </is>
      </c>
      <c r="J263" s="3" t="inlineStr">
        <is>
          <t>d: AssetsDoc</t>
        </is>
      </c>
      <c r="K263" s="3" t="inlineStr">
        <is>
          <t>d.user_id }); }</t>
        </is>
      </c>
      <c r="L263" s="3" t="inlineStr">
        <is>
          <t>—</t>
        </is>
      </c>
      <c r="M263" s="3" t="inlineStr">
        <is>
          <t>None found in this function — anything it assumes comes from the functions it depends on.</t>
        </is>
      </c>
      <c r="N263" s="3" t="inlineStr">
        <is>
          <t>No</t>
        </is>
      </c>
      <c r="O263" s="3" t="inlineStr">
        <is>
          <t>1. MK-ST-F-040 emit
2. MK-ST-F-042 setUserDoc</t>
        </is>
      </c>
      <c r="P263" s="3" t="n">
        <v>82</v>
      </c>
      <c r="Q263"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3"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63" s="3" t="inlineStr">
        <is>
          <t>—</t>
        </is>
      </c>
      <c r="T263" s="3" t="inlineStr">
        <is>
          <t>—</t>
        </is>
      </c>
      <c r="U263" s="3" t="inlineStr">
        <is>
          <t>ACTIVE</t>
        </is>
      </c>
      <c r="V263" s="3" t="inlineStr">
        <is>
          <t>2026-08-27</t>
        </is>
      </c>
      <c r="W263" s="3" t="n"/>
      <c r="X263" s="3" t="n"/>
      <c r="Y263" s="3" t="inlineStr">
        <is>
          <t>NOTHING OPEN</t>
        </is>
      </c>
    </row>
    <row r="264" ht="60" customHeight="1">
      <c r="A264" s="3" t="inlineStr">
        <is>
          <t>MK-NW-F-044</t>
        </is>
      </c>
      <c r="B264" s="3" t="inlineStr">
        <is>
          <t>getAssetsState</t>
        </is>
      </c>
      <c r="C264" s="3" t="inlineStr">
        <is>
          <t>src/domain/assets/index.ts</t>
        </is>
      </c>
      <c r="D264" s="3" t="n">
        <v>1826</v>
      </c>
      <c r="E264" s="3" t="inlineStr">
        <is>
          <t>3 · DEPENDENT (feeds an action only)</t>
        </is>
      </c>
      <c r="F264" s="3" t="inlineStr">
        <is>
          <t>NOT DETERMINED — the code carries no note saying what this is for, and it has no row in the old inventory. Needs reading.</t>
        </is>
      </c>
      <c r="G264" s="11" t="inlineStr">
        <is>
          <t>d = build assets state(uid, accounts ?? [])   if await load assets(uid); return d
nothing   otherwise</t>
        </is>
      </c>
      <c r="H264" s="3" t="inlineStr">
        <is>
          <t>D is build assets state(uid, accounts ?? []) — when await load assets(uid); return d; no answer — otherwise.</t>
        </is>
      </c>
      <c r="I264" s="3" t="inlineStr">
        <is>
          <t>PARTLY READ — some of the code is still showing through; needs a hand pass</t>
        </is>
      </c>
      <c r="J264" s="3" t="inlineStr">
        <is>
          <t>uid: UserId</t>
        </is>
      </c>
      <c r="K264" s="3" t="inlineStr">
        <is>
          <t>NOT DECLARED — the code does not say what it gives back</t>
        </is>
      </c>
      <c r="L264" s="3" t="inlineStr">
        <is>
          <t>—</t>
        </is>
      </c>
      <c r="M264" s="3" t="inlineStr">
        <is>
          <t>None found in this function — anything it assumes comes from the functions it depends on.</t>
        </is>
      </c>
      <c r="N264" s="3" t="inlineStr">
        <is>
          <t>No</t>
        </is>
      </c>
      <c r="O264" s="3" t="inlineStr">
        <is>
          <t>1. MK-NW-F-039 buildAssetsState
2. MK-NW-F-042 loadAssets
3. MK-XS-F-175 uid</t>
        </is>
      </c>
      <c r="P264" s="3" t="n">
        <v>82</v>
      </c>
      <c r="Q264"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264"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MK-NW-F-045</t>
        </is>
      </c>
      <c r="B265" s="3" t="inlineStr">
        <is>
          <t>sourceWording</t>
        </is>
      </c>
      <c r="C265" s="3" t="inlineStr">
        <is>
          <t>src/domain/assets/index.ts</t>
        </is>
      </c>
      <c r="D265" s="3" t="n">
        <v>1859</v>
      </c>
      <c r="E265" s="3" t="inlineStr">
        <is>
          <t>2 · DISPLAYED</t>
        </is>
      </c>
      <c r="F265" s="3" t="inlineStr">
        <is>
          <t>THE source wording (Build-47 walk row 8, audit Strategy #9): one sentence per source, used by every screen that names where an account's numbers come from.</t>
        </is>
      </c>
      <c r="G265"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65"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65" s="3" t="inlineStr">
        <is>
          <t>PARTLY READ — some of the code is still showing through; needs a hand pass</t>
        </is>
      </c>
      <c r="J265" s="3" t="inlineStr">
        <is>
          <t>1. a: AssetAccount
2. now: number = Date.now()</t>
        </is>
      </c>
      <c r="K265" s="3" t="inlineStr">
        <is>
          <t>string</t>
        </is>
      </c>
      <c r="L265" s="3" t="inlineStr">
        <is>
          <t>NOT FOUND — a screen calls it, but the words printed beside its answer could not be traced automatically. Needs reading.</t>
        </is>
      </c>
      <c r="M265" s="3" t="inlineStr">
        <is>
          <t>· Uses today's date from the device clock, so the answer changes by itself overnight.</t>
        </is>
      </c>
      <c r="N265" s="3" t="inlineStr">
        <is>
          <t>Yes</t>
        </is>
      </c>
      <c r="O265" s="3" t="inlineStr">
        <is>
          <t>1. MK-ST-F-076 ageLabel
2. MK-ST-F-077 isStale</t>
        </is>
      </c>
      <c r="P265" s="3" t="n">
        <v>3</v>
      </c>
      <c r="Q265" s="3" t="inlineStr">
        <is>
          <t>1. MK-ST-F-076 ageLabel
2. MK-ST-F-077 isStale
3. MK-XS-F-170 daysSince</t>
        </is>
      </c>
      <c r="R265" s="3" t="inlineStr">
        <is>
          <t>1. MK-XS-F-170 daysSince → MK-ST-F-076 ageLabel → MK-NW-F-045 sourceWording
2. MK-XS-F-170 daysSince → MK-ST-F-077 isStale → MK-NW-F-045 sourceWording</t>
        </is>
      </c>
      <c r="S265" s="3" t="inlineStr">
        <is>
          <t>—</t>
        </is>
      </c>
      <c r="T265" s="3" t="inlineStr">
        <is>
          <t>WHERE_THE_VALUE_CAME_FROM</t>
        </is>
      </c>
      <c r="U265" s="3" t="inlineStr">
        <is>
          <t>ACTIVE</t>
        </is>
      </c>
      <c r="V265" s="3" t="inlineStr">
        <is>
          <t>2026-10-01</t>
        </is>
      </c>
      <c r="W265" s="3" t="n"/>
      <c r="X265" s="3" t="n"/>
      <c r="Y265" s="3" t="inlineStr">
        <is>
          <t>NOTHING OPEN</t>
        </is>
      </c>
    </row>
    <row r="266" ht="60" customHeight="1">
      <c r="A266" s="3" t="inlineStr">
        <is>
          <t>MK-NW-F-046</t>
        </is>
      </c>
      <c r="B266" s="3" t="inlineStr">
        <is>
          <t>historyCoverage</t>
        </is>
      </c>
      <c r="C266" s="3" t="inlineStr">
        <is>
          <t>src/domain/assets/index.ts</t>
        </is>
      </c>
      <c r="D266" s="3" t="n">
        <v>1914</v>
      </c>
      <c r="E266" s="3" t="inlineStr">
        <is>
          <t>2 · DISPLAYED</t>
        </is>
      </c>
      <c r="F266" s="3" t="inlineStr">
        <is>
          <t>NOT DETERMINED — the code carries no note saying what this is for, and it has no row in the old inventory. Needs reading.</t>
        </is>
      </c>
      <c r="G266"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66"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66" s="3" t="inlineStr">
        <is>
          <t>PARTLY READ — some of the code is still showing through; needs a hand pass</t>
        </is>
      </c>
      <c r="J266" s="3" t="inlineStr">
        <is>
          <t>Nothing is handed to it</t>
        </is>
      </c>
      <c r="K266" s="3" t="inlineStr">
        <is>
          <t>NOT DECLARED — the code does not say what it gives back</t>
        </is>
      </c>
      <c r="L266" s="3" t="inlineStr">
        <is>
          <t>NOT FOUND — a screen calls it, but the words printed beside its answer could not be traced automatically. Needs reading.</t>
        </is>
      </c>
      <c r="M266" s="3" t="inlineStr">
        <is>
          <t>1. Turns a monthly figure into a year by multiplying by twelve.
2. Uses today's date from the device clock, so the answer changes by itself overnight.
3. Rounds the answer to 1 decimal place.</t>
        </is>
      </c>
      <c r="N266" s="3" t="inlineStr">
        <is>
          <t>Yes</t>
        </is>
      </c>
      <c r="O266" s="3" t="inlineStr">
        <is>
          <t>1. MK-CF-F-132 map
2. MK-NW-F-068 prettyDay</t>
        </is>
      </c>
      <c r="P266" s="3" t="n">
        <v>2</v>
      </c>
      <c r="Q266" s="3" t="inlineStr">
        <is>
          <t>1. MK-CF-F-132 map
2. MK-NW-F-068 prettyDay</t>
        </is>
      </c>
      <c r="R266" s="3" t="inlineStr">
        <is>
          <t>1. MK-CF-F-132 map → MK-NW-F-046 historyCoverage
2. MK-CF-F-132 map → MK-NW-F-068 prettyDay → MK-NW-F-046 historyCoverage</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MK-NW-F-047</t>
        </is>
      </c>
      <c r="B267" s="3" t="inlineStr">
        <is>
          <t>uberGroupOf</t>
        </is>
      </c>
      <c r="C267" s="3" t="inlineStr">
        <is>
          <t>src/domain/assets/index.ts</t>
        </is>
      </c>
      <c r="D267" s="3" t="n">
        <v>1997</v>
      </c>
      <c r="E267" s="3" t="inlineStr">
        <is>
          <t>1 · ACTION</t>
        </is>
      </c>
      <c r="F267" s="3" t="inlineStr">
        <is>
          <t>NOT DETERMINED — the code carries no note saying what this is for, and it has no row in the old inventory. Needs reading.</t>
        </is>
      </c>
      <c r="G267" s="11" t="inlineStr">
        <is>
          <t>CLASS_UBER[cls] (or 'investments' when missing)</t>
        </is>
      </c>
      <c r="H267" s="3" t="inlineStr">
        <is>
          <t>CLASS_UBER[cls] (or 'investments' — when missing)</t>
        </is>
      </c>
      <c r="I267" s="3" t="inlineStr">
        <is>
          <t>READ FROM THE CODE — rendered from the expressions the function runs</t>
        </is>
      </c>
      <c r="J267" s="3" t="inlineStr">
        <is>
          <t>cls: AssetClass</t>
        </is>
      </c>
      <c r="K267" s="3" t="inlineStr">
        <is>
          <t>UberGroup</t>
        </is>
      </c>
      <c r="L267" s="3" t="inlineStr">
        <is>
          <t>"Nothing entered yet." — on the Net worth screen, under "DEBTS"</t>
        </is>
      </c>
      <c r="M267" s="3" t="inlineStr">
        <is>
          <t>None found in this function — anything it assumes comes from the functions it depends on.</t>
        </is>
      </c>
      <c r="N267" s="3" t="inlineStr">
        <is>
          <t>Yes</t>
        </is>
      </c>
      <c r="O267" s="3" t="inlineStr">
        <is>
          <t>—</t>
        </is>
      </c>
      <c r="P267" s="3" t="n">
        <v>0</v>
      </c>
      <c r="Q267" s="3" t="inlineStr">
        <is>
          <t>None — no dependent function stands behind it</t>
        </is>
      </c>
      <c r="R267" s="3" t="inlineStr">
        <is>
          <t>No dependent function — it reads its inputs and answers</t>
        </is>
      </c>
      <c r="S267" s="3" t="inlineStr">
        <is>
          <t>—</t>
        </is>
      </c>
      <c r="T267" s="3" t="inlineStr">
        <is>
          <t>—</t>
        </is>
      </c>
      <c r="U267" s="3" t="inlineStr">
        <is>
          <t>ACTIVE</t>
        </is>
      </c>
      <c r="V267" s="3" t="inlineStr">
        <is>
          <t>2026-08-27</t>
        </is>
      </c>
      <c r="W267" s="3" t="n"/>
      <c r="X267" s="3" t="n"/>
      <c r="Y267" s="3" t="inlineStr">
        <is>
          <t>NOTHING OPEN</t>
        </is>
      </c>
    </row>
    <row r="268" ht="45" customHeight="1">
      <c r="A268" s="3" t="inlineStr">
        <is>
          <t>MK-NW-F-048</t>
        </is>
      </c>
      <c r="B268" s="3" t="inlineStr">
        <is>
          <t>uberGroupRows</t>
        </is>
      </c>
      <c r="C268" s="3" t="inlineStr">
        <is>
          <t>src/domain/assets/index.ts</t>
        </is>
      </c>
      <c r="D268" s="3" t="n">
        <v>2015</v>
      </c>
      <c r="E268" s="3" t="inlineStr">
        <is>
          <t>2 · DISPLAYED</t>
        </is>
      </c>
      <c r="F268" s="3" t="inlineStr">
        <is>
          <t>Group per-class totals into the three uber-groups, keeping class order inside each.</t>
        </is>
      </c>
      <c r="G268" s="11" t="inlineStr">
        <is>
          <t>classes = class rows where uber group of(key) = group</t>
        </is>
      </c>
      <c r="H268" s="3" t="inlineStr">
        <is>
          <t>Classes is class rows where uber group of(key) = group.</t>
        </is>
      </c>
      <c r="I268" s="3" t="inlineStr">
        <is>
          <t>READ FROM THE CODE — rendered from the expressions the function runs</t>
        </is>
      </c>
      <c r="J268" s="3" t="inlineStr">
        <is>
          <t>Nothing is handed to it</t>
        </is>
      </c>
      <c r="K268" s="3" t="inlineStr">
        <is>
          <t>NOT DECLARED — the code does not say what it gives back</t>
        </is>
      </c>
      <c r="L268" s="3" t="inlineStr">
        <is>
          <t>NOT FOUND — a screen calls it, but the words printed beside its answer could not be traced automatically. Needs reading.</t>
        </is>
      </c>
      <c r="M268" s="3" t="inlineStr">
        <is>
          <t>None found in this function — anything it assumes comes from the functions it depends on.</t>
        </is>
      </c>
      <c r="N268" s="3" t="inlineStr">
        <is>
          <t>Yes</t>
        </is>
      </c>
      <c r="O268" s="3" t="inlineStr">
        <is>
          <t>1. MK-CF-F-132 map
2. MK-NW-F-047 uberGroupOf</t>
        </is>
      </c>
      <c r="P268" s="3" t="n">
        <v>2</v>
      </c>
      <c r="Q268" s="3" t="inlineStr">
        <is>
          <t>1. MK-CF-F-132 map
2. MK-NW-F-047 uberGroupOf</t>
        </is>
      </c>
      <c r="R268" s="3" t="inlineStr">
        <is>
          <t>1. MK-CF-F-132 map → MK-NW-F-048 uberGroupRows
2. MK-NW-F-047 uberGroupOf → MK-NW-F-048 uberGroupRows</t>
        </is>
      </c>
      <c r="S268" s="3" t="inlineStr">
        <is>
          <t>—</t>
        </is>
      </c>
      <c r="T268" s="3" t="inlineStr">
        <is>
          <t>NET_WORTH_GROUPING</t>
        </is>
      </c>
      <c r="U268" s="3" t="inlineStr">
        <is>
          <t>ACTIVE</t>
        </is>
      </c>
      <c r="V268" s="3" t="inlineStr">
        <is>
          <t>2026-08-27</t>
        </is>
      </c>
      <c r="W268" s="3" t="n"/>
      <c r="X268" s="3" t="n"/>
      <c r="Y268" s="3" t="inlineStr">
        <is>
          <t>NOTHING OPEN</t>
        </is>
      </c>
    </row>
    <row r="269" ht="30" customHeight="1">
      <c r="A269" s="3" t="inlineStr">
        <is>
          <t>MK-NW-F-049</t>
        </is>
      </c>
      <c r="B269" s="3" t="inlineStr">
        <is>
          <t>itemizedTotal</t>
        </is>
      </c>
      <c r="C269" s="3" t="inlineStr">
        <is>
          <t>src/domain/assets/itemize.ts</t>
        </is>
      </c>
      <c r="D269" s="3" t="n">
        <v>51</v>
      </c>
      <c r="E269" s="3" t="inlineStr">
        <is>
          <t>1 · ACTION</t>
        </is>
      </c>
      <c r="F269" s="3" t="inlineStr">
        <is>
          <t>Σ of the itemized holding values.</t>
        </is>
      </c>
      <c r="G269" s="11" t="inlineStr">
        <is>
          <t>the answer = Σ over items of (value, or 0 when missing)</t>
        </is>
      </c>
      <c r="H269" s="3" t="inlineStr">
        <is>
          <t>Adds up the value of every holding entered while itemising an account.</t>
        </is>
      </c>
      <c r="I269" s="3" t="inlineStr">
        <is>
          <t>READ BY HAND 2026-08-26 — checked line by line against the code</t>
        </is>
      </c>
      <c r="J269" s="3" t="inlineStr">
        <is>
          <t>items: ItemHolding[]</t>
        </is>
      </c>
      <c r="K269" s="3" t="inlineStr">
        <is>
          <t>number</t>
        </is>
      </c>
      <c r="L269" s="3" t="inlineStr">
        <is>
          <t>—</t>
        </is>
      </c>
      <c r="M269" s="3" t="inlineStr">
        <is>
          <t>· If value is missing it counts as zero, so nothing recorded and a real zero look the same.</t>
        </is>
      </c>
      <c r="N269" s="3" t="inlineStr">
        <is>
          <t>Yes</t>
        </is>
      </c>
      <c r="O269" s="3" t="inlineStr">
        <is>
          <t>—</t>
        </is>
      </c>
      <c r="P269" s="3" t="n">
        <v>0</v>
      </c>
      <c r="Q269" s="3" t="inlineStr">
        <is>
          <t>None — no dependent function stands behind it</t>
        </is>
      </c>
      <c r="R269" s="3" t="inlineStr">
        <is>
          <t>No dependent function — it reads its inputs and answers</t>
        </is>
      </c>
      <c r="S269" s="3" t="inlineStr">
        <is>
          <t>—</t>
        </is>
      </c>
      <c r="T269" s="3" t="inlineStr">
        <is>
          <t>ITEMISED_TOTAL</t>
        </is>
      </c>
      <c r="U269" s="3" t="inlineStr">
        <is>
          <t>ACTIVE</t>
        </is>
      </c>
      <c r="V269" s="3" t="inlineStr">
        <is>
          <t>2026-09-12</t>
        </is>
      </c>
      <c r="W269" s="3" t="n"/>
      <c r="X269" s="3" t="n"/>
      <c r="Y269" s="3" t="inlineStr">
        <is>
          <t>NOTHING OPEN</t>
        </is>
      </c>
    </row>
    <row r="270" ht="45" customHeight="1">
      <c r="A270" s="3" t="inlineStr">
        <is>
          <t>MK-NW-F-050</t>
        </is>
      </c>
      <c r="B270" s="3" t="inlineStr">
        <is>
          <t>itemizeRemainder</t>
        </is>
      </c>
      <c r="C270" s="3" t="inlineStr">
        <is>
          <t>src/domain/assets/itemize.ts</t>
        </is>
      </c>
      <c r="D270" s="3" t="n">
        <v>78</v>
      </c>
      <c r="E270" s="3" t="inlineStr">
        <is>
          <t>1 · ACTION</t>
        </is>
      </c>
      <c r="F270" s="3" t="inlineStr">
        <is>
          <t>Lump balance − Σ holdings.</t>
        </is>
      </c>
      <c r="G270" s="11" t="inlineStr">
        <is>
          <t>the answer = (lump balance, or 0) − itemized total(items)</t>
        </is>
      </c>
      <c r="H270" s="3" t="inlineStr">
        <is>
          <t>The lump balance less the holdings entered so far: positive means money still unallocated, negative means the holdings exceed the entered total.</t>
        </is>
      </c>
      <c r="I270" s="3" t="inlineStr">
        <is>
          <t>READ BY HAND 2026-08-26 — checked line by line against the code</t>
        </is>
      </c>
      <c r="J270" s="3" t="inlineStr">
        <is>
          <t>1. lumpBalance: number
2. items: ItemHolding[]</t>
        </is>
      </c>
      <c r="K270" s="3" t="inlineStr">
        <is>
          <t>number</t>
        </is>
      </c>
      <c r="L270" s="3" t="inlineStr">
        <is>
          <t>—</t>
        </is>
      </c>
      <c r="M270" s="3" t="inlineStr">
        <is>
          <t>· If lump balance is missing it counts as zero, so nothing recorded and a real zero look the same.</t>
        </is>
      </c>
      <c r="N270" s="3" t="inlineStr">
        <is>
          <t>Yes</t>
        </is>
      </c>
      <c r="O270" s="3" t="inlineStr">
        <is>
          <t>MK-NW-F-049 itemizedTotal</t>
        </is>
      </c>
      <c r="P270" s="3" t="n">
        <v>1</v>
      </c>
      <c r="Q270" s="3" t="inlineStr">
        <is>
          <t>MK-NW-F-049 itemizedTotal</t>
        </is>
      </c>
      <c r="R270" s="3" t="inlineStr">
        <is>
          <t>MK-NW-F-049 itemizedTotal → MK-NW-F-050 itemizeRemainder</t>
        </is>
      </c>
      <c r="S270" s="3" t="inlineStr">
        <is>
          <t>—</t>
        </is>
      </c>
      <c r="T270" s="3" t="inlineStr">
        <is>
          <t>ITEMISED_REMAINDER</t>
        </is>
      </c>
      <c r="U270" s="3" t="inlineStr">
        <is>
          <t>ACTIVE</t>
        </is>
      </c>
      <c r="V270" s="3" t="inlineStr">
        <is>
          <t>2026-09-12</t>
        </is>
      </c>
      <c r="W270" s="3" t="n"/>
      <c r="X270" s="3" t="n"/>
      <c r="Y270" s="3" t="inlineStr">
        <is>
          <t>NOTHING OPEN</t>
        </is>
      </c>
    </row>
    <row r="271" ht="60" customHeight="1">
      <c r="A271" s="3" t="inlineStr">
        <is>
          <t>MK-NW-F-051</t>
        </is>
      </c>
      <c r="B271" s="3" t="inlineStr">
        <is>
          <t>itemizedResultTotal</t>
        </is>
      </c>
      <c r="C271" s="3" t="inlineStr">
        <is>
          <t>src/domain/assets/itemize.ts</t>
        </is>
      </c>
      <c r="D271" s="3" t="n">
        <v>103</v>
      </c>
      <c r="E271" s="3" t="inlineStr">
        <is>
          <t>2 · DISPLAYED</t>
        </is>
      </c>
      <c r="F271" s="3" t="inlineStr">
        <is>
          <t>The account total AFTER itemizing.</t>
        </is>
      </c>
      <c r="G271" s="11" t="inlineStr">
        <is>
          <t>sum = itemized total(items)
remainder = itemize remainder(lump.balance, items)
the answer:
sum + remainder   if keep remainder as cash and remainder &gt; 0
sum   otherwise</t>
        </is>
      </c>
      <c r="H271" s="3" t="inlineStr">
        <is>
          <t>Sum is itemized total(items). Remainder is itemize remainder(lump.balance, items). The answer is sum plus remainder — when keep remainder as cash and remainder &gt; 0; sum — otherwise.</t>
        </is>
      </c>
      <c r="I271" s="3" t="inlineStr">
        <is>
          <t>READ FROM THE CODE — rendered from the expressions the function runs</t>
        </is>
      </c>
      <c r="J271" s="3" t="inlineStr">
        <is>
          <t>Nothing is handed to it</t>
        </is>
      </c>
      <c r="K271" s="3" t="inlineStr">
        <is>
          <t>NOT DECLARED — the code does not say what it gives back</t>
        </is>
      </c>
      <c r="L271" s="3" t="inlineStr">
        <is>
          <t>NOT FOUND — a screen calls it, but the words printed beside its answer could not be traced automatically. Needs reading.</t>
        </is>
      </c>
      <c r="M271" s="3" t="inlineStr">
        <is>
          <t>None found in this function — anything it assumes comes from the functions it depends on.</t>
        </is>
      </c>
      <c r="N271" s="3" t="inlineStr">
        <is>
          <t>Yes</t>
        </is>
      </c>
      <c r="O271" s="3" t="inlineStr">
        <is>
          <t>1. MK-NW-F-050 itemizeRemainder
2. MK-NW-F-049 itemizedTotal</t>
        </is>
      </c>
      <c r="P271" s="3" t="n">
        <v>2</v>
      </c>
      <c r="Q271" s="3" t="inlineStr">
        <is>
          <t>1. MK-NW-F-050 itemizeRemainder
2. MK-NW-F-049 itemizedTotal</t>
        </is>
      </c>
      <c r="R271" s="3" t="inlineStr">
        <is>
          <t>1. MK-NW-F-049 itemizedTotal → MK-NW-F-050 itemizeRemainder → MK-NW-F-051 itemizedResultTotal
2. MK-NW-F-049 itemizedTotal → MK-NW-F-051 itemizedResultTotal</t>
        </is>
      </c>
      <c r="S271" s="3" t="inlineStr">
        <is>
          <t>—</t>
        </is>
      </c>
      <c r="T271" s="3" t="inlineStr">
        <is>
          <t>—</t>
        </is>
      </c>
      <c r="U271" s="3" t="inlineStr">
        <is>
          <t>ACTIVE</t>
        </is>
      </c>
      <c r="V271" s="3" t="inlineStr">
        <is>
          <t>2026-09-09</t>
        </is>
      </c>
      <c r="W271" s="3" t="n"/>
      <c r="X271" s="3" t="n"/>
      <c r="Y271" s="3" t="inlineStr">
        <is>
          <t>NOTHING OPEN</t>
        </is>
      </c>
    </row>
    <row r="272" ht="60" customHeight="1">
      <c r="A272" s="3" t="inlineStr">
        <is>
          <t>MK-NW-F-052</t>
        </is>
      </c>
      <c r="B272" s="3" t="inlineStr">
        <is>
          <t>buildItemizedAccounts</t>
        </is>
      </c>
      <c r="C272" s="3" t="inlineStr">
        <is>
          <t>src/domain/assets/itemize.ts</t>
        </is>
      </c>
      <c r="D272" s="3" t="n">
        <v>144</v>
      </c>
      <c r="E272" s="3" t="inlineStr">
        <is>
          <t>2 · DISPLAYED</t>
        </is>
      </c>
      <c r="F272" s="3" t="inlineStr">
        <is>
          <t>Build the new accounts to CREATE when committing an itemization.</t>
        </is>
      </c>
      <c r="G272" s="11" t="inlineStr">
        <is>
          <t>institution = (lump.institution or lump.label or '').trim() (or undefined when missing or zero)
bucket = lump.tax bucket
the answer = acct
remainder = itemize remainder(lump.balance, items)</t>
        </is>
      </c>
      <c r="H272" s="3" t="inlineStr">
        <is>
          <t>Institution is (lump.institution or lump.label or '').trim() (or undefined — when missing or zero). Bucket is lump.tax bucket. The answer is acct. Remainder is itemize remainder(lump.balance, items).</t>
        </is>
      </c>
      <c r="I272" s="3" t="inlineStr">
        <is>
          <t>PARTLY READ — some of the code is still showing through; needs a hand pass</t>
        </is>
      </c>
      <c r="J272" s="3" t="inlineStr">
        <is>
          <t>Nothing is handed to it</t>
        </is>
      </c>
      <c r="K272" s="3" t="inlineStr">
        <is>
          <t>NOT DECLARED — the code does not say what it gives back</t>
        </is>
      </c>
      <c r="L272" s="3" t="inlineStr">
        <is>
          <t>NOT FOUND — a screen calls it, but the words printed beside its answer could not be traced automatically. Needs reading.</t>
        </is>
      </c>
      <c r="M272" s="3" t="inlineStr">
        <is>
          <t>1. If value is missing it counts as zero, so nothing recorded and a real zero look the same.
2. If coupon rate is missing it counts as zero, so nothing recorded and a real zero look the same.</t>
        </is>
      </c>
      <c r="N272" s="3" t="inlineStr">
        <is>
          <t>Yes</t>
        </is>
      </c>
      <c r="O272" s="3" t="inlineStr">
        <is>
          <t>1. MK-NW-F-050 itemizeRemainder
2. MK-CF-F-132 map</t>
        </is>
      </c>
      <c r="P272" s="3" t="n">
        <v>3</v>
      </c>
      <c r="Q272" s="3" t="inlineStr">
        <is>
          <t>1. MK-NW-F-050 itemizeRemainder
2. MK-CF-F-132 map
3. MK-NW-F-049 itemizedTotal</t>
        </is>
      </c>
      <c r="R272" s="3" t="inlineStr">
        <is>
          <t>1. MK-NW-F-049 itemizedTotal → MK-NW-F-050 itemizeRemainder → MK-NW-F-052 buildItemizedAccounts
2. MK-CF-F-132 map → MK-NW-F-052 buildItemizedAccounts</t>
        </is>
      </c>
      <c r="S272" s="3" t="inlineStr">
        <is>
          <t>—</t>
        </is>
      </c>
      <c r="T272" s="3" t="inlineStr">
        <is>
          <t>ITEMISE_AN_ACCOUNT</t>
        </is>
      </c>
      <c r="U272" s="3" t="inlineStr">
        <is>
          <t>ACTIVE</t>
        </is>
      </c>
      <c r="V272" s="3" t="inlineStr">
        <is>
          <t>2026-08-27</t>
        </is>
      </c>
      <c r="W272" s="3" t="n"/>
      <c r="X272" s="3" t="n"/>
      <c r="Y272" s="3" t="inlineStr">
        <is>
          <t>NOTHING OPEN</t>
        </is>
      </c>
    </row>
    <row r="273" ht="60" customHeight="1">
      <c r="A273" s="3" t="inlineStr">
        <is>
          <t>MK-NW-F-053</t>
        </is>
      </c>
      <c r="B273" s="3" t="inlineStr">
        <is>
          <t>correctClassOf</t>
        </is>
      </c>
      <c r="C273" s="3" t="inlineStr">
        <is>
          <t>src/domain/assets/reclassify.ts</t>
        </is>
      </c>
      <c r="D273" s="3" t="n">
        <v>45</v>
      </c>
      <c r="E273" s="3" t="inlineStr">
        <is>
          <t>3 · DEPENDENT</t>
        </is>
      </c>
      <c r="F273" s="3" t="inlineStr">
        <is>
          <t>The class an account SHOULD carry under the current rule.</t>
        </is>
      </c>
      <c r="G273" s="11" t="inlineStr">
        <is>
          <t>by label = income bearing class of(label)
by label   when by label
maturity class(maturity date)   when maturity date
'stocks_etf'   when kind = 'money_market'
'bonds'   when kind = 'cd'
the answer = nothing</t>
        </is>
      </c>
      <c r="H273" s="3" t="inlineStr">
        <is>
          <t>By label is income bearing class of(label). When by label, it answers by label. When maturity date, it answers maturity class(maturity date). When kind = 'money_market', it answers 'stocks_etf'. When kind = 'cd', it answers 'bonds'. The answer is no answer.</t>
        </is>
      </c>
      <c r="I273" s="3" t="inlineStr">
        <is>
          <t>READ FROM THE CODE — rendered from the expressions the function runs</t>
        </is>
      </c>
      <c r="J273" s="3" t="inlineStr">
        <is>
          <t>a: AssetAccount</t>
        </is>
      </c>
      <c r="K273" s="3" t="inlineStr">
        <is>
          <t>AssetClass | null</t>
        </is>
      </c>
      <c r="L273" s="3" t="inlineStr">
        <is>
          <t>—</t>
        </is>
      </c>
      <c r="M273" s="3" t="inlineStr">
        <is>
          <t>None found in this function — anything it assumes comes from the functions it depends on.</t>
        </is>
      </c>
      <c r="N273" s="3" t="inlineStr">
        <is>
          <t>Yes</t>
        </is>
      </c>
      <c r="O273" s="3" t="inlineStr">
        <is>
          <t>1. MK-NW-F-008 incomeBearingClassOf
2. MK-NW-F-009 maturityClass</t>
        </is>
      </c>
      <c r="P273" s="3" t="n">
        <v>11</v>
      </c>
      <c r="Q273" s="3" t="inlineStr">
        <is>
          <t>1. MK-NW-F-008 incomeBearingClassOf
2. MK-NW-F-009 maturityClass
3. MK-CF-F-155 cash
4. MK-ST-F-010 nameEvidence
5. MK-XS-F-122 n
6. MK-XS-F-147 call
7. MK-ST-F-056 has
8. MK-CF-F-132 map
9. MK-ST-F-027 accountId
10. MK-XS-F-064 currentIdToken
11. MK-XS-F-112 relayUrl</t>
        </is>
      </c>
      <c r="R273"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MK-NW-F-009 maturityClass → MK-NW-F-053 correctClassOf</t>
        </is>
      </c>
      <c r="S273" s="3" t="inlineStr">
        <is>
          <t>—</t>
        </is>
      </c>
      <c r="T273" s="3" t="inlineStr">
        <is>
          <t>—</t>
        </is>
      </c>
      <c r="U273" s="3" t="inlineStr">
        <is>
          <t>ACTIVE</t>
        </is>
      </c>
      <c r="V273" s="3" t="inlineStr">
        <is>
          <t>2026-09-12</t>
        </is>
      </c>
      <c r="W273" s="3" t="n"/>
      <c r="X273" s="3" t="n"/>
      <c r="Y273" s="3" t="inlineStr">
        <is>
          <t>NOTHING OPEN</t>
        </is>
      </c>
    </row>
    <row r="274" ht="60" customHeight="1">
      <c r="A274" s="3" t="inlineStr">
        <is>
          <t>MK-NW-F-054</t>
        </is>
      </c>
      <c r="B274" s="3" t="inlineStr">
        <is>
          <t>reclassifyAccounts</t>
        </is>
      </c>
      <c r="C274" s="3" t="inlineStr">
        <is>
          <t>src/domain/assets/reclassify.ts</t>
        </is>
      </c>
      <c r="D274" s="3" t="n">
        <v>91</v>
      </c>
      <c r="E274" s="3" t="inlineStr">
        <is>
          <t>3 · DEPENDENT</t>
        </is>
      </c>
      <c r="F274" s="3" t="inlineStr">
        <is>
          <t>NOT DETERMINED — the code carries no note saying what this is for, and it has no row in the old inventory. Needs reading.</t>
        </is>
      </c>
      <c r="G274" s="11" t="inlineStr">
        <is>
          <t>changed = 0
want = correct class of(a)
next = a
ps = (next.positions ?? []) as any[]
the answer = p</t>
        </is>
      </c>
      <c r="H274" s="3" t="inlineStr">
        <is>
          <t>Changed is 0. Want is correct class of(a). Next is a. Ps is (next.positions ?? []) as any[]. The answer is p.</t>
        </is>
      </c>
      <c r="I274" s="3" t="inlineStr">
        <is>
          <t>PARTLY READ — some of the code is still showing through; needs a hand pass</t>
        </is>
      </c>
      <c r="J274" s="3" t="inlineStr">
        <is>
          <t>accounts: AssetAccount[]</t>
        </is>
      </c>
      <c r="K274" s="3" t="inlineStr">
        <is>
          <t>NOT DECLARED — the code does not say what it gives back</t>
        </is>
      </c>
      <c r="L274" s="3" t="inlineStr">
        <is>
          <t>—</t>
        </is>
      </c>
      <c r="M274" s="3" t="inlineStr">
        <is>
          <t>· Uses a built-in changed of 0.</t>
        </is>
      </c>
      <c r="N274" s="3" t="inlineStr">
        <is>
          <t>Yes</t>
        </is>
      </c>
      <c r="O274" s="3" t="inlineStr">
        <is>
          <t>1. MK-NW-F-053 correctClassOf
2. MK-NW-F-008 incomeBearingClassOf
3. MK-CF-F-132 map</t>
        </is>
      </c>
      <c r="P274" s="3" t="n">
        <v>12</v>
      </c>
      <c r="Q274" s="3" t="inlineStr">
        <is>
          <t>1. MK-NW-F-053 correctClassOf
2. MK-NW-F-008 incomeBearingClassOf
3. MK-CF-F-132 map
4. MK-NW-F-009 maturityClass
5. MK-CF-F-155 cash
6. MK-ST-F-010 nameEvidence
7. MK-XS-F-122 n
8. MK-XS-F-147 call
9. MK-ST-F-056 has
10. MK-ST-F-027 accountId
11. MK-XS-F-064 currentIdToken
12. MK-XS-F-112 relayUrl</t>
        </is>
      </c>
      <c r="R274"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MK-NW-F-009 maturityClass → MK-NW-F-053 correctClassOf → MK-NW-F-054 reclassifyAccounts
8. MK-XS-F-122 n → MK-CF-F-155 cash → MK-NW-F-008 incomeBearingClassOf → MK-NW-F-054 reclassifyAccounts
9. … and 5 more paths</t>
        </is>
      </c>
      <c r="S274" s="3" t="inlineStr">
        <is>
          <t>—</t>
        </is>
      </c>
      <c r="T274" s="3" t="inlineStr">
        <is>
          <t>—</t>
        </is>
      </c>
      <c r="U274" s="3" t="inlineStr">
        <is>
          <t>ACTIVE</t>
        </is>
      </c>
      <c r="V274" s="3" t="inlineStr">
        <is>
          <t>2026-09-12</t>
        </is>
      </c>
      <c r="W274" s="3" t="n"/>
      <c r="X274" s="3" t="n"/>
      <c r="Y274" s="3" t="inlineStr">
        <is>
          <t>NOTHING OPEN</t>
        </is>
      </c>
    </row>
    <row r="275" ht="60" customHeight="1">
      <c r="A275" s="3" t="inlineStr">
        <is>
          <t>MK-NW-F-055</t>
        </is>
      </c>
      <c r="B275" s="3" t="inlineStr">
        <is>
          <t>isBond</t>
        </is>
      </c>
      <c r="C275" s="3" t="inlineStr">
        <is>
          <t>src/domain/bonds/index.ts</t>
        </is>
      </c>
      <c r="D275" s="3" t="n">
        <v>39</v>
      </c>
      <c r="E275" s="3" t="inlineStr">
        <is>
          <t>2 · DISPLAYED</t>
        </is>
      </c>
      <c r="F275" s="3" t="inlineStr">
        <is>
          <t>An AssetAccount is a bond if its ASSET CLASS is bonds (spec §2: "detected by assetClass, NOT maturity date").</t>
        </is>
      </c>
      <c r="G275" s="11" t="inlineStr">
        <is>
          <t>asset class of(a) = 'bonds'</t>
        </is>
      </c>
      <c r="H275" s="3" t="inlineStr">
        <is>
          <t>asset class of(a) = 'bonds'.</t>
        </is>
      </c>
      <c r="I275" s="3" t="inlineStr">
        <is>
          <t>READ FROM THE CODE — rendered from the expressions the function runs</t>
        </is>
      </c>
      <c r="J275" s="3" t="inlineStr">
        <is>
          <t>a: AssetAccount</t>
        </is>
      </c>
      <c r="K275" s="3" t="inlineStr">
        <is>
          <t>boolean</t>
        </is>
      </c>
      <c r="L275" s="3" t="inlineStr">
        <is>
          <t>NOT FOUND — a screen calls it, but the words printed beside its answer could not be traced automatically. Needs reading.</t>
        </is>
      </c>
      <c r="M275" s="3" t="inlineStr">
        <is>
          <t>None found in this function — anything it assumes comes from the functions it depends on.</t>
        </is>
      </c>
      <c r="N275" s="3" t="inlineStr">
        <is>
          <t>Yes</t>
        </is>
      </c>
      <c r="O275" s="3" t="inlineStr">
        <is>
          <t>MK-NW-F-011 assetClassOf</t>
        </is>
      </c>
      <c r="P275" s="3" t="n">
        <v>11</v>
      </c>
      <c r="Q275" s="3" t="inlineStr">
        <is>
          <t>1. MK-NW-F-011 assetClassOf
2. MK-NW-F-008 incomeBearingClassOf
3. MK-CF-F-155 cash
4. MK-ST-F-010 nameEvidence
5. MK-XS-F-122 n
6. MK-XS-F-147 call
7. MK-ST-F-056 has
8. MK-CF-F-132 map
9. MK-ST-F-027 accountId
10. MK-XS-F-064 currentIdToken
11. MK-XS-F-112 relayUrl</t>
        </is>
      </c>
      <c r="R275"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75" s="3" t="inlineStr">
        <is>
          <t>—</t>
        </is>
      </c>
      <c r="T275" s="3" t="inlineStr">
        <is>
          <t>IS_BOND</t>
        </is>
      </c>
      <c r="U275" s="3" t="inlineStr">
        <is>
          <t>ACTIVE</t>
        </is>
      </c>
      <c r="V275" s="3" t="inlineStr">
        <is>
          <t>2026-08-27</t>
        </is>
      </c>
      <c r="W275" s="3" t="n"/>
      <c r="X275" s="3" t="n"/>
      <c r="Y275" s="3" t="inlineStr">
        <is>
          <t>NOTHING OPEN</t>
        </is>
      </c>
    </row>
    <row r="276" ht="60" customHeight="1">
      <c r="A276" s="3" t="inlineStr">
        <is>
          <t>MK-NW-F-056</t>
        </is>
      </c>
      <c r="B276" s="3" t="inlineStr">
        <is>
          <t>bondInfo</t>
        </is>
      </c>
      <c r="C276" s="3" t="inlineStr">
        <is>
          <t>src/domain/bonds/index.ts</t>
        </is>
      </c>
      <c r="D276" s="3" t="n">
        <v>85</v>
      </c>
      <c r="E276" s="3" t="inlineStr">
        <is>
          <t>3 · DEPENDENT</t>
        </is>
      </c>
      <c r="F276" s="3" t="inlineStr">
        <is>
          <t>What are this holding's bond facts?</t>
        </is>
      </c>
      <c r="G276" s="11" t="inlineStr">
        <is>
          <t>face = face value or 0
coupon rate = coupon rate or 0
maturity = maturity date or ''
value = balance or 0
accrued interest = the entered figure, or nothing when not entered</t>
        </is>
      </c>
      <c r="H276" s="3" t="inlineStr">
        <is>
          <t>Reads the bond's facts off the account record — face value, coupon rate, maturity date, the value as entered, and the accrued interest when the person entered it (MK-XS-I-065). No arithmetic.</t>
        </is>
      </c>
      <c r="I276" s="3" t="inlineStr">
        <is>
          <t>READ BY HAND 2026-08-26 — checked line by line against the code</t>
        </is>
      </c>
      <c r="J276" s="3" t="inlineStr">
        <is>
          <t>a: AssetAccount</t>
        </is>
      </c>
      <c r="K276" s="3" t="inlineStr">
        <is>
          <t>BondInfo</t>
        </is>
      </c>
      <c r="L276" s="3" t="inlineStr">
        <is>
          <t>—</t>
        </is>
      </c>
      <c r="M276"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76" s="3" t="inlineStr">
        <is>
          <t>Yes</t>
        </is>
      </c>
      <c r="O276" s="3" t="inlineStr">
        <is>
          <t>MK-CF-F-155 cash</t>
        </is>
      </c>
      <c r="P276" s="3" t="n">
        <v>2</v>
      </c>
      <c r="Q276" s="3" t="inlineStr">
        <is>
          <t>1. MK-CF-F-155 cash
2. MK-XS-F-122 n</t>
        </is>
      </c>
      <c r="R276" s="3" t="inlineStr">
        <is>
          <t>MK-XS-F-122 n → MK-CF-F-155 cash → MK-NW-F-056 bondInfo</t>
        </is>
      </c>
      <c r="S276" s="3" t="inlineStr">
        <is>
          <t>—</t>
        </is>
      </c>
      <c r="T276" s="3" t="inlineStr">
        <is>
          <t>BOND_FACTS</t>
        </is>
      </c>
      <c r="U276" s="3" t="inlineStr">
        <is>
          <t>ACTIVE</t>
        </is>
      </c>
      <c r="V276" s="3" t="inlineStr">
        <is>
          <t>2026-09-27</t>
        </is>
      </c>
      <c r="W276" s="3" t="inlineStr">
        <is>
          <t>[from MK-NW-M-041 / M-042 / M-045] bond display rule (nine facts; value current → cost → face; else 'need more information'); why compute yield when the coupon rate is an input?</t>
        </is>
      </c>
      <c r="X276"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76" s="6" t="inlineStr">
        <is>
          <t>WAITING ON YOU — answer to read</t>
        </is>
      </c>
    </row>
    <row r="277" ht="60" customHeight="1">
      <c r="A277" s="3" t="inlineStr">
        <is>
          <t>MK-NW-F-057</t>
        </is>
      </c>
      <c r="B277" s="3" t="inlineStr">
        <is>
          <t>annualCoupon</t>
        </is>
      </c>
      <c r="C277" s="3" t="inlineStr">
        <is>
          <t>src/domain/bonds/index.ts</t>
        </is>
      </c>
      <c r="D277" s="3" t="n">
        <v>124</v>
      </c>
      <c r="E277" s="3" t="inlineStr">
        <is>
          <t>3 · DEPENDENT</t>
        </is>
      </c>
      <c r="F277" s="3" t="inlineStr">
        <is>
          <t>Annual coupon income = face value × coupon rate (paid as cash).</t>
        </is>
      </c>
      <c r="G277" s="11" t="inlineStr">
        <is>
          <t>annual coupon = face value × coupon rate</t>
        </is>
      </c>
      <c r="H277" s="3" t="inlineStr">
        <is>
          <t>What the bond pays in interest over a year: its face value times its stated rate. Paid semi-annually in practice; this figure is the yearly total.</t>
        </is>
      </c>
      <c r="I277" s="3" t="inlineStr">
        <is>
          <t>READ BY HAND 2026-08-26 — checked line by line against the code</t>
        </is>
      </c>
      <c r="J277" s="3" t="inlineStr">
        <is>
          <t>b: BondInfo</t>
        </is>
      </c>
      <c r="K277" s="3" t="inlineStr">
        <is>
          <t>number</t>
        </is>
      </c>
      <c r="L277" s="3" t="inlineStr">
        <is>
          <t>—</t>
        </is>
      </c>
      <c r="M277" s="3" t="inlineStr">
        <is>
          <t>None found in this function — anything it assumes comes from the functions it depends on.</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BOND_COUPON</t>
        </is>
      </c>
      <c r="U277" s="3" t="inlineStr">
        <is>
          <t>ACTIVE</t>
        </is>
      </c>
      <c r="V277" s="3" t="inlineStr">
        <is>
          <t>2026-09-27</t>
        </is>
      </c>
      <c r="W277" s="3" t="inlineStr">
        <is>
          <t>[from MK-NW-M-043] a matured bond must not earn a coupon; one label ('Calculated annual interest') instead of COUPON / YR and Interest payments; maturity date as an input.</t>
        </is>
      </c>
      <c r="X277" s="6" t="inlineStr">
        <is>
          <t>JJ-3: face × rate with no look at maturity — wrong for any matured bond, and inherited by F-061 and F-063. Fix: takes the maturity date and today; 0 once matured; adds MK-XS-I-013 to its inputs. Label: Q40; matured display: Q39.</t>
        </is>
      </c>
      <c r="Y277" s="6" t="inlineStr">
        <is>
          <t>WAITING ON YOU — answer to read</t>
        </is>
      </c>
    </row>
    <row r="278" ht="60" customHeight="1">
      <c r="A278" s="3" t="inlineStr">
        <is>
          <t>MK-NW-F-058</t>
        </is>
      </c>
      <c r="B278" s="3" t="inlineStr">
        <is>
          <t>yearsToMaturity</t>
        </is>
      </c>
      <c r="C278" s="3" t="inlineStr">
        <is>
          <t>src/domain/bonds/index.ts</t>
        </is>
      </c>
      <c r="D278" s="3" t="n">
        <v>160</v>
      </c>
      <c r="E278" s="3" t="inlineStr">
        <is>
          <t>3 · DEPENDENT</t>
        </is>
      </c>
      <c r="F278" s="3" t="inlineStr">
        <is>
          <t>How long until this bond pays back?</t>
        </is>
      </c>
      <c r="G278" s="11" t="inlineStr">
        <is>
          <t>years to maturity = max(0, (maturity date − today) ÷ 365.25 days)</t>
        </is>
      </c>
      <c r="H278" s="3" t="inlineStr">
        <is>
          <t>How long until the bond repays, as a fraction of a year, never negative. Uses 365.25 days — the master file says 365, which is finding A31.</t>
        </is>
      </c>
      <c r="I278" s="3" t="inlineStr">
        <is>
          <t>READ BY HAND 2026-08-26 — checked line by line against the code</t>
        </is>
      </c>
      <c r="J278" s="3" t="inlineStr">
        <is>
          <t>1. maturity: string
2. now: Date = new Date()</t>
        </is>
      </c>
      <c r="K278" s="3" t="inlineStr">
        <is>
          <t>number | null</t>
        </is>
      </c>
      <c r="L278" s="3" t="inlineStr">
        <is>
          <t>—</t>
        </is>
      </c>
      <c r="M278" s="3" t="inlineStr">
        <is>
          <t>1. Uses today's date from the device clock, so the answer changes by itself overnight.
2. No maturity date, or an unreadable one, gives NO answer — not zero and not "due now" (G11, founder 2026-09-12); the yield to maturity and the rate sensitivity then refuse too.</t>
        </is>
      </c>
      <c r="N278" s="3" t="inlineStr">
        <is>
          <t>Yes</t>
        </is>
      </c>
      <c r="O278" s="3" t="inlineStr">
        <is>
          <t>—</t>
        </is>
      </c>
      <c r="P278" s="3" t="n">
        <v>0</v>
      </c>
      <c r="Q278" s="3" t="inlineStr">
        <is>
          <t>None — no dependent function stands behind it</t>
        </is>
      </c>
      <c r="R278" s="3" t="inlineStr">
        <is>
          <t>No dependent function — it reads its inputs and answers</t>
        </is>
      </c>
      <c r="S278" s="3" t="inlineStr">
        <is>
          <t>—</t>
        </is>
      </c>
      <c r="T278" s="3" t="inlineStr">
        <is>
          <t>BOND_YEARS_LEFT</t>
        </is>
      </c>
      <c r="U278" s="3" t="inlineStr">
        <is>
          <t>ACTIVE</t>
        </is>
      </c>
      <c r="V278" s="3" t="inlineStr">
        <is>
          <t>2026-09-27</t>
        </is>
      </c>
      <c r="W278" s="3" t="n"/>
      <c r="X278" s="3" t="n"/>
      <c r="Y278" s="6" t="inlineStr">
        <is>
          <t>TESTED, NOT VERIFIED (G11)</t>
        </is>
      </c>
    </row>
    <row r="279" ht="60" customHeight="1">
      <c r="A279" s="3" t="inlineStr">
        <is>
          <t>MK-NW-F-059</t>
        </is>
      </c>
      <c r="B279" s="3" t="inlineStr">
        <is>
          <t>currentYield</t>
        </is>
      </c>
      <c r="C279" s="3" t="inlineStr">
        <is>
          <t>src/domain/bonds/index.ts</t>
        </is>
      </c>
      <c r="D279" s="3" t="n">
        <v>199</v>
      </c>
      <c r="E279" s="3" t="inlineStr">
        <is>
          <t>3 · DEPENDENT</t>
        </is>
      </c>
      <c r="F279" s="3" t="inlineStr">
        <is>
          <t>Current yield = annual coupon ÷ current price/value.</t>
        </is>
      </c>
      <c r="G279" s="11" t="inlineStr">
        <is>
          <t>current yield = annual coupon ÷ current value</t>
        </is>
      </c>
      <c r="H279" s="3" t="inlineStr">
        <is>
          <t>The interest a year as a share of what the bond is worth now. If the recorded value is a dirty price it carries accrued interest, and the yield reads low — the file does not say which it is.</t>
        </is>
      </c>
      <c r="I279" s="3" t="inlineStr">
        <is>
          <t>READ BY HAND 2026-08-26 — checked line by line against the code</t>
        </is>
      </c>
      <c r="J279" s="3" t="inlineStr">
        <is>
          <t>b: BondInfo</t>
        </is>
      </c>
      <c r="K279" s="3" t="inlineStr">
        <is>
          <t>number | null</t>
        </is>
      </c>
      <c r="L279" s="3" t="inlineStr">
        <is>
          <t>—</t>
        </is>
      </c>
      <c r="M279" s="3" t="inlineStr">
        <is>
          <t>· If accrued interest is missing it uses 0.</t>
        </is>
      </c>
      <c r="N279" s="3" t="inlineStr">
        <is>
          <t>Yes</t>
        </is>
      </c>
      <c r="O279" s="3" t="inlineStr">
        <is>
          <t>MK-NW-F-057 annualCoupon</t>
        </is>
      </c>
      <c r="P279" s="3" t="n">
        <v>1</v>
      </c>
      <c r="Q279" s="3" t="inlineStr">
        <is>
          <t>MK-NW-F-057 annualCoupon</t>
        </is>
      </c>
      <c r="R279" s="3" t="inlineStr">
        <is>
          <t>MK-NW-F-057 annualCoupon → MK-NW-F-059 currentYield</t>
        </is>
      </c>
      <c r="S279" s="3" t="inlineStr">
        <is>
          <t>—</t>
        </is>
      </c>
      <c r="T279" s="3" t="inlineStr">
        <is>
          <t>BOND_CURRENT_YIELD</t>
        </is>
      </c>
      <c r="U279" s="3" t="inlineStr">
        <is>
          <t>ACTIVE</t>
        </is>
      </c>
      <c r="V279" s="3" t="inlineStr">
        <is>
          <t>2026-09-27</t>
        </is>
      </c>
      <c r="W279" s="3" t="inlineStr">
        <is>
          <t>[from MK-NW-M-044, typed A47; and K45] subtract accrued interest when recorded, caveat when not; yield always two decimals.</t>
        </is>
      </c>
      <c r="X279" s="6" t="inlineStr">
        <is>
          <t>coupon ÷ value, no accrued-interest term (no field exists yet — after brief Q-38 (2026-08-20)). Two decimals: already on the Bonds screen; account detail's two yield rows still one decimal — fix there. Caveat wording: Q45.</t>
        </is>
      </c>
      <c r="Y279" s="6" t="inlineStr">
        <is>
          <t>WAITING ON YOU — answer to read · TESTED, NOT VERIFIED (A47)</t>
        </is>
      </c>
    </row>
    <row r="280" ht="60" customHeight="1">
      <c r="A280" s="3" t="inlineStr">
        <is>
          <t>MK-NW-F-060</t>
        </is>
      </c>
      <c r="B280" s="3" t="inlineStr">
        <is>
          <t>approxYTM</t>
        </is>
      </c>
      <c r="C280" s="3" t="inlineStr">
        <is>
          <t>src/domain/bonds/index.ts</t>
        </is>
      </c>
      <c r="D280" s="3" t="n">
        <v>274</v>
      </c>
      <c r="E280" s="3" t="inlineStr">
        <is>
          <t>3 · DEPENDENT</t>
        </is>
      </c>
      <c r="F280" s="3" t="inlineStr">
        <is>
          <t>Approximate yield to maturity (standard approximation), decimal.</t>
        </is>
      </c>
      <c r="G280" s="11" t="inlineStr">
        <is>
          <t>yield to maturity ≈ round( (annual coupon + (face − value) ÷ years left)
                           ÷ ((face + value) ÷ 2), 4 dp )</t>
        </is>
      </c>
      <c r="H280"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0" s="3" t="inlineStr">
        <is>
          <t>READ BY HAND 2026-08-26 — checked line by line against the code</t>
        </is>
      </c>
      <c r="J280" s="3" t="inlineStr">
        <is>
          <t>1. b: BondInfo
2. now: Date = new Date()</t>
        </is>
      </c>
      <c r="K280" s="3" t="inlineStr">
        <is>
          <t>number | null</t>
        </is>
      </c>
      <c r="L280" s="3" t="inlineStr">
        <is>
          <t>—</t>
        </is>
      </c>
      <c r="M280" s="3" t="inlineStr">
        <is>
          <t>1. Uses today's date from the device clock, so the answer changes by itself overnight.
2. 'value' is the bond's current value as entered (the balance) — the SAME total basis as face, not a price per $100 (founder question G20, 2026-09-08).</t>
        </is>
      </c>
      <c r="N280" s="3" t="inlineStr">
        <is>
          <t>Yes</t>
        </is>
      </c>
      <c r="O280" s="3" t="inlineStr">
        <is>
          <t>1. MK-NW-F-057 annualCoupon
2. MK-XS-F-122 n
3. MK-NW-F-058 yearsToMaturity</t>
        </is>
      </c>
      <c r="P280" s="3" t="n">
        <v>3</v>
      </c>
      <c r="Q280" s="3" t="inlineStr">
        <is>
          <t>1. MK-NW-F-057 annualCoupon
2. MK-XS-F-122 n
3. MK-NW-F-058 yearsToMaturity</t>
        </is>
      </c>
      <c r="R280" s="3" t="inlineStr">
        <is>
          <t>1. MK-NW-F-057 annualCoupon → MK-NW-F-060 approxYTM
2. MK-XS-F-122 n → MK-NW-F-060 approxYTM
3. MK-NW-F-058 yearsToMaturity → MK-NW-F-060 approxYTM</t>
        </is>
      </c>
      <c r="S280" s="3" t="inlineStr">
        <is>
          <t>—</t>
        </is>
      </c>
      <c r="T280" s="3" t="inlineStr">
        <is>
          <t>BOND_YIELD_TO_MATURITY</t>
        </is>
      </c>
      <c r="U280" s="3" t="inlineStr">
        <is>
          <t>ACTIVE</t>
        </is>
      </c>
      <c r="V280" s="3" t="inlineStr">
        <is>
          <t>2026-09-27</t>
        </is>
      </c>
      <c r="W280" s="3" t="inlineStr">
        <is>
          <t>[from MK-NW-M-041, Formula (in words)] why compute yield when the coupon rate is an input?</t>
        </is>
      </c>
      <c r="X280" s="6" t="inlineStr">
        <is>
          <t>Yield to maturity is derived from coupon, face, value and years left — it cannot be an input. Coupon RATE stays an input (MK-XS-I-012). Two decimals on the account-detail row still owed (K45).</t>
        </is>
      </c>
      <c r="Y280" s="6" t="inlineStr">
        <is>
          <t>WAITING ON YOU — answer to read · TESTED, NOT VERIFIED (G11, G20)</t>
        </is>
      </c>
    </row>
    <row r="281" ht="60" customHeight="1">
      <c r="A281" s="3" t="inlineStr">
        <is>
          <t>MK-NW-F-061</t>
        </is>
      </c>
      <c r="B281" s="3" t="inlineStr">
        <is>
          <t>bondSummary</t>
        </is>
      </c>
      <c r="C281" s="3" t="inlineStr">
        <is>
          <t>src/domain/bonds/index.ts</t>
        </is>
      </c>
      <c r="D281" s="3" t="n">
        <v>329</v>
      </c>
      <c r="E281" s="3" t="inlineStr">
        <is>
          <t>3 · DEPENDENT</t>
        </is>
      </c>
      <c r="F281" s="3" t="inlineStr">
        <is>
          <t>NOT DETERMINED — the code carries no note saying what this is for, and it has no row in the old inventory. Needs reading.</t>
        </is>
      </c>
      <c r="G281" s="11" t="inlineStr">
        <is>
          <t>list = bonds (or none when missing)
total value = Σ over list of (value)
total face = Σ over list of (face)
coupon = Σ over list of (annual coupon(each))
avg yield = coupon ÷ total value   if total value &gt; 0
nothing   otherwise
future = for each of list: maturity where boolean where the date each).get time() ≥ now.get time(, in order
the answer:
count = count of list
total value = total value
total face = total face
annual coupon = coupon
avg yield = avg yield
next maturity = the first of future (or nothing when missing)</t>
        </is>
      </c>
      <c r="H281" s="3" t="inlineStr">
        <is>
          <t>List is bonds (or none — when missing). Total value: the value added up across list. Total face: the face added up across list. Coupon: the annual coupon(each) added up across list. Avg yield is coupon divided by total value — when total value &gt; 0; no answer — otherwise. Future is for each of list: maturity where boolean where the date each).get time() is at least now.get time(, in order. The answer is count = how many list there are; total value = total value; total face = total face; annual coupon = coupon; avg yield = avg yield; next maturity = the first of future (or no answer — when missing).</t>
        </is>
      </c>
      <c r="I281" s="3" t="inlineStr">
        <is>
          <t>PARTLY READ — some of the code is still showing through; needs a hand pass</t>
        </is>
      </c>
      <c r="J281" s="3" t="inlineStr">
        <is>
          <t>1. bonds: BondInfo[]
2. now: Date = new Date()</t>
        </is>
      </c>
      <c r="K281" s="3" t="inlineStr">
        <is>
          <t>BondSummary</t>
        </is>
      </c>
      <c r="L281" s="3" t="inlineStr">
        <is>
          <t>—</t>
        </is>
      </c>
      <c r="M281" s="3" t="inlineStr">
        <is>
          <t>· Uses today's date from the device clock, so the answer changes by itself overnight.</t>
        </is>
      </c>
      <c r="N281" s="3" t="inlineStr">
        <is>
          <t>Yes</t>
        </is>
      </c>
      <c r="O281" s="3" t="inlineStr">
        <is>
          <t>1. MK-NW-F-057 annualCoupon
2. MK-CF-F-132 map</t>
        </is>
      </c>
      <c r="P281" s="3" t="n">
        <v>2</v>
      </c>
      <c r="Q281" s="3" t="inlineStr">
        <is>
          <t>1. MK-NW-F-057 annualCoupon
2. MK-CF-F-132 map</t>
        </is>
      </c>
      <c r="R281" s="3" t="inlineStr">
        <is>
          <t>1. MK-NW-F-057 annualCoupon → MK-NW-F-061 bondSummary
2. MK-CF-F-132 map → MK-NW-F-061 bondSummary</t>
        </is>
      </c>
      <c r="S281" s="3" t="inlineStr">
        <is>
          <t>—</t>
        </is>
      </c>
      <c r="T281" s="3" t="inlineStr">
        <is>
          <t>—</t>
        </is>
      </c>
      <c r="U281" s="3" t="inlineStr">
        <is>
          <t>ACTIVE</t>
        </is>
      </c>
      <c r="V281" s="3" t="inlineStr">
        <is>
          <t>2026-09-27</t>
        </is>
      </c>
      <c r="W281" s="3" t="inlineStr">
        <is>
          <t>[from MK-NW-M-041 / M-042 / M-043] total value = sum of what? inputs should be face value; matured bonds and the coupon total.</t>
        </is>
      </c>
      <c r="X281" s="6" t="inlineStr">
        <is>
          <t>totalValue = Σ each bond's entered value (the balance); totalFace = Σ face (MK-XS-I-011); count = number of bond records; the coupon total inherits JJ-3 (matured bonds still counted). This is the real producer of MK-NW-M-041 and M-042 — both rows should name it.</t>
        </is>
      </c>
      <c r="Y281" s="6" t="inlineStr">
        <is>
          <t>WAITING ON YOU — answer to read</t>
        </is>
      </c>
    </row>
    <row r="282" ht="60" customHeight="1">
      <c r="A282" s="3" t="inlineStr">
        <is>
          <t>MK-NW-F-062</t>
        </is>
      </c>
      <c r="B282" s="3" t="inlineStr">
        <is>
          <t>couponIncomeAnnual</t>
        </is>
      </c>
      <c r="C282" s="3" t="inlineStr">
        <is>
          <t>src/domain/bonds/index.ts</t>
        </is>
      </c>
      <c r="D282" s="3" t="n">
        <v>354</v>
      </c>
      <c r="E282" s="3" t="inlineStr">
        <is>
          <t>3 · DEPENDENT (feeds an action only)</t>
        </is>
      </c>
      <c r="F282" s="3" t="inlineStr">
        <is>
          <t>Total annual coupon income across the user's INDIVIDUAL bonds (kept for the Bonds screen summary).</t>
        </is>
      </c>
      <c r="G282" s="11" t="inlineStr">
        <is>
          <t>Σ over accounts (or none when missing) where is bond of (annual coupon(bond info(each)))</t>
        </is>
      </c>
      <c r="H282" s="3" t="inlineStr">
        <is>
          <t>the annual coupon(bond info(each)) added up across accounts (or none — when missing) where is bond.</t>
        </is>
      </c>
      <c r="I282" s="3" t="inlineStr">
        <is>
          <t>READ FROM THE CODE — rendered from the expressions the function runs</t>
        </is>
      </c>
      <c r="J282" s="3" t="inlineStr">
        <is>
          <t>accounts: AssetAccount[]</t>
        </is>
      </c>
      <c r="K282" s="3" t="inlineStr">
        <is>
          <t>number</t>
        </is>
      </c>
      <c r="L282" s="3" t="inlineStr">
        <is>
          <t>—</t>
        </is>
      </c>
      <c r="M282" s="3" t="inlineStr">
        <is>
          <t>None found in this function — anything it assumes comes from the functions it depends on.</t>
        </is>
      </c>
      <c r="N282" s="3" t="inlineStr">
        <is>
          <t>No</t>
        </is>
      </c>
      <c r="O282" s="3" t="inlineStr">
        <is>
          <t>1. MK-NW-F-057 annualCoupon
2. MK-NW-F-056 bondInfo
3. MK-NW-F-055 isBond</t>
        </is>
      </c>
      <c r="P282" s="3" t="n">
        <v>14</v>
      </c>
      <c r="Q282"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82"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82" s="3" t="inlineStr">
        <is>
          <t>—</t>
        </is>
      </c>
      <c r="T282" s="3" t="inlineStr">
        <is>
          <t>—</t>
        </is>
      </c>
      <c r="U282" s="3" t="inlineStr">
        <is>
          <t>ACTIVE</t>
        </is>
      </c>
      <c r="V282" s="3" t="inlineStr">
        <is>
          <t>2026-09-09</t>
        </is>
      </c>
      <c r="W282" s="3" t="n"/>
      <c r="X282" s="3" t="n"/>
      <c r="Y282" s="3" t="inlineStr">
        <is>
          <t>NOTHING OPEN</t>
        </is>
      </c>
    </row>
    <row r="283" ht="60" customHeight="1">
      <c r="A283" s="3" t="inlineStr">
        <is>
          <t>MK-NW-F-063</t>
        </is>
      </c>
      <c r="B283" s="3" t="inlineStr">
        <is>
          <t>interestIncomeAnnual</t>
        </is>
      </c>
      <c r="C283" s="3" t="inlineStr">
        <is>
          <t>src/domain/bonds/index.ts</t>
        </is>
      </c>
      <c r="D283" s="3" t="n">
        <v>389</v>
      </c>
      <c r="E283" s="3" t="inlineStr">
        <is>
          <t>3 · DEPENDENT (feeds an action only)</t>
        </is>
      </c>
      <c r="F283" s="3" t="inlineStr">
        <is>
          <t>Canonical annual INTEREST income across all interest-bearing holdings (Term #6).</t>
        </is>
      </c>
      <c r="G283" s="11" t="inlineStr">
        <is>
          <t>cls = asset class of(a)
coupon = (coupon rate or 0) × (face value or 0)
t + coupon   when coupon &gt; 0
t + (balance or 0) × (coupon rate as number)   when (coupon rate or 0) &gt; 0
the answer = t</t>
        </is>
      </c>
      <c r="H283" s="3" t="inlineStr">
        <is>
          <t>Cls is asset class of(a). Coupon is (coupon rate or 0) times (face value or 0). When coupon &gt; 0, it answers t plus coupon. When (coupon rate or 0) &gt; 0, it answers t plus (balance or 0) times (coupon rate as number). The answer is t.</t>
        </is>
      </c>
      <c r="I283" s="3" t="inlineStr">
        <is>
          <t>READ FROM THE CODE — rendered from the expressions the function runs</t>
        </is>
      </c>
      <c r="J283" s="3" t="inlineStr">
        <is>
          <t>accounts: AssetAccount[]</t>
        </is>
      </c>
      <c r="K283" s="3" t="inlineStr">
        <is>
          <t>number</t>
        </is>
      </c>
      <c r="L283" s="3" t="inlineStr">
        <is>
          <t>—</t>
        </is>
      </c>
      <c r="M283"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83" s="3" t="inlineStr">
        <is>
          <t>No</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83" s="3" t="inlineStr">
        <is>
          <t>—</t>
        </is>
      </c>
      <c r="T283" s="3" t="inlineStr">
        <is>
          <t>—</t>
        </is>
      </c>
      <c r="U283" s="3" t="inlineStr">
        <is>
          <t>ACTIVE</t>
        </is>
      </c>
      <c r="V283" s="3" t="inlineStr">
        <is>
          <t>2026-09-11</t>
        </is>
      </c>
      <c r="W283" s="3" t="inlineStr">
        <is>
          <t>[from MK-NW-M-043 / M-045, typed A46] If coupon rate is not available use 0.</t>
        </is>
      </c>
      <c r="X283" s="6" t="inlineStr">
        <is>
          <t>JJ-4: still falls back to 4.2% (DEFAULT_BOND_YIELD) for a bond fund with no rate, and the paycheck income lines do the same. Fix: 0 + 'no rate recorded'. Also inherits JJ-3 (matured bonds). The other 4.2%/4% figures are expected-return defaults, a different concept — Q44.</t>
        </is>
      </c>
      <c r="Y283" s="6" t="inlineStr">
        <is>
          <t>WAITING ON YOU — answer to read · TESTED, NOT VERIFIED (A46)</t>
        </is>
      </c>
    </row>
    <row r="284" ht="60" customHeight="1">
      <c r="A284" s="3" t="inlineStr">
        <is>
          <t>MK-NW-F-064</t>
        </is>
      </c>
      <c r="B284" s="3" t="inlineStr">
        <is>
          <t>bondRateSensitivity</t>
        </is>
      </c>
      <c r="C284" s="3" t="inlineStr">
        <is>
          <t>src/domain/bonds/index.ts</t>
        </is>
      </c>
      <c r="D284" s="3" t="n">
        <v>507</v>
      </c>
      <c r="E284" s="3" t="inlineStr">
        <is>
          <t>3 · DEPENDENT</t>
        </is>
      </c>
      <c r="F284" s="3" t="inlineStr">
        <is>
          <t>What happens to this bond if interest rates move?</t>
        </is>
      </c>
      <c r="G284" s="11" t="inlineStr">
        <is>
          <t>ytm = approx ytm(b, now)
nothing   when ytm = nothing (or face ≤ 0 (or coupon rate ≤ 0 when missing or zero) when missing or zero)
v = price at yield(b, math.max(0.0001, ytm + delta), now)
the answer:
rates up = move(0.01)
rates down = move(-0.01)</t>
        </is>
      </c>
      <c r="H284" s="3" t="inlineStr">
        <is>
          <t>Ytm is approx ytm(b, now). When ytm is missing (or face is at most 0 (or coupon rate is at most 0 — when missing or zero) — when missing or zero), it answers no answer. V is price at yield(b, math.the larger of 0.0001 and ytm plus delta, now). The answer is rates up = move(0.01); rates down = move(-0.01).</t>
        </is>
      </c>
      <c r="I284" s="3" t="inlineStr">
        <is>
          <t>PARTLY READ — some of the code is still showing through; needs a hand pass</t>
        </is>
      </c>
      <c r="J284" s="3" t="inlineStr">
        <is>
          <t>1. b: BondInfo
2. now: Date = new Date()</t>
        </is>
      </c>
      <c r="K284" s="3" t="inlineStr">
        <is>
          <t>RateSensitivity | null</t>
        </is>
      </c>
      <c r="L284" s="3" t="inlineStr">
        <is>
          <t>—</t>
        </is>
      </c>
      <c r="M284" s="3" t="inlineStr">
        <is>
          <t>1. Applies a built-in rate of 99% to v.
2. Uses today's date from the device clock, so the answer changes by itself overnight.
3. Rounds the answer to a whole number.</t>
        </is>
      </c>
      <c r="N284" s="3" t="inlineStr">
        <is>
          <t>Yes</t>
        </is>
      </c>
      <c r="O284" s="3" t="inlineStr">
        <is>
          <t>1. MK-NW-F-060 approxYTM
2. MK-NW-F-069 priceAtYield</t>
        </is>
      </c>
      <c r="P284" s="3" t="n">
        <v>5</v>
      </c>
      <c r="Q284" s="3" t="inlineStr">
        <is>
          <t>1. MK-NW-F-060 approxYTM
2. MK-NW-F-069 priceAtYield
3. MK-NW-F-057 annualCoupon
4. MK-XS-F-122 n
5. MK-NW-F-058 yearsToMaturity</t>
        </is>
      </c>
      <c r="R284"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84" s="3" t="inlineStr">
        <is>
          <t>MK-NW-M-028</t>
        </is>
      </c>
      <c r="T284" s="3" t="inlineStr">
        <is>
          <t>IF_RATES_MOVE</t>
        </is>
      </c>
      <c r="U284" s="3" t="inlineStr">
        <is>
          <t>ACTIVE</t>
        </is>
      </c>
      <c r="V284" s="3" t="inlineStr">
        <is>
          <t>2026-09-27</t>
        </is>
      </c>
      <c r="W284" s="3" t="n"/>
      <c r="X284" s="3" t="n"/>
      <c r="Y284" s="6" t="inlineStr">
        <is>
          <t>TESTED, NOT VERIFIED (G11)</t>
        </is>
      </c>
    </row>
    <row r="285" ht="60" customHeight="1">
      <c r="A285" s="3" t="inlineStr">
        <is>
          <t>MK-NW-F-065</t>
        </is>
      </c>
      <c r="B285" s="3" t="inlineStr">
        <is>
          <t>buildNetWorth</t>
        </is>
      </c>
      <c r="C285" s="3" t="inlineStr">
        <is>
          <t>src/domain/networth/index.ts</t>
        </is>
      </c>
      <c r="D285" s="3" t="n">
        <v>33</v>
      </c>
      <c r="E285" s="3" t="inlineStr">
        <is>
          <t>3 · DEPENDENT</t>
        </is>
      </c>
      <c r="F285" s="3" t="inlineStr">
        <is>
          <t>What is this household worth?</t>
        </is>
      </c>
      <c r="G285" s="11" t="inlineStr">
        <is>
          <t>gross assets = round(assets total, 2 dp)
gross debt   = round(debt total, 2 dp)
net worth    = round(assets total − debt total, 2 dp)</t>
        </is>
      </c>
      <c r="H285"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85" s="3" t="inlineStr">
        <is>
          <t>READ BY HAND 2026-08-26 — checked line by line against the code</t>
        </is>
      </c>
      <c r="J285" s="3" t="inlineStr">
        <is>
          <t>1. uid: UserId
2. grossAssets: number
3. grossDebt: number</t>
        </is>
      </c>
      <c r="K285" s="3" t="inlineStr">
        <is>
          <t>NetWorthState</t>
        </is>
      </c>
      <c r="L285" s="3" t="inlineStr">
        <is>
          <t>—</t>
        </is>
      </c>
      <c r="M285" s="3" t="inlineStr">
        <is>
          <t>None found in this function — anything it assumes comes from the functions it depends on.</t>
        </is>
      </c>
      <c r="N285" s="3" t="inlineStr">
        <is>
          <t>Yes</t>
        </is>
      </c>
      <c r="O285" s="3" t="inlineStr">
        <is>
          <t>MK-XS-F-175 uid</t>
        </is>
      </c>
      <c r="P285" s="3" t="n">
        <v>80</v>
      </c>
      <c r="Q28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285"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85" s="3" t="inlineStr">
        <is>
          <t>—</t>
        </is>
      </c>
      <c r="T285" s="3" t="inlineStr">
        <is>
          <t>NET_WORTH</t>
        </is>
      </c>
      <c r="U285" s="3" t="inlineStr">
        <is>
          <t>ACTIVE</t>
        </is>
      </c>
      <c r="V285" s="3" t="inlineStr">
        <is>
          <t>2026-09-27</t>
        </is>
      </c>
      <c r="W285" s="3" t="n"/>
      <c r="X285" s="3" t="n"/>
      <c r="Y285" s="3" t="inlineStr">
        <is>
          <t>NOTHING OPEN</t>
        </is>
      </c>
    </row>
    <row r="286" ht="60" customHeight="1">
      <c r="A286" s="3" t="inlineStr">
        <is>
          <t>MK-NW-F-066</t>
        </is>
      </c>
      <c r="B286" s="3" t="inlineStr">
        <is>
          <t>sumWhere</t>
        </is>
      </c>
      <c r="C286" s="3" t="inlineStr">
        <is>
          <t>src/domain/assets/index.ts</t>
        </is>
      </c>
      <c r="D286" s="3" t="n">
        <v>606</v>
      </c>
      <c r="E286" s="3" t="inlineStr">
        <is>
          <t>3 · DEPENDENT</t>
        </is>
      </c>
      <c r="F286" s="3" t="inlineStr">
        <is>
          <t>── Canonical asset totals (Term #2/#3/#4) ──────────────────────────────────── THE single source for each total — screens read these, never re-sum inline.</t>
        </is>
      </c>
      <c r="G286" s="11" t="inlineStr">
        <is>
          <t>Σ over accounts (or none when missing) where pred of (balance (or 0 when missing or zero))</t>
        </is>
      </c>
      <c r="H286" s="3" t="inlineStr">
        <is>
          <t>the balance (or 0 — when missing or zero) added up across accounts (or none — when missing) where pred.</t>
        </is>
      </c>
      <c r="I286" s="3" t="inlineStr">
        <is>
          <t>READ FROM THE CODE — rendered from the expressions the function runs</t>
        </is>
      </c>
      <c r="J286" s="3" t="inlineStr">
        <is>
          <t>1. accounts: AssetAccount[]
2. pred: (a: AssetAccount) =&gt; boolean</t>
        </is>
      </c>
      <c r="K286" s="3" t="inlineStr">
        <is>
          <t>number</t>
        </is>
      </c>
      <c r="L286" s="3" t="inlineStr">
        <is>
          <t>—</t>
        </is>
      </c>
      <c r="M286" s="3" t="inlineStr">
        <is>
          <t>· If balance is missing it counts as zero, so nothing recorded and a real zero look the same.</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t>
        </is>
      </c>
      <c r="U286" s="3" t="inlineStr">
        <is>
          <t>ACTIVE</t>
        </is>
      </c>
      <c r="V286" s="3" t="inlineStr">
        <is>
          <t>2026-09-09</t>
        </is>
      </c>
      <c r="W286" s="3" t="n"/>
      <c r="X286" s="3" t="n"/>
      <c r="Y286" s="3" t="inlineStr">
        <is>
          <t>NOTHING OPEN</t>
        </is>
      </c>
    </row>
    <row r="287" ht="60" customHeight="1">
      <c r="A287" s="3" t="inlineStr">
        <is>
          <t>MK-NW-F-067</t>
        </is>
      </c>
      <c r="B287" s="3" t="inlineStr">
        <is>
          <t>plural</t>
        </is>
      </c>
      <c r="C287" s="3" t="inlineStr">
        <is>
          <t>src/domain/assets/index.ts</t>
        </is>
      </c>
      <c r="D287" s="3" t="n">
        <v>1127</v>
      </c>
      <c r="E287" s="3" t="inlineStr">
        <is>
          <t>1 · ACTION</t>
        </is>
      </c>
      <c r="F287" s="3" t="inlineStr">
        <is>
          <t>NOT DETERMINED — the code carries no note saying what this is for, and it has no row in the old inventory. Needs reading.</t>
        </is>
      </c>
      <c r="G287" s="11" t="inlineStr">
        <is>
          <t>the answer = n + ' ' + (one   when n = 1;   many   otherwise)</t>
        </is>
      </c>
      <c r="H287" s="3" t="inlineStr">
        <is>
          <t>'1 account' or '3 accounts' — the word made plural when the count is not one. Display only.</t>
        </is>
      </c>
      <c r="I287" s="3" t="inlineStr">
        <is>
          <t>READ BY HAND 2026-08-26 — checked line by line against the code</t>
        </is>
      </c>
      <c r="J287" s="3" t="inlineStr">
        <is>
          <t>1. n: number
2. one: string
3. many = `${one}s`</t>
        </is>
      </c>
      <c r="K287" s="3" t="inlineStr">
        <is>
          <t>many}`;</t>
        </is>
      </c>
      <c r="L287" s="3" t="inlineStr">
        <is>
          <t>—</t>
        </is>
      </c>
      <c r="M287" s="3" t="inlineStr">
        <is>
          <t>None found in this function — anything it assumes comes from the functions it depends on.</t>
        </is>
      </c>
      <c r="N287" s="3" t="inlineStr">
        <is>
          <t>Yes</t>
        </is>
      </c>
      <c r="O287" s="3" t="inlineStr">
        <is>
          <t>—</t>
        </is>
      </c>
      <c r="P287" s="3" t="n">
        <v>0</v>
      </c>
      <c r="Q287" s="3" t="inlineStr">
        <is>
          <t>None — no dependent function stands behind it</t>
        </is>
      </c>
      <c r="R287" s="3" t="inlineStr">
        <is>
          <t>No dependent function — it reads its inputs and answers</t>
        </is>
      </c>
      <c r="S287" s="3" t="inlineStr">
        <is>
          <t>—</t>
        </is>
      </c>
      <c r="T287" s="3" t="inlineStr">
        <is>
          <t>—</t>
        </is>
      </c>
      <c r="U287" s="3" t="inlineStr">
        <is>
          <t>ACTIVE</t>
        </is>
      </c>
      <c r="V287" s="3" t="inlineStr">
        <is>
          <t>2026-09-12</t>
        </is>
      </c>
      <c r="W287" s="3" t="n"/>
      <c r="X287" s="3" t="n"/>
      <c r="Y287" s="3" t="inlineStr">
        <is>
          <t>NOTHING OPEN</t>
        </is>
      </c>
    </row>
    <row r="288" ht="60" customHeight="1">
      <c r="A288" s="3" t="inlineStr">
        <is>
          <t>MK-NW-F-068</t>
        </is>
      </c>
      <c r="B288" s="3" t="inlineStr">
        <is>
          <t>prettyDay</t>
        </is>
      </c>
      <c r="C288" s="3" t="inlineStr">
        <is>
          <t>src/domain/assets/index.ts</t>
        </is>
      </c>
      <c r="D288" s="3" t="n">
        <v>1957</v>
      </c>
      <c r="E288" s="3" t="inlineStr">
        <is>
          <t>3 · DEPENDENT</t>
        </is>
      </c>
      <c r="F288" s="3" t="inlineStr">
        <is>
          <t>NOT DETERMINED — the code carries no note saying what this is for, and it has no row in the old inventory. Needs reading.</t>
        </is>
      </c>
      <c r="G288" s="11" t="inlineStr">
        <is>
          <t>`${MONTH_ABBR[(m or 1) − 1]} ${d}, ${y}`</t>
        </is>
      </c>
      <c r="H288" s="3" t="inlineStr">
        <is>
          <t>`${MONTH_ABBR[(m or 1) minus 1]} ${d}, ${y}`.</t>
        </is>
      </c>
      <c r="I288" s="3" t="inlineStr">
        <is>
          <t>PARTLY READ — some of the code is still showing through; needs a hand pass</t>
        </is>
      </c>
      <c r="J288" s="3" t="inlineStr">
        <is>
          <t>iso: string</t>
        </is>
      </c>
      <c r="K288" s="3" t="inlineStr">
        <is>
          <t>string</t>
        </is>
      </c>
      <c r="L288" s="3" t="inlineStr">
        <is>
          <t>—</t>
        </is>
      </c>
      <c r="M288" s="3" t="inlineStr">
        <is>
          <t>None found in this function — anything it assumes comes from the functions it depends on.</t>
        </is>
      </c>
      <c r="N288" s="3" t="inlineStr">
        <is>
          <t>Yes</t>
        </is>
      </c>
      <c r="O288" s="3" t="inlineStr">
        <is>
          <t>MK-CF-F-132 map</t>
        </is>
      </c>
      <c r="P288" s="3" t="n">
        <v>1</v>
      </c>
      <c r="Q288" s="3" t="inlineStr">
        <is>
          <t>MK-CF-F-132 map</t>
        </is>
      </c>
      <c r="R288" s="3" t="inlineStr">
        <is>
          <t>MK-CF-F-132 map → MK-NW-F-068 prettyDay</t>
        </is>
      </c>
      <c r="S288" s="3" t="inlineStr">
        <is>
          <t>—</t>
        </is>
      </c>
      <c r="T288" s="3" t="inlineStr">
        <is>
          <t>—</t>
        </is>
      </c>
      <c r="U288" s="3" t="inlineStr">
        <is>
          <t>ACTIVE</t>
        </is>
      </c>
      <c r="V288" s="3" t="inlineStr">
        <is>
          <t>2026-08-27</t>
        </is>
      </c>
      <c r="W288" s="3" t="n"/>
      <c r="X288" s="3" t="n"/>
      <c r="Y288" s="3" t="inlineStr">
        <is>
          <t>NOTHING OPEN</t>
        </is>
      </c>
    </row>
    <row r="289" ht="60" customHeight="1">
      <c r="A289" s="3" t="inlineStr">
        <is>
          <t>MK-NW-F-069</t>
        </is>
      </c>
      <c r="B289" s="3" t="inlineStr">
        <is>
          <t>priceAtYield</t>
        </is>
      </c>
      <c r="C289" s="3" t="inlineStr">
        <is>
          <t>src/domain/bonds/index.ts</t>
        </is>
      </c>
      <c r="D289" s="3" t="n">
        <v>453</v>
      </c>
      <c r="E289" s="3" t="inlineStr">
        <is>
          <t>3 · DEPENDENT</t>
        </is>
      </c>
      <c r="F289" s="3" t="inlineStr">
        <is>
          <t>Price the bond's future cash flows at a given annual yield (yearly approximation).</t>
        </is>
      </c>
      <c r="G289" s="11" t="inlineStr">
        <is>
          <t>years = years to maturity(maturity, now)
value   when years = nothing
n = max(1, round(years))
c = annual coupon(b)
pv = 0
[LOOP — the answer is found inside a loop the extractor cannot render; the steps above are the ones before it. Read by hand.]</t>
        </is>
      </c>
      <c r="H289"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89" s="3" t="inlineStr">
        <is>
          <t>PARTLY READ — the body has a loop the extractor cannot render; the steps shown are the ones before it. Needs a hand pass (G23).</t>
        </is>
      </c>
      <c r="J289" s="3" t="inlineStr">
        <is>
          <t>1. b: BondInfo
2. y: number
3. now: Date</t>
        </is>
      </c>
      <c r="K289" s="3" t="inlineStr">
        <is>
          <t>number</t>
        </is>
      </c>
      <c r="L289" s="3" t="inlineStr">
        <is>
          <t>—</t>
        </is>
      </c>
      <c r="M289" s="3" t="inlineStr">
        <is>
          <t>1. Uses a built-in pv of 0.
2. Rounds the answer to a whole number.</t>
        </is>
      </c>
      <c r="N289" s="3" t="inlineStr">
        <is>
          <t>Yes</t>
        </is>
      </c>
      <c r="O289" s="3" t="inlineStr">
        <is>
          <t>1. MK-NW-F-057 annualCoupon
2. MK-XS-F-122 n
3. MK-NW-F-058 yearsToMaturity</t>
        </is>
      </c>
      <c r="P289" s="3" t="n">
        <v>3</v>
      </c>
      <c r="Q289" s="3" t="inlineStr">
        <is>
          <t>1. MK-NW-F-057 annualCoupon
2. MK-XS-F-122 n
3. MK-NW-F-058 yearsToMaturity</t>
        </is>
      </c>
      <c r="R289" s="3" t="inlineStr">
        <is>
          <t>1. MK-NW-F-057 annualCoupon → MK-NW-F-069 priceAtYield
2. MK-XS-F-122 n → MK-NW-F-069 priceAtYield
3. MK-NW-F-058 yearsToMaturity → MK-NW-F-069 priceAtYield</t>
        </is>
      </c>
      <c r="S289" s="3" t="inlineStr">
        <is>
          <t>—</t>
        </is>
      </c>
      <c r="T289" s="3" t="inlineStr">
        <is>
          <t>—</t>
        </is>
      </c>
      <c r="U289" s="3" t="inlineStr">
        <is>
          <t>ACTIVE</t>
        </is>
      </c>
      <c r="V289" s="3" t="inlineStr">
        <is>
          <t>2026-09-12</t>
        </is>
      </c>
      <c r="W289" s="3" t="n"/>
      <c r="X289" s="3" t="n"/>
      <c r="Y289" s="3" t="inlineStr">
        <is>
          <t>NOTHING OPEN</t>
        </is>
      </c>
    </row>
    <row r="290" ht="60" customHeight="1">
      <c r="A290" s="3" t="inlineStr">
        <is>
          <t>MK-NW-F-070</t>
        </is>
      </c>
      <c r="B290" s="3" t="inlineStr">
        <is>
          <t>accruedInterestCaveat</t>
        </is>
      </c>
      <c r="C290" s="3" t="inlineStr">
        <is>
          <t>src/domain/bonds/index.ts</t>
        </is>
      </c>
      <c r="D290" s="3" t="n">
        <v>235</v>
      </c>
      <c r="E290" s="3" t="inlineStr">
        <is>
          <t>3 · DEPENDENT</t>
        </is>
      </c>
      <c r="F290" s="3" t="inlineStr">
        <is>
          <t>A47 (founder, 2026-08-26): subtract accrued interest when known; say so when not.</t>
        </is>
      </c>
      <c r="G290" s="11" t="inlineStr">
        <is>
          <t>'accrued interest not entered — the yield uses the price as you entered it'   if accrued interest = nothing
nothing   otherwise</t>
        </is>
      </c>
      <c r="H290" s="3" t="inlineStr">
        <is>
          <t>'accrued interest entered is missing — the yield uses the price as you entered it' — when accrued interest is missing; no answer — otherwise.</t>
        </is>
      </c>
      <c r="I290" s="3" t="inlineStr">
        <is>
          <t>READ FROM THE CODE — rendered from the expressions the function runs</t>
        </is>
      </c>
      <c r="J290" s="3" t="inlineStr">
        <is>
          <t>b: BondInfo</t>
        </is>
      </c>
      <c r="K290" s="3" t="inlineStr">
        <is>
          <t>string | null</t>
        </is>
      </c>
      <c r="L290" s="3" t="inlineStr">
        <is>
          <t>—</t>
        </is>
      </c>
      <c r="M290" s="3" t="inlineStr">
        <is>
          <t>None found in this function — anything it assumes comes from the functions it depends on.</t>
        </is>
      </c>
      <c r="N290" s="3" t="inlineStr">
        <is>
          <t>Yes</t>
        </is>
      </c>
      <c r="O290" s="3" t="inlineStr">
        <is>
          <t>—</t>
        </is>
      </c>
      <c r="P290" s="3" t="n">
        <v>0</v>
      </c>
      <c r="Q290" s="3" t="inlineStr">
        <is>
          <t>None — no dependent function stands behind it</t>
        </is>
      </c>
      <c r="R290" s="3" t="inlineStr">
        <is>
          <t>No dependent function — it reads its inputs and answers</t>
        </is>
      </c>
      <c r="S290" s="3" t="inlineStr">
        <is>
          <t>—</t>
        </is>
      </c>
      <c r="T290" s="3" t="inlineStr">
        <is>
          <t>—</t>
        </is>
      </c>
      <c r="U290" s="3" t="inlineStr">
        <is>
          <t>ACTIVE</t>
        </is>
      </c>
      <c r="V290" s="3" t="inlineStr">
        <is>
          <t>2026-09-27</t>
        </is>
      </c>
      <c r="W290" s="3" t="n"/>
      <c r="X290" s="3" t="n"/>
      <c r="Y290" s="6" t="inlineStr">
        <is>
          <t>TESTED, NOT VERIFIED (A47)</t>
        </is>
      </c>
    </row>
    <row r="291" ht="60" customHeight="1">
      <c r="A291" s="3" t="inlineStr">
        <is>
          <t>MK-NW-F-071</t>
        </is>
      </c>
      <c r="B291" s="3" t="inlineStr">
        <is>
          <t>isCertificateOfDeposit</t>
        </is>
      </c>
      <c r="C291" s="3" t="inlineStr">
        <is>
          <t>MoneyKeel/functions/networth-and-performance/bonds.ts</t>
        </is>
      </c>
      <c r="D291" s="3" t="n">
        <v>56</v>
      </c>
      <c r="E291" s="3" t="inlineStr">
        <is>
          <t>3 · DEPENDENT</t>
        </is>
      </c>
      <c r="F291" s="3" t="inlineStr">
        <is>
          <t>NOT DETERMINED — the code carries no note saying what this is for, and it has no row in the old inventory. Needs reading.</t>
        </is>
      </c>
      <c r="G291" s="11" t="inlineStr">
        <is>
          <t>CD_RE.test(`${label ?? ''} ${institution ?? ''}`)</t>
        </is>
      </c>
      <c r="H291" s="3" t="inlineStr">
        <is>
          <t>CD_RE.test(`${label ?? ''} ${institution ?? ''}`).</t>
        </is>
      </c>
      <c r="I291" s="3" t="inlineStr">
        <is>
          <t>PARTLY READ — some of the code is still showing through; needs a hand pass</t>
        </is>
      </c>
      <c r="J291" s="3" t="inlineStr">
        <is>
          <t>a: Pick&lt;AssetAccount, 'label'&gt; &amp; { institution?: string }</t>
        </is>
      </c>
      <c r="K291" s="3" t="inlineStr">
        <is>
          <t>boolean</t>
        </is>
      </c>
      <c r="L291" s="3" t="inlineStr">
        <is>
          <t>—</t>
        </is>
      </c>
      <c r="M291" s="3" t="inlineStr">
        <is>
          <t>None found in this function — anything it assumes comes from the functions it depends on.</t>
        </is>
      </c>
      <c r="N291" s="3" t="inlineStr">
        <is>
          <t>Yes</t>
        </is>
      </c>
      <c r="O291" s="3" t="inlineStr">
        <is>
          <t>—</t>
        </is>
      </c>
      <c r="P291" s="3" t="n">
        <v>0</v>
      </c>
      <c r="Q291" s="3" t="inlineStr">
        <is>
          <t>None — no dependent function stands behind it</t>
        </is>
      </c>
      <c r="R291" s="3" t="inlineStr">
        <is>
          <t>No dependent function — it reads its inputs and answers</t>
        </is>
      </c>
      <c r="S291" s="3" t="inlineStr">
        <is>
          <t>—</t>
        </is>
      </c>
      <c r="T291" s="3" t="inlineStr">
        <is>
          <t>—</t>
        </is>
      </c>
      <c r="U291" s="3" t="inlineStr">
        <is>
          <t>ACTIVE</t>
        </is>
      </c>
      <c r="V291" s="3" t="inlineStr">
        <is>
          <t>2026-09-27</t>
        </is>
      </c>
      <c r="W291" s="3" t="n"/>
      <c r="X291" s="3" t="n"/>
      <c r="Y291" s="3" t="inlineStr">
        <is>
          <t>NOTHING OPEN</t>
        </is>
      </c>
    </row>
    <row r="292" ht="60" customHeight="1">
      <c r="A292" s="3" t="inlineStr">
        <is>
          <t>MK-NW-F-072</t>
        </is>
      </c>
      <c r="B292" s="3" t="inlineStr">
        <is>
          <t>rowOf</t>
        </is>
      </c>
      <c r="C292" s="3" t="inlineStr">
        <is>
          <t>MoneyKeel/functions/networth-and-performance/bonds.ts</t>
        </is>
      </c>
      <c r="D292" s="3" t="n">
        <v>139</v>
      </c>
      <c r="E292" s="3" t="inlineStr">
        <is>
          <t>3 · DEPENDENT</t>
        </is>
      </c>
      <c r="F292" s="3" t="inlineStr">
        <is>
          <t>NOT DETERMINED — the code carries no note saying what this is for, and it has no row in the old inventory. Needs reading.</t>
        </is>
      </c>
      <c r="G292" s="11" t="inlineStr">
        <is>
          <t>b = bond info(a)</t>
        </is>
      </c>
      <c r="H292" s="3" t="inlineStr">
        <is>
          <t>B is bond info(a).</t>
        </is>
      </c>
      <c r="I292" s="3" t="inlineStr">
        <is>
          <t>READ FROM THE CODE — rendered from the expressions the function runs</t>
        </is>
      </c>
      <c r="J292" s="3" t="inlineStr">
        <is>
          <t>1. a: AssetAccount
2. now: Date</t>
        </is>
      </c>
      <c r="K292" s="3" t="inlineStr">
        <is>
          <t>BondRow</t>
        </is>
      </c>
      <c r="L292" s="3" t="inlineStr">
        <is>
          <t>—</t>
        </is>
      </c>
      <c r="M292" s="3" t="inlineStr">
        <is>
          <t>None found in this function — anything it assumes comes from the functions it depends on.</t>
        </is>
      </c>
      <c r="N292" s="3" t="inlineStr">
        <is>
          <t>Yes</t>
        </is>
      </c>
      <c r="O292" s="3" t="inlineStr">
        <is>
          <t>1. MK-NW-F-070 accruedInterestCaveat
2. MK-NW-F-057 annualCoupon
3. MK-NW-F-060 approxYTM
4. MK-NW-F-056 bondInfo
5. MK-NW-F-059 currentYield
6. MK-NW-F-071 isCertificateOfDeposit
7. MK-NW-F-058 yearsToMaturity</t>
        </is>
      </c>
      <c r="P292" s="3" t="n">
        <v>9</v>
      </c>
      <c r="Q292" s="3" t="inlineStr">
        <is>
          <t>1. MK-NW-F-070 accruedInterestCaveat
2. MK-NW-F-057 annualCoupon
3. MK-NW-F-060 approxYTM
4. MK-NW-F-056 bondInfo
5. MK-NW-F-059 currentYield
6. MK-NW-F-071 isCertificateOfDeposit
7. MK-NW-F-058 yearsToMaturity
8. MK-XS-F-122 n
9. MK-CF-F-155 cash</t>
        </is>
      </c>
      <c r="R292"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292" s="3" t="inlineStr">
        <is>
          <t>—</t>
        </is>
      </c>
      <c r="T292" s="3" t="inlineStr">
        <is>
          <t>—</t>
        </is>
      </c>
      <c r="U292" s="3" t="inlineStr">
        <is>
          <t>ACTIVE</t>
        </is>
      </c>
      <c r="V292" s="3" t="inlineStr">
        <is>
          <t>2026-09-27</t>
        </is>
      </c>
      <c r="W292" s="3" t="n"/>
      <c r="X292" s="3" t="n"/>
      <c r="Y292" s="3" t="inlineStr">
        <is>
          <t>NOTHING OPEN</t>
        </is>
      </c>
    </row>
    <row r="293" ht="60" customHeight="1">
      <c r="A293" s="3" t="inlineStr">
        <is>
          <t>MK-NW-F-073</t>
        </is>
      </c>
      <c r="B293" s="3" t="inlineStr">
        <is>
          <t>itemising</t>
        </is>
      </c>
      <c r="C293" s="3" t="inlineStr">
        <is>
          <t>MoneyKeel/functions/networth-and-performance/account.ts</t>
        </is>
      </c>
      <c r="D293" s="3" t="n">
        <v>208</v>
      </c>
      <c r="E293" s="3" t="inlineStr">
        <is>
          <t>2 · DISPLAYED</t>
        </is>
      </c>
      <c r="F293" s="3" t="inlineStr">
        <is>
          <t>NOT DETERMINED — the code carries no note saying what this is for, and it has no row in the old inventory. Needs reading.</t>
        </is>
      </c>
      <c r="G293" s="11" t="inlineStr">
        <is>
          <t>NOT READ YET — the body is not a shape this can render faithfully, so nothing is claimed rather than something being guessed. It needs reading by hand.</t>
        </is>
      </c>
      <c r="H293" s="3" t="inlineStr">
        <is>
          <t>NOT READ YET — the body is not a shape this can render faithfully, so nothing is claimed rather than something being guessed. It needs reading by hand.</t>
        </is>
      </c>
      <c r="I293" s="3" t="inlineStr">
        <is>
          <t>NOT READ — nothing is claimed rather than something guessed</t>
        </is>
      </c>
      <c r="J293" s="3" t="inlineStr">
        <is>
          <t>1. lumpBalance: number
2. items: ItemHolding[]</t>
        </is>
      </c>
      <c r="K293" s="3" t="inlineStr">
        <is>
          <t>Itemising</t>
        </is>
      </c>
      <c r="L293" s="3" t="inlineStr">
        <is>
          <t>NOT FOUND — a screen calls it, but the words printed beside its answer could not be traced automatically. Needs reading.</t>
        </is>
      </c>
      <c r="M293" s="3" t="inlineStr">
        <is>
          <t>None found in this function — anything it assumes comes from the functions it depends on.</t>
        </is>
      </c>
      <c r="N293" s="3" t="inlineStr">
        <is>
          <t>Yes</t>
        </is>
      </c>
      <c r="O293" s="3" t="inlineStr">
        <is>
          <t>1. MK-NW-F-050 itemizeRemainder
2. MK-NW-F-049 itemizedTotal</t>
        </is>
      </c>
      <c r="P293" s="3" t="n">
        <v>2</v>
      </c>
      <c r="Q293" s="3" t="inlineStr">
        <is>
          <t>1. MK-NW-F-050 itemizeRemainder
2. MK-NW-F-049 itemizedTotal</t>
        </is>
      </c>
      <c r="R293" s="3" t="inlineStr">
        <is>
          <t>1. MK-NW-F-049 itemizedTotal → MK-NW-F-050 itemizeRemainder → MK-NW-F-073 itemising
2. MK-NW-F-049 itemizedTotal → MK-NW-F-073 itemising</t>
        </is>
      </c>
      <c r="S293" s="3" t="inlineStr">
        <is>
          <t>—</t>
        </is>
      </c>
      <c r="T293" s="3" t="inlineStr">
        <is>
          <t>—</t>
        </is>
      </c>
      <c r="U293" s="3" t="inlineStr">
        <is>
          <t>ACTIVE</t>
        </is>
      </c>
      <c r="V293" s="3" t="inlineStr">
        <is>
          <t>2026-09-27</t>
        </is>
      </c>
      <c r="W293" s="3" t="n"/>
      <c r="X293" s="3" t="n"/>
      <c r="Y293" s="3" t="inlineStr">
        <is>
          <t>NOTHING OPEN</t>
        </is>
      </c>
    </row>
    <row r="294" ht="60" customHeight="1">
      <c r="A294" s="3" t="inlineStr">
        <is>
          <t>MK-NW-F-075</t>
        </is>
      </c>
      <c r="B294" s="3" t="inlineStr">
        <is>
          <t>ACC</t>
        </is>
      </c>
      <c r="C294" s="3" t="inlineStr">
        <is>
          <t>MoneyKeel/functions/networth-and-performance/account.ts</t>
        </is>
      </c>
      <c r="D294" s="3" t="n">
        <v>262</v>
      </c>
      <c r="E294" s="3" t="inlineStr">
        <is>
          <t>1 · ACTION</t>
        </is>
      </c>
      <c r="F294" s="3" t="inlineStr">
        <is>
          <t>NOT DETERMINED — the code carries no note saying what this is for, and it has no row in the old inventory. Needs reading.</t>
        </is>
      </c>
      <c r="G294" s="11" t="inlineStr">
        <is>
          <t>NOT READ YET — the body is not a shape this can render faithfully, so nothing is claimed rather than something being guessed. It needs reading by hand.</t>
        </is>
      </c>
      <c r="H294" s="3" t="inlineStr">
        <is>
          <t>NOT READ YET — the body is not a shape this can render faithfully, so nothing is claimed rather than something being guessed. It needs reading by hand.</t>
        </is>
      </c>
      <c r="I294" s="3" t="inlineStr">
        <is>
          <t>NOT READ — nothing is claimed rather than something guessed</t>
        </is>
      </c>
      <c r="J294" s="3" t="inlineStr">
        <is>
          <t>Nothing is handed to it</t>
        </is>
      </c>
      <c r="K294" s="3" t="inlineStr">
        <is>
          <t>EXAMPLE_ACCOUNT, transactions: EXAMPLE_LEDGER });</t>
        </is>
      </c>
      <c r="L294" s="3" t="inlineStr">
        <is>
          <t>—</t>
        </is>
      </c>
      <c r="M294" s="3" t="inlineStr">
        <is>
          <t>None found in this function — anything it assumes comes from the functions it depends on.</t>
        </is>
      </c>
      <c r="N294" s="3" t="inlineStr">
        <is>
          <t>No</t>
        </is>
      </c>
      <c r="O294" s="3" t="inlineStr">
        <is>
          <t>1. MK-CF-F-155 cash
2. MK-XS-F-180 declareFigures
3. MK-NW-F-073 itemising
4. MK-PF-F-004 marketValue
5. MK-ST-F-030 record
6. MK-NW-O-002 theAccount</t>
        </is>
      </c>
      <c r="P294" s="3" t="n">
        <v>24</v>
      </c>
      <c r="Q294"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MK-NW-F-008 incomeBearingClassOf
19. MK-ST-F-010 nameEvidence
20. MK-XS-F-147 call
21. MK-ST-F-056 has
22. MK-ST-F-027 accountId
23. MK-XS-F-064 currentIdToken
24. MK-XS-F-112 relayUrl</t>
        </is>
      </c>
      <c r="R294"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294" s="3" t="inlineStr">
        <is>
          <t>—</t>
        </is>
      </c>
      <c r="T294" s="3" t="inlineStr">
        <is>
          <t>—</t>
        </is>
      </c>
      <c r="U294" s="3" t="inlineStr">
        <is>
          <t>ACTIVE</t>
        </is>
      </c>
      <c r="V294" s="3" t="inlineStr">
        <is>
          <t>2026-09-28</t>
        </is>
      </c>
      <c r="W294" s="3" t="n"/>
      <c r="X294" s="3" t="n"/>
      <c r="Y294" s="3" t="inlineStr">
        <is>
          <t>NOTHING OPEN</t>
        </is>
      </c>
    </row>
    <row r="295" ht="60" customHeight="1">
      <c r="A295" s="3" t="inlineStr">
        <is>
          <t>MK-NW-F-076</t>
        </is>
      </c>
      <c r="B295" s="3" t="inlineStr">
        <is>
          <t>ALT</t>
        </is>
      </c>
      <c r="C295" s="3" t="inlineStr">
        <is>
          <t>MoneyKeel/functions/networth-and-performance/alternatives-outlook.ts</t>
        </is>
      </c>
      <c r="D295" s="3" t="n">
        <v>143</v>
      </c>
      <c r="E295" s="3" t="inlineStr">
        <is>
          <t>3 · DEPENDENT (feeds an action only)</t>
        </is>
      </c>
      <c r="F295" s="3" t="inlineStr">
        <is>
          <t>NOT DETERMINED — the code carries no note saying what this is for, and it has no row in the old inventory. Needs reading.</t>
        </is>
      </c>
      <c r="G295" s="11" t="inlineStr">
        <is>
          <t>NOT READ YET — the body is not a shape this can render faithfully, so nothing is claimed rather than something being guessed. It needs reading by hand.</t>
        </is>
      </c>
      <c r="H295" s="3" t="inlineStr">
        <is>
          <t>NOT READ YET — the body is not a shape this can render faithfully, so nothing is claimed rather than something being guessed. It needs reading by hand.</t>
        </is>
      </c>
      <c r="I295" s="3" t="inlineStr">
        <is>
          <t>NOT READ — nothing is claimed rather than something guessed</t>
        </is>
      </c>
      <c r="J295" s="3" t="inlineStr">
        <is>
          <t>Nothing is handed to it</t>
        </is>
      </c>
      <c r="K295" s="3" t="inlineStr">
        <is>
          <t>EXAMPLE });</t>
        </is>
      </c>
      <c r="L295" s="3" t="inlineStr">
        <is>
          <t>—</t>
        </is>
      </c>
      <c r="M295" s="3" t="inlineStr">
        <is>
          <t>None found in this function — anything it assumes comes from the functions it depends on.</t>
        </is>
      </c>
      <c r="N295" s="3" t="inlineStr">
        <is>
          <t>No</t>
        </is>
      </c>
      <c r="O295" s="3" t="inlineStr">
        <is>
          <t>1. MK-XS-F-180 declareFigures
2. MK-NW-O-005 theAlternativesOutlook</t>
        </is>
      </c>
      <c r="P295" s="3" t="n">
        <v>22</v>
      </c>
      <c r="Q295"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295"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295" s="3" t="inlineStr">
        <is>
          <t>—</t>
        </is>
      </c>
      <c r="T295" s="3" t="inlineStr">
        <is>
          <t>—</t>
        </is>
      </c>
      <c r="U295" s="3" t="inlineStr">
        <is>
          <t>ACTIVE</t>
        </is>
      </c>
      <c r="V295" s="3" t="inlineStr">
        <is>
          <t>2026-10-01</t>
        </is>
      </c>
      <c r="W295" s="3" t="n"/>
      <c r="X295" s="3" t="n"/>
      <c r="Y295" s="3" t="inlineStr">
        <is>
          <t>NOTHING OPEN</t>
        </is>
      </c>
    </row>
    <row r="296" ht="60" customHeight="1">
      <c r="A296" s="3" t="inlineStr">
        <is>
          <t>MK-NW-F-077</t>
        </is>
      </c>
      <c r="B296" s="3" t="inlineStr">
        <is>
          <t>ALL</t>
        </is>
      </c>
      <c r="C296" s="3" t="inlineStr">
        <is>
          <t>MoneyKeel/functions/networth-and-performance/bonds.ts</t>
        </is>
      </c>
      <c r="D296" s="3" t="n">
        <v>339</v>
      </c>
      <c r="E296" s="3" t="inlineStr">
        <is>
          <t>1 · ACTION</t>
        </is>
      </c>
      <c r="F296" s="3" t="inlineStr">
        <is>
          <t>NOT DETERMINED — the code carries no note saying what this is for, and it has no row in the old inventory. Needs reading.</t>
        </is>
      </c>
      <c r="G296" s="11" t="inlineStr">
        <is>
          <t>NOT READ YET — the body is not a shape this can render faithfully, so nothing is claimed rather than something being guessed. It needs reading by hand.</t>
        </is>
      </c>
      <c r="H296" s="3" t="inlineStr">
        <is>
          <t>NOT READ YET — the body is not a shape this can render faithfully, so nothing is claimed rather than something being guessed. It needs reading by hand.</t>
        </is>
      </c>
      <c r="I296" s="3" t="inlineStr">
        <is>
          <t>NOT READ — nothing is claimed rather than something guessed</t>
        </is>
      </c>
      <c r="J296" s="3" t="inlineStr">
        <is>
          <t>Nothing is handed to it</t>
        </is>
      </c>
      <c r="K296" s="3" t="inlineStr">
        <is>
          <t>EXAMPLE, today: TODAY });</t>
        </is>
      </c>
      <c r="L296" s="3" t="inlineStr">
        <is>
          <t>—</t>
        </is>
      </c>
      <c r="M296" s="3" t="inlineStr">
        <is>
          <t>None found in this function — anything it assumes comes from the functions it depends on.</t>
        </is>
      </c>
      <c r="N296" s="3" t="inlineStr">
        <is>
          <t>Yes</t>
        </is>
      </c>
      <c r="O296" s="3" t="inlineStr">
        <is>
          <t>MK-NW-O-001 theBonds</t>
        </is>
      </c>
      <c r="P296" s="3" t="n">
        <v>24</v>
      </c>
      <c r="Q296" s="3" t="inlineStr">
        <is>
          <t>1. MK-NW-O-001 theBonds
2. MK-ST-F-027 accountId
3. MK-NW-F-057 annualCoupon
4. MK-NW-F-056 bondInfo
5. MK-NW-F-064 bondRateSensitivity
6. MK-NW-F-061 bondSummary
7. MK-NW-F-055 isBond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296"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296" s="3" t="inlineStr">
        <is>
          <t>—</t>
        </is>
      </c>
      <c r="T296" s="3" t="inlineStr">
        <is>
          <t>—</t>
        </is>
      </c>
      <c r="U296" s="3" t="inlineStr">
        <is>
          <t>ACTIVE</t>
        </is>
      </c>
      <c r="V296" s="3" t="inlineStr">
        <is>
          <t>2026-09-28</t>
        </is>
      </c>
      <c r="W296" s="3" t="n"/>
      <c r="X296" s="3" t="n"/>
      <c r="Y296" s="3" t="inlineStr">
        <is>
          <t>NOTHING OPEN</t>
        </is>
      </c>
    </row>
    <row r="297" ht="60" customHeight="1">
      <c r="A297" s="3" t="inlineStr">
        <is>
          <t>MK-NW-F-078</t>
        </is>
      </c>
      <c r="B297" s="3" t="inlineStr">
        <is>
          <t>ONE</t>
        </is>
      </c>
      <c r="C297" s="3" t="inlineStr">
        <is>
          <t>MoneyKeel/functions/networth-and-performance/bonds.ts</t>
        </is>
      </c>
      <c r="D297" s="3" t="n">
        <v>379</v>
      </c>
      <c r="E297" s="3" t="inlineStr">
        <is>
          <t>2 · DISPLAYED</t>
        </is>
      </c>
      <c r="F297" s="3" t="inlineStr">
        <is>
          <t>NOT DETERMINED — the code carries no note saying what this is for, and it has no row in the old inventory. Needs reading.</t>
        </is>
      </c>
      <c r="G297" s="11" t="inlineStr">
        <is>
          <t>NOT READ YET — the body is not a shape this can render faithfully, so nothing is claimed rather than something being guessed. It needs reading by hand.</t>
        </is>
      </c>
      <c r="H297" s="3" t="inlineStr">
        <is>
          <t>NOT READ YET — the body is not a shape this can render faithfully, so nothing is claimed rather than something being guessed. It needs reading by hand.</t>
        </is>
      </c>
      <c r="I297" s="3" t="inlineStr">
        <is>
          <t>NOT READ — nothing is claimed rather than something guessed</t>
        </is>
      </c>
      <c r="J297" s="3" t="inlineStr">
        <is>
          <t>Nothing is handed to it</t>
        </is>
      </c>
      <c r="K297" s="3" t="inlineStr">
        <is>
          <t>EXAMPLE, accountId: 'b1', today: TODAY }).one!;</t>
        </is>
      </c>
      <c r="L297" s="3" t="inlineStr">
        <is>
          <t>NOT FOUND — a screen calls it, but the words printed beside its answer could not be traced automatically. Needs reading.</t>
        </is>
      </c>
      <c r="M297" s="3" t="inlineStr">
        <is>
          <t>1. If current yield is missing it uses 0.
2. If years left is missing it uses 0.
3. Shows 2 decimal places.
4. Shows 1 decimal place.</t>
        </is>
      </c>
      <c r="N297" s="3" t="inlineStr">
        <is>
          <t>Yes</t>
        </is>
      </c>
      <c r="O297" s="3" t="inlineStr">
        <is>
          <t>1. MK-NW-F-077 ALL
2. MK-NW-F-059 currentYield
3. MK-XS-F-180 declareFigures
4. MK-ST-F-049 formatMoney
5. MK-ST-F-053 money
6. MK-NW-O-001 theBonds</t>
        </is>
      </c>
      <c r="P297" s="3" t="n">
        <v>31</v>
      </c>
      <c r="Q297"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MK-CF-F-132 map
17. MK-NW-F-072 rowOf
18. MK-ST-F-047 activeCurrency
19. MK-CF-F-155 cash
20. MK-NW-F-060 approxYTM
21. MK-NW-F-069 priceAtYield
22. MK-NW-F-011 assetClassOf
23. MK-NW-F-070 accruedInterestCaveat
24. MK-NW-F-071 isCertificateOfDeposit
25. MK-NW-F-058 yearsToMaturity
26. MK-NW-F-008 incomeBearingClassOf
27. MK-ST-F-010 nameEvidence
28. MK-XS-F-147 call
29. MK-ST-F-056 has
30. MK-XS-F-064 currentIdToken
31. MK-XS-F-112 relayUrl</t>
        </is>
      </c>
      <c r="R297"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297" s="3" t="inlineStr">
        <is>
          <t>—</t>
        </is>
      </c>
      <c r="T297" s="3" t="inlineStr">
        <is>
          <t>—</t>
        </is>
      </c>
      <c r="U297" s="3" t="inlineStr">
        <is>
          <t>ACTIVE</t>
        </is>
      </c>
      <c r="V297" s="3" t="inlineStr">
        <is>
          <t>2026-09-28</t>
        </is>
      </c>
      <c r="W297" s="3" t="n"/>
      <c r="X297" s="3" t="n"/>
      <c r="Y297" s="3" t="inlineStr">
        <is>
          <t>NOTHING OPEN</t>
        </is>
      </c>
    </row>
    <row r="298" ht="60" customHeight="1">
      <c r="A298" s="3" t="inlineStr">
        <is>
          <t>MK-NW-F-079</t>
        </is>
      </c>
      <c r="B298" s="3" t="inlineStr">
        <is>
          <t>EF</t>
        </is>
      </c>
      <c r="C298" s="3" t="inlineStr">
        <is>
          <t>MoneyKeel/functions/networth-and-performance/emergency-fund.ts</t>
        </is>
      </c>
      <c r="D298" s="3" t="n">
        <v>245</v>
      </c>
      <c r="E298" s="3" t="inlineStr">
        <is>
          <t>1 · ACTION</t>
        </is>
      </c>
      <c r="F298" s="3" t="inlineStr">
        <is>
          <t>NOT DETERMINED — the code carries no note saying what this is for, and it has no row in the old inventory. Needs reading.</t>
        </is>
      </c>
      <c r="G298" s="11" t="inlineStr">
        <is>
          <t>the emergency fund(EXAMPLE)</t>
        </is>
      </c>
      <c r="H298" s="3" t="inlineStr">
        <is>
          <t>the emergency fund(EXAMPLE)</t>
        </is>
      </c>
      <c r="I298" s="3" t="inlineStr">
        <is>
          <t>READ FROM THE CODE — rendered from the expressions the function runs</t>
        </is>
      </c>
      <c r="J298" s="3" t="inlineStr">
        <is>
          <t>Nothing is handed to it</t>
        </is>
      </c>
      <c r="K298" s="3" t="inlineStr">
        <is>
          <t>NOT DECLARED — the code does not say what it gives back</t>
        </is>
      </c>
      <c r="L298" s="3" t="inlineStr">
        <is>
          <t>—</t>
        </is>
      </c>
      <c r="M298" s="3" t="inlineStr">
        <is>
          <t>1. Rounds the answer to 1 decimal place.
2. Shows 1 decimal place.</t>
        </is>
      </c>
      <c r="N298" s="3" t="inlineStr">
        <is>
          <t>No</t>
        </is>
      </c>
      <c r="O298" s="3" t="inlineStr">
        <is>
          <t>1. MK-CF-F-155 cash
2. MK-XS-F-180 declareFigures
3. MK-CF-F-190 essentialsMonthly
4. MK-ST-F-049 formatMoney
5. MK-NW-O-004 theEmergencyFund</t>
        </is>
      </c>
      <c r="P298" s="3" t="n">
        <v>110</v>
      </c>
      <c r="Q298"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MK-CF-F-009 monthlyEssentials
14. MK-CF-F-002 plannedMonthlySpend
15. MK-CF-F-023 requiredPayment
16. MK-ST-F-056 has
17. MK-ST-F-052 toNum
18. MK-CF-F-191 ym
19. MK-CF-F-151 actualSpending
20. MK-CF-F-150 debtPaymentsCountedAsExpenses
21. MK-CF-F-153 radar
22. MK-CF-F-149 recurringDebtPayments
23. MK-ST-F-047 activeCurrency
24. MK-NW-F-027 accountClassBreakdown
25. MK-NW-F-011 assetClassOf
26. MK-CF-F-120 pctBaseMonthly
27. MK-CF-F-004 spendBuckets
28. MK-CF-F-092 incomeMonthlyGrid
29. MK-XS-F-027 takeHomeMonthly
30. MK-CF-F-022 paymentShape
31. MK-CF-F-148 inMonth
32. MK-CF-F-152 isRadarItem
33. MK-CF-F-132 map
34. MK-NW-F-008 incomeBearingClassOf
35. MK-CF-F-003 categoryMonthly
36. MK-CF-F-069 benefitActiveMonths
37. MK-CF-F-072 currentRetirementIncomeMonthly
38. MK-CF-F-065 equityVestWeights
39. MK-CF-F-071 extraIncome
40. MK-CF-F-206 householdK401ByMonth
41. MK-CF-F-087 monthlyTaxRates
42. MK-CF-F-073 otherIncomeMonth
43. MK-CF-F-181 rateInForce
44. MK-CF-F-068 rentalNetAnnual
45. MK-CF-F-066 rsuAnnual
46. MK-CF-F-060 salaryGrossByMonth
47. MK-CF-F-077 scholarshipByCalendarMonth
48. MK-CF-F-088 taxableByCalendarMonth
49. MK-PL-F-012 waterfall
50. MK-CF-F-011 savingsByMonth
51. MK-CF-F-021 defaultPaymentType
52. MK-ST-F-010 nameEvidence
53. MK-CF-F-075 retirementIncomeMonthly
54. MK-CF-F-062 equityRowValue
55. MK-CF-F-070 benefitAnnual
56. MK-CF-F-176 sumMonthsOverEarners
57. MK-CF-F-177 wageGrossByMonth
58. MK-CF-F-203 MONTH
59. MK-CF-F-090 effectiveRate
60. MK-CF-F-085 filingStatusOf
61. MK-CF-F-089 over65CountOf
62. MK-CF-F-098 progressiveMonthlyTax
63. MK-CF-F-086 stateRateOf
64. MK-CF-F-173 earnerWages
65. MK-CF-F-102 effectiveRateOnGrossFor
66. MK-CF-F-180 enteredLandsAnnual
67. MK-CF-F-082 salaryAnnual
68. MK-CF-F-084 taxableAnnual
69. MK-CF-F-067 rentalList
70. MK-CF-F-063 rowVestYear
71. MK-CF-F-008 spendByMonth
72. MK-XS-F-147 call
73. MK-CF-F-130 enteredMonthlyRaw
74. MK-CF-F-166 hasMonthlySalaryTable
75. MK-ST-F-036 reconcile
76. MK-CF-F-167 salaryCalendarYear
77. MK-CF-O-010 theMonth
78. MK-CF-F-101 taxOwedFor
79. MK-CF-F-100 taxableIncomeFor
80. MK-CF-F-172 hasWage
81. MK-CF-F-074 tipsAnnual
82. MK-ST-F-027 accountId
83. MK-XS-F-064 currentIdToken
84. MK-XS-F-112 relayUrl
85. MK-CF-F-165 salaryMonths
86. MK-CF-O-003 thisMonth
87. MK-CF-F-099 deductionFor
88. MK-CF-F-081 salaryActiveMonths
89. MK-CF-F-005 actualMonthFlow
90. MK-CF-F-156 plannedMonthFlow
91. MK-CF-F-187 seniorDeductionFor
92. MK-NW-F-078 ONE
93. MK-CF-F-157 debtPaymentsByDebt
94. MK-CF-F-192 inflowLabel
95. MK-NW-F-077 ALL
96. MK-NW-F-059 currentYield
97. MK-ST-F-053 money
98. MK-NW-O-001 theBonds
99. MK-CF-F-193 inflowSourceWord
100. MK-NW-F-057 annualCoupon
101. MK-NW-F-056 bondInfo
102. MK-NW-F-064 bondRateSensitivity
103. MK-NW-F-061 bondSummary
104. MK-NW-F-055 isBond
105. MK-NW-F-072 rowOf
106. MK-NW-F-060 approxYTM
107. MK-NW-F-069 priceAtYield
108. MK-NW-F-070 accruedInterestCaveat
109. MK-NW-F-071 isCertificateOfDeposit
110. MK-NW-F-058 yearsToMaturity</t>
        </is>
      </c>
      <c r="R298"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298" s="3" t="inlineStr">
        <is>
          <t>—</t>
        </is>
      </c>
      <c r="T298" s="3" t="inlineStr">
        <is>
          <t>—</t>
        </is>
      </c>
      <c r="U298" s="3" t="inlineStr">
        <is>
          <t>ACTIVE</t>
        </is>
      </c>
      <c r="V298" s="3" t="inlineStr">
        <is>
          <t>2026-09-28</t>
        </is>
      </c>
      <c r="W298" s="3" t="n"/>
      <c r="X298" s="3" t="n"/>
      <c r="Y298" s="3" t="inlineStr">
        <is>
          <t>NOTHING OPEN</t>
        </is>
      </c>
    </row>
    <row r="299" ht="60" customHeight="1">
      <c r="A299" s="3" t="inlineStr">
        <is>
          <t>MK-NW-F-080</t>
        </is>
      </c>
      <c r="B299" s="3" t="inlineStr">
        <is>
          <t>HOLD</t>
        </is>
      </c>
      <c r="C299" s="3" t="inlineStr">
        <is>
          <t>MoneyKeel/functions/networth-and-performance/holding.ts</t>
        </is>
      </c>
      <c r="D299" s="3" t="n">
        <v>244</v>
      </c>
      <c r="E299" s="3" t="inlineStr">
        <is>
          <t>1 · ACTION</t>
        </is>
      </c>
      <c r="F299" s="3" t="inlineStr">
        <is>
          <t>NOT DETERMINED — the code carries no note saying what this is for, and it has no row in the old inventory. Needs reading.</t>
        </is>
      </c>
      <c r="G299" s="11" t="inlineStr">
        <is>
          <t>NOT READ YET — the body is not a shape this can render faithfully, so nothing is claimed rather than something being guessed. It needs reading by hand.</t>
        </is>
      </c>
      <c r="H299" s="3" t="inlineStr">
        <is>
          <t>NOT READ YET — the body is not a shape this can render faithfully, so nothing is claimed rather than something being guessed. It needs reading by hand.</t>
        </is>
      </c>
      <c r="I299" s="3" t="inlineStr">
        <is>
          <t>NOT READ — nothing is claimed rather than something guessed</t>
        </is>
      </c>
      <c r="J299" s="3" t="inlineStr">
        <is>
          <t>Nothing is handed to it</t>
        </is>
      </c>
      <c r="K299" s="3" t="inlineStr">
        <is>
          <t>EXAMPLE_POSITION, accountId: 'a2', price: 290,</t>
        </is>
      </c>
      <c r="L299" s="3" t="inlineStr">
        <is>
          <t>—</t>
        </is>
      </c>
      <c r="M299" s="3" t="inlineStr">
        <is>
          <t>None found in this function — anything it assumes comes from the functions it depends on.</t>
        </is>
      </c>
      <c r="N299" s="3" t="inlineStr">
        <is>
          <t>No</t>
        </is>
      </c>
      <c r="O299" s="3" t="inlineStr">
        <is>
          <t>1. MK-XS-F-180 declareFigures
2. MK-NW-O-006 theHolding</t>
        </is>
      </c>
      <c r="P299" s="3" t="n">
        <v>10</v>
      </c>
      <c r="Q299" s="3" t="inlineStr">
        <is>
          <t>1. MK-XS-F-180 declareFigures
2. MK-NW-O-006 theHolding
3. MK-PF-F-006 capGains
4. MK-PF-F-002 costBasis
5. MK-CF-F-132 map
6. MK-PF-F-004 marketValue
7. MK-PF-F-028 realizedFromLedger
8. MK-PF-F-001 totalShares
9. MK-XS-F-122 n
10. MK-PF-F-031 contractMultiplier</t>
        </is>
      </c>
      <c r="R299" s="3" t="inlineStr">
        <is>
          <t>1. MK-XS-F-180 declareFigures → MK-NW-F-080 HOLD
2. MK-XS-F-122 n → MK-PF-F-006 capGains → MK-NW-O-006 theHolding → MK-NW-F-080 HOLD
3. MK-PF-F-031 contractMultiplier → MK-PF-F-002 costBasis → MK-NW-O-006 theHolding → MK-NW-F-080 HOLD
4. MK-CF-F-132 map → MK-NW-O-006 theHolding → MK-NW-F-080 HOLD
5. MK-PF-F-031 contractMultiplier → MK-PF-F-004 marketValue → MK-NW-O-006 theHolding → MK-NW-F-080 HOLD
6. MK-PF-F-001 totalShares → MK-PF-F-004 marketValue → MK-NW-O-006 theHolding → MK-NW-F-080 HOLD
7. MK-PF-F-028 realizedFromLedger → MK-NW-O-006 theHolding → MK-NW-F-080 HOLD
8. MK-PF-F-001 totalShares → MK-NW-O-006 theHolding → MK-NW-F-080 HOLD</t>
        </is>
      </c>
      <c r="S299" s="3" t="inlineStr">
        <is>
          <t>—</t>
        </is>
      </c>
      <c r="T299" s="3" t="inlineStr">
        <is>
          <t>—</t>
        </is>
      </c>
      <c r="U299" s="3" t="inlineStr">
        <is>
          <t>ACTIVE</t>
        </is>
      </c>
      <c r="V299" s="3" t="inlineStr">
        <is>
          <t>2026-09-28</t>
        </is>
      </c>
      <c r="W299" s="3" t="n"/>
      <c r="X299" s="3" t="n"/>
      <c r="Y299" s="3" t="inlineStr">
        <is>
          <t>NOTHING OPEN</t>
        </is>
      </c>
    </row>
    <row r="300" ht="60" customHeight="1">
      <c r="A300" s="3" t="inlineStr">
        <is>
          <t>MK-NW-F-081</t>
        </is>
      </c>
      <c r="B300" s="3" t="inlineStr">
        <is>
          <t>LB</t>
        </is>
      </c>
      <c r="C300" s="3" t="inlineStr">
        <is>
          <t>MoneyKeel/functions/networth-and-performance/look-back.ts</t>
        </is>
      </c>
      <c r="D300" s="3" t="n">
        <v>113</v>
      </c>
      <c r="E300" s="3" t="inlineStr">
        <is>
          <t>1 · ACTION</t>
        </is>
      </c>
      <c r="F300" s="3" t="inlineStr">
        <is>
          <t>NOT DETERMINED — the code carries no note saying what this is for, and it has no row in the old inventory. Needs reading.</t>
        </is>
      </c>
      <c r="G300" s="11" t="inlineStr">
        <is>
          <t>the look back(EXAMPLE)!</t>
        </is>
      </c>
      <c r="H300" s="3" t="inlineStr">
        <is>
          <t>the look back(EXAMPLE)!</t>
        </is>
      </c>
      <c r="I300" s="3" t="inlineStr">
        <is>
          <t>READ FROM THE CODE — rendered from the expressions the function runs</t>
        </is>
      </c>
      <c r="J300" s="3" t="inlineStr">
        <is>
          <t>Nothing is handed to it</t>
        </is>
      </c>
      <c r="K300" s="3" t="inlineStr">
        <is>
          <t>NOT DECLARED — the code does not say what it gives back</t>
        </is>
      </c>
      <c r="L300" s="3" t="inlineStr">
        <is>
          <t>—</t>
        </is>
      </c>
      <c r="M300" s="3" t="inlineStr">
        <is>
          <t>None found in this function — anything it assumes comes from the functions it depends on.</t>
        </is>
      </c>
      <c r="N300" s="3" t="inlineStr">
        <is>
          <t>No</t>
        </is>
      </c>
      <c r="O300" s="3" t="inlineStr">
        <is>
          <t>1. MK-XS-F-180 declareFigures
2. MK-ST-F-053 money
3. MK-NW-O-007 theLookBack</t>
        </is>
      </c>
      <c r="P300" s="3" t="n">
        <v>11</v>
      </c>
      <c r="Q300" s="3" t="inlineStr">
        <is>
          <t>1. MK-XS-F-180 declareFigures
2. MK-ST-F-053 money
3. MK-NW-O-007 theLookBack
4. MK-ST-F-049 formatMoney
5. MK-XS-F-122 n
6. MK-PF-F-023 lookBack
7. MK-ST-F-048 currencySymbol
8. MK-ST-F-039 on
9. MK-PF-F-022 factorOverMonths
10. MK-ST-F-047 activeCurrency
11. MK-ST-F-065 isoLocalDate</t>
        </is>
      </c>
      <c r="R300"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0" s="3" t="inlineStr">
        <is>
          <t>—</t>
        </is>
      </c>
      <c r="T300" s="3" t="inlineStr">
        <is>
          <t>—</t>
        </is>
      </c>
      <c r="U300" s="3" t="inlineStr">
        <is>
          <t>ACTIVE</t>
        </is>
      </c>
      <c r="V300" s="3" t="inlineStr">
        <is>
          <t>2026-09-28</t>
        </is>
      </c>
      <c r="W300" s="3" t="n"/>
      <c r="X300" s="3" t="n"/>
      <c r="Y300" s="3" t="inlineStr">
        <is>
          <t>NOTHING OPEN</t>
        </is>
      </c>
    </row>
    <row r="301" ht="60" customHeight="1">
      <c r="A301" s="3" t="inlineStr">
        <is>
          <t>MK-NW-F-082</t>
        </is>
      </c>
      <c r="B301" s="3" t="inlineStr">
        <is>
          <t>NW</t>
        </is>
      </c>
      <c r="C301" s="3" t="inlineStr">
        <is>
          <t>MoneyKeel/functions/networth-and-performance/net-worth.ts</t>
        </is>
      </c>
      <c r="D301" s="3" t="n">
        <v>347</v>
      </c>
      <c r="E301" s="3" t="inlineStr">
        <is>
          <t>1 · ACTION</t>
        </is>
      </c>
      <c r="F301" s="3" t="inlineStr">
        <is>
          <t>NOT DETERMINED — the code carries no note saying what this is for, and it has no row in the old inventory. Needs reading.</t>
        </is>
      </c>
      <c r="G301" s="11" t="inlineStr">
        <is>
          <t>the net worth(EXAMPLE)</t>
        </is>
      </c>
      <c r="H301" s="3" t="inlineStr">
        <is>
          <t>the net worth(EXAMPLE)</t>
        </is>
      </c>
      <c r="I301" s="3" t="inlineStr">
        <is>
          <t>READ FROM THE CODE — rendered from the expressions the function runs</t>
        </is>
      </c>
      <c r="J301" s="3" t="inlineStr">
        <is>
          <t>Nothing is handed to it</t>
        </is>
      </c>
      <c r="K301" s="3" t="inlineStr">
        <is>
          <t>NOT DECLARED — the code does not say what it gives back</t>
        </is>
      </c>
      <c r="L301" s="3" t="inlineStr">
        <is>
          <t>—</t>
        </is>
      </c>
      <c r="M301" s="3" t="inlineStr">
        <is>
          <t>None found in this function — anything it assumes comes from the functions it depends on.</t>
        </is>
      </c>
      <c r="N301" s="3" t="inlineStr">
        <is>
          <t>Yes</t>
        </is>
      </c>
      <c r="O301" s="3" t="inlineStr">
        <is>
          <t>1. MK-NW-F-097 LEDGER
2. MK-NW-O-003 theNetWorth</t>
        </is>
      </c>
      <c r="P301" s="3" t="n">
        <v>199</v>
      </c>
      <c r="Q301" s="3" t="inlineStr">
        <is>
          <t>1. MK-NW-F-097 LEDGER
2. MK-NW-O-003 theNetWorth
3. MK-NW-F-096 CLASS_KEY_OF
4. MK-NW-F-095 CLASS_LABEL_OF
5. MK-NW-F-094 ledgerGroups
6. MK-NW-F-078 ONE
7. MK-NW-F-029 assetAllocation
8. MK-NW-F-039 buildAssetsState
9. MK-CF-F-036 buildDebtState
10. MK-NW-F-065 buildNetWorth
11. MK-NW-F-016 cashTotal
12. MK-NW-F-022 investableAssets
13. MK-XS-F-010 investableChangePct
14. MK-NW-F-021 investmentsTotal
15. MK-CF-F-132 map
16. MK-ST-F-039 on
17. MK-CF-F-023 requiredPayment
18. MK-XS-F-005 trendPoints
19. MK-XS-F-175 uid
20. MK-NW-F-077 ALL
21. MK-NW-F-059 currentYield
22. MK-XS-F-180 declareFigures
23. MK-ST-F-049 formatMoney
24. MK-ST-F-053 money
25. MK-NW-O-001 theBonds
26. MK-NW-F-027 accountClassBreakdown
27. MK-NW-F-011 assetClassOf
28. MK-CF-F-026 actualDebtPayment
29. MK-CF-F-025 minimumDebtService
30. MK-NW-F-014 isRealAsset
31. MK-NW-F-066 sumWhere
32. MK-NW-F-015 totalAssets
33. MK-CF-F-022 paymentShape
34. MK-XS-F-009 readHistory
35. MK-ST-F-027 accountId
36. MK-CF-F-111 applyTransaction
37. MK-NW-F-040 assetsFromOnboarding
38. MK-PF-F-013 benchmarkTicker
39. MK-ST-F-028 buildDayFromAccounts
40. MK-PF-F-034 closeOnOrBefore
41. MK-CF-F-186 convertTakeHomeMode
42. MK-CF-F-038 debtsFromOnboarding
43. MK-XS-F-083 fetchPriceSeries
44. MK-PL-F-013 goalsFromOnboarding
45. MK-ST-F-056 has
46. MK-CF-F-116 inverseOf
47. MK-ST-F-065 isoLocalDate
48. MK-CF-F-112 makeTransaction
49. MK-XS-F-122 n
50. MK-ST-F-043 newEntityId
51. MK-XS-F-006 pruneDaily
52. MK-ST-F-073 rebuildDays
53. MK-NW-F-054 reclassifyAccounts
54. MK-XS-F-174 recomputeBalances
55. MK-CF-F-115 restoreUndo
56. MK-CF-F-109 reviewTransactions
57. MK-ST-F-044 setMoneyFormat
58. MK-CF-F-114 undoSnapshot
59. MK-CF-F-191 ym
60. MK-NW-F-057 annualCoupon
61. MK-ST-F-048 currencySymbol
62. MK-NW-F-056 bondInfo
63. MK-NW-F-064 bondRateSensitivity
64. MK-NW-F-061 bondSummary
65. MK-NW-F-055 isBond
66. MK-NW-F-072 rowOf
67. MK-CF-F-155 cash
68. MK-NW-F-008 incomeBearingClassOf
69. MK-CF-F-024 totalDebtMonthly
70. MK-CF-F-021 defaultPaymentType
71. MK-XS-F-008 normalizeSnapshot
72. MK-CF-F-138 addLot
73. MK-CF-F-136 bumpCash
74. MK-CF-F-137 findPos
75. MK-CF-F-139 removeShares
76. MK-PF-F-001 totalShares
77. MK-ST-F-052 toNum
78. MK-CF-F-085 filingStatusOf
79. MK-CF-F-097 grossFromNet
80. MK-CF-F-185 needsTakeHomeConversion
81. MK-CF-F-089 over65CountOf
82. MK-CF-F-037 inferDebtType
83. MK-ST-F-069 amountOf
84. MK-CF-F-133 cashOf
85. MK-ST-F-066 isDayKey
86. MK-ST-F-070 isOpening
87. MK-ST-F-071 rebuildableFrom
88. MK-ST-F-068 stepDay
89. MK-ST-F-072 undo
90. MK-NW-F-053 correctClassOf
91. MK-PF-F-002 costBasis
92. MK-PF-F-009 latestClose
93. MK-PF-F-004 marketValue
94. MK-ST-F-030 record
95. MK-XS-F-024 resolveLens
96. MK-ST-F-055 round2
97. MK-CF-F-162 daysApart
98. MK-CF-F-108 isMoneyOut
99. MK-PL-F-074 median
100. MK-CF-F-131 normPayee
101. MK-CF-F-113 affectedAccountIds
102. MK-ST-F-047 activeCurrency
103. MK-NW-F-060 approxYTM
104. MK-NW-F-069 priceAtYield
105. MK-NW-F-070 accruedInterestCaveat
106. MK-NW-F-071 isCertificateOfDeposit
107. MK-NW-F-058 yearsToMaturity
108. MK-ST-F-010 nameEvidence
109. MK-CF-F-201 INCOME
110. MK-XS-F-121 isYm
111. MK-CF-F-134 usesSleeve
112. MK-CF-F-101 taxOwedFor
113. MK-ST-F-067 utcOfDay
114. MK-ST-F-035 covers
115. MK-NW-F-009 maturityClass
116. MK-PF-F-031 contractMultiplier
117. MK-CF-F-072 currentRetirementIncomeMonthly
118. MK-XS-F-147 call
119. MK-CF-O-004 incomeSummary
120. MK-CF-F-100 taxableIncomeFor
121. MK-ST-F-034 firstDate
122. MK-CF-F-075 retirementIncomeMonthly
123. MK-XS-F-064 currentIdToken
124. MK-XS-F-112 relayUrl
125. MK-CF-O-001 basePay
126. MK-CF-F-173 earnerWages
127. MK-CF-F-179 entryFromWage
128. MK-CF-F-071 extraIncome
129. MK-CF-F-092 incomeMonthlyGrid
130. MK-CF-F-103 marginalBracketFor
131. MK-CF-F-181 rateInForce
132. MK-CF-F-068 rentalNetAnnual
133. MK-CF-F-082 salaryAnnual
134. MK-CF-F-084 taxableAnnual
135. MK-CF-F-099 deductionFor
136. MK-CF-F-171 earnerPay
137. MK-CF-F-204 line
138. MK-HM-F-006 money0
139. MK-CF-F-198 payrollTaxWithheld
140. MK-CF-F-172 hasWage
141. MK-CF-F-165 salaryMonths
142. MK-CF-F-070 benefitAnnual
143. MK-CF-F-069 benefitActiveMonths
144. MK-CF-F-065 equityVestWeights
145. MK-CF-F-206 householdK401ByMonth
146. MK-CF-F-087 monthlyTaxRates
147. MK-CF-F-073 otherIncomeMonth
148. MK-CF-F-066 rsuAnnual
149. MK-CF-F-060 salaryGrossByMonth
150. MK-CF-F-077 scholarshipByCalendarMonth
151. MK-CF-F-088 taxableByCalendarMonth
152. MK-PL-F-012 waterfall
153. MK-CF-F-102 effectiveRateOnGrossFor
154. MK-CF-F-180 enteredLandsAnnual
155. MK-CF-F-086 stateRateOf
156. MK-CF-O-002 expenses
157. MK-CF-F-067 rentalList
158. MK-CF-F-074 tipsAnnual
159. MK-CF-F-187 seniorDeductionFor
160. MK-CF-F-143 annualisedGross
161. MK-CF-F-145 deductionsFromPay
162. MK-CF-F-128 grossByMonth
163. MK-CF-F-146 payFiguresAgree
164. MK-CF-F-144 takeHomeAsEntered
165. MK-CF-F-203 MONTH
166. MK-HM-F-005 pctTxt
167. MK-CF-F-062 equityRowValue
168. MK-CF-F-176 sumMonthsOverEarners
169. MK-CF-F-177 wageGrossByMonth
170. MK-CF-F-090 effectiveRate
171. MK-CF-F-098 progressiveMonthlyTax
172. MK-CF-F-063 rowVestYear
173. MK-CF-F-151 actualSpending
174. MK-CF-F-150 debtPaymentsCountedAsExpenses
175. MK-CF-F-153 radar
176. MK-CF-F-149 recurringDebtPayments
177. MK-CF-F-081 salaryActiveMonths
178. MK-CF-F-142 monthsOf
179. MK-CF-F-141 perMonth
180. MK-CF-O-010 theMonth
181. MK-CF-F-130 enteredMonthlyRaw
182. MK-CF-F-166 hasMonthlySalaryTable
183. MK-ST-F-036 reconcile
184. MK-CF-F-167 salaryCalendarYear
185. MK-CF-F-148 inMonth
186. MK-CF-F-152 isRadarItem
187. MK-CF-F-140 periodsAYear
188. MK-CF-O-003 thisMonth
189. MK-CF-F-005 actualMonthFlow
190. MK-CF-F-156 plannedMonthFlow
191. MK-CF-F-157 debtPaymentsByDebt
192. MK-CF-F-192 inflowLabel
193. MK-XS-F-027 takeHomeMonthly
194. MK-CF-F-193 inflowSourceWord
195. MK-CF-F-011 savingsByMonth
196. MK-CF-F-008 spendByMonth
197. MK-CF-F-120 pctBaseMonthly
198. MK-CF-F-004 spendBuckets
199. MK-CF-F-003 categoryMonthly</t>
        </is>
      </c>
      <c r="R301"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1" s="3" t="inlineStr">
        <is>
          <t>—</t>
        </is>
      </c>
      <c r="T301" s="3" t="inlineStr">
        <is>
          <t>—</t>
        </is>
      </c>
      <c r="U301" s="3" t="inlineStr">
        <is>
          <t>ACTIVE</t>
        </is>
      </c>
      <c r="V301" s="3" t="inlineStr">
        <is>
          <t>2026-09-28</t>
        </is>
      </c>
      <c r="W301" s="3" t="n"/>
      <c r="X301" s="3" t="n"/>
      <c r="Y301" s="3" t="inlineStr">
        <is>
          <t>NOTHING OPEN</t>
        </is>
      </c>
    </row>
    <row r="302" ht="60" customHeight="1">
      <c r="A302" s="3" t="inlineStr">
        <is>
          <t>MK-NW-F-083</t>
        </is>
      </c>
      <c r="B302" s="3" t="inlineStr">
        <is>
          <t>PERF</t>
        </is>
      </c>
      <c r="C302" s="3" t="inlineStr">
        <is>
          <t>MoneyKeel/functions/networth-and-performance/performance.ts</t>
        </is>
      </c>
      <c r="D302" s="3" t="n">
        <v>699</v>
      </c>
      <c r="E302" s="3" t="inlineStr">
        <is>
          <t>1 · ACTION</t>
        </is>
      </c>
      <c r="F302" s="3" t="inlineStr">
        <is>
          <t>NOT DETERMINED — the code carries no note saying what this is for, and it has no row in the old inventory. Needs reading.</t>
        </is>
      </c>
      <c r="G302" s="11" t="inlineStr">
        <is>
          <t>the performance(EXAMPLE)</t>
        </is>
      </c>
      <c r="H302" s="3" t="inlineStr">
        <is>
          <t>the performance(EXAMPLE)</t>
        </is>
      </c>
      <c r="I302" s="3" t="inlineStr">
        <is>
          <t>READ FROM THE CODE — rendered from the expressions the function runs</t>
        </is>
      </c>
      <c r="J302" s="3" t="inlineStr">
        <is>
          <t>Nothing is handed to it</t>
        </is>
      </c>
      <c r="K302" s="3" t="inlineStr">
        <is>
          <t>NOT DECLARED — the code does not say what it gives back</t>
        </is>
      </c>
      <c r="L302" s="3" t="inlineStr">
        <is>
          <t>—</t>
        </is>
      </c>
      <c r="M302" s="3" t="inlineStr">
        <is>
          <t>None found in this function — anything it assumes comes from the functions it depends on.</t>
        </is>
      </c>
      <c r="N302" s="3" t="inlineStr">
        <is>
          <t>No</t>
        </is>
      </c>
      <c r="O302" s="3" t="inlineStr">
        <is>
          <t>MK-NW-O-008 thePerformance</t>
        </is>
      </c>
      <c r="P302" s="3" t="n">
        <v>48</v>
      </c>
      <c r="Q302"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2" s="3" t="inlineStr">
        <is>
          <t>1. MK-XS-F-011 buildChangeWalk → MK-NW-O-008 thePerformance → MK-NW-F-083 PERF
2. MK-CF-F-132 map → MK-NW-O-008 thePerformance → MK-NW-F-083 PERF
3. MK-CF-F-132 map → MK-ST-F-064 modifiedDietzOverWindow → MK-NW-O-008 thePerformance → MK-NW-F-083 PERF
4. MK-ST-F-048 currencySymbol → MK-ST-F-049 formatMoney → MK-ST-F-053 money → MK-ST-F-064 modifiedDietzOverWindow → MK-NW-O-008 thePerformance → MK-NW-F-083 PERF
5. MK-XS-F-122 n → MK-ST-F-049 formatMoney → MK-ST-F-053 money → MK-ST-F-064 modifiedDietzOverWindow → MK-NW-O-008 thePerformance → MK-NW-F-083 PERF
6. MK-ST-F-039 on → MK-ST-F-049 formatMoney → MK-ST-F-053 money → MK-ST-F-064 modifiedDietzOverWindow → MK-NW-O-008 thePerformance → MK-NW-F-083 PERF
7. MK-XS-F-122 n → MK-ST-F-053 money → MK-ST-F-064 modifiedDietzOverWindow → MK-NW-O-008 thePerformance → MK-NW-F-083 PERF
8. MK-XS-F-122 n → MK-ST-F-021 toNumber → MK-ST-F-064 modifiedDietzOverWindow → MK-NW-O-008 thePerformance → MK-NW-F-083 PERF
9. … and 4 more paths</t>
        </is>
      </c>
      <c r="S302" s="3" t="inlineStr">
        <is>
          <t>—</t>
        </is>
      </c>
      <c r="T302" s="3" t="inlineStr">
        <is>
          <t>—</t>
        </is>
      </c>
      <c r="U302" s="3" t="inlineStr">
        <is>
          <t>ACTIVE</t>
        </is>
      </c>
      <c r="V302" s="3" t="inlineStr">
        <is>
          <t>2026-09-30</t>
        </is>
      </c>
      <c r="W302" s="3" t="n"/>
      <c r="X302" s="3" t="n"/>
      <c r="Y302" s="3" t="inlineStr">
        <is>
          <t>NOTHING OPEN</t>
        </is>
      </c>
    </row>
    <row r="303" ht="60" customHeight="1">
      <c r="A303" s="3" t="inlineStr">
        <is>
          <t>MK-NW-F-084</t>
        </is>
      </c>
      <c r="B303" s="3" t="inlineStr">
        <is>
          <t>categoryEarnings</t>
        </is>
      </c>
      <c r="C303" s="3" t="inlineStr">
        <is>
          <t>MoneyKeel/functions/networth-and-performance/performance.ts</t>
        </is>
      </c>
      <c r="D303" s="3" t="n">
        <v>564</v>
      </c>
      <c r="E303" s="3" t="inlineStr">
        <is>
          <t>2 · DISPLAYED</t>
        </is>
      </c>
      <c r="F303" s="3" t="inlineStr">
        <is>
          <t>NOT DETERMINED — the code carries no note saying what this is for, and it has no row in the old inventory. Needs reading.</t>
        </is>
      </c>
      <c r="G303" s="11" t="inlineStr">
        <is>
          <t>rows = input.rows (or none when missing)
r = rows.find((x) =&gt; string(position.ticker ?? '').to upper case() = string(tk ?? '').to upper case())
string(position.kind ?? position.asset class ?? 'stocks_etf')   when r
the answer:
'stocks_etf'   if type = 'DIVIDEND'
'bonds'   otherwise
in class = rows where string(position.asset class ?? 'stocks_etf') = cls
usable = in class where period return ≠ nothing and (market value ?? 0) &gt; 0
total = Σ over usable of (market value (or 0 when missing))
nothing   when total ≤ 0
amt = size of(amount read as a number (or 0 when missing or zero))
cls = class of ticker(ticker, type)   if ticker
'stocks_etf'   if type = 'DIVIDEND'
'bonds'   otherwise   otherwise</t>
        </is>
      </c>
      <c r="H303" s="3" t="inlineStr">
        <is>
          <t>Rows is input.rows (or none — when missing). R is rows.find((x) =&gt; string(position.ticker ?? '').to upper case() = string(tk ?? '').to upper case()). When r, it answers string(position.kind ?? position.asset class ?? 'stocks_etf'). The answer is 'stocks_etf' — when type = 'DIVIDEND'; 'bonds' — otherwise. In class is rows where string(position.asset class ?? 'stocks_etf') = cls. Usable is in class where period return is not no answer and (market value ?? 0) &gt; 0. Total: the market value (or 0 — when missing) added up across usable. When total is at most 0, it answers no answer. Amt is size of(amount read as a number (or 0 — when missing or zero)). Cls is class of ticker(ticker, type) — when ticker; 'stocks_etf' — when type = 'DIVIDEND'; 'bonds' — otherwise — otherwise.</t>
        </is>
      </c>
      <c r="I303" s="3" t="inlineStr">
        <is>
          <t>PARTLY READ — some of the code is still showing through; needs a hand pass</t>
        </is>
      </c>
      <c r="J303" s="3" t="inlineStr">
        <is>
          <t>Nothing is handed to it</t>
        </is>
      </c>
      <c r="K303" s="3" t="inlineStr">
        <is>
          <t>NOT DECLARED — the code does not say what it gives back</t>
        </is>
      </c>
      <c r="L303" s="3" t="inlineStr">
        <is>
          <t>NOT FOUND — a screen calls it, but the words printed beside its answer could not be traced automatically. Needs reading.</t>
        </is>
      </c>
      <c r="M303" s="3" t="inlineStr">
        <is>
          <t>· If market value is missing it uses 0.</t>
        </is>
      </c>
      <c r="N303" s="3" t="inlineStr">
        <is>
          <t>Yes</t>
        </is>
      </c>
      <c r="O303" s="3" t="inlineStr">
        <is>
          <t>1. MK-CF-F-155 cash
2. MK-ST-F-030 record</t>
        </is>
      </c>
      <c r="P303" s="3" t="n">
        <v>3</v>
      </c>
      <c r="Q303" s="3" t="inlineStr">
        <is>
          <t>1. MK-CF-F-155 cash
2. MK-ST-F-030 record
3. MK-XS-F-122 n</t>
        </is>
      </c>
      <c r="R303" s="3" t="inlineStr">
        <is>
          <t>1. MK-XS-F-122 n → MK-CF-F-155 cash → MK-NW-F-084 categoryEarnings
2. MK-ST-F-030 record → MK-NW-F-084 categoryEarnings</t>
        </is>
      </c>
      <c r="S303" s="3" t="inlineStr">
        <is>
          <t>—</t>
        </is>
      </c>
      <c r="T303" s="3" t="inlineStr">
        <is>
          <t>—</t>
        </is>
      </c>
      <c r="U303" s="3" t="inlineStr">
        <is>
          <t>ACTIVE</t>
        </is>
      </c>
      <c r="V303" s="3" t="inlineStr">
        <is>
          <t>2026-09-30</t>
        </is>
      </c>
      <c r="W303" s="3" t="n"/>
      <c r="X303" s="3" t="n"/>
      <c r="Y303" s="3" t="inlineStr">
        <is>
          <t>NOTHING OPEN</t>
        </is>
      </c>
    </row>
    <row r="304" ht="60" customHeight="1">
      <c r="A304" s="3" t="inlineStr">
        <is>
          <t>MK-NW-F-085</t>
        </is>
      </c>
      <c r="B304" s="3" t="inlineStr">
        <is>
          <t>PERF_ONE</t>
        </is>
      </c>
      <c r="C304" s="3" t="inlineStr">
        <is>
          <t>MoneyKeel/functions/networth-and-performance/performance.ts</t>
        </is>
      </c>
      <c r="D304" s="3" t="n">
        <v>726</v>
      </c>
      <c r="E304" s="3" t="inlineStr">
        <is>
          <t>1 · ACTION</t>
        </is>
      </c>
      <c r="F304" s="3" t="inlineStr">
        <is>
          <t>PER ACCOUNT (Performance pass 1, 2026-09-30).</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ids: string[]</t>
        </is>
      </c>
      <c r="K304" s="3" t="inlineStr">
        <is>
          <t>new Set(ids) });</t>
        </is>
      </c>
      <c r="L304" s="3" t="inlineStr">
        <is>
          <t>—</t>
        </is>
      </c>
      <c r="M304" s="3" t="inlineStr">
        <is>
          <t>None found in this function — anything it assumes comes from the functions it depends on.</t>
        </is>
      </c>
      <c r="N304" s="3" t="inlineStr">
        <is>
          <t>No</t>
        </is>
      </c>
      <c r="O304" s="3" t="inlineStr">
        <is>
          <t>MK-NW-O-008 thePerformance</t>
        </is>
      </c>
      <c r="P304" s="3" t="n">
        <v>48</v>
      </c>
      <c r="Q304"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04" s="3" t="inlineStr">
        <is>
          <t>1. MK-XS-F-011 buildChangeWalk → MK-NW-O-008 thePerformance → MK-NW-F-085 PERF_ONE
2. MK-CF-F-132 map → MK-NW-O-008 thePerformance → MK-NW-F-085 PERF_ONE
3. MK-CF-F-132 map → MK-ST-F-064 modifiedDietzOverWindow → MK-NW-O-008 thePerformance → MK-NW-F-085 PERF_ONE
4. MK-ST-F-048 currencySymbol → MK-ST-F-049 formatMoney → MK-ST-F-053 money → MK-ST-F-064 modifiedDietzOverWindow → MK-NW-O-008 thePerformance → MK-NW-F-085 PERF_ONE
5. MK-XS-F-122 n → MK-ST-F-049 formatMoney → MK-ST-F-053 money → MK-ST-F-064 modifiedDietzOverWindow → MK-NW-O-008 thePerformance → MK-NW-F-085 PERF_ONE
6. MK-ST-F-039 on → MK-ST-F-049 formatMoney → MK-ST-F-053 money → MK-ST-F-064 modifiedDietzOverWindow → MK-NW-O-008 thePerformance → MK-NW-F-085 PERF_ONE
7. MK-XS-F-122 n → MK-ST-F-053 money → MK-ST-F-064 modifiedDietzOverWindow → MK-NW-O-008 thePerformance → MK-NW-F-085 PERF_ONE
8. MK-XS-F-122 n → MK-ST-F-021 toNumber → MK-ST-F-064 modifiedDietzOverWindow → MK-NW-O-008 thePerformance → MK-NW-F-085 PERF_ONE
9. … and 4 more paths</t>
        </is>
      </c>
      <c r="S304" s="3" t="inlineStr">
        <is>
          <t>—</t>
        </is>
      </c>
      <c r="T304" s="3" t="inlineStr">
        <is>
          <t>—</t>
        </is>
      </c>
      <c r="U304" s="3" t="inlineStr">
        <is>
          <t>ACTIVE</t>
        </is>
      </c>
      <c r="V304" s="3" t="inlineStr">
        <is>
          <t>2026-09-30</t>
        </is>
      </c>
      <c r="W304" s="3" t="n"/>
      <c r="X304" s="3" t="n"/>
      <c r="Y304" s="3" t="inlineStr">
        <is>
          <t>NOTHING OPEN</t>
        </is>
      </c>
    </row>
    <row r="305" ht="60" customHeight="1">
      <c r="A305" s="3" t="inlineStr">
        <is>
          <t>MK-NW-F-086</t>
        </is>
      </c>
      <c r="B305" s="3" t="inlineStr">
        <is>
          <t>CATS</t>
        </is>
      </c>
      <c r="C305" s="3" t="inlineStr">
        <is>
          <t>MoneyKeel/functions/networth-and-performance/performance.ts</t>
        </is>
      </c>
      <c r="D305" s="3" t="n">
        <v>772</v>
      </c>
      <c r="E305" s="3" t="inlineStr">
        <is>
          <t>1 · ACTION</t>
        </is>
      </c>
      <c r="F305" s="3" t="inlineStr">
        <is>
          <t>NOT DETERMINED — the code carries no note saying what this is for, and it has no row in the old inventory. Needs reading.</t>
        </is>
      </c>
      <c r="G305" s="11" t="inlineStr">
        <is>
          <t>category earnings(CAT_EXAMPLE)</t>
        </is>
      </c>
      <c r="H305" s="3" t="inlineStr">
        <is>
          <t>category earnings(CAT_EXAMPLE)</t>
        </is>
      </c>
      <c r="I305" s="3" t="inlineStr">
        <is>
          <t>READ FROM THE CODE — rendered from the expressions the function runs</t>
        </is>
      </c>
      <c r="J305" s="3" t="inlineStr">
        <is>
          <t>Nothing is handed to it</t>
        </is>
      </c>
      <c r="K305" s="3" t="inlineStr">
        <is>
          <t>NOT DECLARED — the code does not say what it gives back</t>
        </is>
      </c>
      <c r="L305" s="3" t="inlineStr">
        <is>
          <t>—</t>
        </is>
      </c>
      <c r="M305" s="3" t="inlineStr">
        <is>
          <t>None found in this function — anything it assumes comes from the functions it depends on.</t>
        </is>
      </c>
      <c r="N305" s="3" t="inlineStr">
        <is>
          <t>No</t>
        </is>
      </c>
      <c r="O305" s="3" t="inlineStr">
        <is>
          <t>MK-NW-F-084 categoryEarnings</t>
        </is>
      </c>
      <c r="P305" s="3" t="n">
        <v>4</v>
      </c>
      <c r="Q305" s="3" t="inlineStr">
        <is>
          <t>1. MK-NW-F-084 categoryEarnings
2. MK-CF-F-155 cash
3. MK-ST-F-030 record
4. MK-XS-F-122 n</t>
        </is>
      </c>
      <c r="R305" s="3" t="inlineStr">
        <is>
          <t>1. MK-XS-F-122 n → MK-CF-F-155 cash → MK-NW-F-084 categoryEarnings → MK-NW-F-086 CATS
2. MK-ST-F-030 record → MK-NW-F-084 categoryEarnings → MK-NW-F-086 CATS</t>
        </is>
      </c>
      <c r="S305" s="3" t="inlineStr">
        <is>
          <t>—</t>
        </is>
      </c>
      <c r="T305" s="3" t="inlineStr">
        <is>
          <t>—</t>
        </is>
      </c>
      <c r="U305" s="3" t="inlineStr">
        <is>
          <t>ACTIVE</t>
        </is>
      </c>
      <c r="V305" s="3" t="inlineStr">
        <is>
          <t>2026-09-30</t>
        </is>
      </c>
      <c r="W305" s="3" t="n"/>
      <c r="X305" s="3" t="n"/>
      <c r="Y305" s="3" t="inlineStr">
        <is>
          <t>NOTHING OPEN</t>
        </is>
      </c>
    </row>
    <row r="306" ht="60" customHeight="1">
      <c r="A306" s="3" t="inlineStr">
        <is>
          <t>MK-NW-F-087</t>
        </is>
      </c>
      <c r="B306" s="3" t="inlineStr">
        <is>
          <t>CAT</t>
        </is>
      </c>
      <c r="C306" s="3" t="inlineStr">
        <is>
          <t>MoneyKeel/functions/networth-and-performance/performance.ts</t>
        </is>
      </c>
      <c r="D306" s="3" t="n">
        <v>792</v>
      </c>
      <c r="E306" s="3" t="inlineStr">
        <is>
          <t>1 · ACTION</t>
        </is>
      </c>
      <c r="F306" s="3" t="inlineStr">
        <is>
          <t>NOT DETERMINED — the code carries no note saying what this is for, and it has no row in the old inventory. Needs reading.</t>
        </is>
      </c>
      <c r="G306" s="11" t="inlineStr">
        <is>
          <t>CATS().find((c) =&gt; key = key)</t>
        </is>
      </c>
      <c r="H306" s="3" t="inlineStr">
        <is>
          <t>CATS().find((c) =&gt; key = key)</t>
        </is>
      </c>
      <c r="I306" s="3" t="inlineStr">
        <is>
          <t>PARTLY READ — some of the code is still showing through; needs a hand pass</t>
        </is>
      </c>
      <c r="J306" s="3" t="inlineStr">
        <is>
          <t>key: string</t>
        </is>
      </c>
      <c r="K306" s="3" t="inlineStr">
        <is>
          <t>NOT DECLARED — the code does not say what it gives back</t>
        </is>
      </c>
      <c r="L306" s="3" t="inlineStr">
        <is>
          <t>—</t>
        </is>
      </c>
      <c r="M306" s="3" t="inlineStr">
        <is>
          <t>None found in this function — anything it assumes comes from the functions it depends on.</t>
        </is>
      </c>
      <c r="N306" s="3" t="inlineStr">
        <is>
          <t>No</t>
        </is>
      </c>
      <c r="O306" s="3" t="inlineStr">
        <is>
          <t>MK-NW-F-086 CATS</t>
        </is>
      </c>
      <c r="P306" s="3" t="n">
        <v>5</v>
      </c>
      <c r="Q306" s="3" t="inlineStr">
        <is>
          <t>1. MK-NW-F-086 CATS
2. MK-NW-F-084 categoryEarnings
3. MK-CF-F-155 cash
4. MK-ST-F-030 record
5. MK-XS-F-122 n</t>
        </is>
      </c>
      <c r="R306" s="3" t="inlineStr">
        <is>
          <t>1. MK-XS-F-122 n → MK-CF-F-155 cash → MK-NW-F-084 categoryEarnings → MK-NW-F-086 CATS → MK-NW-F-087 CAT
2. MK-ST-F-030 record → MK-NW-F-084 categoryEarnings → MK-NW-F-086 CATS → MK-NW-F-087 CAT</t>
        </is>
      </c>
      <c r="S306" s="3" t="inlineStr">
        <is>
          <t>—</t>
        </is>
      </c>
      <c r="T306" s="3" t="inlineStr">
        <is>
          <t>—</t>
        </is>
      </c>
      <c r="U306" s="3" t="inlineStr">
        <is>
          <t>ACTIVE</t>
        </is>
      </c>
      <c r="V306" s="3" t="inlineStr">
        <is>
          <t>2026-09-30</t>
        </is>
      </c>
      <c r="W306" s="3" t="n"/>
      <c r="X306" s="3" t="n"/>
      <c r="Y306" s="3" t="inlineStr">
        <is>
          <t>NOTHING OPEN</t>
        </is>
      </c>
    </row>
    <row r="307" ht="60" customHeight="1">
      <c r="A307" s="3" t="inlineStr">
        <is>
          <t>MK-NW-F-088</t>
        </is>
      </c>
      <c r="B307" s="3" t="inlineStr">
        <is>
          <t>BENCH</t>
        </is>
      </c>
      <c r="C307" s="3" t="inlineStr">
        <is>
          <t>MoneyKeel/functions/networth-and-performance/performance.ts</t>
        </is>
      </c>
      <c r="D307" s="3" t="n">
        <v>820</v>
      </c>
      <c r="E307" s="3" t="inlineStr">
        <is>
          <t>3 · DEPENDENT (feeds an action only)</t>
        </is>
      </c>
      <c r="F307" s="3" t="inlineStr">
        <is>
          <t>NOT DETERMINED — the code carries no note saying what this is for, and it has no row in the old inventory. Needs reading.</t>
        </is>
      </c>
      <c r="G307" s="11" t="inlineStr">
        <is>
          <t>portfolio bench return([</t>
        </is>
      </c>
      <c r="H307" s="3" t="inlineStr">
        <is>
          <t>portfolio bench return([</t>
        </is>
      </c>
      <c r="I307" s="3" t="inlineStr">
        <is>
          <t>READ FROM THE CODE — rendered from the expressions the function runs</t>
        </is>
      </c>
      <c r="J307" s="3" t="inlineStr">
        <is>
          <t>Nothing is handed to it</t>
        </is>
      </c>
      <c r="K307" s="3" t="inlineStr">
        <is>
          <t>NOT DECLARED — the code does not say what it gives back</t>
        </is>
      </c>
      <c r="L307" s="3" t="inlineStr">
        <is>
          <t>—</t>
        </is>
      </c>
      <c r="M307" s="3" t="inlineStr">
        <is>
          <t>None found in this function — anything it assumes comes from the functions it depends on.</t>
        </is>
      </c>
      <c r="N307" s="3" t="inlineStr">
        <is>
          <t>No</t>
        </is>
      </c>
      <c r="O307" s="3" t="inlineStr">
        <is>
          <t>1. MK-NW-F-087 CAT
2. MK-NW-F-083 PERF
3. MK-NW-F-085 PERF_ONE
4. MK-NW-F-093 QUIET_PERF
5. MK-CF-F-135 availableCash
6. MK-XS-F-180 declareFigures
7. MK-ST-F-049 formatMoney
8. MK-PF-F-020 portfolioBenchReturn</t>
        </is>
      </c>
      <c r="P307" s="3" t="n">
        <v>60</v>
      </c>
      <c r="Q307"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MK-XS-F-011 buildChangeWalk
18. MK-CF-F-132 map
19. MK-ST-F-064 modifiedDietzOverWindow
20. MK-ST-F-013 personalFlowTotals
21. MK-NW-F-102 rateWhereItRefuses
22. MK-ST-F-030 record
23. MK-ST-F-021 toNumber
24. MK-ST-F-031 valueOn
25. MK-ST-F-038 windowBounds
26. MK-ST-F-047 activeCurrency
27. MK-PF-F-031 contractMultiplier
28. MK-PF-F-001 totalShares
29. MK-CF-F-155 cash
30. MK-ST-F-053 money
31. MK-ST-F-062 toUtc
32. MK-NW-F-078 ONE
33. MK-PF-F-026 moneyWeightedReturn
34. MK-ST-F-027 accountId
35. MK-ST-F-056 has
36. MK-ST-F-033 onOrBefore
37. MK-ST-F-063 shiftDay
38. MK-NW-F-077 ALL
39. MK-NW-F-059 currentYield
40. MK-NW-O-001 theBonds
41. MK-PF-F-025 historyIsComplete
42. MK-PF-F-030 npv
43. MK-PF-F-024 userFlows
44. MK-NW-F-057 annualCoupon
45. MK-NW-F-056 bondInfo
46. MK-NW-F-064 bondRateSensitivity
47. MK-NW-F-061 bondSummary
48. MK-NW-F-055 isBond
49. MK-NW-F-072 rowOf
50. MK-NW-F-060 approxYTM
51. MK-NW-F-069 priceAtYield
52. MK-NW-F-011 assetClassOf
53. MK-NW-F-070 accruedInterestCaveat
54. MK-NW-F-071 isCertificateOfDeposit
55. MK-NW-F-058 yearsToMaturity
56. MK-NW-F-008 incomeBearingClassOf
57. MK-ST-F-010 nameEvidence
58. MK-XS-F-147 call
59. MK-XS-F-064 currentIdToken
60. MK-XS-F-112 relayUrl</t>
        </is>
      </c>
      <c r="R307" s="3" t="inlineStr">
        <is>
          <t>1. MK-XS-F-122 n → MK-CF-F-155 cash → MK-NW-F-084 categoryEarnings → MK-NW-F-086 CATS → MK-NW-F-087 CAT → MK-NW-F-088 BENCH
2. MK-ST-F-030 record → MK-NW-F-084 categoryEarnings → MK-NW-F-086 CATS → MK-NW-F-087 CAT → MK-NW-F-088 BENCH
3. MK-XS-F-011 buildChangeWalk → MK-NW-O-008 thePerformance → MK-NW-F-083 PERF → MK-NW-F-088 BENCH
4. MK-CF-F-132 map → MK-NW-O-008 thePerformance → MK-NW-F-083 PERF → MK-NW-F-088 BENCH
5. MK-CF-F-132 map → MK-ST-F-064 modifiedDietzOverWindow → MK-NW-O-008 thePerformance → MK-NW-F-083 PERF → MK-NW-F-088 BENCH
6. MK-ST-F-049 formatMoney → MK-ST-F-053 money → MK-ST-F-064 modifiedDietzOverWindow → MK-NW-O-008 thePerformance → MK-NW-F-083 PERF → MK-NW-F-088 BENCH
7. MK-XS-F-122 n → MK-ST-F-053 money → MK-ST-F-064 modifiedDietzOverWindow → MK-NW-O-008 thePerformance → MK-NW-F-083 PERF → MK-NW-F-088 BENCH
8. MK-XS-F-122 n → MK-ST-F-021 toNumber → MK-ST-F-064 modifiedDietzOverWindow → MK-NW-O-008 thePerformance → MK-NW-F-083 PERF → MK-NW-F-088 BENCH
9. … and 5 more paths</t>
        </is>
      </c>
      <c r="S307" s="3" t="inlineStr">
        <is>
          <t>—</t>
        </is>
      </c>
      <c r="T307" s="3" t="inlineStr">
        <is>
          <t>—</t>
        </is>
      </c>
      <c r="U307" s="3" t="inlineStr">
        <is>
          <t>ACTIVE</t>
        </is>
      </c>
      <c r="V307" s="3" t="inlineStr">
        <is>
          <t>2026-09-30</t>
        </is>
      </c>
      <c r="W307" s="3" t="n"/>
      <c r="X307" s="3" t="n"/>
      <c r="Y307" s="3" t="inlineStr">
        <is>
          <t>NOTHING OPEN</t>
        </is>
      </c>
    </row>
    <row r="308" ht="60" customHeight="1">
      <c r="A308" s="3" t="inlineStr">
        <is>
          <t>MK-NW-F-090</t>
        </is>
      </c>
      <c r="B308" s="3" t="inlineStr">
        <is>
          <t>windowStartKey</t>
        </is>
      </c>
      <c r="C308" s="3" t="inlineStr">
        <is>
          <t>MoneyKeel/functions/networth-and-performance/performance.ts</t>
        </is>
      </c>
      <c r="D308" s="3" t="n">
        <v>112</v>
      </c>
      <c r="E308" s="3" t="inlineStr">
        <is>
          <t>2 · DISPLAYED</t>
        </is>
      </c>
      <c r="F308" s="3" t="inlineStr">
        <is>
          <t>MK-NW-F-090 · The first day of a window.</t>
        </is>
      </c>
      <c r="G308"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08"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08" s="3" t="inlineStr">
        <is>
          <t>PARTLY READ — some of the code is still showing through; needs a hand pass</t>
        </is>
      </c>
      <c r="J308" s="3" t="inlineStr">
        <is>
          <t>1. period: string
2. recordDates: string[]
3. today: string</t>
        </is>
      </c>
      <c r="K308" s="3" t="inlineStr">
        <is>
          <t>string</t>
        </is>
      </c>
      <c r="L308" s="3" t="inlineStr">
        <is>
          <t>NOT FOUND — a screen calls it, but the words printed beside its answer could not be traced automatically. Needs reading.</t>
        </is>
      </c>
      <c r="M308" s="3" t="inlineStr">
        <is>
          <t>· If months[period] is missing it uses 12.</t>
        </is>
      </c>
      <c r="N308" s="3" t="inlineStr">
        <is>
          <t>Yes</t>
        </is>
      </c>
      <c r="O308" s="3" t="inlineStr">
        <is>
          <t>—</t>
        </is>
      </c>
      <c r="P308" s="3" t="n">
        <v>0</v>
      </c>
      <c r="Q308" s="3" t="inlineStr">
        <is>
          <t>None — no dependent function stands behind it</t>
        </is>
      </c>
      <c r="R308" s="3" t="inlineStr">
        <is>
          <t>No dependent function — it reads its inputs and answers</t>
        </is>
      </c>
      <c r="S308" s="3" t="inlineStr">
        <is>
          <t>—</t>
        </is>
      </c>
      <c r="T308" s="3" t="inlineStr">
        <is>
          <t>—</t>
        </is>
      </c>
      <c r="U308" s="3" t="inlineStr">
        <is>
          <t>ACTIVE</t>
        </is>
      </c>
      <c r="V308" s="3" t="inlineStr">
        <is>
          <t>2026-09-30</t>
        </is>
      </c>
      <c r="W308" s="3" t="n"/>
      <c r="X308" s="3" t="n"/>
      <c r="Y308" s="3" t="inlineStr">
        <is>
          <t>NOTHING OPEN</t>
        </is>
      </c>
    </row>
    <row r="309" ht="60" customHeight="1">
      <c r="A309" s="3" t="inlineStr">
        <is>
          <t>MK-NW-F-091</t>
        </is>
      </c>
      <c r="B309" s="3" t="inlineStr">
        <is>
          <t>pricedGainOf</t>
        </is>
      </c>
      <c r="C309" s="3" t="inlineStr">
        <is>
          <t>MoneyKeel/functions/networth-and-performance/performance.ts</t>
        </is>
      </c>
      <c r="D309" s="3" t="n">
        <v>151</v>
      </c>
      <c r="E309" s="3" t="inlineStr">
        <is>
          <t>2 · DISPLAYED</t>
        </is>
      </c>
      <c r="F309" s="3" t="inlineStr">
        <is>
          <t>MK-NW-F-091 · What the PRICED holdings gained over the window.</t>
        </is>
      </c>
      <c r="G309" s="11" t="inlineStr">
        <is>
          <t>t + (gain ?? 0)   when capped since
mv = market value (or 0 when missing)
pr = period return
the answer = t + (pr ≠ nothing and mv &gt; 0 ? mv × (1 − 1 ÷ (1 + pr)) : 0)</t>
        </is>
      </c>
      <c r="H309" s="3" t="inlineStr">
        <is>
          <t>When capped since, it answers t plus (gain ?? 0). Mv is market value (or 0 — when missing). Pr is period return. The answer is t plus (pr is not no answer and mv &gt; 0 ? mv times (1 minus 1 divided by (1 plus pr)) : 0).</t>
        </is>
      </c>
      <c r="I309" s="3" t="inlineStr">
        <is>
          <t>PARTLY READ — some of the code is still showing through; needs a hand pass</t>
        </is>
      </c>
      <c r="J309" s="3" t="inlineStr">
        <is>
          <t>Nothing is handed to it</t>
        </is>
      </c>
      <c r="K309" s="3" t="inlineStr">
        <is>
          <t>NOT DECLARED — the code does not say what it gives back</t>
        </is>
      </c>
      <c r="L309" s="3" t="inlineStr">
        <is>
          <t>NOT FOUND — a screen calls it, but the words printed beside its answer could not be traced automatically. Needs reading.</t>
        </is>
      </c>
      <c r="M309" s="3" t="inlineStr">
        <is>
          <t>1. If gain is missing it uses 0.
2. If market value is missing it uses 0.</t>
        </is>
      </c>
      <c r="N309" s="3" t="inlineStr">
        <is>
          <t>Yes</t>
        </is>
      </c>
      <c r="O309" s="3" t="inlineStr">
        <is>
          <t>MK-ST-F-039 on</t>
        </is>
      </c>
      <c r="P309" s="3" t="n">
        <v>1</v>
      </c>
      <c r="Q309" s="3" t="inlineStr">
        <is>
          <t>MK-ST-F-039 on</t>
        </is>
      </c>
      <c r="R309" s="3" t="inlineStr">
        <is>
          <t>MK-ST-F-039 on → MK-NW-F-091 pricedGainOf</t>
        </is>
      </c>
      <c r="S309" s="3" t="inlineStr">
        <is>
          <t>—</t>
        </is>
      </c>
      <c r="T309" s="3" t="inlineStr">
        <is>
          <t>—</t>
        </is>
      </c>
      <c r="U309" s="3" t="inlineStr">
        <is>
          <t>ACTIVE</t>
        </is>
      </c>
      <c r="V309" s="3" t="inlineStr">
        <is>
          <t>2026-09-30</t>
        </is>
      </c>
      <c r="W309" s="3" t="n"/>
      <c r="X309" s="3" t="n"/>
      <c r="Y309" s="3" t="inlineStr">
        <is>
          <t>NOTHING OPEN</t>
        </is>
      </c>
    </row>
    <row r="310" ht="60" customHeight="1">
      <c r="A310" s="3" t="inlineStr">
        <is>
          <t>MK-NW-F-092</t>
        </is>
      </c>
      <c r="B310" s="3" t="inlineStr">
        <is>
          <t>investmentAccountIdsOf</t>
        </is>
      </c>
      <c r="C310" s="3" t="inlineStr">
        <is>
          <t>MoneyKeel/functions/networth-and-performance/performance.ts</t>
        </is>
      </c>
      <c r="D310" s="3" t="n">
        <v>256</v>
      </c>
      <c r="E310" s="3" t="inlineStr">
        <is>
          <t>2 · DISPLAYED</t>
        </is>
      </c>
      <c r="F310" s="3" t="inlineStr">
        <is>
          <t>MK-NW-F-092 · Which accounts this door measures: the invested ones.</t>
        </is>
      </c>
      <c r="G310" s="11" t="inlineStr">
        <is>
          <t>invested = a list with no repeats of ['stocks_etf', 'bonds', 'alternatives', 'mixed']
the answer = a list with no repeats of accounts (or none when missing) where invested.has(class of(each))for each of : string(asset id)</t>
        </is>
      </c>
      <c r="H310" s="3" t="inlineStr">
        <is>
          <t>Invested is a list with no repeats of ['stocks_etf', 'bonds', 'alternatives', 'mixed']. The answer is a list with no repeats of accounts (or none — when missing) where invested.has(class of(each))for each of : string(asset id).</t>
        </is>
      </c>
      <c r="I310" s="3" t="inlineStr">
        <is>
          <t>PARTLY READ — some of the code is still showing through; needs a hand pass</t>
        </is>
      </c>
      <c r="J310" s="3" t="inlineStr">
        <is>
          <t>Nothing is handed to it</t>
        </is>
      </c>
      <c r="K310" s="3" t="inlineStr">
        <is>
          <t>NOT DECLARED — the code does not say what it gives back</t>
        </is>
      </c>
      <c r="L310" s="3" t="inlineStr">
        <is>
          <t>NOT FOUND — a screen calls it, but the words printed beside its answer could not be traced automatically. Needs reading.</t>
        </is>
      </c>
      <c r="M310" s="3" t="inlineStr">
        <is>
          <t>None found in this function — anything it assumes comes from the functions it depends on.</t>
        </is>
      </c>
      <c r="N310" s="3" t="inlineStr">
        <is>
          <t>Yes</t>
        </is>
      </c>
      <c r="O310" s="3" t="inlineStr">
        <is>
          <t>1. MK-ST-F-056 has
2. MK-CF-F-132 map</t>
        </is>
      </c>
      <c r="P310" s="3" t="n">
        <v>2</v>
      </c>
      <c r="Q310" s="3" t="inlineStr">
        <is>
          <t>1. MK-ST-F-056 has
2. MK-CF-F-132 map</t>
        </is>
      </c>
      <c r="R310" s="3" t="inlineStr">
        <is>
          <t>1. MK-ST-F-056 has → MK-NW-F-092 investmentAccountIdsOf
2. MK-CF-F-132 map → MK-NW-F-092 investmentAccountIdsOf</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MK-NW-F-093</t>
        </is>
      </c>
      <c r="B311" s="3" t="inlineStr">
        <is>
          <t>QUIET_PERF</t>
        </is>
      </c>
      <c r="C311" s="3" t="inlineStr">
        <is>
          <t>MoneyKeel/functions/networth-and-performance/performance.ts</t>
        </is>
      </c>
      <c r="D311" s="3" t="n">
        <v>680</v>
      </c>
      <c r="E311" s="3" t="inlineStr">
        <is>
          <t>1 · ACTION</t>
        </is>
      </c>
      <c r="F311" s="3" t="inlineStr">
        <is>
          <t>NOT DETERMINED — the code carries no note saying what this is for, and it has no row in the old inventory. Needs reading.</t>
        </is>
      </c>
      <c r="G311" s="11" t="inlineStr">
        <is>
          <t>the performance(QUIET)</t>
        </is>
      </c>
      <c r="H311" s="3" t="inlineStr">
        <is>
          <t>the performance(QUIET)</t>
        </is>
      </c>
      <c r="I311" s="3" t="inlineStr">
        <is>
          <t>READ FROM THE CODE — rendered from the expressions the function runs</t>
        </is>
      </c>
      <c r="J311" s="3" t="inlineStr">
        <is>
          <t>Nothing is handed to it</t>
        </is>
      </c>
      <c r="K311" s="3" t="inlineStr">
        <is>
          <t>NOT DECLARED — the code does not say what it gives back</t>
        </is>
      </c>
      <c r="L311" s="3" t="inlineStr">
        <is>
          <t>—</t>
        </is>
      </c>
      <c r="M311" s="3" t="inlineStr">
        <is>
          <t>None found in this function — anything it assumes comes from the functions it depends on.</t>
        </is>
      </c>
      <c r="N311" s="3" t="inlineStr">
        <is>
          <t>No</t>
        </is>
      </c>
      <c r="O311" s="3" t="inlineStr">
        <is>
          <t>MK-NW-O-008 thePerformance</t>
        </is>
      </c>
      <c r="P311" s="3" t="n">
        <v>48</v>
      </c>
      <c r="Q311" s="3" t="inlineStr">
        <is>
          <t>1. MK-NW-O-008 thePerformance
2. MK-XS-F-011 buildChangeWalk
3. MK-CF-F-132 map
4. MK-ST-F-064 modifiedDietzOverWindow
5. MK-ST-F-013 personalFlowTotals
6. MK-NW-F-102 rateWhereItRefuses
7. MK-ST-F-030 record
8. MK-ST-F-021 toNumber
9. MK-ST-F-031 valueOn
10. MK-ST-F-038 windowBounds
11. MK-ST-F-053 money
12. MK-ST-F-062 toUtc
13. MK-NW-F-078 ONE
14. MK-PF-F-026 moneyWeightedReturn
15. MK-XS-F-122 n
16. MK-ST-F-027 accountId
17. MK-CF-F-155 cash
18. MK-ST-F-056 has
19. MK-ST-F-033 onOrBefore
20. MK-ST-F-063 shiftDay
21. MK-ST-F-049 formatMoney
22. MK-NW-F-077 ALL
23. MK-NW-F-059 currentYield
24. MK-XS-F-180 declareFigures
25. MK-NW-O-001 theBonds
26. MK-PF-F-025 historyIsComplete
27. MK-PF-F-030 npv
28. MK-PF-F-024 userFlows
29. MK-ST-F-048 currencySymbol
30. MK-ST-F-039 on
31. MK-NW-F-057 annualCoupon
32. MK-NW-F-056 bondInfo
33. MK-NW-F-064 bondRateSensitivity
34. MK-NW-F-061 bondSummary
35. MK-NW-F-055 isBond
36. MK-NW-F-072 rowOf
37. MK-ST-F-047 activeCurrency
38. MK-NW-F-060 approxYTM
39. MK-NW-F-069 priceAtYield
40. MK-NW-F-011 assetClassOf
41. MK-NW-F-070 accruedInterestCaveat
42. MK-NW-F-071 isCertificateOfDeposit
43. MK-NW-F-058 yearsToMaturity
44. MK-NW-F-008 incomeBearingClassOf
45. MK-ST-F-010 nameEvidence
46. MK-XS-F-147 call
47. MK-XS-F-064 currentIdToken
48. MK-XS-F-112 relayUrl</t>
        </is>
      </c>
      <c r="R311" s="3" t="inlineStr">
        <is>
          <t>1. MK-XS-F-011 buildChangeWalk → MK-NW-O-008 thePerformance → MK-NW-F-093 QUIET_PERF
2. MK-CF-F-132 map → MK-NW-O-008 thePerformance → MK-NW-F-093 QUIET_PERF
3. MK-CF-F-132 map → MK-ST-F-064 modifiedDietzOverWindow → MK-NW-O-008 thePerformance → MK-NW-F-093 QUIET_PERF
4. MK-ST-F-048 currencySymbol → MK-ST-F-049 formatMoney → MK-ST-F-053 money → MK-ST-F-064 modifiedDietzOverWindow → MK-NW-O-008 thePerformance → MK-NW-F-093 QUIET_PERF
5. MK-XS-F-122 n → MK-ST-F-049 formatMoney → MK-ST-F-053 money → MK-ST-F-064 modifiedDietzOverWindow → MK-NW-O-008 thePerformance → MK-NW-F-093 QUIET_PERF
6. MK-ST-F-039 on → MK-ST-F-049 formatMoney → MK-ST-F-053 money → MK-ST-F-064 modifiedDietzOverWindow → MK-NW-O-008 thePerformance → MK-NW-F-093 QUIET_PERF
7. MK-XS-F-122 n → MK-ST-F-053 money → MK-ST-F-064 modifiedDietzOverWindow → MK-NW-O-008 thePerformance → MK-NW-F-093 QUIET_PERF
8. MK-XS-F-122 n → MK-ST-F-021 toNumber → MK-ST-F-064 modifiedDietzOverWindow → MK-NW-O-008 thePerformance → MK-NW-F-093 QUIET_PERF
9. … and 4 more paths</t>
        </is>
      </c>
      <c r="S311" s="3" t="inlineStr">
        <is>
          <t>—</t>
        </is>
      </c>
      <c r="T311" s="3" t="inlineStr">
        <is>
          <t>—</t>
        </is>
      </c>
      <c r="U311" s="3" t="inlineStr">
        <is>
          <t>ACTIVE</t>
        </is>
      </c>
      <c r="V311" s="3" t="inlineStr">
        <is>
          <t>2026-09-30</t>
        </is>
      </c>
      <c r="W311" s="3" t="n"/>
      <c r="X311" s="3" t="n"/>
      <c r="Y311" s="3" t="inlineStr">
        <is>
          <t>NOTHING OPEN</t>
        </is>
      </c>
    </row>
    <row r="312" ht="60" customHeight="1">
      <c r="A312" s="3" t="inlineStr">
        <is>
          <t>MK-NW-F-094</t>
        </is>
      </c>
      <c r="B312" s="3" t="inlineStr">
        <is>
          <t>ledgerGroups</t>
        </is>
      </c>
      <c r="C312" s="3" t="inlineStr">
        <is>
          <t>MoneyKeel/functions/networth-and-performance/net-worth.ts</t>
        </is>
      </c>
      <c r="D312" s="3" t="n">
        <v>269</v>
      </c>
      <c r="E312" s="3" t="inlineStr">
        <is>
          <t>2 · DISPLAYED</t>
        </is>
      </c>
      <c r="F312" s="3" t="inlineStr">
        <is>
          <t>NOT DETERMINED — the code carries no note saying what this is for, and it has no row in the old inventory. Needs reading.</t>
        </is>
      </c>
      <c r="G312"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12"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12" s="3" t="inlineStr">
        <is>
          <t>PARTLY READ — the body has a loop the extractor cannot render; the steps shown are the ones before it. Needs a hand pass (G23).</t>
        </is>
      </c>
      <c r="J312" s="3" t="inlineStr">
        <is>
          <t>Nothing is handed to it</t>
        </is>
      </c>
      <c r="K312" s="3" t="inlineStr">
        <is>
          <t>NOT DECLARED — the code does not say what it gives back</t>
        </is>
      </c>
      <c r="L312" s="3" t="inlineStr">
        <is>
          <t>NOT FOUND — a screen calls it, but the words printed beside its answer could not be traced automatically. Needs reading.</t>
        </is>
      </c>
      <c r="M312" s="3" t="inlineStr">
        <is>
          <t>· If balance is missing it counts as zero, so nothing recorded and a real zero look the same.</t>
        </is>
      </c>
      <c r="N312" s="3" t="inlineStr">
        <is>
          <t>Yes</t>
        </is>
      </c>
      <c r="O312" s="3" t="inlineStr">
        <is>
          <t>—</t>
        </is>
      </c>
      <c r="P312" s="3" t="n">
        <v>0</v>
      </c>
      <c r="Q312" s="3" t="inlineStr">
        <is>
          <t>None — no dependent function stands behind it</t>
        </is>
      </c>
      <c r="R312" s="3" t="inlineStr">
        <is>
          <t>No dependent function — it reads its inputs and answers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MK-NW-F-095</t>
        </is>
      </c>
      <c r="B313" s="3" t="inlineStr">
        <is>
          <t>CLASS_LABEL_OF</t>
        </is>
      </c>
      <c r="C313" s="3" t="inlineStr">
        <is>
          <t>MoneyKeel/functions/networth-and-performance/net-worth.ts</t>
        </is>
      </c>
      <c r="D313" s="3" t="n">
        <v>387</v>
      </c>
      <c r="E313" s="3" t="inlineStr">
        <is>
          <t>1 · ACTION</t>
        </is>
      </c>
      <c r="F313" s="3" t="inlineStr">
        <is>
          <t>NOT DETERMINED — the code carries no note saying what this is for, and it has no row in the old inventory. Needs reading.</t>
        </is>
      </c>
      <c r="G313" s="11" t="inlineStr">
        <is>
          <t>NOT READ YET — the body is not a shape this can render faithfully, so nothing is claimed rather than something being guessed. It needs reading by hand.</t>
        </is>
      </c>
      <c r="H313" s="3" t="inlineStr">
        <is>
          <t>NOT READ YET — the body is not a shape this can render faithfully, so nothing is claimed rather than something being guessed. It needs reading by hand.</t>
        </is>
      </c>
      <c r="I313" s="3" t="inlineStr">
        <is>
          <t>NOT READ — nothing is claimed rather than something guessed</t>
        </is>
      </c>
      <c r="J313" s="3" t="inlineStr">
        <is>
          <t>a: any</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t>
        </is>
      </c>
      <c r="P313" s="3" t="n">
        <v>0</v>
      </c>
      <c r="Q313" s="3" t="inlineStr">
        <is>
          <t>None — no dependent function stands behind it</t>
        </is>
      </c>
      <c r="R313" s="3" t="inlineStr">
        <is>
          <t>No dependent function — it reads its inputs and answers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MK-NW-F-096</t>
        </is>
      </c>
      <c r="B314" s="3" t="inlineStr">
        <is>
          <t>CLASS_KEY_OF</t>
        </is>
      </c>
      <c r="C314" s="3" t="inlineStr">
        <is>
          <t>MoneyKeel/functions/networth-and-performance/net-worth.ts</t>
        </is>
      </c>
      <c r="D314" s="3" t="n">
        <v>411</v>
      </c>
      <c r="E314" s="3" t="inlineStr">
        <is>
          <t>1 · ACTION</t>
        </is>
      </c>
      <c r="F314" s="3" t="inlineStr">
        <is>
          <t>NOT DETERMINED — the code carries no note saying what this is for, and it has no row in the old inventory. Needs reading.</t>
        </is>
      </c>
      <c r="G314" s="11" t="inlineStr">
        <is>
          <t>string(asset class)</t>
        </is>
      </c>
      <c r="H314" s="3" t="inlineStr">
        <is>
          <t>string(asset class)</t>
        </is>
      </c>
      <c r="I314" s="3" t="inlineStr">
        <is>
          <t>READ FROM THE CODE — rendered from the expressions the function runs</t>
        </is>
      </c>
      <c r="J314" s="3" t="inlineStr">
        <is>
          <t>a: any</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t>
        </is>
      </c>
      <c r="P314" s="3" t="n">
        <v>0</v>
      </c>
      <c r="Q314" s="3" t="inlineStr">
        <is>
          <t>None — no dependent function stands behind it</t>
        </is>
      </c>
      <c r="R314" s="3" t="inlineStr">
        <is>
          <t>No dependent function — it reads its inputs and answers</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MK-NW-F-097</t>
        </is>
      </c>
      <c r="B315" s="3" t="inlineStr">
        <is>
          <t>LEDGER</t>
        </is>
      </c>
      <c r="C315" s="3" t="inlineStr">
        <is>
          <t>MoneyKeel/functions/networth-and-performance/net-worth.ts</t>
        </is>
      </c>
      <c r="D315" s="3" t="n">
        <v>433</v>
      </c>
      <c r="E315" s="3" t="inlineStr">
        <is>
          <t>1 · ACTION</t>
        </is>
      </c>
      <c r="F315" s="3" t="inlineStr">
        <is>
          <t>NOT DETERMINED — the code carries no note saying what this is for, and it has no row in the old inventory. Needs reading.</t>
        </is>
      </c>
      <c r="G315" s="11" t="inlineStr">
        <is>
          <t>ledger groups(LEDGER_ACCOUNTS, by, CLASS_LABEL_OF, CLASS_KEY_OF)</t>
        </is>
      </c>
      <c r="H315" s="3" t="inlineStr">
        <is>
          <t>ledger groups(LEDGER_ACCOUNTS, by, CLASS_LABEL_OF, CLASS_KEY_OF)</t>
        </is>
      </c>
      <c r="I315" s="3" t="inlineStr">
        <is>
          <t>READ FROM THE CODE — rendered from the expressions the function runs</t>
        </is>
      </c>
      <c r="J315" s="3" t="inlineStr">
        <is>
          <t>by: 'class' | 'institution'</t>
        </is>
      </c>
      <c r="K315" s="3" t="inlineStr">
        <is>
          <t>NOT DECLARED — the code does not say what it gives back</t>
        </is>
      </c>
      <c r="L315" s="3" t="inlineStr">
        <is>
          <t>—</t>
        </is>
      </c>
      <c r="M315" s="3" t="inlineStr">
        <is>
          <t>None found in this function — anything it assumes comes from the functions it depends on.</t>
        </is>
      </c>
      <c r="N315" s="3" t="inlineStr">
        <is>
          <t>Yes</t>
        </is>
      </c>
      <c r="O315" s="3" t="inlineStr">
        <is>
          <t>1. MK-NW-F-096 CLASS_KEY_OF
2. MK-NW-F-095 CLASS_LABEL_OF
3. MK-NW-F-094 ledgerGroups</t>
        </is>
      </c>
      <c r="P315" s="3" t="n">
        <v>3</v>
      </c>
      <c r="Q315" s="3" t="inlineStr">
        <is>
          <t>1. MK-NW-F-096 CLASS_KEY_OF
2. MK-NW-F-095 CLASS_LABEL_OF
3. MK-NW-F-094 ledgerGroups</t>
        </is>
      </c>
      <c r="R315" s="3" t="inlineStr">
        <is>
          <t>1. MK-NW-F-096 CLASS_KEY_OF → MK-NW-F-097 LEDGER
2. MK-NW-F-095 CLASS_LABEL_OF → MK-NW-F-097 LEDGER
3. MK-NW-F-094 ledgerGroups → MK-NW-F-097 LEDGER</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MK-NW-F-098</t>
        </is>
      </c>
      <c r="B316" s="3" t="inlineStr">
        <is>
          <t>LEDGER_BAND</t>
        </is>
      </c>
      <c r="C316" s="3" t="inlineStr">
        <is>
          <t>MoneyKeel/functions/networth-and-performance/net-worth.ts</t>
        </is>
      </c>
      <c r="D316" s="3" t="n">
        <v>452</v>
      </c>
      <c r="E316" s="3" t="inlineStr">
        <is>
          <t>1 · ACTION</t>
        </is>
      </c>
      <c r="F316" s="3" t="inlineStr">
        <is>
          <t>NOT DETERMINED — the code carries no note saying what this is for, and it has no row in the old inventory. Needs reading.</t>
        </is>
      </c>
      <c r="G316" s="11" t="inlineStr">
        <is>
          <t>LEDGER('class').find((g) =&gt; label = label).total (or nothing when missing)</t>
        </is>
      </c>
      <c r="H316" s="3" t="inlineStr">
        <is>
          <t>LEDGER('class').find((g) =&gt; label = label).total (or no answer — when missing)</t>
        </is>
      </c>
      <c r="I316" s="3" t="inlineStr">
        <is>
          <t>PARTLY READ — some of the code is still showing through; needs a hand pass</t>
        </is>
      </c>
      <c r="J316" s="3" t="inlineStr">
        <is>
          <t>label: string</t>
        </is>
      </c>
      <c r="K316" s="3" t="inlineStr">
        <is>
          <t>NOT DECLARED — the code does not say what it gives back</t>
        </is>
      </c>
      <c r="L316" s="3" t="inlineStr">
        <is>
          <t>—</t>
        </is>
      </c>
      <c r="M316" s="3" t="inlineStr">
        <is>
          <t>None found in this function — anything it assumes comes from the functions it depends on.</t>
        </is>
      </c>
      <c r="N316" s="3" t="inlineStr">
        <is>
          <t>Yes</t>
        </is>
      </c>
      <c r="O316" s="3" t="inlineStr">
        <is>
          <t>1. MK-NW-F-097 LEDGER
2. MK-CF-F-200 LINE</t>
        </is>
      </c>
      <c r="P316" s="3" t="n">
        <v>110</v>
      </c>
      <c r="Q316"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MK-NW-F-072 rowOf
52. MK-CF-F-069 benefitActiveMonths
53. MK-CF-F-072 currentRetirementIncomeMonthly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MK-CF-F-062 equityRowValue
76. MK-CF-F-070 benefitAnnual
77. MK-CF-F-176 sumMonthsOverEarners
78. MK-CF-F-177 wageGrossByMonth
79. MK-CF-F-090 effectiveRate
80. MK-CF-F-085 filingStatusOf
81. MK-CF-F-089 over65CountOf
82. MK-CF-F-098 progressiveMonthlyTax
83. MK-CF-F-086 stateRateOf
84. MK-CF-F-173 earnerWages
85. MK-CF-F-102 effectiveRateOnGrossFor
86. MK-CF-F-180 enteredLandsAnnual
87. MK-CF-F-082 salaryAnnual
88. MK-CF-F-084 taxableAnnual
89. MK-CF-F-067 rentalList
90. MK-CF-F-063 rowVestYear
91. MK-CF-F-120 pctBaseMonthly
92. MK-CF-F-004 spendBuckets
93. MK-NW-F-008 incomeBearingClassOf
94. MK-CF-F-130 enteredMonthlyRaw
95. MK-CF-F-166 hasMonthlySalaryTable
96. MK-ST-F-036 reconcile
97. MK-CF-F-167 salaryCalendarYear
98. MK-CF-F-101 taxOwedFor
99. MK-CF-F-100 taxableIncomeFor
100. MK-CF-F-172 hasWage
101. MK-CF-F-074 tipsAnnual
102. MK-CF-F-003 categoryMonthly
103. MK-ST-F-010 nameEvidence
104. MK-CF-F-165 salaryMonths
105. MK-CF-F-099 deductionFor
106. MK-CF-F-081 salaryActiveMonths
107. MK-XS-F-147 call
108. MK-CF-F-187 seniorDeductionFor
109. MK-XS-F-064 currentIdToken
110. MK-XS-F-112 relayUrl</t>
        </is>
      </c>
      <c r="R316"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MK-NW-F-099</t>
        </is>
      </c>
      <c r="B317" s="3" t="inlineStr">
        <is>
          <t>SNAP</t>
        </is>
      </c>
      <c r="C317" s="3" t="inlineStr">
        <is>
          <t>MoneyKeel/functions/networth-and-performance/net-worth.ts</t>
        </is>
      </c>
      <c r="D317" s="3" t="n">
        <v>478</v>
      </c>
      <c r="E317" s="3" t="inlineStr">
        <is>
          <t>1 · ACTION</t>
        </is>
      </c>
      <c r="F317" s="3" t="inlineStr">
        <is>
          <t>NOT DETERMINED — the code carries no note saying what this is for, and it has no row in the old inventory. Needs reading.</t>
        </is>
      </c>
      <c r="G317" s="11" t="inlineStr">
        <is>
          <t>NOT READ YET — the body is not a shape this can render faithfully, so nothing is claimed rather than something being guessed. It needs reading by hand.</t>
        </is>
      </c>
      <c r="H317" s="3" t="inlineStr">
        <is>
          <t>NOT READ YET — the body is not a shape this can render faithfully, so nothing is claimed rather than something being guessed. It needs reading by hand.</t>
        </is>
      </c>
      <c r="I317" s="3" t="inlineStr">
        <is>
          <t>NOT READ — nothing is claimed rather than something guessed</t>
        </is>
      </c>
      <c r="J317" s="3" t="inlineStr">
        <is>
          <t>1. month: string
2. net: number</t>
        </is>
      </c>
      <c r="K317" s="3" t="inlineStr">
        <is>
          <t>net, gross_assets: net + 242000, gross_debt: 242000 });</t>
        </is>
      </c>
      <c r="L317" s="3" t="inlineStr">
        <is>
          <t>—</t>
        </is>
      </c>
      <c r="M317" s="3" t="inlineStr">
        <is>
          <t>None found in this function — anything it assumes comes from the functions it depends on.</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MK-NW-F-100</t>
        </is>
      </c>
      <c r="B318" s="3" t="inlineStr">
        <is>
          <t>TREND</t>
        </is>
      </c>
      <c r="C318" s="3" t="inlineStr">
        <is>
          <t>MoneyKeel/functions/networth-and-performance/net-worth.ts</t>
        </is>
      </c>
      <c r="D318" s="3" t="n">
        <v>499</v>
      </c>
      <c r="E318" s="3" t="inlineStr">
        <is>
          <t>1 · ACTION</t>
        </is>
      </c>
      <c r="F318" s="3" t="inlineStr">
        <is>
          <t>NOT DETERMINED — the code carries no note saying what this is for, and it has no row in the old inventory. Needs reading.</t>
        </is>
      </c>
      <c r="G318" s="11" t="inlineStr">
        <is>
          <t>NOT READ YET — the body is not a shape this can render faithfully, so nothing is claimed rather than something being guessed. It needs reading by hand.</t>
        </is>
      </c>
      <c r="H318" s="3" t="inlineStr">
        <is>
          <t>NOT READ YET — the body is not a shape this can render faithfully, so nothing is claimed rather than something being guessed. It needs reading by hand.</t>
        </is>
      </c>
      <c r="I318" s="3" t="inlineStr">
        <is>
          <t>NOT READ — nothing is claimed rather than something guessed</t>
        </is>
      </c>
      <c r="J318" s="3" t="inlineStr">
        <is>
          <t>Nothing is handed to it</t>
        </is>
      </c>
      <c r="K318" s="3" t="inlineStr">
        <is>
          <t>NOT DECLARED — the code does not say what it gives back</t>
        </is>
      </c>
      <c r="L318" s="3" t="inlineStr">
        <is>
          <t>—</t>
        </is>
      </c>
      <c r="M318" s="3" t="inlineStr">
        <is>
          <t>None found in this function — anything it assumes comes from the functions it depends on.</t>
        </is>
      </c>
      <c r="N318" s="3" t="inlineStr">
        <is>
          <t>Yes</t>
        </is>
      </c>
      <c r="O318" s="3" t="inlineStr">
        <is>
          <t>1. MK-NW-F-099 SNAP
2. MK-NW-O-003 theNetWorth</t>
        </is>
      </c>
      <c r="P318" s="3" t="n">
        <v>196</v>
      </c>
      <c r="Q318" s="3" t="inlineStr">
        <is>
          <t>1. MK-NW-F-099 SNAP
2. MK-NW-O-003 theNetWorth
3. MK-NW-F-078 ONE
4. MK-NW-F-029 assetAllocation
5. MK-NW-F-039 buildAssetsState
6. MK-CF-F-036 buildDebtState
7. MK-NW-F-065 buildNetWorth
8. MK-NW-F-016 cashTotal
9. MK-NW-F-022 investableAssets
10. MK-XS-F-010 investableChangePct
11. MK-NW-F-021 investmentsTotal
12. MK-CF-F-132 map
13. MK-ST-F-039 on
14. MK-CF-F-023 requiredPayment
15. MK-XS-F-005 trendPoints
16. MK-XS-F-175 uid
17. MK-NW-F-077 ALL
18. MK-NW-F-059 currentYield
19. MK-XS-F-180 declareFigures
20. MK-ST-F-049 formatMoney
21. MK-ST-F-053 money
22. MK-NW-O-001 theBonds
23. MK-NW-F-027 accountClassBreakdown
24. MK-NW-F-011 assetClassOf
25. MK-CF-F-026 actualDebtPayment
26. MK-CF-F-025 minimumDebtService
27. MK-NW-F-014 isRealAsset
28. MK-NW-F-066 sumWhere
29. MK-NW-F-015 totalAssets
30. MK-CF-F-022 paymentShape
31. MK-XS-F-009 readHistory
32. MK-ST-F-027 accountId
33. MK-CF-F-111 applyTransaction
34. MK-NW-F-040 assetsFromOnboarding
35. MK-PF-F-013 benchmarkTicker
36. MK-ST-F-028 buildDayFromAccounts
37. MK-PF-F-034 closeOnOrBefore
38. MK-CF-F-186 convertTakeHomeMode
39. MK-CF-F-038 debtsFromOnboarding
40. MK-XS-F-083 fetchPriceSeries
41. MK-PL-F-013 goalsFromOnboarding
42. MK-ST-F-056 has
43. MK-CF-F-116 inverseOf
44. MK-ST-F-065 isoLocalDate
45. MK-CF-F-112 makeTransaction
46. MK-XS-F-122 n
47. MK-ST-F-043 newEntityId
48. MK-XS-F-006 pruneDaily
49. MK-ST-F-073 rebuildDays
50. MK-NW-F-054 reclassifyAccounts
51. MK-XS-F-174 recomputeBalances
52. MK-CF-F-115 restoreUndo
53. MK-CF-F-109 reviewTransactions
54. MK-ST-F-044 setMoneyFormat
55. MK-CF-F-114 undoSnapshot
56. MK-CF-F-191 ym
57. MK-NW-F-057 annualCoupon
58. MK-ST-F-048 currencySymbol
59. MK-NW-F-056 bondInfo
60. MK-NW-F-064 bondRateSensitivity
61. MK-NW-F-061 bondSummary
62. MK-NW-F-055 isBond
63. MK-NW-F-072 rowOf
64. MK-CF-F-155 cash
65. MK-NW-F-008 incomeBearingClassOf
66. MK-CF-F-024 totalDebtMonthly
67. MK-CF-F-021 defaultPaymentType
68. MK-XS-F-008 normalizeSnapshot
69. MK-CF-F-138 addLot
70. MK-CF-F-136 bumpCash
71. MK-CF-F-137 findPos
72. MK-CF-F-139 removeShares
73. MK-PF-F-001 totalShares
74. MK-ST-F-052 toNum
75. MK-CF-F-085 filingStatusOf
76. MK-CF-F-097 grossFromNet
77. MK-CF-F-185 needsTakeHomeConversion
78. MK-CF-F-089 over65CountOf
79. MK-CF-F-037 inferDebtType
80. MK-ST-F-069 amountOf
81. MK-CF-F-133 cashOf
82. MK-ST-F-066 isDayKey
83. MK-ST-F-070 isOpening
84. MK-ST-F-071 rebuildableFrom
85. MK-ST-F-068 stepDay
86. MK-ST-F-072 undo
87. MK-NW-F-053 correctClassOf
88. MK-PF-F-002 costBasis
89. MK-PF-F-009 latestClose
90. MK-PF-F-004 marketValue
91. MK-ST-F-030 record
92. MK-XS-F-024 resolveLens
93. MK-ST-F-055 round2
94. MK-CF-F-162 daysApart
95. MK-CF-F-108 isMoneyOut
96. MK-PL-F-074 median
97. MK-CF-F-131 normPayee
98. MK-CF-F-113 affectedAccountIds
99. MK-ST-F-047 activeCurrency
100. MK-NW-F-060 approxYTM
101. MK-NW-F-069 priceAtYield
102. MK-NW-F-070 accruedInterestCaveat
103. MK-NW-F-071 isCertificateOfDeposit
104. MK-NW-F-058 yearsToMaturity
105. MK-ST-F-010 nameEvidence
106. MK-CF-F-201 INCOME
107. MK-XS-F-121 isYm
108. MK-CF-F-134 usesSleeve
109. MK-CF-F-101 taxOwedFor
110. MK-ST-F-067 utcOfDay
111. MK-ST-F-035 covers
112. MK-NW-F-009 maturityClass
113. MK-PF-F-031 contractMultiplier
114. MK-CF-F-072 currentRetirementIncomeMonthly
115. MK-XS-F-147 call
116. MK-CF-O-004 incomeSummary
117. MK-CF-F-100 taxableIncomeFor
118. MK-ST-F-034 firstDate
119. MK-CF-F-075 retirementIncomeMonthly
120. MK-XS-F-064 currentIdToken
121. MK-XS-F-112 relayUrl
122. MK-CF-O-001 basePay
123. MK-CF-F-173 earnerWages
124. MK-CF-F-179 entryFromWage
125. MK-CF-F-071 extraIncome
126. MK-CF-F-092 incomeMonthlyGrid
127. MK-CF-F-103 marginalBracketFor
128. MK-CF-F-181 rateInForce
129. MK-CF-F-068 rentalNetAnnual
130. MK-CF-F-082 salaryAnnual
131. MK-CF-F-084 taxableAnnual
132. MK-CF-F-099 deductionFor
133. MK-CF-F-171 earnerPay
134. MK-CF-F-204 line
135. MK-HM-F-006 money0
136. MK-CF-F-198 payrollTaxWithheld
137. MK-CF-F-172 hasWage
138. MK-CF-F-165 salaryMonths
139. MK-CF-F-070 benefitAnnual
140. MK-CF-F-069 benefitActiveMonths
141. MK-CF-F-065 equityVestWeights
142. MK-CF-F-206 householdK401ByMonth
143. MK-CF-F-087 monthlyTaxRates
144. MK-CF-F-073 otherIncomeMonth
145. MK-CF-F-066 rsuAnnual
146. MK-CF-F-060 salaryGrossByMonth
147. MK-CF-F-077 scholarshipByCalendarMonth
148. MK-CF-F-088 taxableByCalendarMonth
149. MK-PL-F-012 waterfall
150. MK-CF-F-102 effectiveRateOnGrossFor
151. MK-CF-F-180 enteredLandsAnnual
152. MK-CF-F-086 stateRateOf
153. MK-CF-O-002 expenses
154. MK-CF-F-067 rentalList
155. MK-CF-F-074 tipsAnnual
156. MK-CF-F-187 seniorDeductionFor
157. MK-CF-F-143 annualisedGross
158. MK-CF-F-145 deductionsFromPay
159. MK-CF-F-128 grossByMonth
160. MK-CF-F-146 payFiguresAgree
161. MK-CF-F-144 takeHomeAsEntered
162. MK-CF-F-203 MONTH
163. MK-HM-F-005 pctTxt
164. MK-CF-F-062 equityRowValue
165. MK-CF-F-176 sumMonthsOverEarners
166. MK-CF-F-177 wageGrossByMonth
167. MK-CF-F-090 effectiveRate
168. MK-CF-F-098 progressiveMonthlyTax
169. MK-CF-F-063 rowVestYear
170. MK-CF-F-151 actualSpending
171. MK-CF-F-150 debtPaymentsCountedAsExpenses
172. MK-CF-F-153 radar
173. MK-CF-F-149 recurringDebtPayments
174. MK-CF-F-081 salaryActiveMonths
175. MK-CF-F-142 monthsOf
176. MK-CF-F-141 perMonth
177. MK-CF-O-010 theMonth
178. MK-CF-F-130 enteredMonthlyRaw
179. MK-CF-F-166 hasMonthlySalaryTable
180. MK-ST-F-036 reconcile
181. MK-CF-F-167 salaryCalendarYear
182. MK-CF-F-148 inMonth
183. MK-CF-F-152 isRadarItem
184. MK-CF-F-140 periodsAYear
185. MK-CF-O-003 thisMonth
186. MK-CF-F-005 actualMonthFlow
187. MK-CF-F-156 plannedMonthFlow
188. MK-CF-F-157 debtPaymentsByDebt
189. MK-CF-F-192 inflowLabel
190. MK-XS-F-027 takeHomeMonthly
191. MK-CF-F-193 inflowSourceWord
192. MK-CF-F-011 savingsByMonth
193. MK-CF-F-008 spendByMonth
194. MK-CF-F-120 pctBaseMonthly
195. MK-CF-F-004 spendBuckets
196. MK-CF-F-003 categoryMonthly</t>
        </is>
      </c>
      <c r="R318"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MK-CF-F-132 map → MK-NW-O-001 theBonds → MK-NW-F-077 ALL → MK-NW-F-078 ONE → MK-NW-O-003 theNetWorth → MK-NW-F-100 TREND
9. … and 4 more paths</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MK-NW-F-101</t>
        </is>
      </c>
      <c r="B319" s="3" t="inlineStr">
        <is>
          <t>PLAN</t>
        </is>
      </c>
      <c r="C319" s="3" t="inlineStr">
        <is>
          <t>MoneyKeel/functions/networth-and-performance/net-worth.ts</t>
        </is>
      </c>
      <c r="D319" s="3" t="n">
        <v>541</v>
      </c>
      <c r="E319" s="3" t="inlineStr">
        <is>
          <t>2 · DISPLAYED</t>
        </is>
      </c>
      <c r="F319" s="3" t="inlineStr">
        <is>
          <t>NOT DETERMINED — the code carries no note saying what this is for, and it has no row in the old inventory. Needs reading.</t>
        </is>
      </c>
      <c r="G319" s="11" t="inlineStr">
        <is>
          <t>NOT READ YET — the body is not a shape this can render faithfully, so nothing is claimed rather than something being guessed. It needs reading by hand.</t>
        </is>
      </c>
      <c r="H319" s="3" t="inlineStr">
        <is>
          <t>NOT READ YET — the body is not a shape this can render faithfully, so nothing is claimed rather than something being guessed. It needs reading by hand.</t>
        </is>
      </c>
      <c r="I319" s="3" t="inlineStr">
        <is>
          <t>NOT READ — nothing is claimed rather than something guessed</t>
        </is>
      </c>
      <c r="J319" s="3" t="inlineStr">
        <is>
          <t>Nothing is handed to it</t>
        </is>
      </c>
      <c r="K319" s="3" t="inlineStr">
        <is>
          <t>NOT DECLARED — the code does not say what it gives back</t>
        </is>
      </c>
      <c r="L319" s="3" t="inlineStr">
        <is>
          <t>NOT FOUND — a screen calls it, but the words printed beside its answer could not be traced automatically. Needs reading.</t>
        </is>
      </c>
      <c r="M319" s="3" t="inlineStr">
        <is>
          <t>None found in this function — anything it assumes comes from the functions it depends on.</t>
        </is>
      </c>
      <c r="N319" s="3" t="inlineStr">
        <is>
          <t>Yes</t>
        </is>
      </c>
      <c r="O319" s="3" t="inlineStr">
        <is>
          <t>1. MK-NW-F-097 LEDGER
2. MK-NW-F-098 LEDGER_BAND
3. MK-NW-F-082 NW
4. MK-NW-F-100 TREND
5. MK-CF-F-155 cash
6. MK-XS-F-180 declareFigures
7. MK-ST-F-049 formatMoney
8. MK-XS-F-010 investableChangePct
9. MK-CF-F-204 line
10. MK-PL-F-055 projectNestEgg
11. MK-NW-O-003 theNetWorth</t>
        </is>
      </c>
      <c r="P319" s="3" t="n">
        <v>213</v>
      </c>
      <c r="Q319" s="3" t="inlineStr">
        <is>
          <t>1. MK-NW-F-097 LEDGER
2. MK-NW-F-098 LEDGER_BAND
3. MK-NW-F-082 NW
4. MK-NW-F-100 TREND
5. MK-CF-F-155 cash
6. MK-XS-F-180 declareFigures
7. MK-ST-F-049 formatMoney
8. MK-XS-F-010 investableChangePct
9. MK-CF-F-204 line
10. MK-PL-F-055 projectNestEgg
11. MK-NW-O-003 theNetWorth
12. MK-NW-F-096 CLASS_KEY_OF
13. MK-NW-F-095 CLASS_LABEL_OF
14. MK-NW-F-094 ledgerGroups
15. MK-CF-F-200 LINE
16. MK-NW-F-099 SNAP
17. MK-XS-F-122 n
18. MK-ST-F-048 currencySymbol
19. MK-ST-F-039 on
20. MK-CF-F-203 MONTH
21. MK-CF-F-132 map
22. MK-PL-F-050 simulate
23. MK-NW-F-078 ONE
24. MK-NW-F-029 assetAllocation
25. MK-NW-F-039 buildAssetsState
26. MK-CF-F-036 buildDebtState
27. MK-NW-F-065 buildNetWorth
28. MK-NW-F-016 cashTotal
29. MK-NW-F-022 investableAssets
30. MK-NW-F-021 investmentsTotal
31. MK-CF-F-023 requiredPayment
32. MK-XS-F-005 trendPoints
33. MK-XS-F-175 uid
34. MK-CF-O-006 theCreditLine
35. MK-ST-F-047 activeCurrency
36. MK-CF-O-010 theMonth
37. MK-CF-O-002 expenses
38. MK-PL-F-074 median
39. MK-PL-F-072 mulberry32
40. MK-PL-F-073 normal
41. MK-PL-F-075 pctOfSorted
42. MK-ST-F-025 rmdStartAgeFromAge
43. MK-NW-F-077 ALL
44. MK-NW-F-059 currentYield
45. MK-ST-F-053 money
46. MK-NW-O-001 theBonds
47. MK-NW-F-027 accountClassBreakdown
48. MK-NW-F-011 assetClassOf
49. MK-CF-F-026 actualDebtPayment
50. MK-CF-F-025 minimumDebtService
51. MK-NW-F-014 isRealAsset
52. MK-NW-F-066 sumWhere
53. MK-NW-F-015 totalAssets
54. MK-CF-F-022 paymentShape
55. MK-XS-F-009 readHistory
56. MK-ST-F-027 accountId
57. MK-CF-F-111 applyTransaction
58. MK-NW-F-040 assetsFromOnboarding
59. MK-PF-F-013 benchmarkTicker
60. MK-ST-F-028 buildDayFromAccounts
61. MK-PF-F-034 closeOnOrBefore
62. MK-CF-F-186 convertTakeHomeMode
63. MK-CF-F-038 debtsFromOnboarding
64. MK-XS-F-083 fetchPriceSeries
65. MK-PL-F-013 goalsFromOnboarding
66. MK-ST-F-056 has
67. MK-CF-F-116 inverseOf
68. MK-ST-F-065 isoLocalDate
69. MK-CF-F-112 makeTransaction
70. MK-ST-F-043 newEntityId
71. MK-XS-F-006 pruneDaily
72. MK-ST-F-073 rebuildDays
73. MK-NW-F-054 reclassifyAccounts
74. MK-XS-F-174 recomputeBalances
75. MK-CF-F-115 restoreUndo
76. MK-CF-F-109 reviewTransactions
77. MK-ST-F-044 setMoneyFormat
78. MK-CF-F-114 undoSnapshot
79. MK-CF-F-191 ym
80. MK-CF-F-031 creditUtilization
81. MK-CF-O-003 thisMonth
82. MK-CF-F-151 actualSpending
83. MK-CF-F-150 debtPaymentsCountedAsExpenses
84. MK-CF-F-153 radar
85. MK-CF-F-149 recurringDebtPayments
86. MK-ST-F-024 rmdStartAge
87. MK-NW-F-057 annualCoupon
88. MK-NW-F-056 bondInfo
89. MK-NW-F-064 bondRateSensitivity
90. MK-NW-F-061 bondSummary
91. MK-NW-F-055 isBond
92. MK-NW-F-072 rowOf
93. MK-NW-F-008 incomeBearingClassOf
94. MK-CF-F-024 totalDebtMonthly
95. MK-CF-F-021 defaultPaymentType
96. MK-XS-F-008 normalizeSnapshot
97. MK-CF-F-138 addLot
98. MK-CF-F-136 bumpCash
99. MK-CF-F-137 findPos
100. MK-CF-F-139 removeShares
101. MK-PF-F-001 totalShares
102. MK-ST-F-052 toNum
103. MK-CF-F-085 filingStatusOf
104. MK-CF-F-097 grossFromNet
105. MK-CF-F-185 needsTakeHomeConversion
106. MK-CF-F-089 over65CountOf
107. MK-CF-F-037 inferDebtType
108. MK-ST-F-069 amountOf
109. MK-CF-F-133 cashOf
110. MK-ST-F-066 isDayKey
111. MK-ST-F-070 isOpening
112. MK-ST-F-071 rebuildableFrom
113. MK-ST-F-068 stepDay
114. MK-ST-F-072 undo
115. MK-NW-F-053 correctClassOf
116. MK-PF-F-002 costBasis
117. MK-PF-F-009 latestClose
118. MK-PF-F-004 marketValue
119. MK-ST-F-030 record
120. MK-XS-F-024 resolveLens
121. MK-ST-F-055 round2
122. MK-CF-F-162 daysApart
123. MK-CF-F-108 isMoneyOut
124. MK-CF-F-131 normPayee
125. MK-CF-F-113 affectedAccountIds
126. MK-CF-F-005 actualMonthFlow
127. MK-CF-F-156 plannedMonthFlow
128. MK-CF-F-148 inMonth
129. MK-CF-F-152 isRadarItem
130. MK-NW-F-060 approxYTM
131. MK-NW-F-069 priceAtYield
132. MK-NW-F-070 accruedInterestCaveat
133. MK-NW-F-071 isCertificateOfDeposit
134. MK-NW-F-058 yearsToMaturity
135. MK-ST-F-010 nameEvidence
136. MK-CF-F-201 INCOME
137. MK-XS-F-121 isYm
138. MK-CF-F-134 usesSleeve
139. MK-CF-F-101 taxOwedFor
140. MK-ST-F-067 utcOfDay
141. MK-ST-F-035 covers
142. MK-NW-F-009 maturityClass
143. MK-PF-F-031 contractMultiplier
144. MK-CF-F-072 currentRetirementIncomeMonthly
145. MK-CF-F-157 debtPaymentsByDebt
146. MK-CF-F-192 inflowLabel
147. MK-XS-F-027 takeHomeMonthly
148. MK-XS-F-147 call
149. MK-CF-O-004 incomeSummary
150. MK-CF-F-100 taxableIncomeFor
151. MK-ST-F-034 firstDate
152. MK-CF-F-075 retirementIncomeMonthly
153. MK-CF-F-193 inflowSourceWord
154. MK-CF-F-092 incomeMonthlyGrid
155. MK-CF-F-011 savingsByMonth
156. MK-XS-F-064 currentIdToken
157. MK-XS-F-112 relayUrl
158. MK-CF-O-001 basePay
159. MK-CF-F-173 earnerWages
160. MK-CF-F-179 entryFromWage
161. MK-CF-F-071 extraIncome
162. MK-CF-F-103 marginalBracketFor
163. MK-CF-F-181 rateInForce
164. MK-CF-F-068 rentalNetAnnual
165. MK-CF-F-082 salaryAnnual
166. MK-CF-F-084 taxableAnnual
167. MK-CF-F-099 deductionFor
168. MK-CF-F-069 benefitActiveMonths
169. MK-CF-F-065 equityVestWeights
170. MK-CF-F-206 householdK401ByMonth
171. MK-CF-F-087 monthlyTaxRates
172. MK-CF-F-073 otherIncomeMonth
173. MK-CF-F-066 rsuAnnual
174. MK-CF-F-060 salaryGrossByMonth
175. MK-CF-F-077 scholarshipByCalendarMonth
176. MK-CF-F-088 taxableByCalendarMonth
177. MK-PL-F-012 waterfall
178. MK-CF-F-008 spendByMonth
179. MK-CF-F-171 earnerPay
180. MK-HM-F-006 money0
181. MK-CF-F-198 payrollTaxWithheld
182. MK-CF-F-172 hasWage
183. MK-CF-F-165 salaryMonths
184. MK-CF-F-070 benefitAnnual
185. MK-CF-F-102 effectiveRateOnGrossFor
186. MK-CF-F-180 enteredLandsAnnual
187. MK-CF-F-086 stateRateOf
188. MK-CF-F-067 rentalList
189. MK-CF-F-074 tipsAnnual
190. MK-CF-F-187 seniorDeductionFor
191. MK-CF-F-062 equityRowValue
192. MK-CF-F-176 sumMonthsOverEarners
193. MK-CF-F-177 wageGrossByMonth
194. MK-CF-F-090 effectiveRate
195. MK-CF-F-098 progressiveMonthlyTax
196. MK-CF-F-063 rowVestYear
197. MK-CF-F-120 pctBaseMonthly
198. MK-CF-F-004 spendBuckets
199. MK-CF-F-143 annualisedGross
200. MK-CF-F-145 deductionsFromPay
201. MK-CF-F-128 grossByMonth
202. MK-CF-F-146 payFiguresAgree
203. MK-CF-F-144 takeHomeAsEntered
204. MK-HM-F-005 pctTxt
205. MK-CF-F-081 salaryActiveMonths
206. MK-CF-F-130 enteredMonthlyRaw
207. MK-CF-F-166 hasMonthlySalaryTable
208. MK-ST-F-036 reconcile
209. MK-CF-F-167 salaryCalendarYear
210. MK-CF-F-003 categoryMonthly
211. MK-CF-F-142 monthsOf
212. MK-CF-F-141 perMonth
213. MK-CF-F-140 periodsAYear</t>
        </is>
      </c>
      <c r="R319"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MK-NW-F-102</t>
        </is>
      </c>
      <c r="B320" s="3" t="inlineStr">
        <is>
          <t>rateWhereItRefuses</t>
        </is>
      </c>
      <c r="C320" s="3" t="inlineStr">
        <is>
          <t>MoneyKeel/functions/networth-and-performance/performance.ts</t>
        </is>
      </c>
      <c r="D320" s="3" t="n">
        <v>212</v>
      </c>
      <c r="E320" s="3" t="inlineStr">
        <is>
          <t>3 · DEPENDENT</t>
        </is>
      </c>
      <c r="F320" s="3" t="inlineStr">
        <is>
          <t>THE EXACT RATE PER YEAR, FOR ONE WINDOW — what stands in where the window return refuses.</t>
        </is>
      </c>
      <c r="G320" s="11" t="inlineStr">
        <is>
          <t>nothing   when not (input.beginning &gt; 0)
one = 'the − window'
the answer:
rate per year   if 'ratePerYear' in r
nothing   otherwise</t>
        </is>
      </c>
      <c r="H320" s="3" t="inlineStr">
        <is>
          <t>When not (input.beginning &gt; 0), it answers no answer. One is 'the minus window'. The answer is rate per year — when 'ratePerYear' in r; no answer — otherwise.</t>
        </is>
      </c>
      <c r="I320" s="3" t="inlineStr">
        <is>
          <t>READ FROM THE CODE — rendered from the expressions the function runs</t>
        </is>
      </c>
      <c r="J320" s="3" t="inlineStr">
        <is>
          <t>Nothing is handed to it</t>
        </is>
      </c>
      <c r="K320" s="3" t="inlineStr">
        <is>
          <t>NOT DECLARED — the code does not say what it gives back</t>
        </is>
      </c>
      <c r="L320" s="3" t="inlineStr">
        <is>
          <t>—</t>
        </is>
      </c>
      <c r="M320" s="3" t="inlineStr">
        <is>
          <t>· Never lets ending fall below 0.</t>
        </is>
      </c>
      <c r="N320" s="3" t="inlineStr">
        <is>
          <t>Yes</t>
        </is>
      </c>
      <c r="O320" s="3" t="inlineStr">
        <is>
          <t>1. MK-NW-F-078 ONE
2. MK-CF-F-132 map
3. MK-PF-F-026 moneyWeightedReturn</t>
        </is>
      </c>
      <c r="P320" s="3" t="n">
        <v>36</v>
      </c>
      <c r="Q320" s="3" t="inlineStr">
        <is>
          <t>1. MK-NW-F-078 ONE
2. MK-CF-F-132 map
3. MK-PF-F-026 moneyWeightedReturn
4. MK-NW-F-077 ALL
5. MK-NW-F-059 currentYield
6. MK-XS-F-180 declareFigures
7. MK-ST-F-049 formatMoney
8. MK-ST-F-053 money
9. MK-NW-O-001 theBonds
10. MK-PF-F-025 historyIsComplete
11. MK-PF-F-030 npv
12. MK-PF-F-024 userFlows
13. MK-NW-F-057 annualCoupon
14. MK-ST-F-048 currencySymbol
15. MK-XS-F-122 n
16. MK-ST-F-039 on
17. MK-ST-F-027 accountId
18. MK-NW-F-056 bondInfo
19. MK-NW-F-064 bondRateSensitivity
20. MK-NW-F-061 bondSummary
21. MK-NW-F-055 isBond
22. MK-NW-F-072 rowOf
23. MK-ST-F-056 has
24. MK-ST-F-047 activeCurrency
25. MK-CF-F-155 cash
26. MK-NW-F-060 approxYTM
27. MK-NW-F-069 priceAtYield
28. MK-NW-F-011 assetClassOf
29. MK-NW-F-070 accruedInterestCaveat
30. MK-NW-F-071 isCertificateOfDeposit
31. MK-NW-F-058 yearsToMaturity
32. MK-NW-F-008 incomeBearingClassOf
33. MK-ST-F-010 nameEvidence
34. MK-XS-F-147 call
35. MK-XS-F-064 currentIdToken
36. MK-XS-F-112 relayUrl</t>
        </is>
      </c>
      <c r="R320" s="3" t="inlineStr">
        <is>
          <t>1. MK-ST-F-027 accountId → MK-NW-O-001 theBonds → MK-NW-F-077 ALL → MK-NW-F-078 ONE → MK-NW-F-102 rateWhereItRefuses
2. MK-NW-F-057 annualCoupon → MK-NW-O-001 theBonds → MK-NW-F-077 ALL → MK-NW-F-078 ONE → MK-NW-F-102 rateWhereItRefuses
3. MK-CF-F-155 cash → MK-NW-F-056 bondInfo → MK-NW-O-001 theBonds → MK-NW-F-077 ALL → MK-NW-F-078 ONE → MK-NW-F-102 rateWhereItRefuses
4. MK-NW-F-060 approxYTM → MK-NW-F-064 bondRateSensitivity → MK-NW-O-001 theBonds → MK-NW-F-077 ALL → MK-NW-F-078 ONE → MK-NW-F-102 rateWhereItRefuses
5. MK-NW-F-069 priceAtYield → MK-NW-F-064 bondRateSensitivity → MK-NW-O-001 theBonds → MK-NW-F-077 ALL → MK-NW-F-078 ONE → MK-NW-F-102 rateWhereItRefuses
6. MK-NW-F-057 annualCoupon → MK-NW-F-061 bondSummary → MK-NW-O-001 theBonds → MK-NW-F-077 ALL → MK-NW-F-078 ONE → MK-NW-F-102 rateWhereItRefuses
7. MK-CF-F-132 map → MK-NW-F-061 bondSummary → MK-NW-O-001 theBonds → MK-NW-F-077 ALL → MK-NW-F-078 ONE → MK-NW-F-102 rateWhereItRefuses
8. MK-NW-F-011 assetClassOf → MK-NW-F-055 isBond → MK-NW-O-001 theBonds → MK-NW-F-077 ALL → MK-NW-F-078 ONE → MK-NW-F-102 rateWhereItRefuses
9. … and 5 more paths</t>
        </is>
      </c>
      <c r="S320" s="3" t="inlineStr">
        <is>
          <t>—</t>
        </is>
      </c>
      <c r="T320" s="3" t="inlineStr">
        <is>
          <t>—</t>
        </is>
      </c>
      <c r="U320" s="3" t="inlineStr">
        <is>
          <t>ACTIVE</t>
        </is>
      </c>
      <c r="V320" s="3" t="inlineStr">
        <is>
          <t>2026-10-01</t>
        </is>
      </c>
      <c r="W320" s="3" t="n"/>
      <c r="X320" s="3" t="n"/>
      <c r="Y320" s="3" t="inlineStr">
        <is>
          <t>NOTHING OPEN</t>
        </is>
      </c>
    </row>
    <row r="321" ht="60" customHeight="1">
      <c r="A321" s="3" t="inlineStr">
        <is>
          <t>MK-NW-O-001</t>
        </is>
      </c>
      <c r="B321" s="3" t="inlineStr">
        <is>
          <t>theBonds</t>
        </is>
      </c>
      <c r="C321" s="3" t="inlineStr">
        <is>
          <t>MoneyKeel/functions/networth-and-performance/bonds.ts</t>
        </is>
      </c>
      <c r="D321" s="3" t="n">
        <v>244</v>
      </c>
      <c r="E321" s="3" t="inlineStr">
        <is>
          <t>2 · DISPLAYED</t>
        </is>
      </c>
      <c r="F321" s="3" t="inlineStr">
        <is>
          <t>── ORCHESTRATOR ───────────────────────────────────────────────────────────────────── The one function a screen calls for this question.</t>
        </is>
      </c>
      <c r="G321" s="11" t="inlineStr">
        <is>
          <t>now = input.today (or new date() when missing)
held = input.accounts (or none when missing) where is bond
sum = bond summary(held.map(bond info), now)
one = nothing
b = bond info(opened)
row = row of(opened, now)
years = row.years left (or 0 when missing)</t>
        </is>
      </c>
      <c r="H321" s="3" t="inlineStr">
        <is>
          <t>Now is input.today (or new date() — when missing). Held is input.accounts (or none — when missing) where is bond. Sum is bond summary(held.map(bond info), now). One is no answer. B is bond info(opened). Row is row of(opened, now). Years is row.years left (or 0 — when missing).</t>
        </is>
      </c>
      <c r="I321" s="3" t="inlineStr">
        <is>
          <t>PARTLY READ — some of the code is still showing through; needs a hand pass</t>
        </is>
      </c>
      <c r="J321" s="3" t="inlineStr">
        <is>
          <t>input: BondsInput</t>
        </is>
      </c>
      <c r="K321" s="3" t="inlineStr">
        <is>
          <t>Bonds</t>
        </is>
      </c>
      <c r="L321" s="3" t="inlineStr">
        <is>
          <t>NOT FOUND — a screen calls it, but the words printed beside its answer could not be traced automatically. Needs reading.</t>
        </is>
      </c>
      <c r="M321" s="3" t="inlineStr">
        <is>
          <t>1. If years left is missing it uses 0.
2. Uses today's date from the device clock, so the answer changes by itself overnight.</t>
        </is>
      </c>
      <c r="N321" s="3" t="inlineStr">
        <is>
          <t>Yes</t>
        </is>
      </c>
      <c r="O321" s="3" t="inlineStr">
        <is>
          <t>1. MK-ST-F-027 accountId
2. MK-NW-F-057 annualCoupon
3. MK-NW-F-056 bondInfo
4. MK-NW-F-064 bondRateSensitivity
5. MK-NW-F-061 bondSummary
6. MK-NW-F-055 isBond
7. MK-CF-F-132 map
8. MK-NW-F-072 rowOf</t>
        </is>
      </c>
      <c r="P321" s="3" t="n">
        <v>23</v>
      </c>
      <c r="Q321" s="3" t="inlineStr">
        <is>
          <t>1. MK-ST-F-027 accountId
2. MK-NW-F-057 annualCoupon
3. MK-NW-F-056 bondInfo
4. MK-NW-F-064 bondRateSensitivity
5. MK-NW-F-061 bondSummary
6. MK-NW-F-055 isBond
7. MK-CF-F-132 map
8. MK-NW-F-072 rowOf
9. MK-CF-F-155 cash
10. MK-NW-F-060 approxYTM
11. MK-NW-F-069 priceAtYield
12. MK-NW-F-011 assetClassOf
13. MK-NW-F-070 accruedInterestCaveat
14. MK-NW-F-059 currentYield
15. MK-NW-F-071 isCertificateOfDeposit
16. MK-NW-F-058 yearsToMaturity
17. MK-XS-F-122 n
18. MK-NW-F-008 incomeBearingClassOf
19. MK-ST-F-010 nameEvidence
20. MK-XS-F-147 call
21. MK-ST-F-056 has
22. MK-XS-F-064 currentIdToken
23. MK-XS-F-112 relayUrl</t>
        </is>
      </c>
      <c r="R321"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21" s="3" t="inlineStr">
        <is>
          <t>MK-NW-M-023 · MK-NW-M-024 · MK-NW-M-025 · MK-NW-M-026 · MK-NW-M-027 · MK-NW-M-041 · MK-NW-M-042 · MK-NW-M-043 · MK-NW-M-044 · MK-NW-M-045 · MK-NW-M-053 · MK-NW-M-054 · MK-NW-M-055 · MK-NW-M-056 · MK-NW-M-057 · MK-NW-M-058</t>
        </is>
      </c>
      <c r="T321" s="3" t="inlineStr">
        <is>
          <t>—</t>
        </is>
      </c>
      <c r="U321" s="3" t="inlineStr">
        <is>
          <t>ACTIVE</t>
        </is>
      </c>
      <c r="V321" s="3" t="inlineStr">
        <is>
          <t>2026-09-27</t>
        </is>
      </c>
      <c r="W321" s="3" t="n"/>
      <c r="X321" s="3" t="n"/>
      <c r="Y321" s="3" t="inlineStr">
        <is>
          <t>NOTHING OPEN</t>
        </is>
      </c>
    </row>
    <row r="322" ht="60" customHeight="1">
      <c r="A322" s="3" t="inlineStr">
        <is>
          <t>MK-NW-O-002</t>
        </is>
      </c>
      <c r="B322" s="3" t="inlineStr">
        <is>
          <t>theAccount</t>
        </is>
      </c>
      <c r="C322" s="3" t="inlineStr">
        <is>
          <t>MoneyKeel/functions/networth-and-performance/account.ts</t>
        </is>
      </c>
      <c r="D322" s="3" t="n">
        <v>132</v>
      </c>
      <c r="E322" s="3" t="inlineStr">
        <is>
          <t>2 · DISPLAYED</t>
        </is>
      </c>
      <c r="F322" s="3" t="inlineStr">
        <is>
          <t>── ORCHESTRATOR ───────────────────────────────────────────────────────────────────── The one function a screen calls for this question.</t>
        </is>
      </c>
      <c r="G322" s="11" t="inlineStr">
        <is>
          <t>ledger = input.transactions (or none when missing) where string(account 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22" s="3" t="inlineStr">
        <is>
          <t>Ledger is input.transactions (or none — when missing) where string(account id) =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22" s="3" t="inlineStr">
        <is>
          <t>PARTLY READ — some of the code is still showing through; needs a hand pass</t>
        </is>
      </c>
      <c r="J322" s="3" t="inlineStr">
        <is>
          <t>Nothing is handed to it</t>
        </is>
      </c>
      <c r="K322" s="3" t="inlineStr">
        <is>
          <t>NOT DECLARED — the code does not say what it gives back</t>
        </is>
      </c>
      <c r="L322" s="3" t="inlineStr">
        <is>
          <t>NOT FOUND — a screen calls it, but the words printed beside its answer could not be traced automatically. Needs reading.</t>
        </is>
      </c>
      <c r="M322" s="3" t="inlineStr">
        <is>
          <t>1. If balance is missing it counts as zero, so nothing recorded and a real zero look the same.
2. If amount is missing it counts as zero, so nothing recorded and a real zero look the same.
3. Rounds the answer to a whole number.</t>
        </is>
      </c>
      <c r="N322" s="3" t="inlineStr">
        <is>
          <t>Yes</t>
        </is>
      </c>
      <c r="O322" s="3" t="inlineStr">
        <is>
          <t>1. MK-NW-F-027 accountClassBreakdown
2. MK-CF-F-118 cashEffect
3. MK-CF-F-132 map
4. MK-ST-F-013 personalFlowTotals
5. MK-ST-F-021 toNumber</t>
        </is>
      </c>
      <c r="P322" s="3" t="n">
        <v>15</v>
      </c>
      <c r="Q322" s="3" t="inlineStr">
        <is>
          <t>1. MK-NW-F-027 accountClassBreakdown
2. MK-CF-F-118 cashEffect
3. MK-CF-F-132 map
4. MK-ST-F-013 personalFlowTotals
5. MK-ST-F-021 toNumber
6. MK-NW-F-011 assetClassOf
7. MK-CF-F-155 cash
8. MK-NW-F-008 incomeBearingClassOf
9. MK-XS-F-122 n
10. MK-ST-F-010 nameEvidence
11. MK-XS-F-147 call
12. MK-ST-F-056 has
13. MK-ST-F-027 accountId
14. MK-XS-F-064 currentIdToken
15. MK-XS-F-112 relayUrl</t>
        </is>
      </c>
      <c r="R322"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MK-NW-F-008 incomeBearingClassOf → MK-NW-F-027 accountClassBreakdown → MK-NW-O-002 theAccount
7. MK-ST-F-027 accountId → MK-XS-F-147 call → MK-ST-F-010 nameEvidence → MK-NW-F-008 incomeBearingClassOf → MK-NW-F-027 accountClassBreakdown → MK-NW-O-002 theAccount
8. MK-XS-F-064 currentIdToken → MK-XS-F-147 call → MK-ST-F-010 nameEvidence → MK-NW-F-008 incomeBearingClassOf → MK-NW-F-027 accountClassBreakdown → MK-NW-O-002 theAccount
9. … and 5 more paths</t>
        </is>
      </c>
      <c r="S322" s="3" t="inlineStr">
        <is>
          <t>MK-NW-M-019 · MK-NW-M-020 · MK-NW-M-021 · MK-NW-M-038 · MK-NW-M-039 · MK-NW-M-040 · MK-NW-M-062</t>
        </is>
      </c>
      <c r="T322" s="3" t="inlineStr">
        <is>
          <t>—</t>
        </is>
      </c>
      <c r="U322" s="3" t="inlineStr">
        <is>
          <t>ACTIVE</t>
        </is>
      </c>
      <c r="V322" s="3" t="inlineStr">
        <is>
          <t>2026-09-27</t>
        </is>
      </c>
      <c r="W322" s="3" t="n"/>
      <c r="X322" s="3" t="n"/>
      <c r="Y322" s="3" t="inlineStr">
        <is>
          <t>NOTHING OPEN</t>
        </is>
      </c>
    </row>
    <row r="323" ht="60" customHeight="1">
      <c r="A323" s="3" t="inlineStr">
        <is>
          <t>MK-NW-O-003</t>
        </is>
      </c>
      <c r="B323" s="3" t="inlineStr">
        <is>
          <t>theNetWorth</t>
        </is>
      </c>
      <c r="C323" s="3" t="inlineStr">
        <is>
          <t>MoneyKeel/functions/networth-and-performance/net-worth.ts</t>
        </is>
      </c>
      <c r="D323" s="3" t="n">
        <v>147</v>
      </c>
      <c r="E323" s="3" t="inlineStr">
        <is>
          <t>2 · DISPLAYED</t>
        </is>
      </c>
      <c r="F323" s="3" t="inlineStr">
        <is>
          <t>── ORCHESTRATOR ───────────────────────────────────────────────────────────────────── The one function a screen calls for this question.</t>
        </is>
      </c>
      <c r="G323"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as percent = investable change pct(input.investable daily, investable, input.since)
the answer:
nothing   if as percent = nothing
as percent ÷ 100   otherwise</t>
        </is>
      </c>
      <c r="H323"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As percent is investable change pct(input.investable daily, investable, input.since). The answer is no answer — when as percent is missing; as percent divided by 100 — otherwise.</t>
        </is>
      </c>
      <c r="I323" s="3" t="inlineStr">
        <is>
          <t>PARTLY READ — some of the code is still showing through; needs a hand pass</t>
        </is>
      </c>
      <c r="J323" s="3" t="inlineStr">
        <is>
          <t>Nothing is handed to it</t>
        </is>
      </c>
      <c r="K323" s="3" t="inlineStr">
        <is>
          <t>NOT DECLARED — the code does not say what it gives back</t>
        </is>
      </c>
      <c r="L323" s="3" t="inlineStr">
        <is>
          <t>1. "Monthly debt payments" — on the Net worth screen, under "💳  DEBTS"
2. "Net worth so far" — on the Net worth screen, under "EMERGENCY FUND"
3. "Net worth" — on the Home screen
4. "YOUR INVESTMENTS" — on the Home screen, under "WHAT YOU"</t>
        </is>
      </c>
      <c r="M323" s="3" t="inlineStr">
        <is>
          <t>1. If alternatives is missing it uses 0.
2. If remaining balance is missing it counts as zero, so nothing recorded and a real zero look the same.</t>
        </is>
      </c>
      <c r="N323" s="3" t="inlineStr">
        <is>
          <t>Yes</t>
        </is>
      </c>
      <c r="O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t>
        </is>
      </c>
      <c r="P323" s="3" t="n">
        <v>194</v>
      </c>
      <c r="Q323" s="3" t="inlineStr">
        <is>
          <t>1. MK-NW-F-078 ONE
2. MK-NW-F-029 assetAllocation
3. MK-NW-F-039 buildAssetsState
4. MK-CF-F-036 buildDebtState
5. MK-NW-F-065 buildNetWorth
6. MK-NW-F-016 cashTotal
7. MK-NW-F-022 investableAssets
8. MK-XS-F-010 investableChangePct
9. MK-NW-F-021 investmentsTotal
10. MK-CF-F-132 map
11. MK-ST-F-039 on
12. MK-CF-F-023 requiredPayment
13. MK-XS-F-005 trendPoints
14. MK-XS-F-175 uid
15. MK-NW-F-077 ALL
16. MK-NW-F-059 currentYield
17. MK-XS-F-180 declareFigures
18. MK-ST-F-049 formatMoney
19. MK-ST-F-053 money
20. MK-NW-O-001 theBonds
21. MK-NW-F-027 accountClassBreakdown
22. MK-NW-F-011 assetClassOf
23. MK-CF-F-026 actualDebtPayment
24. MK-CF-F-025 minimumDebtService
25. MK-NW-F-014 isRealAsset
26. MK-NW-F-066 sumWhere
27. MK-NW-F-015 totalAssets
28. MK-CF-F-022 paymentShape
29. MK-XS-F-009 readHistory
30. MK-ST-F-027 accountId
31. MK-CF-F-111 applyTransaction
32. MK-NW-F-040 assetsFromOnboarding
33. MK-PF-F-013 benchmarkTicker
34. MK-ST-F-028 buildDayFromAccounts
35. MK-PF-F-034 closeOnOrBefore
36. MK-CF-F-186 convertTakeHomeMode
37. MK-CF-F-038 debtsFromOnboarding
38. MK-XS-F-083 fetchPriceSeries
39. MK-PL-F-013 goalsFromOnboarding
40. MK-ST-F-056 has
41. MK-CF-F-116 inverseOf
42. MK-ST-F-065 isoLocalDate
43. MK-CF-F-112 makeTransaction
44. MK-XS-F-122 n
45. MK-ST-F-043 newEntityId
46. MK-XS-F-006 pruneDaily
47. MK-ST-F-073 rebuildDays
48. MK-NW-F-054 reclassifyAccounts
49. MK-XS-F-174 recomputeBalances
50. MK-CF-F-115 restoreUndo
51. MK-CF-F-109 reviewTransactions
52. MK-ST-F-044 setMoneyFormat
53. MK-CF-F-114 undoSnapshot
54. MK-CF-F-191 ym
55. MK-NW-F-057 annualCoupon
56. MK-ST-F-048 currencySymbol
57. MK-NW-F-056 bondInfo
58. MK-NW-F-064 bondRateSensitivity
59. MK-NW-F-061 bondSummary
60. MK-NW-F-055 isBond
61. MK-NW-F-072 rowOf
62. MK-CF-F-155 cash
63. MK-NW-F-008 incomeBearingClassOf
64. MK-CF-F-024 totalDebtMonthly
65. MK-CF-F-021 defaultPaymentType
66. MK-XS-F-008 normalizeSnapshot
67. MK-CF-F-138 addLot
68. MK-CF-F-136 bumpCash
69. MK-CF-F-137 findPos
70. MK-CF-F-139 removeShares
71. MK-PF-F-001 totalShares
72. MK-ST-F-052 toNum
73. MK-CF-F-085 filingStatusOf
74. MK-CF-F-097 grossFromNet
75. MK-CF-F-185 needsTakeHomeConversion
76. MK-CF-F-089 over65CountOf
77. MK-CF-F-037 inferDebtType
78. MK-ST-F-069 amountOf
79. MK-CF-F-133 cashOf
80. MK-ST-F-066 isDayKey
81. MK-ST-F-070 isOpening
82. MK-ST-F-071 rebuildableFrom
83. MK-ST-F-068 stepDay
84. MK-ST-F-072 undo
85. MK-NW-F-053 correctClassOf
86. MK-PF-F-002 costBasis
87. MK-PF-F-009 latestClose
88. MK-PF-F-004 marketValue
89. MK-ST-F-030 record
90. MK-XS-F-024 resolveLens
91. MK-ST-F-055 round2
92. MK-CF-F-162 daysApart
93. MK-CF-F-108 isMoneyOut
94. MK-PL-F-074 median
95. MK-CF-F-131 normPayee
96. MK-CF-F-113 affectedAccountIds
97. MK-ST-F-047 activeCurrency
98. MK-NW-F-060 approxYTM
99. MK-NW-F-069 priceAtYield
100. MK-NW-F-070 accruedInterestCaveat
101. MK-NW-F-071 isCertificateOfDeposit
102. MK-NW-F-058 yearsToMaturity
103. MK-ST-F-010 nameEvidence
104. MK-CF-F-201 INCOME
105. MK-XS-F-121 isYm
106. MK-CF-F-134 usesSleeve
107. MK-CF-F-101 taxOwedFor
108. MK-ST-F-067 utcOfDay
109. MK-ST-F-035 covers
110. MK-NW-F-009 maturityClass
111. MK-PF-F-031 contractMultiplier
112. MK-CF-F-072 currentRetirementIncomeMonthly
113. MK-XS-F-147 call
114. MK-CF-O-004 incomeSummary
115. MK-CF-F-100 taxableIncomeFor
116. MK-ST-F-034 firstDate
117. MK-CF-F-075 retirementIncomeMonthly
118. MK-XS-F-064 currentIdToken
119. MK-XS-F-112 relayUrl
120. MK-CF-O-001 basePay
121. MK-CF-F-173 earnerWages
122. MK-CF-F-179 entryFromWage
123. MK-CF-F-071 extraIncome
124. MK-CF-F-092 incomeMonthlyGrid
125. MK-CF-F-103 marginalBracketFor
126. MK-CF-F-181 rateInForce
127. MK-CF-F-068 rentalNetAnnual
128. MK-CF-F-082 salaryAnnual
129. MK-CF-F-084 taxableAnnual
130. MK-CF-F-099 deductionFor
131. MK-CF-F-171 earnerPay
132. MK-CF-F-204 line
133. MK-HM-F-006 money0
134. MK-CF-F-198 payrollTaxWithheld
135. MK-CF-F-172 hasWage
136. MK-CF-F-165 salaryMonths
137. MK-CF-F-070 benefitAnnual
138. MK-CF-F-069 benefitActiveMonths
139. MK-CF-F-065 equityVestWeights
140. MK-CF-F-206 householdK401ByMonth
141. MK-CF-F-087 monthlyTaxRates
142. MK-CF-F-073 otherIncomeMonth
143. MK-CF-F-066 rsuAnnual
144. MK-CF-F-060 salaryGrossByMonth
145. MK-CF-F-077 scholarshipByCalendarMonth
146. MK-CF-F-088 taxableByCalendarMonth
147. MK-PL-F-012 waterfall
148. MK-CF-F-102 effectiveRateOnGrossFor
149. MK-CF-F-180 enteredLandsAnnual
150. MK-CF-F-086 stateRateOf
151. MK-CF-O-002 expenses
152. MK-CF-F-067 rentalList
153. MK-CF-F-074 tipsAnnual
154. MK-CF-F-187 seniorDeductionFor
155. MK-CF-F-143 annualisedGross
156. MK-CF-F-145 deductionsFromPay
157. MK-CF-F-128 grossByMonth
158. MK-CF-F-146 payFiguresAgree
159. MK-CF-F-144 takeHomeAsEntered
160. MK-CF-F-203 MONTH
161. MK-HM-F-005 pctTxt
162. MK-CF-F-062 equityRowValue
163. MK-CF-F-176 sumMonthsOverEarners
164. MK-CF-F-177 wageGrossByMonth
165. MK-CF-F-090 effectiveRate
166. MK-CF-F-098 progressiveMonthlyTax
167. MK-CF-F-063 rowVestYear
168. MK-CF-F-151 actualSpending
169. MK-CF-F-150 debtPaymentsCountedAsExpenses
170. MK-CF-F-153 radar
171. MK-CF-F-149 recurringDebtPayments
172. MK-CF-F-081 salaryActiveMonths
173. MK-CF-F-142 monthsOf
174. MK-CF-F-141 perMonth
175. MK-CF-O-010 theMonth
176. MK-CF-F-130 enteredMonthlyRaw
177. MK-CF-F-166 hasMonthlySalaryTable
178. MK-ST-F-036 reconcile
179. MK-CF-F-167 salaryCalendarYear
180. MK-CF-F-148 inMonth
181. MK-CF-F-152 isRadarItem
182. MK-CF-F-140 periodsAYear
183. MK-CF-O-003 thisMonth
184. MK-CF-F-005 actualMonthFlow
185. MK-CF-F-156 plannedMonthFlow
186. MK-CF-F-157 debtPaymentsByDebt
187. MK-CF-F-192 inflowLabel
188. MK-XS-F-027 takeHomeMonthly
189. MK-CF-F-193 inflowSourceWord
190. MK-CF-F-011 savingsByMonth
191. MK-CF-F-008 spendByMonth
192. MK-CF-F-120 pctBaseMonthly
193. MK-CF-F-004 spendBuckets
194. MK-CF-F-003 categoryMonthly</t>
        </is>
      </c>
      <c r="R323"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MK-CF-F-132 map → MK-NW-F-061 bondSummary → MK-NW-O-001 theBonds → MK-NW-F-077 ALL → MK-NW-F-078 ONE → MK-NW-O-003 theNetWorth
8. MK-NW-F-011 assetClassOf → MK-NW-F-055 isBond → MK-NW-O-001 theBonds → MK-NW-F-077 ALL → MK-NW-F-078 ONE → MK-NW-O-003 theNetWorth
9. … and 5 more paths</t>
        </is>
      </c>
      <c r="S323" s="3" t="inlineStr">
        <is>
          <t>MK-MN-M-016 · MK-NW-M-001 · MK-NW-M-002 · MK-NW-M-003 · MK-NW-M-004 · MK-NW-M-005 · MK-NW-M-006 · MK-NW-M-007 · MK-NW-M-008 · MK-NW-M-009 · MK-NW-M-011 · MK-NW-M-015 · MK-NW-M-016 · MK-NW-M-017 · MK-NW-M-049 · MK-NW-M-063 · MK-XS-M-001 · MK-XS-M-003</t>
        </is>
      </c>
      <c r="T323" s="3" t="inlineStr">
        <is>
          <t>—</t>
        </is>
      </c>
      <c r="U323" s="3" t="inlineStr">
        <is>
          <t>ACTIVE</t>
        </is>
      </c>
      <c r="V323" s="3" t="inlineStr">
        <is>
          <t>2026-09-27</t>
        </is>
      </c>
      <c r="W323" s="3" t="n"/>
      <c r="X323" s="3" t="n"/>
      <c r="Y323" s="3" t="inlineStr">
        <is>
          <t>NOTHING OPEN</t>
        </is>
      </c>
    </row>
    <row r="324" ht="60" customHeight="1">
      <c r="A324" s="3" t="inlineStr">
        <is>
          <t>MK-NW-O-004</t>
        </is>
      </c>
      <c r="B324" s="3" t="inlineStr">
        <is>
          <t>theEmergencyFund</t>
        </is>
      </c>
      <c r="C324" s="3" t="inlineStr">
        <is>
          <t>MoneyKeel/functions/networth-and-performance/emergency-fund.ts</t>
        </is>
      </c>
      <c r="D324" s="3" t="n">
        <v>101</v>
      </c>
      <c r="E324" s="3" t="inlineStr">
        <is>
          <t>2 · DISPLAYED</t>
        </is>
      </c>
      <c r="F324" s="3" t="inlineStr">
        <is>
          <t>── ORCHESTRATOR ───────────────────────────────────────────────────────────────────── The one function a screen calls for this question.</t>
        </is>
      </c>
      <c r="G324" s="11" t="inlineStr">
        <is>
          <t>cash = input.cash override   if input.cash override ≠ nothing
cash total(input.accounts ?? [])   otherwise
debts = input.debts (or none when missing)
cats = input.profile.spend cats   if array.is array(input.profile.spend cats)
[]   otherwise
housing budgeted = cats.some((c: any) =&gt; id = 'rent' and number(amount) &gt; 0)
kind = string(debt type ?? type ?? '').to upper case()
t   when housing budgeted and kind = 'MORTGAGE'
the answer = t + required payment(d)
ess = essentials monthly(input.expenses ?? [], monthly essentials(input.profile))
monthly = (ess.monthly ?? 0) + debt minimums
planned = planned monthly spend(input.profile) + debt minimums
kind = string(debt type ?? type ?? '').to upper case()
… the first steps only — the rest of the body needs reading by hand.</t>
        </is>
      </c>
      <c r="H324" s="3" t="inlineStr">
        <is>
          <t>Cash is input.cash override — when input.cash override is not no answer; cash total(input.accounts ?? []) — otherwise. Debts is input.debts (or none — when missing). Cats is input.profile.spend cats — when array.is array(input.profile.spend cats); [] — otherwise. Housing budgeted is cats.some((c: any) =&gt; id = 'rent' and number(amount) &gt; 0). Kind is string(debt type ?? type ?? '').to upper case(). When housing budgeted and kind = 'MORTGAGE', it answers t. The answer is t plus required payment(d). Ess is essentials monthly(input.expenses ?? [], monthly essentials(input.profile)). Monthly is (ess.monthly ?? 0) plus debt minimums. Planned is planned monthly spend(input.profile) plus debt minimums. Kind is string(debt type ?? type ?? '').to upper case(). Only the first steps are shown; the rest of the body needs reading by hand.</t>
        </is>
      </c>
      <c r="I324" s="3" t="inlineStr">
        <is>
          <t>PARTLY READ — some of the code is still showing through; needs a hand pass</t>
        </is>
      </c>
      <c r="J324" s="3" t="inlineStr">
        <is>
          <t>Nothing is handed to it</t>
        </is>
      </c>
      <c r="K324" s="3" t="inlineStr">
        <is>
          <t>NOT DECLARED — the code does not say what it gives back</t>
        </is>
      </c>
      <c r="L324" s="3" t="inlineStr">
        <is>
          <t>NOT FOUND — a screen calls it, but the words printed beside its answer could not be traced automatically. Needs reading.</t>
        </is>
      </c>
      <c r="M324" s="3" t="inlineStr">
        <is>
          <t>· If monthly is missing it uses 0.</t>
        </is>
      </c>
      <c r="N324" s="3" t="inlineStr">
        <is>
          <t>Yes</t>
        </is>
      </c>
      <c r="O324" s="3" t="inlineStr">
        <is>
          <t>1. MK-CF-F-155 cash
2. MK-NW-F-016 cashTotal
3. MK-CF-F-010 emergencyTest
4. MK-CF-F-190 essentialsMonthly
5. MK-CF-F-009 monthlyEssentials
6. MK-CF-F-002 plannedMonthlySpend
7. MK-CF-F-023 requiredPayment</t>
        </is>
      </c>
      <c r="P324" s="3" t="n">
        <v>109</v>
      </c>
      <c r="Q324" s="3" t="inlineStr">
        <is>
          <t>1. MK-CF-F-155 cash
2. MK-NW-F-016 cashTotal
3. MK-CF-F-010 emergencyTest
4. MK-CF-F-190 essentialsMonthly
5. MK-CF-F-009 monthlyEssentials
6. MK-CF-F-002 plannedMonthlySpend
7. MK-CF-F-023 requiredPayment
8. MK-XS-F-122 n
9. MK-NW-F-027 accountClassBreakdown
10. MK-NW-F-011 assetClassOf
11. MK-CF-F-189 essentialsFromLoggedSpending
12. MK-CF-O-002 expenses
13. MK-CF-F-120 pctBaseMonthly
14. MK-CF-F-004 spendBuckets
15. MK-ST-F-052 toNum
16. MK-CF-F-092 incomeMonthlyGrid
17. MK-XS-F-027 takeHomeMonthly
18. MK-CF-F-022 paymentShape
19. MK-NW-F-008 incomeBearingClassOf
20. MK-ST-F-056 has
21. MK-CF-F-191 ym
22. MK-CF-F-151 actualSpending
23. MK-CF-F-150 debtPaymentsCountedAsExpenses
24. MK-CF-F-153 radar
25. MK-CF-F-149 recurringDebtPayments
26. MK-CF-F-003 categoryMonthly
27. MK-CF-F-069 benefitActiveMonths
28. MK-CF-F-072 currentRetirementIncomeMonthly
29. MK-CF-F-065 equityVestWeights
30. MK-CF-F-071 extraIncome
31. MK-CF-F-206 householdK401ByMonth
32. MK-CF-F-132 map
33. MK-CF-F-087 monthlyTaxRates
34. MK-CF-F-073 otherIncomeMonth
35. MK-CF-F-181 rateInForce
36. MK-CF-F-068 rentalNetAnnual
37. MK-CF-F-066 rsuAnnual
38. MK-CF-F-060 salaryGrossByMonth
39. MK-CF-F-077 scholarshipByCalendarMonth
40. MK-CF-F-088 taxableByCalendarMonth
41. MK-PL-F-012 waterfall
42. MK-CF-F-011 savingsByMonth
43. MK-CF-F-021 defaultPaymentType
44. MK-ST-F-010 nameEvidence
45. MK-CF-F-148 inMonth
46. MK-CF-F-152 isRadarItem
47. MK-CF-F-075 retirementIncomeMonthly
48. MK-CF-F-062 equityRowValue
49. MK-CF-F-070 benefitAnnual
50. MK-ST-F-039 on
51. MK-CF-F-176 sumMonthsOverEarners
52. MK-CF-F-177 wageGrossByMonth
53. MK-CF-F-203 MONTH
54. MK-CF-F-090 effectiveRate
55. MK-CF-F-085 filingStatusOf
56. MK-CF-F-089 over65CountOf
57. MK-CF-F-098 progressiveMonthlyTax
58. MK-CF-F-086 stateRateOf
59. MK-CF-F-173 earnerWages
60. MK-CF-F-102 effectiveRateOnGrossFor
61. MK-CF-F-180 enteredLandsAnnual
62. MK-CF-F-082 salaryAnnual
63. MK-CF-F-084 taxableAnnual
64. MK-CF-F-067 rentalList
65. MK-CF-F-063 rowVestYear
66. MK-CF-F-008 spendByMonth
67. MK-XS-F-147 call
68. MK-CF-F-130 enteredMonthlyRaw
69. MK-CF-F-166 hasMonthlySalaryTable
70. MK-ST-F-036 reconcile
71. MK-CF-F-167 salaryCalendarYear
72. MK-CF-O-010 theMonth
73. MK-CF-F-101 taxOwedFor
74. MK-CF-F-100 taxableIncomeFor
75. MK-CF-F-172 hasWage
76. MK-CF-F-074 tipsAnnual
77. MK-ST-F-027 accountId
78. MK-XS-F-064 currentIdToken
79. MK-XS-F-112 relayUrl
80. MK-CF-F-165 salaryMonths
81. MK-CF-O-003 thisMonth
82. MK-CF-F-099 deductionFor
83. MK-CF-F-081 salaryActiveMonths
84. MK-CF-F-005 actualMonthFlow
85. MK-CF-F-156 plannedMonthFlow
86. MK-CF-F-187 seniorDeductionFor
87. MK-NW-F-078 ONE
88. MK-CF-F-157 debtPaymentsByDebt
89. MK-CF-F-192 inflowLabel
90. MK-NW-F-077 ALL
91. MK-NW-F-059 currentYield
92. MK-XS-F-180 declareFigures
93. MK-ST-F-049 formatMoney
94. MK-ST-F-053 money
95. MK-NW-O-001 theBonds
96. MK-CF-F-193 inflowSourceWord
97. MK-NW-F-057 annualCoupon
98. MK-ST-F-048 currencySymbol
99. MK-NW-F-056 bondInfo
100. MK-NW-F-064 bondRateSensitivity
101. MK-NW-F-061 bondSummary
102. MK-NW-F-055 isBond
103. MK-NW-F-072 rowOf
104. MK-ST-F-047 activeCurrency
105. MK-NW-F-060 approxYTM
106. MK-NW-F-069 priceAtYield
107. MK-NW-F-070 accruedInterestCaveat
108. MK-NW-F-071 isCertificateOfDeposit
109. MK-NW-F-058 yearsToMaturity</t>
        </is>
      </c>
      <c r="R324"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MK-NW-F-008 incomeBearingClassOf → MK-NW-F-027 accountClassBreakdown → MK-NW-F-016 cashTotal → MK-NW-O-004 theEmergencyFund
6. MK-XS-F-147 call → MK-ST-F-010 nameEvidence → MK-NW-F-008 incomeBearingClassOf → MK-NW-F-027 accountClassBreakdown → MK-NW-F-016 cashTotal → MK-NW-O-004 theEmergencyFund
7. MK-ST-F-056 has → MK-ST-F-010 nameEvidence → MK-NW-F-008 incomeBearingClassOf → MK-NW-F-027 accountClassBreakdown → MK-NW-F-016 cashTotal → MK-NW-O-004 theEmergencyFund
8. MK-CF-F-132 map → MK-ST-F-010 nameEvidence → MK-NW-F-008 incomeBearingClassOf → MK-NW-F-027 accountClassBreakdown → MK-NW-F-016 cashTotal → MK-NW-O-004 theEmergencyFund
9. … and 5 more paths</t>
        </is>
      </c>
      <c r="S324" s="3" t="inlineStr">
        <is>
          <t>MK-NW-M-046 · MK-NW-M-047 · MK-NW-M-048</t>
        </is>
      </c>
      <c r="T324" s="3" t="inlineStr">
        <is>
          <t>—</t>
        </is>
      </c>
      <c r="U324" s="3" t="inlineStr">
        <is>
          <t>DECOMMISSIONED 2026-09-28 — it was here and is not any more. Kept so the number is never reused and earlier work can still be traced.</t>
        </is>
      </c>
      <c r="V324" s="3" t="inlineStr">
        <is>
          <t>2026-09-30</t>
        </is>
      </c>
      <c r="W324" s="3" t="n"/>
      <c r="X324" s="3" t="n"/>
      <c r="Y324" s="3" t="inlineStr">
        <is>
          <t>NOTHING OPEN</t>
        </is>
      </c>
    </row>
    <row r="325" ht="60" customHeight="1">
      <c r="A325" s="3" t="inlineStr">
        <is>
          <t>MK-NW-O-005</t>
        </is>
      </c>
      <c r="B325" s="3" t="inlineStr">
        <is>
          <t>theAlternativesOutlook</t>
        </is>
      </c>
      <c r="C325" s="3" t="inlineStr">
        <is>
          <t>MoneyKeel/functions/networth-and-performance/alternatives-outlook.ts</t>
        </is>
      </c>
      <c r="D325" s="3" t="n">
        <v>93</v>
      </c>
      <c r="E325" s="3" t="inlineStr">
        <is>
          <t>2 · DISPLAYED</t>
        </is>
      </c>
      <c r="F325" s="3" t="inlineStr">
        <is>
          <t>── ORCHESTRATOR ───────────────────────────────────────────────────────────────────── The one function a screen calls for this question.</t>
        </is>
      </c>
      <c r="G325" s="11" t="inlineStr">
        <is>
          <t>accounts = input.accounts (or none when missing)
s = alternatives summary(accounts)</t>
        </is>
      </c>
      <c r="H325" s="3" t="inlineStr">
        <is>
          <t>Accounts is input.accounts (or none — when missing). S is alternatives summary(accounts).</t>
        </is>
      </c>
      <c r="I325" s="3" t="inlineStr">
        <is>
          <t>PARTLY READ — some of the code is still showing through; needs a hand pass</t>
        </is>
      </c>
      <c r="J325" s="3" t="inlineStr">
        <is>
          <t>input: { accounts: AssetAccount[] }</t>
        </is>
      </c>
      <c r="K325" s="3" t="inlineStr">
        <is>
          <t>AlternativesOutlook</t>
        </is>
      </c>
      <c r="L325" s="3" t="inlineStr">
        <is>
          <t>1. "EST. GROWTH /year" — on the Other investments screen, under "ALTERNATIVES"
2. "EXP. RETURN" — on the Other investments screen, under "ALTERNATIVES"</t>
        </is>
      </c>
      <c r="M325" s="3" t="inlineStr">
        <is>
          <t>· If balance is missing it counts as zero, so nothing recorded and a real zero look the same.</t>
        </is>
      </c>
      <c r="N325" s="3" t="inlineStr">
        <is>
          <t>Yes</t>
        </is>
      </c>
      <c r="O325" s="3" t="inlineStr">
        <is>
          <t>1. MK-NW-F-002 alternativesSummary
2. MK-NW-F-011 assetClassOf
3. MK-NW-F-034 benchmarkReturn
4. MK-NW-F-037 blendedReturn
5. MK-CF-F-132 map</t>
        </is>
      </c>
      <c r="P325" s="3" t="n">
        <v>20</v>
      </c>
      <c r="Q325"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25"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MK-NW-F-001 isAlternative → MK-NW-F-002 alternativesSummary → MK-NW-O-005 theAlternativesOutlook
4. MK-XS-F-122 n → MK-CF-F-155 cash → MK-NW-F-008 incomeBearingClassOf → MK-NW-F-011 assetClassOf → MK-NW-O-005 theAlternativesOutlook
5. MK-ST-F-027 accountId → MK-XS-F-147 call → MK-ST-F-010 nameEvidence → MK-NW-F-008 incomeBearingClassOf → MK-NW-F-011 assetClassOf → MK-NW-O-005 theAlternativesOutlook
6. MK-XS-F-064 currentIdToken → MK-XS-F-147 call → MK-ST-F-010 nameEvidence → MK-NW-F-008 incomeBearingClassOf → MK-NW-F-011 assetClassOf → MK-NW-O-005 theAlternativesOutlook
7. MK-XS-F-112 relayUrl → MK-XS-F-147 call → MK-ST-F-010 nameEvidence → MK-NW-F-008 incomeBearingClassOf → MK-NW-F-011 assetClassOf → MK-NW-O-005 theAlternativesOutlook
8. MK-ST-F-056 has → MK-ST-F-010 nameEvidence → MK-NW-F-008 incomeBearingClassOf → MK-NW-F-011 assetClassOf → MK-NW-O-005 theAlternativesOutlook
9. … and 5 more paths</t>
        </is>
      </c>
      <c r="S325" s="3" t="inlineStr">
        <is>
          <t>MK-NW-M-050 · MK-NW-M-051 · MK-NW-M-052</t>
        </is>
      </c>
      <c r="T325" s="3" t="inlineStr">
        <is>
          <t>—</t>
        </is>
      </c>
      <c r="U325" s="3" t="inlineStr">
        <is>
          <t>ACTIVE</t>
        </is>
      </c>
      <c r="V325" s="3" t="inlineStr">
        <is>
          <t>2026-10-01</t>
        </is>
      </c>
      <c r="W325" s="3" t="n"/>
      <c r="X325" s="3" t="n"/>
      <c r="Y325" s="3" t="inlineStr">
        <is>
          <t>NOTHING OPEN</t>
        </is>
      </c>
    </row>
    <row r="326" ht="60" customHeight="1">
      <c r="A326" s="3" t="inlineStr">
        <is>
          <t>MK-NW-O-006</t>
        </is>
      </c>
      <c r="B326" s="3" t="inlineStr">
        <is>
          <t>theHolding</t>
        </is>
      </c>
      <c r="C326" s="3" t="inlineStr">
        <is>
          <t>MoneyKeel/functions/networth-and-performance/holding.ts</t>
        </is>
      </c>
      <c r="D326" s="3" t="n">
        <v>141</v>
      </c>
      <c r="E326" s="3" t="inlineStr">
        <is>
          <t>2 · DISPLAYED</t>
        </is>
      </c>
      <c r="F326" s="3" t="inlineStr">
        <is>
          <t>── ORCHESTRATOR ───────────────────────────────────────────────────────────────────── The one function a screen calls for this question.</t>
        </is>
      </c>
      <c r="G326"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26"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26" s="3" t="inlineStr">
        <is>
          <t>PARTLY READ — some of the code is still showing through; needs a hand pass</t>
        </is>
      </c>
      <c r="J326" s="3" t="inlineStr">
        <is>
          <t>Nothing is handed to it</t>
        </is>
      </c>
      <c r="K326" s="3" t="inlineStr">
        <is>
          <t>NOT DECLARED — the code does not say what it gives back</t>
        </is>
      </c>
      <c r="L326" s="3" t="inlineStr">
        <is>
          <t>NOT FOUND — a screen calls it, but the words printed beside its answer could not be traced automatically. Needs reading.</t>
        </is>
      </c>
      <c r="M326"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26" s="3" t="inlineStr">
        <is>
          <t>Yes</t>
        </is>
      </c>
      <c r="O326" s="3" t="inlineStr">
        <is>
          <t>1. MK-PF-F-006 capGains
2. MK-PF-F-002 costBasis
3. MK-CF-F-132 map
4. MK-PF-F-004 marketValue
5. MK-PF-F-028 realizedFromLedger
6. MK-PF-F-001 totalShares</t>
        </is>
      </c>
      <c r="P326" s="3" t="n">
        <v>8</v>
      </c>
      <c r="Q326" s="3" t="inlineStr">
        <is>
          <t>1. MK-PF-F-006 capGains
2. MK-PF-F-002 costBasis
3. MK-CF-F-132 map
4. MK-PF-F-004 marketValue
5. MK-PF-F-028 realizedFromLedger
6. MK-PF-F-001 totalShares
7. MK-XS-F-122 n
8. MK-PF-F-031 contractMultiplier</t>
        </is>
      </c>
      <c r="R326" s="3" t="inlineStr">
        <is>
          <t>1. MK-XS-F-122 n → MK-PF-F-006 capGains → MK-NW-O-006 theHolding
2. MK-PF-F-031 contractMultiplier → MK-PF-F-002 costBasis → MK-NW-O-006 theHolding
3. MK-CF-F-132 map → MK-NW-O-006 theHolding
4. MK-PF-F-031 contractMultiplier → MK-PF-F-004 marketValue → MK-NW-O-006 theHolding
5. MK-PF-F-001 totalShares → MK-PF-F-004 marketValue → MK-NW-O-006 theHolding
6. MK-PF-F-028 realizedFromLedger → MK-NW-O-006 theHolding
7. MK-PF-F-001 totalShares → MK-NW-O-006 theHolding</t>
        </is>
      </c>
      <c r="S326" s="3" t="inlineStr">
        <is>
          <t>MK-NW-M-029 · MK-NW-M-030 · MK-NW-M-031 · MK-NW-M-033 · MK-NW-M-034 · MK-NW-M-035 · MK-NW-M-036 · MK-NW-M-037 · MK-NW-M-059 · MK-NW-M-060 · MK-NW-M-061</t>
        </is>
      </c>
      <c r="T326" s="3" t="inlineStr">
        <is>
          <t>—</t>
        </is>
      </c>
      <c r="U326" s="3" t="inlineStr">
        <is>
          <t>ACTIVE</t>
        </is>
      </c>
      <c r="V326" s="3" t="inlineStr">
        <is>
          <t>2026-10-01</t>
        </is>
      </c>
      <c r="W326" s="3" t="n"/>
      <c r="X326" s="3" t="n"/>
      <c r="Y326" s="3" t="inlineStr">
        <is>
          <t>NOTHING OPEN</t>
        </is>
      </c>
    </row>
    <row r="327" ht="60" customHeight="1">
      <c r="A327" s="3" t="inlineStr">
        <is>
          <t>MK-NW-O-007</t>
        </is>
      </c>
      <c r="B327" s="3" t="inlineStr">
        <is>
          <t>theLookBack</t>
        </is>
      </c>
      <c r="C327" s="3" t="inlineStr">
        <is>
          <t>MoneyKeel/functions/networth-and-performance/look-back.ts</t>
        </is>
      </c>
      <c r="D327" s="3" t="n">
        <v>63</v>
      </c>
      <c r="E327" s="3" t="inlineStr">
        <is>
          <t>2 · DISPLAYED</t>
        </is>
      </c>
      <c r="F327" s="3" t="inlineStr">
        <is>
          <t>── ORCHESTRATOR ───────────────────────────────────────────────────────────────────── The one function a screen calls for this question.</t>
        </is>
      </c>
      <c r="G327" s="11" t="inlineStr">
        <is>
          <t>look back(input.amount, input.from series, input.to series, input.months, input.now ?? new date())</t>
        </is>
      </c>
      <c r="H327" s="3" t="inlineStr">
        <is>
          <t>look back(input.amount, input.from series, input.to series, input.months, input.now ?? new date()).</t>
        </is>
      </c>
      <c r="I327" s="3" t="inlineStr">
        <is>
          <t>PARTLY READ — some of the code is still showing through; needs a hand pass</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 Uses today's date from the device clock, so the answer changes by itself overnight.</t>
        </is>
      </c>
      <c r="N327" s="3" t="inlineStr">
        <is>
          <t>Yes</t>
        </is>
      </c>
      <c r="O327" s="3" t="inlineStr">
        <is>
          <t>MK-PF-F-023 lookBack</t>
        </is>
      </c>
      <c r="P327" s="3" t="n">
        <v>3</v>
      </c>
      <c r="Q327" s="3" t="inlineStr">
        <is>
          <t>1. MK-PF-F-023 lookBack
2. MK-PF-F-022 factorOverMonths
3. MK-ST-F-065 isoLocalDate</t>
        </is>
      </c>
      <c r="R327" s="3" t="inlineStr">
        <is>
          <t>MK-ST-F-065 isoLocalDate → MK-PF-F-022 factorOverMonths → MK-PF-F-023 lookBack → MK-NW-O-007 theLookBack</t>
        </is>
      </c>
      <c r="S327" s="3" t="inlineStr">
        <is>
          <t>MK-PF-M-010 · MK-PF-M-011 · MK-PF-M-012</t>
        </is>
      </c>
      <c r="T327" s="3" t="inlineStr">
        <is>
          <t>—</t>
        </is>
      </c>
      <c r="U327" s="3" t="inlineStr">
        <is>
          <t>ACTIVE</t>
        </is>
      </c>
      <c r="V327" s="3" t="inlineStr">
        <is>
          <t>2026-09-28</t>
        </is>
      </c>
      <c r="W327" s="3" t="n"/>
      <c r="X327" s="3" t="n"/>
      <c r="Y327" s="3" t="inlineStr">
        <is>
          <t>NOTHING OPEN</t>
        </is>
      </c>
    </row>
    <row r="328" ht="60" customHeight="1">
      <c r="A328" s="3" t="inlineStr">
        <is>
          <t>MK-NW-O-008</t>
        </is>
      </c>
      <c r="B328" s="3" t="inlineStr">
        <is>
          <t>thePerformance</t>
        </is>
      </c>
      <c r="C328" s="3" t="inlineStr">
        <is>
          <t>MoneyKeel/functions/networth-and-performance/performance.ts</t>
        </is>
      </c>
      <c r="D328" s="3" t="n">
        <v>416</v>
      </c>
      <c r="E328" s="3" t="inlineStr">
        <is>
          <t>2 · DISPLAYED</t>
        </is>
      </c>
      <c r="F328" s="3" t="inlineStr">
        <is>
          <t>NOT DETERMINED — the code carries no note saying what this is for, and it has no row in the old inventory. Needs reading.</t>
        </is>
      </c>
      <c r="G328" s="11" t="inlineStr">
        <is>
          <t>flows = personal flow totals(ledger)
contributions = flows.contributions.to number(2)
withdrawals = flows.withdrawals.to number(2)
dividends = flows.dividends.to number(2)
interest = flows.interest.to number(2)
bounds = window bounds(window start, today)   if window start
nothing   otherwise
days = input.snapshot days (or none when missing)
beginning = measured (or ending − input.priced gain − contributions + withdrawals when missing)
years = bounds.days ÷ 365   if bounds
0   otherwise
has basis = measured ≠ nothing (or walk.wealth generated ! = 0 when missing or zero)
refused = verdict ≠ nothing and verdict.rate = nothing
… the first steps only — the rest of the body needs reading by hand.</t>
        </is>
      </c>
      <c r="H328" s="3" t="inlineStr">
        <is>
          <t>Flows is personal flow totals(ledger). Contributions is flows.contributions.to number(2). Withdrawals is flows.withdrawals.to number(2). Dividends is flows.dividends.to number(2). Interest is flows.interest.to number(2). Bounds is window bounds(window start, today) — when window start; no answer — otherwise. Days is input.snapshot days (or none — when missing). Beginning is measured (or ending minus input.priced gain minus contributions plus withdrawals — when missing). Years is bounds.days divided by 365 — when bounds; 0 — otherwise. Has basis is measured is not no answer (or walk.wealth generated ! = 0 — when missing or zero). Refused is verdict is not no answer and verdict.rate is missing. Only the first steps are shown; the rest of the body needs reading by hand.</t>
        </is>
      </c>
      <c r="I328" s="3" t="inlineStr">
        <is>
          <t>PARTLY READ — some of the code is still showing through; needs a hand pass</t>
        </is>
      </c>
      <c r="J328" s="3" t="inlineStr">
        <is>
          <t>Nothing is handed to it</t>
        </is>
      </c>
      <c r="K328" s="3" t="inlineStr">
        <is>
          <t>NOT DECLARED — the code does not say what it gives back</t>
        </is>
      </c>
      <c r="L328" s="3" t="inlineStr">
        <is>
          <t>"Ending market value" — on the Performance screen</t>
        </is>
      </c>
      <c r="M328" s="3" t="inlineStr">
        <is>
          <t>1. Treats a year as 365 days.
2. Shows 2 decimal places.</t>
        </is>
      </c>
      <c r="N328" s="3" t="inlineStr">
        <is>
          <t>Yes</t>
        </is>
      </c>
      <c r="O328" s="3" t="inlineStr">
        <is>
          <t>1. MK-XS-F-011 buildChangeWalk
2. MK-CF-F-132 map
3. MK-ST-F-064 modifiedDietzOverWindow
4. MK-ST-F-013 personalFlowTotals
5. MK-NW-F-102 rateWhereItRefuses
6. MK-ST-F-030 record
7. MK-ST-F-021 toNumber
8. MK-ST-F-031 valueOn
9. MK-ST-F-038 windowBounds</t>
        </is>
      </c>
      <c r="P328" s="3" t="n">
        <v>47</v>
      </c>
      <c r="Q328" s="3" t="inlineStr">
        <is>
          <t>1. MK-XS-F-011 buildChangeWalk
2. MK-CF-F-132 map
3. MK-ST-F-064 modifiedDietzOverWindow
4. MK-ST-F-013 personalFlowTotals
5. MK-NW-F-102 rateWhereItRefuses
6. MK-ST-F-030 record
7. MK-ST-F-021 toNumber
8. MK-ST-F-031 valueOn
9. MK-ST-F-038 windowBounds
10. MK-ST-F-053 money
11. MK-ST-F-062 toUtc
12. MK-NW-F-078 ONE
13. MK-PF-F-026 moneyWeightedReturn
14. MK-XS-F-122 n
15. MK-ST-F-027 accountId
16. MK-CF-F-155 cash
17. MK-ST-F-056 has
18. MK-ST-F-033 onOrBefore
19. MK-ST-F-063 shiftDay
20. MK-ST-F-049 formatMoney
21. MK-NW-F-077 ALL
22. MK-NW-F-059 currentYield
23. MK-XS-F-180 declareFigures
24. MK-NW-O-001 theBonds
25. MK-PF-F-025 historyIsComplete
26. MK-PF-F-030 npv
27. MK-PF-F-024 userFlows
28. MK-ST-F-048 currencySymbol
29. MK-ST-F-039 on
30. MK-NW-F-057 annualCoupon
31. MK-NW-F-056 bondInfo
32. MK-NW-F-064 bondRateSensitivity
33. MK-NW-F-061 bondSummary
34. MK-NW-F-055 isBond
35. MK-NW-F-072 rowOf
36. MK-ST-F-047 activeCurrency
37. MK-NW-F-060 approxYTM
38. MK-NW-F-069 priceAtYield
39. MK-NW-F-011 assetClassOf
40. MK-NW-F-070 accruedInterestCaveat
41. MK-NW-F-071 isCertificateOfDeposit
42. MK-NW-F-058 yearsToMaturity
43. MK-NW-F-008 incomeBearingClassOf
44. MK-ST-F-010 nameEvidence
45. MK-XS-F-147 call
46. MK-XS-F-064 currentIdToken
47. MK-XS-F-112 relayUrl</t>
        </is>
      </c>
      <c r="R328" s="3" t="inlineStr">
        <is>
          <t>1. MK-XS-F-011 buildChangeWalk → MK-NW-O-008 thePerformance
2. MK-CF-F-132 map → MK-NW-O-008 thePerformance
3. MK-CF-F-132 map → MK-ST-F-064 modifiedDietzOverWindow → MK-NW-O-008 thePerformance
4. MK-ST-F-047 activeCurrency → MK-ST-F-048 currencySymbol → MK-ST-F-049 formatMoney → MK-ST-F-053 money → MK-ST-F-064 modifiedDietzOverWindow → MK-NW-O-008 thePerformance
5. MK-XS-F-122 n → MK-ST-F-049 formatMoney → MK-ST-F-053 money → MK-ST-F-064 modifiedDietzOverWindow → MK-NW-O-008 thePerformance
6. MK-ST-F-039 on → MK-ST-F-049 formatMoney → MK-ST-F-053 money → MK-ST-F-064 modifiedDietzOverWindow → MK-NW-O-008 thePerformance
7. MK-XS-F-122 n → MK-ST-F-053 money → MK-ST-F-064 modifiedDietzOverWindow → MK-NW-O-008 thePerformance
8. MK-XS-F-122 n → MK-ST-F-021 toNumber → MK-ST-F-064 modifiedDietzOverWindow → MK-NW-O-008 thePerformance
9. … and 5 more paths</t>
        </is>
      </c>
      <c r="S328" s="3" t="inlineStr">
        <is>
          <t>MK-PF-M-002 · MK-PF-M-003 · MK-PF-M-005 · MK-PF-M-006 · MK-PF-M-007 · MK-PF-M-008 · MK-PF-M-013 · MK-PF-M-014 · MK-PF-M-015 · MK-PF-M-016 · MK-PF-M-017 · MK-PF-M-018 · MK-PF-M-019 · MK-PF-M-020 · MK-XS-M-004</t>
        </is>
      </c>
      <c r="T328" s="3" t="inlineStr">
        <is>
          <t>—</t>
        </is>
      </c>
      <c r="U328" s="3" t="inlineStr">
        <is>
          <t>ACTIVE</t>
        </is>
      </c>
      <c r="V328" s="3" t="inlineStr">
        <is>
          <t>2026-09-28</t>
        </is>
      </c>
      <c r="W328" s="3" t="n"/>
      <c r="X328" s="3" t="n"/>
      <c r="Y328" s="3" t="inlineStr">
        <is>
          <t>NOTHING OPEN</t>
        </is>
      </c>
    </row>
    <row r="329" ht="45" customHeight="1">
      <c r="A329" s="3" t="inlineStr">
        <is>
          <t>MK-PF-F-001</t>
        </is>
      </c>
      <c r="B329" s="3" t="inlineStr">
        <is>
          <t>totalShares</t>
        </is>
      </c>
      <c r="C329" s="3" t="inlineStr">
        <is>
          <t>src/domain/performance/index.ts</t>
        </is>
      </c>
      <c r="D329" s="3" t="n">
        <v>174</v>
      </c>
      <c r="E329" s="3" t="inlineStr">
        <is>
          <t>2 · DISPLAYED</t>
        </is>
      </c>
      <c r="F329" s="3" t="inlineStr">
        <is>
          <t>---- cost basis &amp; value (lot math) ----</t>
        </is>
      </c>
      <c r="G329" s="11" t="inlineStr">
        <is>
          <t>total shares(holding) = Σ over every lot of (shares, or 0 when missing)</t>
        </is>
      </c>
      <c r="H329" s="3" t="inlineStr">
        <is>
          <t>Adds the share count of every lot. A lot with no share count counts as zero, so "nothing recorded" and "a real zero" give the same answer.</t>
        </is>
      </c>
      <c r="I329" s="3" t="inlineStr">
        <is>
          <t>READ BY HAND 2026-08-26 — checked line by line against the code</t>
        </is>
      </c>
      <c r="J329" s="3" t="inlineStr">
        <is>
          <t>p: Position</t>
        </is>
      </c>
      <c r="K329" s="3" t="inlineStr">
        <is>
          <t>number</t>
        </is>
      </c>
      <c r="L329" s="3" t="inlineStr">
        <is>
          <t>NOT FOUND — a screen calls it, but the words printed beside its answer could not be traced automatically. Needs reading.</t>
        </is>
      </c>
      <c r="M329" s="3" t="inlineStr">
        <is>
          <t>· If shares is missing it counts as zero, so nothing recorded and a real zero look the same.</t>
        </is>
      </c>
      <c r="N329" s="3" t="inlineStr">
        <is>
          <t>Yes</t>
        </is>
      </c>
      <c r="O329" s="3" t="inlineStr">
        <is>
          <t>—</t>
        </is>
      </c>
      <c r="P329" s="3" t="n">
        <v>0</v>
      </c>
      <c r="Q329" s="3" t="inlineStr">
        <is>
          <t>None — no dependent function stands behind it</t>
        </is>
      </c>
      <c r="R329" s="3" t="inlineStr">
        <is>
          <t>No dependent function — it reads its inputs and answers</t>
        </is>
      </c>
      <c r="S329" s="3" t="inlineStr">
        <is>
          <t>—</t>
        </is>
      </c>
      <c r="T329" s="3" t="inlineStr">
        <is>
          <t>HOLDING_SHARES</t>
        </is>
      </c>
      <c r="U329" s="3" t="inlineStr">
        <is>
          <t>ACTIVE</t>
        </is>
      </c>
      <c r="V329" s="3" t="inlineStr">
        <is>
          <t>2026-08-27</t>
        </is>
      </c>
      <c r="W329" s="3" t="inlineStr">
        <is>
          <t>[from MK-NW-M-031, typed Q07/Q09] 8 decimals for coins; always capture units.</t>
        </is>
      </c>
      <c r="X329" s="6" t="inlineStr">
        <is>
          <t>Sums raw numbers with no unit and no rounding. Fix: a unit on the position; coin quantities to 8 decimals — see MK-NW-M-031.</t>
        </is>
      </c>
      <c r="Y329" s="6" t="inlineStr">
        <is>
          <t>WAITING ON YOU — answer to read</t>
        </is>
      </c>
    </row>
    <row r="330" ht="60" customHeight="1">
      <c r="A330" s="3" t="inlineStr">
        <is>
          <t>MK-PF-F-002</t>
        </is>
      </c>
      <c r="B330" s="3" t="inlineStr">
        <is>
          <t>costBasis</t>
        </is>
      </c>
      <c r="C330" s="3" t="inlineStr">
        <is>
          <t>src/domain/performance/index.ts</t>
        </is>
      </c>
      <c r="D330" s="3" t="n">
        <v>214</v>
      </c>
      <c r="E330" s="3" t="inlineStr">
        <is>
          <t>2 · DISPLAYED</t>
        </is>
      </c>
      <c r="F330" s="3" t="inlineStr">
        <is>
          <t>What did I pay for this in total?</t>
        </is>
      </c>
      <c r="G330" s="11" t="inlineStr">
        <is>
          <t>cost basis(holding) = Σ over every lot of (shares × cost per share)</t>
        </is>
      </c>
      <c r="H330" s="3" t="inlineStr">
        <is>
          <t>What was paid, added across the lots. A lot with no cost per share contributes nothing, so a holding with neither a price nor a cost lands at $0 and quietly leaves net worth.</t>
        </is>
      </c>
      <c r="I330" s="3" t="inlineStr">
        <is>
          <t>READ BY HAND 2026-08-26 — checked line by line against the code</t>
        </is>
      </c>
      <c r="J330" s="3" t="inlineStr">
        <is>
          <t>p: Position</t>
        </is>
      </c>
      <c r="K330" s="3" t="inlineStr">
        <is>
          <t>number</t>
        </is>
      </c>
      <c r="L330" s="3" t="inlineStr">
        <is>
          <t>NOT FOUND — a screen calls it, but the words printed beside its answer could not be traced automatically. Needs reading.</t>
        </is>
      </c>
      <c r="M330" s="3" t="inlineStr">
        <is>
          <t>1. If shares is missing it counts as zero, so nothing recorded and a real zero look the same.
2. If cost per share is missing it counts as zero, so nothing recorded and a real zero look the same.</t>
        </is>
      </c>
      <c r="N330" s="3" t="inlineStr">
        <is>
          <t>Yes</t>
        </is>
      </c>
      <c r="O330" s="3" t="inlineStr">
        <is>
          <t>MK-PF-F-031 contractMultiplier</t>
        </is>
      </c>
      <c r="P330" s="3" t="n">
        <v>1</v>
      </c>
      <c r="Q330" s="3" t="inlineStr">
        <is>
          <t>MK-PF-F-031 contractMultiplier</t>
        </is>
      </c>
      <c r="R330" s="3" t="inlineStr">
        <is>
          <t>MK-PF-F-031 contractMultiplier → MK-PF-F-002 costBasis</t>
        </is>
      </c>
      <c r="S330" s="3" t="inlineStr">
        <is>
          <t>—</t>
        </is>
      </c>
      <c r="T330" s="3" t="inlineStr">
        <is>
          <t>HOLDING_COST_BASIS</t>
        </is>
      </c>
      <c r="U330" s="3" t="inlineStr">
        <is>
          <t>ACTIVE</t>
        </is>
      </c>
      <c r="V330" s="3" t="inlineStr">
        <is>
          <t>2026-09-09</t>
        </is>
      </c>
      <c r="W330" s="3" t="inlineStr">
        <is>
          <t>[from MK-NW-M-032 / M-033] Average price must not divide by shares whose cost is missing or zero; Total paid vs Price paid (average) — two things or one?</t>
        </is>
      </c>
      <c r="X330"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30" s="6" t="inlineStr">
        <is>
          <t>WAITING ON YOU — answer to read · TESTED, NOT VERIFIED (Q06)</t>
        </is>
      </c>
    </row>
    <row r="331" ht="60" customHeight="1">
      <c r="A331" s="3" t="inlineStr">
        <is>
          <t>MK-PF-F-003</t>
        </is>
      </c>
      <c r="B331" s="3" t="inlineStr">
        <is>
          <t>avgCost</t>
        </is>
      </c>
      <c r="C331" s="3" t="inlineStr">
        <is>
          <t>src/domain/performance/index.ts</t>
        </is>
      </c>
      <c r="D331" s="3" t="n">
        <v>240</v>
      </c>
      <c r="E331" s="3" t="inlineStr">
        <is>
          <t>2 · DISPLAYED</t>
        </is>
      </c>
      <c r="F331" s="3" t="inlineStr">
        <is>
          <t>NOT DETERMINED — the code carries no note saying what this is for, and it has no row in the old inventory. Needs reading.</t>
        </is>
      </c>
      <c r="G331" s="11" t="inlineStr">
        <is>
          <t>sh = total shares(p)
the answer:
cost basis(p) ÷ sh   if sh &gt; 0
0   otherwise</t>
        </is>
      </c>
      <c r="H331" s="3" t="inlineStr">
        <is>
          <t>Sh is total shares(p). The answer is cost basis(p) divided by sh — when sh &gt; 0; 0 — otherwise.</t>
        </is>
      </c>
      <c r="I331" s="3" t="inlineStr">
        <is>
          <t>READ FROM THE CODE — rendered from the expressions the function runs</t>
        </is>
      </c>
      <c r="J331" s="3" t="inlineStr">
        <is>
          <t>p: Position</t>
        </is>
      </c>
      <c r="K331" s="3" t="inlineStr">
        <is>
          <t>number</t>
        </is>
      </c>
      <c r="L331" s="3" t="inlineStr">
        <is>
          <t>NOT FOUND — a screen calls it, but the words printed beside its answer could not be traced automatically. Needs reading.</t>
        </is>
      </c>
      <c r="M331" s="3" t="inlineStr">
        <is>
          <t>None found in this function — anything it assumes comes from the functions it depends on.</t>
        </is>
      </c>
      <c r="N331" s="3" t="inlineStr">
        <is>
          <t>Yes</t>
        </is>
      </c>
      <c r="O331" s="3" t="inlineStr">
        <is>
          <t>1. MK-PF-F-002 costBasis
2. MK-PF-F-001 totalShares</t>
        </is>
      </c>
      <c r="P331" s="3" t="n">
        <v>3</v>
      </c>
      <c r="Q331" s="3" t="inlineStr">
        <is>
          <t>1. MK-PF-F-002 costBasis
2. MK-PF-F-001 totalShares
3. MK-PF-F-031 contractMultiplier</t>
        </is>
      </c>
      <c r="R331" s="3" t="inlineStr">
        <is>
          <t>1. MK-PF-F-031 contractMultiplier → MK-PF-F-002 costBasis → MK-PF-F-003 avgCost
2. MK-PF-F-001 totalShares → MK-PF-F-003 avgCost</t>
        </is>
      </c>
      <c r="S331" s="3" t="inlineStr">
        <is>
          <t>MK-NW-M-032</t>
        </is>
      </c>
      <c r="T331" s="3" t="inlineStr">
        <is>
          <t>—</t>
        </is>
      </c>
      <c r="U331" s="3" t="inlineStr">
        <is>
          <t>ACTIVE</t>
        </is>
      </c>
      <c r="V331" s="3" t="inlineStr">
        <is>
          <t>2026-09-09</t>
        </is>
      </c>
      <c r="W331" s="3" t="inlineStr">
        <is>
          <t>[from MK-NW-M-032 / M-033] see MK-PF-F-002</t>
        </is>
      </c>
      <c r="X331" s="6" t="inlineStr">
        <is>
          <t>Unused by any screen (it clips to cents; the screen wants 3 decimals) and it divides by ALL shares. Retire it or make it the averagePricePaid of JJ-1 (cost &gt; 0 lots only, no cents clipping).</t>
        </is>
      </c>
      <c r="Y331" s="6" t="inlineStr">
        <is>
          <t>WAITING ON YOU — answer to read</t>
        </is>
      </c>
    </row>
    <row r="332" ht="60" customHeight="1">
      <c r="A332" s="3" t="inlineStr">
        <is>
          <t>MK-PF-F-004</t>
        </is>
      </c>
      <c r="B332" s="3" t="inlineStr">
        <is>
          <t>marketValue</t>
        </is>
      </c>
      <c r="C332" s="3" t="inlineStr">
        <is>
          <t>src/domain/performance/index.ts</t>
        </is>
      </c>
      <c r="D332" s="3" t="n">
        <v>278</v>
      </c>
      <c r="E332" s="3" t="inlineStr">
        <is>
          <t>3 · DEPENDENT</t>
        </is>
      </c>
      <c r="F332" s="3" t="inlineStr">
        <is>
          <t>What is this holding worth right now?</t>
        </is>
      </c>
      <c r="G332" s="11" t="inlineStr">
        <is>
          <t>market value(holding) = round(total shares × price, 2 dp)
                      = 0   when no price came back</t>
        </is>
      </c>
      <c r="H332"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32" s="3" t="inlineStr">
        <is>
          <t>READ BY HAND 2026-08-26 — checked line by line against the code</t>
        </is>
      </c>
      <c r="J332" s="3" t="inlineStr">
        <is>
          <t>1. p: Position
2. price: number | null | undefined</t>
        </is>
      </c>
      <c r="K332" s="3" t="inlineStr">
        <is>
          <t>number</t>
        </is>
      </c>
      <c r="L332" s="3" t="inlineStr">
        <is>
          <t>—</t>
        </is>
      </c>
      <c r="M332" s="3" t="inlineStr">
        <is>
          <t>None found in this function — anything it assumes comes from the functions it depends on.</t>
        </is>
      </c>
      <c r="N332" s="3" t="inlineStr">
        <is>
          <t>Yes</t>
        </is>
      </c>
      <c r="O332" s="3" t="inlineStr">
        <is>
          <t>1. MK-PF-F-031 contractMultiplier
2. MK-PF-F-001 totalShares</t>
        </is>
      </c>
      <c r="P332" s="3" t="n">
        <v>2</v>
      </c>
      <c r="Q332" s="3" t="inlineStr">
        <is>
          <t>1. MK-PF-F-031 contractMultiplier
2. MK-PF-F-001 totalShares</t>
        </is>
      </c>
      <c r="R332" s="3" t="inlineStr">
        <is>
          <t>1. MK-PF-F-031 contractMultiplier → MK-PF-F-004 marketValue
2. MK-PF-F-001 totalShares → MK-PF-F-004 marketValue</t>
        </is>
      </c>
      <c r="S332" s="3" t="inlineStr">
        <is>
          <t>—</t>
        </is>
      </c>
      <c r="T332" s="3" t="inlineStr">
        <is>
          <t>HOLDING_MARKET_VALUE</t>
        </is>
      </c>
      <c r="U332" s="3" t="inlineStr">
        <is>
          <t>ACTIVE</t>
        </is>
      </c>
      <c r="V332" s="3" t="inlineStr">
        <is>
          <t>2026-08-27</t>
        </is>
      </c>
      <c r="W332" s="3" t="inlineStr">
        <is>
          <t>[from MK-NW-M-030, typed Q06] value is contracts * 100 * price unless stated otherwise by broker or user.</t>
        </is>
      </c>
      <c r="X332" s="6" t="inlineStr">
        <is>
          <t>NOT APPLIED here: market value = units × price, no multiplier. Fix: multiply by the position's multiplier (100 for a contract unless the feed or the person states another) — Q42 on MK-NW-M-030.</t>
        </is>
      </c>
      <c r="Y332" s="6" t="inlineStr">
        <is>
          <t>WAITING ON YOU — answer to read · TESTED, NOT VERIFIED (Q06)</t>
        </is>
      </c>
    </row>
    <row r="333" ht="60" customHeight="1">
      <c r="A333" s="3" t="inlineStr">
        <is>
          <t>MK-PF-F-005</t>
        </is>
      </c>
      <c r="B333" s="3" t="inlineStr">
        <is>
          <t>unrealizedGain</t>
        </is>
      </c>
      <c r="C333" s="3" t="inlineStr">
        <is>
          <t>src/domain/performance/index.ts</t>
        </is>
      </c>
      <c r="D333" s="3" t="n">
        <v>302</v>
      </c>
      <c r="E333" s="3" t="inlineStr">
        <is>
          <t>3 · DEPENDENT</t>
        </is>
      </c>
      <c r="F333" s="3" t="inlineStr">
        <is>
          <t>Unrealized gain = market value − cost basis (null price → 0).</t>
        </is>
      </c>
      <c r="G333" s="11" t="inlineStr">
        <is>
          <t>0   if price = nothing
market value(p, price) − cost basis(p)   otherwise</t>
        </is>
      </c>
      <c r="H333" s="3" t="inlineStr">
        <is>
          <t>0 — when price is missing; market value(p, price) minus cost basis(p) — otherwise.</t>
        </is>
      </c>
      <c r="I333" s="3" t="inlineStr">
        <is>
          <t>READ FROM THE CODE — rendered from the expressions the function runs</t>
        </is>
      </c>
      <c r="J333" s="3" t="inlineStr">
        <is>
          <t>1. p: Position
2. price: number | null | undefined</t>
        </is>
      </c>
      <c r="K333" s="3" t="inlineStr">
        <is>
          <t>number</t>
        </is>
      </c>
      <c r="L333" s="3" t="inlineStr">
        <is>
          <t>—</t>
        </is>
      </c>
      <c r="M333" s="3" t="inlineStr">
        <is>
          <t>None found in this function — anything it assumes comes from the functions it depends on.</t>
        </is>
      </c>
      <c r="N333" s="3" t="inlineStr">
        <is>
          <t>Yes</t>
        </is>
      </c>
      <c r="O333" s="3" t="inlineStr">
        <is>
          <t>1. MK-PF-F-002 costBasis
2. MK-CF-F-204 line
3. MK-PF-F-004 marketValue</t>
        </is>
      </c>
      <c r="P333" s="3" t="n">
        <v>107</v>
      </c>
      <c r="Q333"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333"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33" s="3" t="inlineStr">
        <is>
          <t>—</t>
        </is>
      </c>
      <c r="T333" s="3" t="inlineStr">
        <is>
          <t>HOLDING_UNREALISED_GAIN</t>
        </is>
      </c>
      <c r="U333" s="3" t="inlineStr">
        <is>
          <t>ACTIVE</t>
        </is>
      </c>
      <c r="V333" s="3" t="inlineStr">
        <is>
          <t>2026-09-09</t>
        </is>
      </c>
      <c r="W333" s="3" t="n"/>
      <c r="X333" s="3" t="n"/>
      <c r="Y333" s="3" t="inlineStr">
        <is>
          <t>NOTHING OPEN</t>
        </is>
      </c>
    </row>
    <row r="334" ht="60" customHeight="1">
      <c r="A334" s="3" t="inlineStr">
        <is>
          <t>MK-PF-F-006</t>
        </is>
      </c>
      <c r="B334" s="3" t="inlineStr">
        <is>
          <t>capGains</t>
        </is>
      </c>
      <c r="C334" s="3" t="inlineStr">
        <is>
          <t>src/domain/performance/index.ts</t>
        </is>
      </c>
      <c r="D334" s="3" t="n">
        <v>339</v>
      </c>
      <c r="E334" s="3" t="inlineStr">
        <is>
          <t>3 · DEPENDENT</t>
        </is>
      </c>
      <c r="F334" s="3" t="inlineStr">
        <is>
          <t>If I sold this today, how much of the gain is long-term and how much short-term?</t>
        </is>
      </c>
      <c r="G334" s="11" t="inlineStr">
        <is>
          <t>per lot:  gain = shares × (price − cost per share)
long-term when today is LATER than the first anniversary of the purchase
short-term otherwise, and a lot with no cost recorded is skipped entirely</t>
        </is>
      </c>
      <c r="H334"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34" s="3" t="inlineStr">
        <is>
          <t>READ BY HAND 2026-08-26 — checked line by line against the code</t>
        </is>
      </c>
      <c r="J334" s="3" t="inlineStr">
        <is>
          <t>1. p: Position
2. price: number | null | undefined
3. now: Date = new Date()</t>
        </is>
      </c>
      <c r="K334" s="3" t="inlineStr">
        <is>
          <t>CapGains</t>
        </is>
      </c>
      <c r="L334" s="3" t="inlineStr">
        <is>
          <t>—</t>
        </is>
      </c>
      <c r="M334" s="3" t="inlineStr">
        <is>
          <t>· Uses today's date from the device clock, so the answer changes by itself overnight.</t>
        </is>
      </c>
      <c r="N334" s="3" t="inlineStr">
        <is>
          <t>Yes</t>
        </is>
      </c>
      <c r="O334" s="3" t="inlineStr">
        <is>
          <t>MK-XS-F-122 n</t>
        </is>
      </c>
      <c r="P334" s="3" t="n">
        <v>1</v>
      </c>
      <c r="Q334" s="3" t="inlineStr">
        <is>
          <t>MK-XS-F-122 n</t>
        </is>
      </c>
      <c r="R334" s="3" t="inlineStr">
        <is>
          <t>MK-XS-F-122 n → MK-PF-F-006 capGains</t>
        </is>
      </c>
      <c r="S334" s="3" t="inlineStr">
        <is>
          <t>—</t>
        </is>
      </c>
      <c r="T334" s="3" t="inlineStr">
        <is>
          <t>HOLDING_CAP_GAINS</t>
        </is>
      </c>
      <c r="U334" s="3" t="inlineStr">
        <is>
          <t>ACTIVE</t>
        </is>
      </c>
      <c r="V334" s="3" t="inlineStr">
        <is>
          <t>2026-09-28</t>
        </is>
      </c>
      <c r="W334" s="3" t="n"/>
      <c r="X334" s="3" t="n"/>
      <c r="Y334" s="6" t="inlineStr">
        <is>
          <t>TESTED, NOT VERIFIED (G2)</t>
        </is>
      </c>
    </row>
    <row r="335" ht="60" customHeight="1">
      <c r="A335" s="3" t="inlineStr">
        <is>
          <t>MK-PF-F-007</t>
        </is>
      </c>
      <c r="B335" s="3" t="inlineStr">
        <is>
          <t>totalROI</t>
        </is>
      </c>
      <c r="C335" s="3" t="inlineStr">
        <is>
          <t>src/domain/performance/index.ts</t>
        </is>
      </c>
      <c r="D335" s="3" t="n">
        <v>386</v>
      </c>
      <c r="E335" s="3" t="inlineStr">
        <is>
          <t>3 · DEPENDENT</t>
        </is>
      </c>
      <c r="F335" s="3" t="inlineStr">
        <is>
          <t>Total return since purchase = gain / cost basis (decimal).</t>
        </is>
      </c>
      <c r="G335" s="11" t="inlineStr">
        <is>
          <t>basis = cost basis(p)
nothing   when price = nothing (or basis ≤ 0 when missing or zero)
the answer = unrealized gain(p, price) ÷ basis</t>
        </is>
      </c>
      <c r="H335" s="3" t="inlineStr">
        <is>
          <t>Basis is cost basis(p). When price is missing (or basis is at most 0 — when missing or zero), it answers no answer. The answer is unrealized gain(p, price) divided by basis.</t>
        </is>
      </c>
      <c r="I335" s="3" t="inlineStr">
        <is>
          <t>READ FROM THE CODE — rendered from the expressions the function runs</t>
        </is>
      </c>
      <c r="J335" s="3" t="inlineStr">
        <is>
          <t>1. p: Position
2. price: number | null | undefined</t>
        </is>
      </c>
      <c r="K335" s="3" t="inlineStr">
        <is>
          <t>number | null</t>
        </is>
      </c>
      <c r="L335" s="3" t="inlineStr">
        <is>
          <t>—</t>
        </is>
      </c>
      <c r="M335" s="3" t="inlineStr">
        <is>
          <t>None found in this function — anything it assumes comes from the functions it depends on.</t>
        </is>
      </c>
      <c r="N335" s="3" t="inlineStr">
        <is>
          <t>Yes</t>
        </is>
      </c>
      <c r="O335" s="3" t="inlineStr">
        <is>
          <t>1. MK-PF-F-002 costBasis
2. MK-PF-F-005 unrealizedGain</t>
        </is>
      </c>
      <c r="P335" s="3" t="n">
        <v>108</v>
      </c>
      <c r="Q335"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MK-NW-F-072 rowOf
50. MK-CF-F-069 benefitActiveMonths
51. MK-CF-F-072 currentRetirementIncomeMonthly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MK-CF-F-062 equityRowValue
74. MK-CF-F-070 benefitAnnual
75. MK-CF-F-176 sumMonthsOverEarners
76. MK-CF-F-177 wageGrossByMonth
77. MK-CF-F-090 effectiveRate
78. MK-CF-F-085 filingStatusOf
79. MK-CF-F-089 over65CountOf
80. MK-CF-F-098 progressiveMonthlyTax
81. MK-CF-F-086 stateRateOf
82. MK-CF-F-173 earnerWages
83. MK-CF-F-102 effectiveRateOnGrossFor
84. MK-CF-F-180 enteredLandsAnnual
85. MK-CF-F-082 salaryAnnual
86. MK-CF-F-084 taxableAnnual
87. MK-CF-F-067 rentalList
88. MK-CF-F-063 rowVestYear
89. MK-CF-F-120 pctBaseMonthly
90. MK-CF-F-004 spendBuckets
91. MK-NW-F-008 incomeBearingClassOf
92. MK-CF-F-130 enteredMonthlyRaw
93. MK-CF-F-166 hasMonthlySalaryTable
94. MK-ST-F-036 reconcile
95. MK-CF-F-167 salaryCalendarYear
96. MK-CF-F-101 taxOwedFor
97. MK-CF-F-100 taxableIncomeFor
98. MK-CF-F-172 hasWage
99. MK-CF-F-074 tipsAnnual
100. MK-CF-F-003 categoryMonthly
101. MK-ST-F-010 nameEvidence
102. MK-CF-F-165 salaryMonths
103. MK-CF-F-099 deductionFor
104. MK-CF-F-081 salaryActiveMonths
105. MK-XS-F-147 call
106. MK-CF-F-187 seniorDeductionFor
107. MK-XS-F-064 currentIdToken
108. MK-XS-F-112 relayUrl</t>
        </is>
      </c>
      <c r="R335"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35" s="3" t="inlineStr">
        <is>
          <t>—</t>
        </is>
      </c>
      <c r="T335" s="3" t="inlineStr">
        <is>
          <t>HOLDING_TOTAL_ROI</t>
        </is>
      </c>
      <c r="U335" s="3" t="inlineStr">
        <is>
          <t>ACTIVE</t>
        </is>
      </c>
      <c r="V335" s="3" t="inlineStr">
        <is>
          <t>2026-09-09</t>
        </is>
      </c>
      <c r="W335" s="3" t="n"/>
      <c r="X335" s="3" t="n"/>
      <c r="Y335" s="3" t="inlineStr">
        <is>
          <t>NOTHING OPEN</t>
        </is>
      </c>
    </row>
    <row r="336" ht="45" customHeight="1">
      <c r="A336" s="3" t="inlineStr">
        <is>
          <t>MK-PF-F-008</t>
        </is>
      </c>
      <c r="B336" s="3" t="inlineStr">
        <is>
          <t>startDateFor</t>
        </is>
      </c>
      <c r="C336" s="3" t="inlineStr">
        <is>
          <t>src/domain/performance/index.ts</t>
        </is>
      </c>
      <c r="D336" s="3" t="n">
        <v>414</v>
      </c>
      <c r="E336" s="3" t="inlineStr">
        <is>
          <t>2 · DISPLAYED</t>
        </is>
      </c>
      <c r="F336" s="3" t="inlineStr">
        <is>
          <t>---- period returns from a price series (price return of the security itself) ----</t>
        </is>
      </c>
      <c r="G336" s="11" t="inlineStr">
        <is>
          <t>d = the date now
the answer = d</t>
        </is>
      </c>
      <c r="H336" s="3" t="inlineStr">
        <is>
          <t>D: the date now. The answer is d.</t>
        </is>
      </c>
      <c r="I336" s="3" t="inlineStr">
        <is>
          <t>READ FROM THE CODE — rendered from the expressions the function runs</t>
        </is>
      </c>
      <c r="J336" s="3" t="inlineStr">
        <is>
          <t>1. period: Period
2. now: Date</t>
        </is>
      </c>
      <c r="K336" s="3" t="inlineStr">
        <is>
          <t>Date</t>
        </is>
      </c>
      <c r="L336" s="3" t="inlineStr">
        <is>
          <t>NOT FOUND — a screen calls it, but the words printed beside its answer could not be traced automatically. Needs reading.</t>
        </is>
      </c>
      <c r="M336" s="3" t="inlineStr">
        <is>
          <t>None found in this function — anything it assumes comes from the functions it depends on.</t>
        </is>
      </c>
      <c r="N336" s="3" t="inlineStr">
        <is>
          <t>Yes</t>
        </is>
      </c>
      <c r="O336" s="3" t="inlineStr">
        <is>
          <t>—</t>
        </is>
      </c>
      <c r="P336" s="3" t="n">
        <v>0</v>
      </c>
      <c r="Q336" s="3" t="inlineStr">
        <is>
          <t>None — no dependent function stands behind it</t>
        </is>
      </c>
      <c r="R336" s="3" t="inlineStr">
        <is>
          <t>No dependent function — it reads its inputs and answers</t>
        </is>
      </c>
      <c r="S336" s="3" t="inlineStr">
        <is>
          <t>—</t>
        </is>
      </c>
      <c r="T336" s="3" t="inlineStr">
        <is>
          <t>PERIOD_START_DATE</t>
        </is>
      </c>
      <c r="U336" s="3" t="inlineStr">
        <is>
          <t>ACTIVE</t>
        </is>
      </c>
      <c r="V336" s="3" t="inlineStr">
        <is>
          <t>2026-08-27</t>
        </is>
      </c>
      <c r="W336" s="3" t="n"/>
      <c r="X336" s="3" t="n"/>
      <c r="Y336" s="3" t="inlineStr">
        <is>
          <t>NOTHING OPEN</t>
        </is>
      </c>
    </row>
    <row r="337" ht="60" customHeight="1">
      <c r="A337" s="3" t="inlineStr">
        <is>
          <t>MK-PF-F-009</t>
        </is>
      </c>
      <c r="B337" s="3" t="inlineStr">
        <is>
          <t>latestClose</t>
        </is>
      </c>
      <c r="C337" s="3" t="inlineStr">
        <is>
          <t>src/domain/performance/index.ts</t>
        </is>
      </c>
      <c r="D337" s="3" t="n">
        <v>535</v>
      </c>
      <c r="E337" s="3" t="inlineStr">
        <is>
          <t>2 · DISPLAYED</t>
        </is>
      </c>
      <c r="F337" s="3" t="inlineStr">
        <is>
          <t>What is the most recent price we hold for this?</t>
        </is>
      </c>
      <c r="G337" s="11" t="inlineStr">
        <is>
          <t>latest close = the last point in the price series
             = nothing   when the series is empty</t>
        </is>
      </c>
      <c r="H337" s="3" t="inlineStr">
        <is>
          <t>The most recent closing price held for a ticker. It carries no date with it, so nothing downstream can tell a price from this morning from one three weeks old.</t>
        </is>
      </c>
      <c r="I337" s="3" t="inlineStr">
        <is>
          <t>READ BY HAND 2026-08-26 — checked line by line against the code</t>
        </is>
      </c>
      <c r="J337" s="3" t="inlineStr">
        <is>
          <t>series: PriceSeries | null | undefined</t>
        </is>
      </c>
      <c r="K337" s="3" t="inlineStr">
        <is>
          <t>number | null</t>
        </is>
      </c>
      <c r="L337" s="3" t="inlineStr">
        <is>
          <t>NOT FOUND — a screen calls it, but the words printed beside its answer could not be traced automatically. Needs reading.</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PRICE_LATEST</t>
        </is>
      </c>
      <c r="U337" s="3" t="inlineStr">
        <is>
          <t>ACTIVE</t>
        </is>
      </c>
      <c r="V337" s="3" t="inlineStr">
        <is>
          <t>2026-09-08</t>
        </is>
      </c>
      <c r="W337" s="3" t="n"/>
      <c r="X337" s="3" t="n"/>
      <c r="Y337" s="3" t="inlineStr">
        <is>
          <t>NOTHING OPEN</t>
        </is>
      </c>
    </row>
    <row r="338" ht="60" customHeight="1">
      <c r="A338" s="3" t="inlineStr">
        <is>
          <t>MK-PF-F-010</t>
        </is>
      </c>
      <c r="B338" s="3" t="inlineStr">
        <is>
          <t>periodReturn</t>
        </is>
      </c>
      <c r="C338" s="3" t="inlineStr">
        <is>
          <t>src/domain/performance/index.ts</t>
        </is>
      </c>
      <c r="D338" s="3" t="n">
        <v>568</v>
      </c>
      <c r="E338" s="3" t="inlineStr">
        <is>
          <t>3 · DEPENDENT</t>
        </is>
      </c>
      <c r="F338" s="3" t="inlineStr">
        <is>
          <t>Price return of a ticker over a period (decimal).</t>
        </is>
      </c>
      <c r="G338"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(end ÷ start)^(1 ÷ 2) − 1   when period = '2Y'
the answer = raw</t>
        </is>
      </c>
      <c r="H338"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When period = '2Y', it answers (end divided by start)^(1 divided by 2) minus 1. The answer is raw.</t>
        </is>
      </c>
      <c r="I338" s="3" t="inlineStr">
        <is>
          <t>READ FROM THE CODE — rendered from the expressions the function runs</t>
        </is>
      </c>
      <c r="J338" s="3" t="inlineStr">
        <is>
          <t>1. series: PriceSeries | null | undefined
2. period: Period
3. now = new Date()</t>
        </is>
      </c>
      <c r="K338" s="3" t="inlineStr">
        <is>
          <t>number | null</t>
        </is>
      </c>
      <c r="L338" s="3" t="inlineStr">
        <is>
          <t>—</t>
        </is>
      </c>
      <c r="M338" s="3" t="inlineStr">
        <is>
          <t>· Uses today's date from the device clock, so the answer changes by itself overnight.</t>
        </is>
      </c>
      <c r="N338" s="3" t="inlineStr">
        <is>
          <t>Yes</t>
        </is>
      </c>
      <c r="O338" s="3" t="inlineStr">
        <is>
          <t>1. MK-PF-F-029 closeAsOf
2. MK-PF-F-009 latestClose
3. MK-PF-F-008 startDateFor</t>
        </is>
      </c>
      <c r="P338" s="3" t="n">
        <v>3</v>
      </c>
      <c r="Q338" s="3" t="inlineStr">
        <is>
          <t>1. MK-PF-F-029 closeAsOf
2. MK-PF-F-009 latestClose
3. MK-PF-F-008 startDateFor</t>
        </is>
      </c>
      <c r="R338" s="3" t="inlineStr">
        <is>
          <t>1. MK-PF-F-029 closeAsOf → MK-PF-F-010 periodReturn
2. MK-PF-F-009 latestClose → MK-PF-F-010 periodReturn
3. MK-PF-F-008 startDateFor → MK-PF-F-010 periodReturn</t>
        </is>
      </c>
      <c r="S338" s="3" t="inlineStr">
        <is>
          <t>—</t>
        </is>
      </c>
      <c r="T338" s="3" t="inlineStr">
        <is>
          <t>PERIOD_RETURN</t>
        </is>
      </c>
      <c r="U338" s="3" t="inlineStr">
        <is>
          <t>ACTIVE</t>
        </is>
      </c>
      <c r="V338" s="3" t="inlineStr">
        <is>
          <t>2026-09-09</t>
        </is>
      </c>
      <c r="W338" s="3" t="n"/>
      <c r="X338" s="3" t="n"/>
      <c r="Y338" s="3" t="inlineStr">
        <is>
          <t>NOTHING OPEN</t>
        </is>
      </c>
    </row>
    <row r="339" ht="60" customHeight="1">
      <c r="A339" s="3" t="inlineStr">
        <is>
          <t>MK-PF-F-011</t>
        </is>
      </c>
      <c r="B339" s="3" t="inlineStr">
        <is>
          <t>periodReturnSince</t>
        </is>
      </c>
      <c r="C339" s="3" t="inlineStr">
        <is>
          <t>src/domain/performance/index.ts</t>
        </is>
      </c>
      <c r="D339" s="3" t="n">
        <v>609</v>
      </c>
      <c r="E339" s="3" t="inlineStr">
        <is>
          <t>2 · DISPLAYED</t>
        </is>
      </c>
      <c r="F339" s="3" t="inlineStr">
        <is>
          <t>Price return from an explicit start DATE to now (for purchase-capped windows).</t>
        </is>
      </c>
      <c r="G339"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39"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39" s="3" t="inlineStr">
        <is>
          <t>PARTLY READ — some of the code is still showing through; needs a hand pass</t>
        </is>
      </c>
      <c r="J339" s="3" t="inlineStr">
        <is>
          <t>1. series: PriceSeries | null | undefined
2. sinceISO: string
3. now = new Date()</t>
        </is>
      </c>
      <c r="K339" s="3" t="inlineStr">
        <is>
          <t>number | null</t>
        </is>
      </c>
      <c r="L339" s="3" t="inlineStr">
        <is>
          <t>NOT FOUND — a screen calls it, but the words printed beside its answer could not be traced automatically. Needs reading.</t>
        </is>
      </c>
      <c r="M339" s="3" t="inlineStr">
        <is>
          <t>· Uses today's date from the device clock, so the answer changes by itself overnight.</t>
        </is>
      </c>
      <c r="N339" s="3" t="inlineStr">
        <is>
          <t>Yes</t>
        </is>
      </c>
      <c r="O339" s="3" t="inlineStr">
        <is>
          <t>1. MK-PF-F-029 closeAsOf
2. MK-PF-F-009 latestClose</t>
        </is>
      </c>
      <c r="P339" s="3" t="n">
        <v>2</v>
      </c>
      <c r="Q339" s="3" t="inlineStr">
        <is>
          <t>1. MK-PF-F-029 closeAsOf
2. MK-PF-F-009 latestClose</t>
        </is>
      </c>
      <c r="R339" s="3" t="inlineStr">
        <is>
          <t>1. MK-PF-F-029 closeAsOf → MK-PF-F-011 periodReturnSince
2. MK-PF-F-009 latestClose → MK-PF-F-011 periodReturnSince</t>
        </is>
      </c>
      <c r="S339" s="3" t="inlineStr">
        <is>
          <t>—</t>
        </is>
      </c>
      <c r="T339" s="3" t="inlineStr">
        <is>
          <t>RETURN_SINCE_A_DATE</t>
        </is>
      </c>
      <c r="U339" s="3" t="inlineStr">
        <is>
          <t>ACTIVE</t>
        </is>
      </c>
      <c r="V339" s="3" t="inlineStr">
        <is>
          <t>2026-09-26</t>
        </is>
      </c>
      <c r="W339" s="3" t="n"/>
      <c r="X339" s="3" t="n"/>
      <c r="Y339" s="3" t="inlineStr">
        <is>
          <t>NOTHING OPEN</t>
        </is>
      </c>
    </row>
    <row r="340" ht="60" customHeight="1">
      <c r="A340" s="3" t="inlineStr">
        <is>
          <t>MK-PF-F-012</t>
        </is>
      </c>
      <c r="B340" s="3" t="inlineStr">
        <is>
          <t>earliestPurchaseDate</t>
        </is>
      </c>
      <c r="C340" s="3" t="inlineStr">
        <is>
          <t>src/domain/performance/index.ts</t>
        </is>
      </c>
      <c r="D340" s="3" t="n">
        <v>640</v>
      </c>
      <c r="E340" s="3" t="inlineStr">
        <is>
          <t>3 · DEPENDENT</t>
        </is>
      </c>
      <c r="F340" s="3" t="inlineStr">
        <is>
          <t>Earliest dated lot — the day this holding became YOUR money.</t>
        </is>
      </c>
      <c r="G340" s="11" t="inlineStr">
        <is>
          <t>dates = for each of lots (or none when missing): purchase date where ÷ ^\each{4}-\each{2}-\each{2} ÷ .test(each ?? '')
the answer:
the first 10 of dates.sort()[0]!   if count of dates
nothing   otherwise</t>
        </is>
      </c>
      <c r="H340" s="3" t="inlineStr">
        <is>
          <t>Dates is for each of lots (or none — when missing): purchase date where divided by ^\each{4}-\each{2}-\each{2} divided by .test(each ?? ''). The answer: the first 10 of dates.sort()[0]! — when how many dates there are; no answer — otherwise.</t>
        </is>
      </c>
      <c r="I340" s="3" t="inlineStr">
        <is>
          <t>PARTLY READ — some of the code is still showing through; needs a hand pass</t>
        </is>
      </c>
      <c r="J340" s="3" t="inlineStr">
        <is>
          <t>p: Position</t>
        </is>
      </c>
      <c r="K340" s="3" t="inlineStr">
        <is>
          <t>string | null</t>
        </is>
      </c>
      <c r="L340" s="3" t="inlineStr">
        <is>
          <t>—</t>
        </is>
      </c>
      <c r="M340" s="3" t="inlineStr">
        <is>
          <t>None found in this function — anything it assumes comes from the functions it depends on.</t>
        </is>
      </c>
      <c r="N340" s="3" t="inlineStr">
        <is>
          <t>Yes</t>
        </is>
      </c>
      <c r="O340" s="3" t="inlineStr">
        <is>
          <t>MK-CF-F-132 map</t>
        </is>
      </c>
      <c r="P340" s="3" t="n">
        <v>1</v>
      </c>
      <c r="Q340" s="3" t="inlineStr">
        <is>
          <t>MK-CF-F-132 map</t>
        </is>
      </c>
      <c r="R340" s="3" t="inlineStr">
        <is>
          <t>MK-CF-F-132 map → MK-PF-F-012 earliestPurchaseDate</t>
        </is>
      </c>
      <c r="S340" s="3" t="inlineStr">
        <is>
          <t>—</t>
        </is>
      </c>
      <c r="T340" s="3" t="inlineStr">
        <is>
          <t>HOLDING_FIRST_BOUGHT</t>
        </is>
      </c>
      <c r="U340" s="3" t="inlineStr">
        <is>
          <t>ACTIVE</t>
        </is>
      </c>
      <c r="V340" s="3" t="inlineStr">
        <is>
          <t>2026-08-27</t>
        </is>
      </c>
      <c r="W340" s="3" t="n"/>
      <c r="X340" s="3" t="n"/>
      <c r="Y340" s="3" t="inlineStr">
        <is>
          <t>NOTHING OPEN</t>
        </is>
      </c>
    </row>
    <row r="341" ht="60" customHeight="1">
      <c r="A341" s="3" t="inlineStr">
        <is>
          <t>MK-PF-F-013</t>
        </is>
      </c>
      <c r="B341" s="3" t="inlineStr">
        <is>
          <t>benchmarkTicker</t>
        </is>
      </c>
      <c r="C341" s="3" t="inlineStr">
        <is>
          <t>src/domain/performance/index.ts</t>
        </is>
      </c>
      <c r="D341" s="3" t="n">
        <v>690</v>
      </c>
      <c r="E341" s="3" t="inlineStr">
        <is>
          <t>2 · DISPLAYED</t>
        </is>
      </c>
      <c r="F341" s="3" t="inlineStr">
        <is>
          <t>What should this holding be compared against?</t>
        </is>
      </c>
      <c r="G341" s="11" t="inlineStr">
        <is>
          <t>BENCHMARK_TICKER[kind ?? ''] (or 'SPY' when missing)</t>
        </is>
      </c>
      <c r="H341" s="3" t="inlineStr">
        <is>
          <t>BENCHMARK_TICKER[kind ?? ''] (or 'SPY' — when missing).</t>
        </is>
      </c>
      <c r="I341" s="3" t="inlineStr">
        <is>
          <t>PARTLY READ — some of the code is still showing through; needs a hand pass</t>
        </is>
      </c>
      <c r="J341" s="3" t="inlineStr">
        <is>
          <t>kind?: string</t>
        </is>
      </c>
      <c r="K341" s="3" t="inlineStr">
        <is>
          <t>string</t>
        </is>
      </c>
      <c r="L341" s="3" t="inlineStr">
        <is>
          <t>1. "Name (optional)" — on the Performance screen
2. "You are" — on the Holding detail screen, under "VS THE STOCK MARKET
3. SAME DATES"</t>
        </is>
      </c>
      <c r="M341" s="3" t="inlineStr">
        <is>
          <t>None found in this function — anything it assumes comes from the functions it depends on.</t>
        </is>
      </c>
      <c r="N341" s="3" t="inlineStr">
        <is>
          <t>Yes</t>
        </is>
      </c>
      <c r="O341" s="3" t="inlineStr">
        <is>
          <t>MK-ST-F-053 money</t>
        </is>
      </c>
      <c r="P341" s="3" t="n">
        <v>6</v>
      </c>
      <c r="Q341" s="3" t="inlineStr">
        <is>
          <t>1. MK-ST-F-053 money
2. MK-ST-F-049 formatMoney
3. MK-XS-F-122 n
4. MK-ST-F-048 currencySymbol
5. MK-ST-F-039 on
6. MK-ST-F-047 activeCurrency</t>
        </is>
      </c>
      <c r="R341"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41" s="3" t="inlineStr">
        <is>
          <t>—</t>
        </is>
      </c>
      <c r="T341" s="3" t="inlineStr">
        <is>
          <t>BENCHMARK_FOR_KIND</t>
        </is>
      </c>
      <c r="U341" s="3" t="inlineStr">
        <is>
          <t>ACTIVE</t>
        </is>
      </c>
      <c r="V341" s="3" t="inlineStr">
        <is>
          <t>2026-08-27</t>
        </is>
      </c>
      <c r="W341" s="3" t="n"/>
      <c r="X341" s="3" t="n"/>
      <c r="Y341" s="3" t="inlineStr">
        <is>
          <t>NOTHING OPEN</t>
        </is>
      </c>
    </row>
    <row r="342" ht="60" customHeight="1">
      <c r="A342" s="3" t="inlineStr">
        <is>
          <t>MK-PF-F-014</t>
        </is>
      </c>
      <c r="B342" s="3" t="inlineStr">
        <is>
          <t>buildPerformance</t>
        </is>
      </c>
      <c r="C342" s="3" t="inlineStr">
        <is>
          <t>src/domain/performance/index.ts</t>
        </is>
      </c>
      <c r="D342" s="3" t="n">
        <v>742</v>
      </c>
      <c r="E342" s="3" t="inlineStr">
        <is>
          <t>2 · DISPLAYED</t>
        </is>
      </c>
      <c r="F342" s="3" t="inlineStr">
        <is>
          <t>Build the per-holding rows for a period from positions + a price-series lookup.</t>
        </is>
      </c>
      <c r="G342"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42"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NOT FOUND — a screen calls it, but the words printed beside its answer could not be traced automatically. Needs reading.</t>
        </is>
      </c>
      <c r="M342" s="3" t="inlineStr">
        <is>
          <t>· Uses today's date from the device clock, so the answer changes by itself overnight.</t>
        </is>
      </c>
      <c r="N342" s="3" t="inlineStr">
        <is>
          <t>Yes</t>
        </is>
      </c>
      <c r="O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42" s="3" t="n">
        <v>116</v>
      </c>
      <c r="Q342"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MK-CF-F-204 line
19. MK-ST-F-048 currencySymbol
20. MK-ST-F-039 on
21. MK-CF-F-203 MONTH
22. MK-XS-F-180 declareFigures
23. MK-ST-F-047 activeCurrency
24. MK-CF-O-010 theMonth
25. MK-CF-F-155 cash
26. MK-CF-O-002 expenses
27. MK-CF-O-003 thisMonth
28. MK-CF-F-151 actualSpending
29. MK-CF-F-150 debtPaymentsCountedAsExpenses
30. MK-CF-F-153 radar
31. MK-CF-F-149 recurringDebtPayments
32. MK-CF-F-005 actualMonthFlow
33. MK-CF-F-156 plannedMonthFlow
34. MK-CF-F-148 inMonth
35. MK-ST-F-052 toNum
36. MK-CF-F-191 ym
37. MK-ST-F-056 has
38. MK-CF-F-022 paymentShape
39. MK-CF-F-152 isRadarItem
40. MK-CF-F-023 requiredPayment
41. MK-NW-F-078 ONE
42. MK-CF-F-157 debtPaymentsByDebt
43. MK-CF-F-192 inflowLabel
44. MK-XS-F-027 takeHomeMonthly
45. MK-CF-F-021 defaultPaymentType
46. MK-NW-F-077 ALL
47. MK-NW-F-059 currentYield
48. MK-NW-O-001 theBonds
49. MK-CF-F-193 inflowSourceWord
50. MK-CF-F-092 incomeMonthlyGrid
51. MK-CF-F-011 savingsByMonth
52. MK-NW-F-057 annualCoupon
53. MK-ST-F-027 accountId
54. MK-NW-F-056 bondInfo
55. MK-NW-F-064 bondRateSensitivity
56. MK-NW-F-061 bondSummary
57. MK-NW-F-055 isBond
58. MK-NW-F-072 rowOf
59. MK-CF-F-069 benefitActiveMonths
60. MK-CF-F-072 currentRetirementIncomeMonthly
61. MK-CF-F-065 equityVestWeights
62. MK-CF-F-071 extraIncome
63. MK-CF-F-206 householdK401ByMonth
64. MK-CF-F-087 monthlyTaxRates
65. MK-CF-F-073 otherIncomeMonth
66. MK-CF-F-181 rateInForce
67. MK-CF-F-068 rentalNetAnnual
68. MK-CF-F-066 rsuAnnual
69. MK-CF-F-060 salaryGrossByMonth
70. MK-CF-F-077 scholarshipByCalendarMonth
71. MK-CF-F-088 taxableByCalendarMonth
72. MK-PL-F-012 waterfall
73. MK-CF-F-008 spendByMonth
74. MK-NW-F-060 approxYTM
75. MK-NW-F-069 priceAtYield
76. MK-NW-F-011 assetClassOf
77. MK-NW-F-070 accruedInterestCaveat
78. MK-NW-F-071 isCertificateOfDeposit
79. MK-NW-F-058 yearsToMaturity
80. MK-CF-F-075 retirementIncomeMonthly
81. MK-CF-F-062 equityRowValue
82. MK-CF-F-070 benefitAnnual
83. MK-CF-F-176 sumMonthsOverEarners
84. MK-CF-F-177 wageGrossByMonth
85. MK-CF-F-090 effectiveRate
86. MK-CF-F-085 filingStatusOf
87. MK-CF-F-089 over65CountOf
88. MK-CF-F-098 progressiveMonthlyTax
89. MK-CF-F-086 stateRateOf
90. MK-CF-F-173 earnerWages
91. MK-CF-F-102 effectiveRateOnGrossFor
92. MK-CF-F-180 enteredLandsAnnual
93. MK-CF-F-082 salaryAnnual
94. MK-CF-F-084 taxableAnnual
95. MK-CF-F-067 rentalList
96. MK-CF-F-063 rowVestYear
97. MK-CF-F-120 pctBaseMonthly
98. MK-CF-F-004 spendBuckets
99. MK-NW-F-008 incomeBearingClassOf
100. MK-CF-F-130 enteredMonthlyRaw
101. MK-CF-F-166 hasMonthlySalaryTable
102. MK-ST-F-036 reconcile
103. MK-CF-F-167 salaryCalendarYear
104. MK-CF-F-101 taxOwedFor
105. MK-CF-F-100 taxableIncomeFor
106. MK-CF-F-172 hasWage
107. MK-CF-F-074 tipsAnnual
108. MK-CF-F-003 categoryMonthly
109. MK-ST-F-010 nameEvidence
110. MK-CF-F-165 salaryMonths
111. MK-CF-F-099 deductionFor
112. MK-CF-F-081 salaryActiveMonths
113. MK-XS-F-147 call
114. MK-CF-F-187 seniorDeductionFor
115. MK-XS-F-064 currentIdToken
116. MK-XS-F-112 relayUrl</t>
        </is>
      </c>
      <c r="R342"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42" s="3" t="inlineStr">
        <is>
          <t>—</t>
        </is>
      </c>
      <c r="T342" s="3" t="inlineStr">
        <is>
          <t>PERFORMANCE_TABLE</t>
        </is>
      </c>
      <c r="U342" s="3" t="inlineStr">
        <is>
          <t>ACTIVE</t>
        </is>
      </c>
      <c r="V342" s="3" t="inlineStr">
        <is>
          <t>2026-08-27</t>
        </is>
      </c>
      <c r="W342" s="3" t="n"/>
      <c r="X342" s="3" t="n"/>
      <c r="Y342" s="3" t="inlineStr">
        <is>
          <t>NOTHING OPEN</t>
        </is>
      </c>
    </row>
    <row r="343" ht="60" customHeight="1">
      <c r="A343" s="3" t="inlineStr">
        <is>
          <t>MK-PF-F-015</t>
        </is>
      </c>
      <c r="B343" s="3" t="inlineStr">
        <is>
          <t>topHoldingConcentration</t>
        </is>
      </c>
      <c r="C343" s="3" t="inlineStr">
        <is>
          <t>src/domain/performance/index.ts</t>
        </is>
      </c>
      <c r="D343" s="3" t="n">
        <v>800</v>
      </c>
      <c r="E343" s="3" t="inlineStr">
        <is>
          <t>2 · DISPLAYED</t>
        </is>
      </c>
      <c r="F343" s="3" t="inlineStr">
        <is>
          <t>The holding-concentration FACT (Invest main + the insights function share this one rule): the largest single holding as a % of invested money, reported only at 25%+ with 2+ holdings — below that it isn't a fact worth a card.</t>
        </is>
      </c>
      <c r="G343"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43"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43" s="3" t="inlineStr">
        <is>
          <t>PARTLY READ — some of the code is still showing through; needs a hand pass</t>
        </is>
      </c>
      <c r="J343" s="3" t="inlineStr">
        <is>
          <t>rows: PerformanceRow[]</t>
        </is>
      </c>
      <c r="K343" s="3" t="inlineStr">
        <is>
          <t>NOT DECLARED — the code does not say what it gives back</t>
        </is>
      </c>
      <c r="L343" s="3" t="inlineStr">
        <is>
          <t>NOT FOUND — a screen calls it, but the words printed beside its answer could not be traced automatically. Needs reading.</t>
        </is>
      </c>
      <c r="M343" s="3" t="inlineStr">
        <is>
          <t>· Rounds the answer to a whole number.</t>
        </is>
      </c>
      <c r="N343" s="3" t="inlineStr">
        <is>
          <t>Yes</t>
        </is>
      </c>
      <c r="O343" s="3" t="inlineStr">
        <is>
          <t>MK-PF-F-004 marketValue</t>
        </is>
      </c>
      <c r="P343" s="3" t="n">
        <v>3</v>
      </c>
      <c r="Q343" s="3" t="inlineStr">
        <is>
          <t>1. MK-PF-F-004 marketValue
2. MK-PF-F-031 contractMultiplier
3. MK-PF-F-001 totalShares</t>
        </is>
      </c>
      <c r="R343" s="3" t="inlineStr">
        <is>
          <t>1. MK-PF-F-031 contractMultiplier → MK-PF-F-004 marketValue → MK-PF-F-015 topHoldingConcentration
2. MK-PF-F-001 totalShares → MK-PF-F-004 marketValue → MK-PF-F-015 topHoldingConcentration</t>
        </is>
      </c>
      <c r="S343" s="3" t="inlineStr">
        <is>
          <t>—</t>
        </is>
      </c>
      <c r="T343" s="3" t="inlineStr">
        <is>
          <t>CONCENTRATION</t>
        </is>
      </c>
      <c r="U343" s="3" t="inlineStr">
        <is>
          <t>ACTIVE</t>
        </is>
      </c>
      <c r="V343" s="3" t="inlineStr">
        <is>
          <t>2026-08-27</t>
        </is>
      </c>
      <c r="W343" s="3" t="n"/>
      <c r="X343" s="3" t="n"/>
      <c r="Y343" s="3" t="inlineStr">
        <is>
          <t>NOTHING OPEN</t>
        </is>
      </c>
    </row>
    <row r="344" ht="60" customHeight="1">
      <c r="A344" s="3" t="inlineStr">
        <is>
          <t>MK-PF-F-016</t>
        </is>
      </c>
      <c r="B344" s="3" t="inlineStr">
        <is>
          <t>attribution</t>
        </is>
      </c>
      <c r="C344" s="3" t="inlineStr">
        <is>
          <t>src/domain/performance/index.ts</t>
        </is>
      </c>
      <c r="D344" s="3" t="n">
        <v>826</v>
      </c>
      <c r="E344" s="3" t="inlineStr">
        <is>
          <t>3 · DEPENDENT (feeds an action only)</t>
        </is>
      </c>
      <c r="F344" s="3" t="inlineStr">
        <is>
          <t>Per-holding contribution to the portfolio's period return = weight × the holding's return (pts).</t>
        </is>
      </c>
      <c r="G344" s="11" t="inlineStr">
        <is>
          <t>total = Σ over rows of (market value)
[]   when total ≤ 0</t>
        </is>
      </c>
      <c r="H344" s="3" t="inlineStr">
        <is>
          <t>Total: the market value added up across rows. When total is at most 0, it answers [].</t>
        </is>
      </c>
      <c r="I344" s="3" t="inlineStr">
        <is>
          <t>READ FROM THE CODE — rendered from the expressions the function runs</t>
        </is>
      </c>
      <c r="J344" s="3" t="inlineStr">
        <is>
          <t>rows: PerformanceRow[]</t>
        </is>
      </c>
      <c r="K344" s="3" t="inlineStr">
        <is>
          <t>NOT DECLARED — the code does not say what it gives back</t>
        </is>
      </c>
      <c r="L344" s="3" t="inlineStr">
        <is>
          <t>—</t>
        </is>
      </c>
      <c r="M344" s="3" t="inlineStr">
        <is>
          <t>None found in this function — anything it assumes comes from the functions it depends on.</t>
        </is>
      </c>
      <c r="N344" s="3" t="inlineStr">
        <is>
          <t>No</t>
        </is>
      </c>
      <c r="O344" s="3" t="inlineStr">
        <is>
          <t>1. MK-CF-F-132 map
2. MK-PF-F-004 marketValue</t>
        </is>
      </c>
      <c r="P344" s="3" t="n">
        <v>4</v>
      </c>
      <c r="Q344" s="3" t="inlineStr">
        <is>
          <t>1. MK-CF-F-132 map
2. MK-PF-F-004 marketValue
3. MK-PF-F-031 contractMultiplier
4. MK-PF-F-001 totalShares</t>
        </is>
      </c>
      <c r="R344" s="3" t="inlineStr">
        <is>
          <t>1. MK-CF-F-132 map → MK-PF-F-016 attribution
2. MK-PF-F-031 contractMultiplier → MK-PF-F-004 marketValue → MK-PF-F-016 attribution
3. MK-PF-F-001 totalShares → MK-PF-F-004 marketValue → MK-PF-F-016 attribution</t>
        </is>
      </c>
      <c r="S344" s="3" t="inlineStr">
        <is>
          <t>—</t>
        </is>
      </c>
      <c r="T344" s="3" t="inlineStr">
        <is>
          <t>WHAT_DROVE_THE_RETURN</t>
        </is>
      </c>
      <c r="U344" s="3" t="inlineStr">
        <is>
          <t>ACTIVE</t>
        </is>
      </c>
      <c r="V344" s="3" t="inlineStr">
        <is>
          <t>2026-09-25</t>
        </is>
      </c>
      <c r="W344" s="3" t="n"/>
      <c r="X344" s="3" t="n"/>
      <c r="Y344" s="3" t="inlineStr">
        <is>
          <t>NOTHING OPEN</t>
        </is>
      </c>
    </row>
    <row r="345" ht="60" customHeight="1">
      <c r="A345" s="3" t="inlineStr">
        <is>
          <t>MK-PF-F-017</t>
        </is>
      </c>
      <c r="B345" s="3" t="inlineStr">
        <is>
          <t>allocation</t>
        </is>
      </c>
      <c r="C345" s="3" t="inlineStr">
        <is>
          <t>src/domain/performance/index.ts</t>
        </is>
      </c>
      <c r="D345" s="3" t="n">
        <v>862</v>
      </c>
      <c r="E345" s="3" t="inlineStr">
        <is>
          <t>3 · DEPENDENT (feeds an action only)</t>
        </is>
      </c>
      <c r="F345" s="3" t="inlineStr">
        <is>
          <t>How is my invested money spread?</t>
        </is>
      </c>
      <c r="G345" s="11" t="inlineStr">
        <is>
          <t>by kind = {}
total = Σ over object.values(by kind) of (each)+ max(0, cash)
[]   when total ≤ 0
slices = for each of object.entries(by kind): [key, v]) =&gt; ({ key, value: (v), pct: math.round((v ÷ total) × 1000) ÷ 10 }
the answer = slices.sort((a, b) =&gt; value − value)</t>
        </is>
      </c>
      <c r="H345"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45" s="3" t="inlineStr">
        <is>
          <t>PARTLY READ — some of the code is still showing through; needs a hand pass</t>
        </is>
      </c>
      <c r="J345" s="3" t="inlineStr">
        <is>
          <t>1. rows: PerformanceRow[]
2. cash = 0</t>
        </is>
      </c>
      <c r="K345" s="3" t="inlineStr">
        <is>
          <t>AllocSlice[]</t>
        </is>
      </c>
      <c r="L345" s="3" t="inlineStr">
        <is>
          <t>—</t>
        </is>
      </c>
      <c r="M345" s="3" t="inlineStr">
        <is>
          <t>1. If by kind[k] is missing it counts as zero, so nothing recorded and a real zero look the same.
2. Never lets cash fall below 0.</t>
        </is>
      </c>
      <c r="N345" s="3" t="inlineStr">
        <is>
          <t>No</t>
        </is>
      </c>
      <c r="O345" s="3" t="inlineStr">
        <is>
          <t>1. MK-CF-F-155 cash
2. MK-CF-F-132 map</t>
        </is>
      </c>
      <c r="P345" s="3" t="n">
        <v>3</v>
      </c>
      <c r="Q345" s="3" t="inlineStr">
        <is>
          <t>1. MK-CF-F-155 cash
2. MK-CF-F-132 map
3. MK-XS-F-122 n</t>
        </is>
      </c>
      <c r="R345" s="3" t="inlineStr">
        <is>
          <t>1. MK-XS-F-122 n → MK-CF-F-155 cash → MK-PF-F-017 allocation
2. MK-CF-F-132 map → MK-PF-F-017 allocation</t>
        </is>
      </c>
      <c r="S345" s="3" t="inlineStr">
        <is>
          <t>—</t>
        </is>
      </c>
      <c r="T345" s="3" t="inlineStr">
        <is>
          <t>ALLOCATION_BY_HOLDING_KIND</t>
        </is>
      </c>
      <c r="U345" s="3" t="inlineStr">
        <is>
          <t>ACTIVE</t>
        </is>
      </c>
      <c r="V345" s="3" t="inlineStr">
        <is>
          <t>2026-09-25</t>
        </is>
      </c>
      <c r="W345" s="3" t="n"/>
      <c r="X345" s="3" t="n"/>
      <c r="Y345" s="3" t="inlineStr">
        <is>
          <t>NOTHING OPEN</t>
        </is>
      </c>
    </row>
    <row r="346" ht="60" customHeight="1">
      <c r="A346" s="3" t="inlineStr">
        <is>
          <t>MK-PF-F-018</t>
        </is>
      </c>
      <c r="B346" s="3" t="inlineStr">
        <is>
          <t>portfolioTrend</t>
        </is>
      </c>
      <c r="C346" s="3" t="inlineStr">
        <is>
          <t>src/domain/performance/index.ts</t>
        </is>
      </c>
      <c r="D346" s="3" t="n">
        <v>907</v>
      </c>
      <c r="E346" s="3" t="inlineStr">
        <is>
          <t>3 · DEPENDENT (feeds an action only)</t>
        </is>
      </c>
      <c r="F346" s="3" t="inlineStr">
        <is>
          <t>How has my portfolio moved over the period, against its benchmark?</t>
        </is>
      </c>
      <c r="G346"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46"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t>
        </is>
      </c>
      <c r="M346" s="3" t="inlineStr">
        <is>
          <t>1. Uses a built-in n of 12.
2. Uses today's date from the device clock, so the answer changes by itself overnight.</t>
        </is>
      </c>
      <c r="N346" s="3" t="inlineStr">
        <is>
          <t>No</t>
        </is>
      </c>
      <c r="O346" s="3" t="inlineStr">
        <is>
          <t>1. MK-PF-F-029 closeAsOf
2. MK-CF-F-132 map
3. MK-PF-F-008 startDateFor
4. MK-PF-F-001 totalShares</t>
        </is>
      </c>
      <c r="P346" s="3" t="n">
        <v>4</v>
      </c>
      <c r="Q346" s="3" t="inlineStr">
        <is>
          <t>1. MK-PF-F-029 closeAsOf
2. MK-CF-F-132 map
3. MK-PF-F-008 startDateFor
4. MK-PF-F-001 totalShares</t>
        </is>
      </c>
      <c r="R346" s="3" t="inlineStr">
        <is>
          <t>1. MK-PF-F-029 closeAsOf → MK-PF-F-018 portfolioTrend
2. MK-CF-F-132 map → MK-PF-F-018 portfolioTrend
3. MK-PF-F-008 startDateFor → MK-PF-F-018 portfolioTrend
4. MK-PF-F-001 totalShares → MK-PF-F-018 portfolioTrend</t>
        </is>
      </c>
      <c r="S346" s="3" t="inlineStr">
        <is>
          <t>—</t>
        </is>
      </c>
      <c r="T346" s="3" t="inlineStr">
        <is>
          <t>PORTFOLIO_TREND_LINE</t>
        </is>
      </c>
      <c r="U346" s="3" t="inlineStr">
        <is>
          <t>ACTIVE</t>
        </is>
      </c>
      <c r="V346" s="3" t="inlineStr">
        <is>
          <t>2026-09-25</t>
        </is>
      </c>
      <c r="W346" s="3" t="n"/>
      <c r="X346" s="3" t="n"/>
      <c r="Y346" s="3" t="inlineStr">
        <is>
          <t>NOTHING OPEN</t>
        </is>
      </c>
    </row>
    <row r="347" ht="60" customHeight="1">
      <c r="A347" s="3" t="inlineStr">
        <is>
          <t>MK-PF-F-019</t>
        </is>
      </c>
      <c r="B347" s="3" t="inlineStr">
        <is>
          <t>portfolioPeriodReturn</t>
        </is>
      </c>
      <c r="C347" s="3" t="inlineStr">
        <is>
          <t>src/domain/performance/index.ts</t>
        </is>
      </c>
      <c r="D347" s="3" t="n">
        <v>954</v>
      </c>
      <c r="E347" s="3" t="inlineStr">
        <is>
          <t>3 · DEPENDENT (feeds an action only)</t>
        </is>
      </c>
      <c r="F347" s="3" t="inlineStr">
        <is>
          <t>Value-weighted portfolio period return across holdings that have one (decimal), or null.</t>
        </is>
      </c>
      <c r="G347" s="11" t="inlineStr">
        <is>
          <t>usable = rows where period return ≠ nothing and market value &gt; 0
total = Σ over usable of (market value)
nothing   when total ≤ 0
the answer = Σ over usable of ((period return as number) × market value)÷ total</t>
        </is>
      </c>
      <c r="H347"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47" s="3" t="inlineStr">
        <is>
          <t>READ FROM THE CODE — rendered from the expressions the function runs</t>
        </is>
      </c>
      <c r="J347" s="3" t="inlineStr">
        <is>
          <t>rows: PerformanceRow[]</t>
        </is>
      </c>
      <c r="K347" s="3" t="inlineStr">
        <is>
          <t>number | null</t>
        </is>
      </c>
      <c r="L347" s="3" t="inlineStr">
        <is>
          <t>—</t>
        </is>
      </c>
      <c r="M347" s="3" t="inlineStr">
        <is>
          <t>· Second verification G18, 2026-09-08: this is the value-weighted average of holding returns, not a Dietz return.</t>
        </is>
      </c>
      <c r="N347" s="3" t="inlineStr">
        <is>
          <t>No</t>
        </is>
      </c>
      <c r="O347" s="3" t="inlineStr">
        <is>
          <t>MK-PF-F-004 marketValue</t>
        </is>
      </c>
      <c r="P347" s="3" t="n">
        <v>3</v>
      </c>
      <c r="Q347" s="3" t="inlineStr">
        <is>
          <t>1. MK-PF-F-004 marketValue
2. MK-PF-F-031 contractMultiplier
3. MK-PF-F-001 totalShares</t>
        </is>
      </c>
      <c r="R347" s="3" t="inlineStr">
        <is>
          <t>1. MK-PF-F-031 contractMultiplier → MK-PF-F-004 marketValue → MK-PF-F-019 portfolioPeriodReturn
2. MK-PF-F-001 totalShares → MK-PF-F-004 marketValue → MK-PF-F-019 portfolioPeriodReturn</t>
        </is>
      </c>
      <c r="S347" s="3" t="inlineStr">
        <is>
          <t>—</t>
        </is>
      </c>
      <c r="T347" s="3" t="inlineStr">
        <is>
          <t>VALUE_WEIGHTED_RETURN</t>
        </is>
      </c>
      <c r="U347" s="3" t="inlineStr">
        <is>
          <t>ACTIVE</t>
        </is>
      </c>
      <c r="V347" s="3" t="inlineStr">
        <is>
          <t>2026-09-30</t>
        </is>
      </c>
      <c r="W347" s="3" t="n"/>
      <c r="X347" s="3" t="n"/>
      <c r="Y347" s="6" t="inlineStr">
        <is>
          <t>TESTED, NOT VERIFIED (C1, G18)</t>
        </is>
      </c>
    </row>
    <row r="348" ht="60" customHeight="1">
      <c r="A348" s="3" t="inlineStr">
        <is>
          <t>MK-PF-F-020</t>
        </is>
      </c>
      <c r="B348" s="3" t="inlineStr">
        <is>
          <t>portfolioBenchReturn</t>
        </is>
      </c>
      <c r="C348" s="3" t="inlineStr">
        <is>
          <t>src/domain/performance/index.ts</t>
        </is>
      </c>
      <c r="D348" s="3" t="n">
        <v>985</v>
      </c>
      <c r="E348" s="3" t="inlineStr">
        <is>
          <t>2 · DISPLAYED</t>
        </is>
      </c>
      <c r="F348" s="3" t="inlineStr">
        <is>
          <t>Value-weighted benchmark ("the market, matched to your mix") return across holdings that have one (decimal), or null.</t>
        </is>
      </c>
      <c r="G348" s="11" t="inlineStr">
        <is>
          <t>usable = rows where bench return ≠ nothing and market value &gt; 0
total = Σ over usable of (market value)
nothing   when total ≤ 0
the answer = Σ over usable of ((bench return as number) × market value)÷ total</t>
        </is>
      </c>
      <c r="H348"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48" s="3" t="inlineStr">
        <is>
          <t>READ FROM THE CODE — rendered from the expressions the function runs</t>
        </is>
      </c>
      <c r="J348" s="3" t="inlineStr">
        <is>
          <t>rows: PerformanceRow[]</t>
        </is>
      </c>
      <c r="K348" s="3" t="inlineStr">
        <is>
          <t>number | null</t>
        </is>
      </c>
      <c r="L348" s="3" t="inlineStr">
        <is>
          <t>NOT FOUND — a screen calls it, but the words printed beside its answer could not be traced automatically. Needs reading.</t>
        </is>
      </c>
      <c r="M348" s="3" t="inlineStr">
        <is>
          <t>None found in this function — anything it assumes comes from the functions it depends on.</t>
        </is>
      </c>
      <c r="N348" s="3" t="inlineStr">
        <is>
          <t>Yes</t>
        </is>
      </c>
      <c r="O348" s="3" t="inlineStr">
        <is>
          <t>MK-PF-F-004 marketValue</t>
        </is>
      </c>
      <c r="P348" s="3" t="n">
        <v>3</v>
      </c>
      <c r="Q348" s="3" t="inlineStr">
        <is>
          <t>1. MK-PF-F-004 marketValue
2. MK-PF-F-031 contractMultiplier
3. MK-PF-F-001 totalShares</t>
        </is>
      </c>
      <c r="R348" s="3" t="inlineStr">
        <is>
          <t>1. MK-PF-F-031 contractMultiplier → MK-PF-F-004 marketValue → MK-PF-F-020 portfolioBenchReturn
2. MK-PF-F-001 totalShares → MK-PF-F-004 marketValue → MK-PF-F-020 portfolioBenchReturn</t>
        </is>
      </c>
      <c r="S348" s="3" t="inlineStr">
        <is>
          <t>—</t>
        </is>
      </c>
      <c r="T348" s="3" t="inlineStr">
        <is>
          <t>BENCHMARK_RETURN_BLENDED</t>
        </is>
      </c>
      <c r="U348" s="3" t="inlineStr">
        <is>
          <t>ACTIVE</t>
        </is>
      </c>
      <c r="V348" s="3" t="inlineStr">
        <is>
          <t>2026-08-27</t>
        </is>
      </c>
      <c r="W348" s="3" t="n"/>
      <c r="X348" s="3" t="n"/>
      <c r="Y348" s="3" t="inlineStr">
        <is>
          <t>NOTHING OPEN</t>
        </is>
      </c>
    </row>
    <row r="349" ht="60" customHeight="1">
      <c r="A349" s="3" t="inlineStr">
        <is>
          <t>MK-PF-F-021</t>
        </is>
      </c>
      <c r="B349" s="3" t="inlineStr">
        <is>
          <t>periodDollarDelta</t>
        </is>
      </c>
      <c r="C349" s="3" t="inlineStr">
        <is>
          <t>src/domain/performance/index.ts</t>
        </is>
      </c>
      <c r="D349" s="3" t="n">
        <v>1015</v>
      </c>
      <c r="E349" s="3" t="inlineStr">
        <is>
          <t>3 · DEPENDENT (feeds an action only)</t>
        </is>
      </c>
      <c r="F349" s="3" t="inlineStr">
        <is>
          <t>The DOLLAR change implied by a period return on today's total — the approved Home hero shows "up $11,200 (1.4%) this month": dollars AND percent from the SAME measured return, so the two figures can never disagree (one concept, one source).</t>
        </is>
      </c>
      <c r="G349" s="11" t="inlineStr">
        <is>
          <t>0   when !number.is finite(current total) (or !number.is finite(period return) (or period return ≤ -1 when missing or zero) when missing or zero)
round(current total × period return ÷ (1 + period return))</t>
        </is>
      </c>
      <c r="H349" s="3" t="inlineStr">
        <is>
          <t>When !number.is finite(current total) (or !number.is finite(period return) (or period return is at most -1 — when missing or zero) — when missing or zero), it answers 0. current total times period return divided by (1 plus period return, to a whole number).</t>
        </is>
      </c>
      <c r="I349" s="3" t="inlineStr">
        <is>
          <t>PARTLY READ — some of the code is still showing through; needs a hand pass</t>
        </is>
      </c>
      <c r="J349" s="3" t="inlineStr">
        <is>
          <t>1. currentTotal: number
2. periodReturn: number</t>
        </is>
      </c>
      <c r="K349" s="3" t="inlineStr">
        <is>
          <t>number</t>
        </is>
      </c>
      <c r="L349" s="3" t="inlineStr">
        <is>
          <t>—</t>
        </is>
      </c>
      <c r="M349" s="3" t="inlineStr">
        <is>
          <t>· Rounds the answer to a whole number.</t>
        </is>
      </c>
      <c r="N349" s="3" t="inlineStr">
        <is>
          <t>No</t>
        </is>
      </c>
      <c r="O349" s="3" t="inlineStr">
        <is>
          <t>MK-PF-F-010 periodReturn</t>
        </is>
      </c>
      <c r="P349" s="3" t="n">
        <v>4</v>
      </c>
      <c r="Q349" s="3" t="inlineStr">
        <is>
          <t>1. MK-PF-F-010 periodReturn
2. MK-PF-F-029 closeAsOf
3. MK-PF-F-009 latestClose
4. MK-PF-F-008 startDateFor</t>
        </is>
      </c>
      <c r="R349" s="3" t="inlineStr">
        <is>
          <t>1. MK-PF-F-029 closeAsOf → MK-PF-F-010 periodReturn → MK-PF-F-021 periodDollarDelta
2. MK-PF-F-009 latestClose → MK-PF-F-010 periodReturn → MK-PF-F-021 periodDollarDelta
3. MK-PF-F-008 startDateFor → MK-PF-F-010 periodReturn → MK-PF-F-021 periodDollarDelta</t>
        </is>
      </c>
      <c r="S349" s="3" t="inlineStr">
        <is>
          <t>—</t>
        </is>
      </c>
      <c r="T349" s="3" t="inlineStr">
        <is>
          <t>—</t>
        </is>
      </c>
      <c r="U349" s="3" t="inlineStr">
        <is>
          <t>ACTIVE</t>
        </is>
      </c>
      <c r="V349" s="3" t="inlineStr">
        <is>
          <t>2026-09-30</t>
        </is>
      </c>
      <c r="W349" s="3" t="n"/>
      <c r="X349" s="3" t="n"/>
      <c r="Y349" s="3" t="inlineStr">
        <is>
          <t>NOTHING OPEN</t>
        </is>
      </c>
    </row>
    <row r="350" ht="60" customHeight="1">
      <c r="A350" s="3" t="inlineStr">
        <is>
          <t>MK-PF-F-022</t>
        </is>
      </c>
      <c r="B350" s="3" t="inlineStr">
        <is>
          <t>factorOverMonths</t>
        </is>
      </c>
      <c r="C350" s="3" t="inlineStr">
        <is>
          <t>src/domain/performance/lookBack.ts</t>
        </is>
      </c>
      <c r="D350" s="3" t="n">
        <v>49</v>
      </c>
      <c r="E350" s="3" t="inlineStr">
        <is>
          <t>3 · DEPENDENT</t>
        </is>
      </c>
      <c r="F350" s="3" t="inlineStr">
        <is>
          <t>Price factor over the trailing window: last close ÷ the close at (now − months).</t>
        </is>
      </c>
      <c r="G350"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50"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50" s="3" t="inlineStr">
        <is>
          <t>READ BY HAND 2026-08-26 — checked line by line against the code</t>
        </is>
      </c>
      <c r="J350" s="3" t="inlineStr">
        <is>
          <t>1. series: PriceSeries | null | undefined
2. months: number
3. now: Date = new Date()</t>
        </is>
      </c>
      <c r="K350" s="3" t="inlineStr">
        <is>
          <t>number | null</t>
        </is>
      </c>
      <c r="L350" s="3" t="inlineStr">
        <is>
          <t>—</t>
        </is>
      </c>
      <c r="M350" s="3" t="inlineStr">
        <is>
          <t>1. Uses today's date from the device clock, so the answer changes by itself overnight.
2. The window boundary is a LOCAL calendar date (the person's own day), so the answer is the same in every timezone (TZ-1, 2026-09-08).</t>
        </is>
      </c>
      <c r="N350" s="3" t="inlineStr">
        <is>
          <t>Yes</t>
        </is>
      </c>
      <c r="O350" s="3" t="inlineStr">
        <is>
          <t>MK-ST-F-065 isoLocalDate</t>
        </is>
      </c>
      <c r="P350" s="3" t="n">
        <v>1</v>
      </c>
      <c r="Q350" s="3" t="inlineStr">
        <is>
          <t>MK-ST-F-065 isoLocalDate</t>
        </is>
      </c>
      <c r="R350" s="3" t="inlineStr">
        <is>
          <t>MK-ST-F-065 isoLocalDate → MK-PF-F-022 factorOverMonths</t>
        </is>
      </c>
      <c r="S350" s="3" t="inlineStr">
        <is>
          <t>—</t>
        </is>
      </c>
      <c r="T350" s="3" t="inlineStr">
        <is>
          <t>PRICE_FACTOR_OVER_WINDOW</t>
        </is>
      </c>
      <c r="U350" s="3" t="inlineStr">
        <is>
          <t>ACTIVE</t>
        </is>
      </c>
      <c r="V350" s="3" t="inlineStr">
        <is>
          <t>2026-09-08</t>
        </is>
      </c>
      <c r="W350" s="3" t="n"/>
      <c r="X350" s="3" t="n"/>
      <c r="Y350" s="6" t="inlineStr">
        <is>
          <t>TESTED, NOT VERIFIED (TZ-1)</t>
        </is>
      </c>
    </row>
    <row r="351" ht="60" customHeight="1">
      <c r="A351" s="3" t="inlineStr">
        <is>
          <t>MK-PF-F-023</t>
        </is>
      </c>
      <c r="B351" s="3" t="inlineStr">
        <is>
          <t>lookBack</t>
        </is>
      </c>
      <c r="C351" s="3" t="inlineStr">
        <is>
          <t>src/domain/performance/lookBack.ts</t>
        </is>
      </c>
      <c r="D351" s="3" t="n">
        <v>97</v>
      </c>
      <c r="E351" s="3" t="inlineStr">
        <is>
          <t>3 · DEPENDENT</t>
        </is>
      </c>
      <c r="F351" s="3" t="inlineStr">
        <is>
          <t>What if I had moved this money?</t>
        </is>
      </c>
      <c r="G351"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51"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51" s="3" t="inlineStr">
        <is>
          <t>READ FROM THE CODE — rendered from the expressions the function runs</t>
        </is>
      </c>
      <c r="J351" s="3" t="inlineStr">
        <is>
          <t>1. amount: number
2. fromSeries: PriceSeries | null | undefined
3. toSeries: PriceSeries | null | undefined
4. months: number
5. now: Date = new Date()</t>
        </is>
      </c>
      <c r="K351" s="3" t="inlineStr">
        <is>
          <t>LookBackResult | null</t>
        </is>
      </c>
      <c r="L351" s="3" t="inlineStr">
        <is>
          <t>—</t>
        </is>
      </c>
      <c r="M351" s="3" t="inlineStr">
        <is>
          <t>· Uses today's date from the device clock, so the answer changes by itself overnight.</t>
        </is>
      </c>
      <c r="N351" s="3" t="inlineStr">
        <is>
          <t>Yes</t>
        </is>
      </c>
      <c r="O351" s="3" t="inlineStr">
        <is>
          <t>MK-PF-F-022 factorOverMonths</t>
        </is>
      </c>
      <c r="P351" s="3" t="n">
        <v>2</v>
      </c>
      <c r="Q351" s="3" t="inlineStr">
        <is>
          <t>1. MK-PF-F-022 factorOverMonths
2. MK-ST-F-065 isoLocalDate</t>
        </is>
      </c>
      <c r="R351" s="3" t="inlineStr">
        <is>
          <t>MK-ST-F-065 isoLocalDate → MK-PF-F-022 factorOverMonths → MK-PF-F-023 lookBack</t>
        </is>
      </c>
      <c r="S351" s="3" t="inlineStr">
        <is>
          <t>—</t>
        </is>
      </c>
      <c r="T351" s="3" t="inlineStr">
        <is>
          <t>LOOK_BACK</t>
        </is>
      </c>
      <c r="U351" s="3" t="inlineStr">
        <is>
          <t>ACTIVE</t>
        </is>
      </c>
      <c r="V351" s="3" t="inlineStr">
        <is>
          <t>2026-09-28</t>
        </is>
      </c>
      <c r="W351" s="3" t="n"/>
      <c r="X351" s="3" t="n"/>
      <c r="Y351" s="3" t="inlineStr">
        <is>
          <t>NOTHING OPEN</t>
        </is>
      </c>
    </row>
    <row r="352" ht="60" customHeight="1">
      <c r="A352" s="3" t="inlineStr">
        <is>
          <t>MK-PF-F-024</t>
        </is>
      </c>
      <c r="B352" s="3" t="inlineStr">
        <is>
          <t>userFlows</t>
        </is>
      </c>
      <c r="C352" s="3" t="inlineStr">
        <is>
          <t>src/domain/performance/moneyWeighted.ts</t>
        </is>
      </c>
      <c r="D352" s="3" t="n">
        <v>61</v>
      </c>
      <c r="E352" s="3" t="inlineStr">
        <is>
          <t>3 · DEPENDENT</t>
        </is>
      </c>
      <c r="F352" s="3" t="inlineStr">
        <is>
          <t>The user's dated flows for a measured set of accounts, investor-sign convention: money the user PUT IN is negative, money TAKEN OUT is positive.</t>
        </is>
      </c>
      <c r="G352" s="11" t="inlineStr">
        <is>
          <t>flows = []
in set = account ids.has(string(account id))
counter in set = counter account id ≠ nothing and account ids.has(string(counter account id))
when = date.parse(string(date))
the answer = flows where size of(amount) &gt; 0.004.sort((a, b) =&gt; date − date)</t>
        </is>
      </c>
      <c r="H352" s="3" t="inlineStr">
        <is>
          <t>Flows is []. In set is account ids.has(string(account id)). Counter in set is counter account id is not no answer and account ids.has(string(counter account id)). When is date.parse(string(date)). The answer is flows where size of(amount) &gt; 0.004.sort((a, b) =&gt; date minus date).</t>
        </is>
      </c>
      <c r="I352" s="3" t="inlineStr">
        <is>
          <t>PARTLY READ — some of the code is still showing through; needs a hand pass</t>
        </is>
      </c>
      <c r="J352" s="3" t="inlineStr">
        <is>
          <t>1. transactions: Transaction[]
2. accountIds: Set&lt;string&gt;</t>
        </is>
      </c>
      <c r="K352" s="3" t="inlineStr">
        <is>
          <t>NOT DECLARED — the code does not say what it gives back</t>
        </is>
      </c>
      <c r="L352" s="3" t="inlineStr">
        <is>
          <t>—</t>
        </is>
      </c>
      <c r="M352" s="3" t="inlineStr">
        <is>
          <t>1. If amount is missing it counts as zero, so nothing recorded and a real zero look the same.
2. If shares is missing it counts as zero, so nothing recorded and a real zero look the same.
3. If price is missing it counts as zero, so nothing recorded and a real zero look the same.</t>
        </is>
      </c>
      <c r="N352" s="3" t="inlineStr">
        <is>
          <t>Yes</t>
        </is>
      </c>
      <c r="O352" s="3" t="inlineStr">
        <is>
          <t>MK-ST-F-056 has</t>
        </is>
      </c>
      <c r="P352" s="3" t="n">
        <v>1</v>
      </c>
      <c r="Q352" s="3" t="inlineStr">
        <is>
          <t>MK-ST-F-056 has</t>
        </is>
      </c>
      <c r="R352" s="3" t="inlineStr">
        <is>
          <t>MK-ST-F-056 has → MK-PF-F-024 userFlows</t>
        </is>
      </c>
      <c r="S352" s="3" t="inlineStr">
        <is>
          <t>—</t>
        </is>
      </c>
      <c r="T352" s="3" t="inlineStr">
        <is>
          <t>PERSONAL_FLOWS</t>
        </is>
      </c>
      <c r="U352" s="3" t="inlineStr">
        <is>
          <t>ACTIVE</t>
        </is>
      </c>
      <c r="V352" s="3" t="inlineStr">
        <is>
          <t>2026-09-30</t>
        </is>
      </c>
      <c r="W352" s="3" t="n"/>
      <c r="X352" s="3" t="n"/>
      <c r="Y352" s="3" t="inlineStr">
        <is>
          <t>NOTHING OPEN</t>
        </is>
      </c>
    </row>
    <row r="353" ht="60" customHeight="1">
      <c r="A353" s="3" t="inlineStr">
        <is>
          <t>MK-PF-F-025</t>
        </is>
      </c>
      <c r="B353" s="3" t="inlineStr">
        <is>
          <t>historyIsComplete</t>
        </is>
      </c>
      <c r="C353" s="3" t="inlineStr">
        <is>
          <t>src/domain/performance/moneyWeighted.ts</t>
        </is>
      </c>
      <c r="D353" s="3" t="n">
        <v>119</v>
      </c>
      <c r="E353" s="3" t="inlineStr">
        <is>
          <t>3 · DEPENDENT</t>
        </is>
      </c>
      <c r="F353" s="3" t="inlineStr">
        <is>
          <t>True iff every measured account's story begins IN the ledger (openable honestly).</t>
        </is>
      </c>
      <c r="G353" s="11" t="inlineStr">
        <is>
          <t>false   when first is missing
false   when !['OPENING_CASH', 'OPENING_POSITION', 'DEPOSIT'].includes(first.type as string)
true
[LOOP — the answer is found inside a loop the extractor cannot render; the steps above are the ones before it. Read by hand.]</t>
        </is>
      </c>
      <c r="H353" s="3" t="inlineStr">
        <is>
          <t>When first is missing, it answers false. When !['OPENING_CASH', 'OPENING_POSITION', 'DEPOSIT'].includes(first.type as string), it answers false. true. The answer is found inside a loop that cannot be rendered here; read the code by hand.</t>
        </is>
      </c>
      <c r="I353" s="3" t="inlineStr">
        <is>
          <t>PARTLY READ — the body has a loop the extractor cannot render; the steps shown are the ones before it. Needs a hand pass (G23).</t>
        </is>
      </c>
      <c r="J353" s="3" t="inlineStr">
        <is>
          <t>1. transactions: Transaction[]
2. accounts: AssetAccount[]
3. accountIds: Set&lt;string&gt;</t>
        </is>
      </c>
      <c r="K353" s="3" t="inlineStr">
        <is>
          <t>boolean</t>
        </is>
      </c>
      <c r="L353" s="3" t="inlineStr">
        <is>
          <t>—</t>
        </is>
      </c>
      <c r="M353" s="3" t="inlineStr">
        <is>
          <t>None found in this function — anything it assumes comes from the functions it depends on.</t>
        </is>
      </c>
      <c r="N353" s="3" t="inlineStr">
        <is>
          <t>Yes</t>
        </is>
      </c>
      <c r="O353" s="3" t="inlineStr">
        <is>
          <t>MK-ST-F-056 has</t>
        </is>
      </c>
      <c r="P353" s="3" t="n">
        <v>1</v>
      </c>
      <c r="Q353" s="3" t="inlineStr">
        <is>
          <t>MK-ST-F-056 has</t>
        </is>
      </c>
      <c r="R353" s="3" t="inlineStr">
        <is>
          <t>MK-ST-F-056 has → MK-PF-F-025 historyIsComplete</t>
        </is>
      </c>
      <c r="S353" s="3" t="inlineStr">
        <is>
          <t>—</t>
        </is>
      </c>
      <c r="T353" s="3" t="inlineStr">
        <is>
          <t>PERSONAL_RETURN_POSSIBLE</t>
        </is>
      </c>
      <c r="U353" s="3" t="inlineStr">
        <is>
          <t>ACTIVE</t>
        </is>
      </c>
      <c r="V353" s="3" t="inlineStr">
        <is>
          <t>2026-09-30</t>
        </is>
      </c>
      <c r="W353" s="3" t="n"/>
      <c r="X353" s="3" t="n"/>
      <c r="Y353" s="3" t="inlineStr">
        <is>
          <t>NOTHING OPEN</t>
        </is>
      </c>
    </row>
    <row r="354" ht="60" customHeight="1">
      <c r="A354" s="3" t="inlineStr">
        <is>
          <t>MK-PF-F-026</t>
        </is>
      </c>
      <c r="B354" s="3" t="inlineStr">
        <is>
          <t>moneyWeightedReturn</t>
        </is>
      </c>
      <c r="C354" s="3" t="inlineStr">
        <is>
          <t>src/domain/performance/moneyWeighted.ts</t>
        </is>
      </c>
      <c r="D354" s="3" t="n">
        <v>202</v>
      </c>
      <c r="E354" s="3" t="inlineStr">
        <is>
          <t>3 · DEPENDENT</t>
        </is>
      </c>
      <c r="F354" s="3" t="inlineStr">
        <is>
          <t>XIRR via bisection — deterministic, no derivative games.</t>
        </is>
      </c>
      <c r="G354" s="11" t="inlineStr">
        <is>
          <t>reason = 'no_history'   when !history is complete(transactions, accounts, account ids)
flows = user flows(transactions, account ids)
invested = flows where amount &lt; 0
reason = 'no_history'   when invested.length = 0
t0 = flows[0].date
since days = round down((now − t0) ÷ DAY)
reason = 'too_short'   when since days &lt; 30
lo = -0.95, hi = 10
f = (r: number) =&gt; npv(r, flows, math.max(0, current value), now, t0)
f lo = f(lo), f hi = f(hi)
reason = 'no_solution'   when f lo × f hi &gt; 0
[LOOP — the answer is found inside a loop the extractor cannot render; the steps above are the ones before it. Read by hand.]
… the first steps only — the rest of the body needs reading by hand.</t>
        </is>
      </c>
      <c r="H354" s="3" t="inlineStr">
        <is>
          <t>When !history is complete(transactions, accounts, account ids), it answers reason = 'no_history'. Flows is user flows(transactions, account ids). Invested is flows where amount &lt; 0. When invested.length = 0, it answers reason = 'no_history'. T0 is flows[0].date. Since days is (now minus t0, rounded down divided by DAY). When since days &lt; 30, it answers reason = 'too_short'. Lo is -0.95, hi = 10. F is (r: number) =&gt; npv(r, flows, math.current value, never below zero, now, t0). F lo is f(lo), f hi = f(hi). When f lo times f hi &gt; 0, it answers reason = 'no_solution'. The answer is found inside a loop that cannot be rendered here; read the code by hand. Only the first steps are shown; the rest of the body needs reading by hand.</t>
        </is>
      </c>
      <c r="I354" s="3" t="inlineStr">
        <is>
          <t>PARTLY READ — the body has a loop the extractor cannot render; the steps shown are the ones before it. Needs a hand pass (G23).</t>
        </is>
      </c>
      <c r="J354" s="3" t="inlineStr">
        <is>
          <t>Nothing is handed to it</t>
        </is>
      </c>
      <c r="K354" s="3" t="inlineStr">
        <is>
          <t>NOT DECLARED — the code does not say what it gives back</t>
        </is>
      </c>
      <c r="L354" s="3" t="inlineStr">
        <is>
          <t>—</t>
        </is>
      </c>
      <c r="M354" s="3" t="inlineStr">
        <is>
          <t>1. Uses today's date from the device clock, so the answer changes by itself overnight.
2. Never lets current value fall below 0.</t>
        </is>
      </c>
      <c r="N354" s="3" t="inlineStr">
        <is>
          <t>Yes</t>
        </is>
      </c>
      <c r="O354" s="3" t="inlineStr">
        <is>
          <t>1. MK-PF-F-025 historyIsComplete
2. MK-PF-F-030 npv
3. MK-PF-F-024 userFlows</t>
        </is>
      </c>
      <c r="P354" s="3" t="n">
        <v>4</v>
      </c>
      <c r="Q354" s="3" t="inlineStr">
        <is>
          <t>1. MK-PF-F-025 historyIsComplete
2. MK-PF-F-030 npv
3. MK-PF-F-024 userFlows
4. MK-ST-F-056 has</t>
        </is>
      </c>
      <c r="R354" s="3" t="inlineStr">
        <is>
          <t>1. MK-ST-F-056 has → MK-PF-F-025 historyIsComplete → MK-PF-F-026 moneyWeightedReturn
2. MK-PF-F-030 npv → MK-PF-F-026 moneyWeightedReturn
3. MK-ST-F-056 has → MK-PF-F-024 userFlows → MK-PF-F-026 moneyWeightedReturn</t>
        </is>
      </c>
      <c r="S354" s="3" t="inlineStr">
        <is>
          <t>—</t>
        </is>
      </c>
      <c r="T354" s="3" t="inlineStr">
        <is>
          <t>PERSONAL_RETURN</t>
        </is>
      </c>
      <c r="U354" s="3" t="inlineStr">
        <is>
          <t>ACTIVE</t>
        </is>
      </c>
      <c r="V354" s="3" t="inlineStr">
        <is>
          <t>2026-09-30</t>
        </is>
      </c>
      <c r="W354" s="3" t="n"/>
      <c r="X354" s="3" t="n"/>
      <c r="Y354" s="3" t="inlineStr">
        <is>
          <t>NOTHING OPEN</t>
        </is>
      </c>
    </row>
    <row r="355" ht="45" customHeight="1">
      <c r="A355" s="3" t="inlineStr">
        <is>
          <t>MK-PF-F-027</t>
        </is>
      </c>
      <c r="B355" s="3" t="inlineStr">
        <is>
          <t>isMoneyWeighted</t>
        </is>
      </c>
      <c r="C355" s="3" t="inlineStr">
        <is>
          <t>src/domain/performance/moneyWeighted.ts</t>
        </is>
      </c>
      <c r="D355" s="3" t="n">
        <v>247</v>
      </c>
      <c r="E355" s="3" t="inlineStr">
        <is>
          <t>3 · DEPENDENT (feeds an action only)</t>
        </is>
      </c>
      <c r="F355" s="3" t="inlineStr">
        <is>
          <t>Did the personal return produce a number, or a reason it could not?</t>
        </is>
      </c>
      <c r="G355" s="11" t="inlineStr">
        <is>
          <t>(r as money weighted).rate per year ! = undefined</t>
        </is>
      </c>
      <c r="H355" s="3" t="inlineStr">
        <is>
          <t>(r as money weighted).rate per year ! = undefined.</t>
        </is>
      </c>
      <c r="I355" s="3" t="inlineStr">
        <is>
          <t>PARTLY READ — some of the code is still showing through; needs a hand pass</t>
        </is>
      </c>
      <c r="J355" s="3" t="inlineStr">
        <is>
          <t>r: MoneyWeighted | MoneyWeightedMiss</t>
        </is>
      </c>
      <c r="K355" s="3" t="inlineStr">
        <is>
          <t>r is MoneyWeighted</t>
        </is>
      </c>
      <c r="L355" s="3" t="inlineStr">
        <is>
          <t>—</t>
        </is>
      </c>
      <c r="M355" s="3" t="inlineStr">
        <is>
          <t>None found in this function — anything it assumes comes from the functions it depends on.</t>
        </is>
      </c>
      <c r="N355" s="3" t="inlineStr">
        <is>
          <t>No</t>
        </is>
      </c>
      <c r="O355" s="3" t="inlineStr">
        <is>
          <t>—</t>
        </is>
      </c>
      <c r="P355" s="3" t="n">
        <v>0</v>
      </c>
      <c r="Q355" s="3" t="inlineStr">
        <is>
          <t>None — no dependent function stands behind it</t>
        </is>
      </c>
      <c r="R355" s="3" t="inlineStr">
        <is>
          <t>No dependent function — it reads its inputs and answers</t>
        </is>
      </c>
      <c r="S355" s="3" t="inlineStr">
        <is>
          <t>—</t>
        </is>
      </c>
      <c r="T355" s="3" t="inlineStr">
        <is>
          <t>PERSONAL_RETURN_ANSWERED</t>
        </is>
      </c>
      <c r="U355" s="3" t="inlineStr">
        <is>
          <t>ACTIVE</t>
        </is>
      </c>
      <c r="V355" s="3" t="inlineStr">
        <is>
          <t>2026-09-25</t>
        </is>
      </c>
      <c r="W355" s="3" t="n"/>
      <c r="X355" s="3" t="n"/>
      <c r="Y355" s="3" t="inlineStr">
        <is>
          <t>NOTHING OPEN</t>
        </is>
      </c>
    </row>
    <row r="356" ht="60" customHeight="1">
      <c r="A356" s="3" t="inlineStr">
        <is>
          <t>MK-PF-F-028</t>
        </is>
      </c>
      <c r="B356" s="3" t="inlineStr">
        <is>
          <t>realizedFromLedger</t>
        </is>
      </c>
      <c r="C356" s="3" t="inlineStr">
        <is>
          <t>src/domain/performance/realized.ts</t>
        </is>
      </c>
      <c r="D356" s="3" t="n">
        <v>44</v>
      </c>
      <c r="E356" s="3" t="inlineStr">
        <is>
          <t>3 · DEPENDENT</t>
        </is>
      </c>
      <c r="F356" s="3" t="inlineStr">
        <is>
          <t>How much profit have I actually taken?</t>
        </is>
      </c>
      <c r="G35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5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56" s="3" t="inlineStr">
        <is>
          <t>READ BY HAND 2026-08-26 — checked line by line against the code</t>
        </is>
      </c>
      <c r="J356" s="3" t="inlineStr">
        <is>
          <t>Nothing is handed to it</t>
        </is>
      </c>
      <c r="K356" s="3" t="inlineStr">
        <is>
          <t>NOT DECLARED — the code does not say what it gives back</t>
        </is>
      </c>
      <c r="L356" s="3" t="inlineStr">
        <is>
          <t>—</t>
        </is>
      </c>
      <c r="M356" s="3" t="inlineStr">
        <is>
          <t>1. If shares is missing it uses 0.
2. Uses today's date from the device clock, so the answer changes by itself overnight.
3. Sales dated in the current calendar year make the this-year total; the device clock decides which year that is.</t>
        </is>
      </c>
      <c r="N356" s="3" t="inlineStr">
        <is>
          <t>Yes</t>
        </is>
      </c>
      <c r="O356" s="3" t="inlineStr">
        <is>
          <t>—</t>
        </is>
      </c>
      <c r="P356" s="3" t="n">
        <v>0</v>
      </c>
      <c r="Q356" s="3" t="inlineStr">
        <is>
          <t>None — no dependent function stands behind it</t>
        </is>
      </c>
      <c r="R356" s="3" t="inlineStr">
        <is>
          <t>No dependent function — it reads its inputs and answers</t>
        </is>
      </c>
      <c r="S356" s="3" t="inlineStr">
        <is>
          <t>—</t>
        </is>
      </c>
      <c r="T356" s="3" t="inlineStr">
        <is>
          <t>REALISED_GAIN</t>
        </is>
      </c>
      <c r="U356" s="3" t="inlineStr">
        <is>
          <t>ACTIVE</t>
        </is>
      </c>
      <c r="V356" s="3" t="inlineStr">
        <is>
          <t>2026-09-28</t>
        </is>
      </c>
      <c r="W35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5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56" s="6" t="inlineStr">
        <is>
          <t>WAITING ON YOU — answer to read</t>
        </is>
      </c>
    </row>
    <row r="357" ht="60" customHeight="1">
      <c r="A357" s="3" t="inlineStr">
        <is>
          <t>MK-PF-F-029</t>
        </is>
      </c>
      <c r="B357" s="3" t="inlineStr">
        <is>
          <t>closeAsOf</t>
        </is>
      </c>
      <c r="C357" s="3" t="inlineStr">
        <is>
          <t>src/domain/performance/index.ts</t>
        </is>
      </c>
      <c r="D357" s="3" t="n">
        <v>453</v>
      </c>
      <c r="E357" s="3" t="inlineStr">
        <is>
          <t>3 · DEPENDENT</t>
        </is>
      </c>
      <c r="F357" s="3" t="inlineStr">
        <is>
          <t>Close on/just-before a target date (series oldest→newest).</t>
        </is>
      </c>
      <c r="G357" s="11" t="inlineStr">
        <is>
          <t>pts = series.points (or none when missing)
nothing   when count of pts is missing
t = target.get time()
chosen = nothing
the answer = chosen (or pts[0].close when missing)</t>
        </is>
      </c>
      <c r="H357" s="3" t="inlineStr">
        <is>
          <t>Pts is series.points (or none — when missing). When how many pts is missing there are, it answers no answer. T is target.get time(). Chosen is no answer. The answer is chosen (or pts[0].close — when missing).</t>
        </is>
      </c>
      <c r="I357" s="3" t="inlineStr">
        <is>
          <t>PARTLY READ — some of the code is still showing through; needs a hand pass</t>
        </is>
      </c>
      <c r="J357" s="3" t="inlineStr">
        <is>
          <t>1. series: PriceSeries | null | undefined
2. target: Date</t>
        </is>
      </c>
      <c r="K357" s="3" t="inlineStr">
        <is>
          <t>number | null</t>
        </is>
      </c>
      <c r="L357" s="3" t="inlineStr">
        <is>
          <t>—</t>
        </is>
      </c>
      <c r="M357" s="3" t="inlineStr">
        <is>
          <t>None found in this function — anything it assumes comes from the functions it depends on.</t>
        </is>
      </c>
      <c r="N357" s="3" t="inlineStr">
        <is>
          <t>Yes</t>
        </is>
      </c>
      <c r="O357" s="3" t="inlineStr">
        <is>
          <t>—</t>
        </is>
      </c>
      <c r="P357" s="3" t="n">
        <v>0</v>
      </c>
      <c r="Q357" s="3" t="inlineStr">
        <is>
          <t>None — no dependent function stands behind it</t>
        </is>
      </c>
      <c r="R357" s="3" t="inlineStr">
        <is>
          <t>No dependent function — it reads its inputs and answers</t>
        </is>
      </c>
      <c r="S357" s="3" t="inlineStr">
        <is>
          <t>—</t>
        </is>
      </c>
      <c r="T357" s="3" t="inlineStr">
        <is>
          <t>—</t>
        </is>
      </c>
      <c r="U357" s="3" t="inlineStr">
        <is>
          <t>ACTIVE</t>
        </is>
      </c>
      <c r="V357" s="3" t="inlineStr">
        <is>
          <t>2026-08-27</t>
        </is>
      </c>
      <c r="W357" s="3" t="n"/>
      <c r="X357" s="3" t="n"/>
      <c r="Y357" s="3" t="inlineStr">
        <is>
          <t>NOTHING OPEN</t>
        </is>
      </c>
    </row>
    <row r="358" ht="60" customHeight="1">
      <c r="A358" s="3" t="inlineStr">
        <is>
          <t>MK-PF-F-030</t>
        </is>
      </c>
      <c r="B358" s="3" t="inlineStr">
        <is>
          <t>npv</t>
        </is>
      </c>
      <c r="C358" s="3" t="inlineStr">
        <is>
          <t>src/domain/performance/moneyWeighted.ts</t>
        </is>
      </c>
      <c r="D358" s="3" t="n">
        <v>157</v>
      </c>
      <c r="E358" s="3" t="inlineStr">
        <is>
          <t>3 · DEPENDENT</t>
        </is>
      </c>
      <c r="F358" s="3" t="inlineStr">
        <is>
          <t>NOT DETERMINED — the code carries no note saying what this is for, and it has no row in the old inventory. Needs reading.</t>
        </is>
      </c>
      <c r="G358" s="11" t="inlineStr">
        <is>
          <t>disc = (when: number) =&gt; (1 + rate)^(-((when − t0) ÷ DAY) ÷ 365)
v = 0
[LOOP — the answer is found inside a loop the extractor cannot render; the steps above are the ones before it. Read by hand.]</t>
        </is>
      </c>
      <c r="H358" s="3" t="inlineStr">
        <is>
          <t>Disc is (when: number) =&gt; (1 plus rate)^(-((when minus t0) divided by DAY) divided by 365). V is 0. The answer is v plus end value times disc(end date). The answer is found inside a loop that cannot be rendered here; read the code by hand.</t>
        </is>
      </c>
      <c r="I358" s="3" t="inlineStr">
        <is>
          <t>PARTLY READ — the body has a loop the extractor cannot render; the steps shown are the ones before it. Needs a hand pass (G23).</t>
        </is>
      </c>
      <c r="J358" s="3" t="inlineStr">
        <is>
          <t>1. rate: number
2. flows: { date: number; amount: number }[]
3. endValue: number
4. endDate: number
5. t0: number</t>
        </is>
      </c>
      <c r="K358" s="3" t="inlineStr">
        <is>
          <t>number</t>
        </is>
      </c>
      <c r="L358" s="3" t="inlineStr">
        <is>
          <t>—</t>
        </is>
      </c>
      <c r="M358" s="3" t="inlineStr">
        <is>
          <t>· Treats a year as 365 days.</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t>
        </is>
      </c>
      <c r="U358" s="3" t="inlineStr">
        <is>
          <t>ACTIVE</t>
        </is>
      </c>
      <c r="V358" s="3" t="inlineStr">
        <is>
          <t>2026-09-30</t>
        </is>
      </c>
      <c r="W358" s="3" t="n"/>
      <c r="X358" s="3" t="n"/>
      <c r="Y358" s="3" t="inlineStr">
        <is>
          <t>NOTHING OPEN</t>
        </is>
      </c>
    </row>
    <row r="359" ht="60" customHeight="1">
      <c r="A359" s="3" t="inlineStr">
        <is>
          <t>MK-PF-F-031</t>
        </is>
      </c>
      <c r="B359" s="3" t="inlineStr">
        <is>
          <t>contractMultiplier</t>
        </is>
      </c>
      <c r="C359" s="3" t="inlineStr">
        <is>
          <t>src/domain/performance/index.ts</t>
        </is>
      </c>
      <c r="D359" s="3" t="n">
        <v>67</v>
      </c>
      <c r="E359" s="3" t="inlineStr">
        <is>
          <t>3 · DEPENDENT</t>
        </is>
      </c>
      <c r="F359" s="3" t="inlineStr">
        <is>
          <t>NOT DETERMINED — the code carries no note saying what this is for, and it has no row in the old inventory. Needs reading.</t>
        </is>
      </c>
      <c r="G359" s="11" t="inlineStr">
        <is>
          <t>multiplier   when multiplier ≠ nothing and multiplier &gt; 0
OPTION_CONTRACT_MULTIPLIER   if kind = 'options'
1   otherwise</t>
        </is>
      </c>
      <c r="H359" s="3" t="inlineStr">
        <is>
          <t>When multiplier is not no answer and multiplier &gt; 0, it answers multiplier. OPTION_CONTRACT_MULTIPLIER — when kind = 'options'; 1 — otherwise.</t>
        </is>
      </c>
      <c r="I359" s="3" t="inlineStr">
        <is>
          <t>READ FROM THE CODE — rendered from the expressions the function runs</t>
        </is>
      </c>
      <c r="J359" s="3" t="inlineStr">
        <is>
          <t>p: Pick&lt;Position, 'kind' | 'multiplier'&gt;</t>
        </is>
      </c>
      <c r="K359" s="3" t="inlineStr">
        <is>
          <t>number</t>
        </is>
      </c>
      <c r="L359" s="3" t="inlineStr">
        <is>
          <t>—</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t>
        </is>
      </c>
      <c r="U359" s="3" t="inlineStr">
        <is>
          <t>ACTIVE</t>
        </is>
      </c>
      <c r="V359" s="3" t="inlineStr">
        <is>
          <t>2026-09-11</t>
        </is>
      </c>
      <c r="W359" s="3" t="n"/>
      <c r="X359" s="3" t="n"/>
      <c r="Y359" s="6" t="inlineStr">
        <is>
          <t>TESTED, NOT VERIFIED (Q06)</t>
        </is>
      </c>
    </row>
    <row r="360" ht="60" customHeight="1">
      <c r="A360" s="3" t="inlineStr">
        <is>
          <t>MK-PF-F-032</t>
        </is>
      </c>
      <c r="B360" s="3" t="inlineStr">
        <is>
          <t>quantityUnit</t>
        </is>
      </c>
      <c r="C360" s="3" t="inlineStr">
        <is>
          <t>src/domain/performance/index.ts</t>
        </is>
      </c>
      <c r="D360" s="3" t="n">
        <v>101</v>
      </c>
      <c r="E360" s="3" t="inlineStr">
        <is>
          <t>3 · DEPENDENT</t>
        </is>
      </c>
      <c r="F360" s="3" t="inlineStr">
        <is>
          <t>Q09 (founder, 2026-08-26): the unit beside a quantity — the person's when entered, else the one the kind implies: coins for crypto, contracts for options, ounces for gold and commodities, shares for everything else.</t>
        </is>
      </c>
      <c r="G360" s="11" t="inlineStr">
        <is>
          <t>unit   when unit
'coins'   when kind = 'crypto'
'contracts'   when kind = 'options'
'ounces'   when kind = 'commodities'
'shares'</t>
        </is>
      </c>
      <c r="H360" s="3" t="inlineStr">
        <is>
          <t>When unit, it answers unit. When kind = 'crypto', it answers 'coins'. When kind = 'options', it answers 'contracts'. When kind = 'commodities', it answers 'ounces'. 'shares'.</t>
        </is>
      </c>
      <c r="I360" s="3" t="inlineStr">
        <is>
          <t>READ FROM THE CODE — rendered from the expressions the function runs</t>
        </is>
      </c>
      <c r="J360" s="3" t="inlineStr">
        <is>
          <t>p: Pick&lt;Position, 'kind' | 'unit'&gt;</t>
        </is>
      </c>
      <c r="K360" s="3" t="inlineStr">
        <is>
          <t>QuantityUnit</t>
        </is>
      </c>
      <c r="L360" s="3" t="inlineStr">
        <is>
          <t>—</t>
        </is>
      </c>
      <c r="M360" s="3" t="inlineStr">
        <is>
          <t>None found in this function — anything it assumes comes from the functions it depends on.</t>
        </is>
      </c>
      <c r="N360" s="3" t="inlineStr">
        <is>
          <t>Yes</t>
        </is>
      </c>
      <c r="O360" s="3" t="inlineStr">
        <is>
          <t>—</t>
        </is>
      </c>
      <c r="P360" s="3" t="n">
        <v>0</v>
      </c>
      <c r="Q360" s="3" t="inlineStr">
        <is>
          <t>None — no dependent function stands behind it</t>
        </is>
      </c>
      <c r="R360" s="3" t="inlineStr">
        <is>
          <t>No dependent function — it reads its inputs and answers</t>
        </is>
      </c>
      <c r="S360" s="3" t="inlineStr">
        <is>
          <t>—</t>
        </is>
      </c>
      <c r="T360" s="3" t="inlineStr">
        <is>
          <t>—</t>
        </is>
      </c>
      <c r="U360" s="3" t="inlineStr">
        <is>
          <t>ACTIVE</t>
        </is>
      </c>
      <c r="V360" s="3" t="inlineStr">
        <is>
          <t>2026-09-11</t>
        </is>
      </c>
      <c r="W360" s="3" t="n"/>
      <c r="X360" s="3" t="n"/>
      <c r="Y360" s="6" t="inlineStr">
        <is>
          <t>TESTED, NOT VERIFIED (Q09)</t>
        </is>
      </c>
    </row>
    <row r="361" ht="60" customHeight="1">
      <c r="A361" s="3" t="inlineStr">
        <is>
          <t>MK-PF-F-033</t>
        </is>
      </c>
      <c r="B361" s="3" t="inlineStr">
        <is>
          <t>quantityWithUnit</t>
        </is>
      </c>
      <c r="C361" s="3" t="inlineStr">
        <is>
          <t>src/domain/performance/index.ts</t>
        </is>
      </c>
      <c r="D361" s="3" t="n">
        <v>129</v>
      </c>
      <c r="E361" s="3" t="inlineStr">
        <is>
          <t>2 · DISPLAYED</t>
        </is>
      </c>
      <c r="F361" s="3" t="inlineStr">
        <is>
          <t>"3 shares", "1 coin", "2 contracts" — the quantity printed with its unit, singular when it is one.</t>
        </is>
      </c>
      <c r="G361" s="11" t="inlineStr">
        <is>
          <t>unit = quantity unit(p)
the answer = `${format(qty)} ${qty = 1 ? unit.replace( ÷ s$ ÷ , '') : unit}`</t>
        </is>
      </c>
      <c r="H361" s="3" t="inlineStr">
        <is>
          <t>Unit is quantity unit(p). The answer is `${format(qty)} ${qty = 1 ? unit.replace( divided by s$ divided by , '') : unit}`.</t>
        </is>
      </c>
      <c r="I361" s="3" t="inlineStr">
        <is>
          <t>PARTLY READ — some of the code is still showing through; needs a hand pass</t>
        </is>
      </c>
      <c r="J361" s="3" t="inlineStr">
        <is>
          <t>1. p: Pick&lt;Position, 'kind' | 'unit'&gt;
2. qty: number
3. format: (n: number) =&gt; string = String</t>
        </is>
      </c>
      <c r="K361" s="3" t="inlineStr">
        <is>
          <t>string</t>
        </is>
      </c>
      <c r="L361" s="3" t="inlineStr">
        <is>
          <t>"Quantity" — on the Holding detail screen, under "CURRENT PRICE$"</t>
        </is>
      </c>
      <c r="M361" s="3" t="inlineStr">
        <is>
          <t>None found in this function — anything it assumes comes from the functions it depends on.</t>
        </is>
      </c>
      <c r="N361" s="3" t="inlineStr">
        <is>
          <t>Yes</t>
        </is>
      </c>
      <c r="O361" s="3" t="inlineStr">
        <is>
          <t>MK-PF-F-032 quantityUnit</t>
        </is>
      </c>
      <c r="P361" s="3" t="n">
        <v>1</v>
      </c>
      <c r="Q361" s="3" t="inlineStr">
        <is>
          <t>MK-PF-F-032 quantityUnit</t>
        </is>
      </c>
      <c r="R361" s="3" t="inlineStr">
        <is>
          <t>MK-PF-F-032 quantityUnit → MK-PF-F-033 quantityWithUnit</t>
        </is>
      </c>
      <c r="S361" s="3" t="inlineStr">
        <is>
          <t>—</t>
        </is>
      </c>
      <c r="T361" s="3" t="inlineStr">
        <is>
          <t>—</t>
        </is>
      </c>
      <c r="U361" s="3" t="inlineStr">
        <is>
          <t>ACTIVE</t>
        </is>
      </c>
      <c r="V361" s="3" t="inlineStr">
        <is>
          <t>2026-09-11</t>
        </is>
      </c>
      <c r="W361" s="3" t="n"/>
      <c r="X361" s="3" t="n"/>
      <c r="Y361" s="6" t="inlineStr">
        <is>
          <t>TESTED, NOT VERIFIED (Q09)</t>
        </is>
      </c>
    </row>
    <row r="362" ht="60" customHeight="1">
      <c r="A362" s="3" t="inlineStr">
        <is>
          <t>MK-PF-F-034</t>
        </is>
      </c>
      <c r="B362" s="3" t="inlineStr">
        <is>
          <t>closeOnOrBefore</t>
        </is>
      </c>
      <c r="C362" s="3" t="inlineStr">
        <is>
          <t>src/domain/performance/index.ts</t>
        </is>
      </c>
      <c r="D362" s="3" t="n">
        <v>498</v>
      </c>
      <c r="E362" s="3" t="inlineStr">
        <is>
          <t>3 · DEPENDENT</t>
        </is>
      </c>
      <c r="F362" s="3" t="inlineStr">
        <is>
          <t>The close ON OR BEFORE a day, with NO fallback.</t>
        </is>
      </c>
      <c r="G362" s="11" t="inlineStr">
        <is>
          <t>pts = series.points (or none when missing)
nothing   when count of pts is missing (or ! ÷ ^\d{4}-\d{2}-\d{2}$ ÷ .test(iso date) when missing or zero)
chosen = nothing
the answer = chosen</t>
        </is>
      </c>
      <c r="H362" s="3" t="inlineStr">
        <is>
          <t>Pts is series.points (or none — when missing). When how many pts is missing (or ! divided by ^\d{4}-\d{2}-\d{2}$ divided by .test(iso date) — when missing or zero) there are, it answers no answer. Chosen is no answer. The answer is chosen.</t>
        </is>
      </c>
      <c r="I362" s="3" t="inlineStr">
        <is>
          <t>PARTLY READ — some of the code is still showing through; needs a hand pass</t>
        </is>
      </c>
      <c r="J362" s="3" t="inlineStr">
        <is>
          <t>1. series: PriceSeries | null | undefined
2. isoDate: string</t>
        </is>
      </c>
      <c r="K362" s="3" t="inlineStr">
        <is>
          <t>number | null</t>
        </is>
      </c>
      <c r="L362" s="3" t="inlineStr">
        <is>
          <t>—</t>
        </is>
      </c>
      <c r="M362" s="3" t="inlineStr">
        <is>
          <t>None found in this function — anything it assumes comes from the functions it depends on.</t>
        </is>
      </c>
      <c r="N362" s="3" t="inlineStr">
        <is>
          <t>Yes</t>
        </is>
      </c>
      <c r="O362" s="3" t="inlineStr">
        <is>
          <t>—</t>
        </is>
      </c>
      <c r="P362" s="3" t="n">
        <v>0</v>
      </c>
      <c r="Q362" s="3" t="inlineStr">
        <is>
          <t>None — no dependent function stands behind it</t>
        </is>
      </c>
      <c r="R362" s="3" t="inlineStr">
        <is>
          <t>No dependent function — it reads its inputs and answers</t>
        </is>
      </c>
      <c r="S362" s="3" t="inlineStr">
        <is>
          <t>—</t>
        </is>
      </c>
      <c r="T362" s="3" t="inlineStr">
        <is>
          <t>—</t>
        </is>
      </c>
      <c r="U362" s="3" t="inlineStr">
        <is>
          <t>ACTIVE</t>
        </is>
      </c>
      <c r="V362" s="3" t="inlineStr">
        <is>
          <t>2026-09-25</t>
        </is>
      </c>
      <c r="W362" s="3" t="n"/>
      <c r="X362" s="3" t="n"/>
      <c r="Y362" s="3" t="inlineStr">
        <is>
          <t>NOTHING OPEN</t>
        </is>
      </c>
    </row>
    <row r="363" ht="60" customHeight="1">
      <c r="A363" s="3" t="inlineStr">
        <is>
          <t>MK-PL-F-001</t>
        </is>
      </c>
      <c r="B363" s="3" t="inlineStr">
        <is>
          <t>taxBucketSplit</t>
        </is>
      </c>
      <c r="C363" s="3" t="inlineStr">
        <is>
          <t>src/domain/decumulation/index.ts</t>
        </is>
      </c>
      <c r="D363" s="3" t="n">
        <v>38</v>
      </c>
      <c r="E363" s="3" t="inlineStr">
        <is>
          <t>2 · DISPLAYED</t>
        </is>
      </c>
      <c r="F363" s="3" t="inlineStr">
        <is>
          <t>How is the retirement money split by the tax that will be owed on it?</t>
        </is>
      </c>
      <c r="G363" s="11" t="inlineStr">
        <is>
          <t>s = taxable = 0
pre tax = 0
roth = 0
cash = 0
total = 0
v = earmarked amount(a)
the answer = s</t>
        </is>
      </c>
      <c r="H363" s="3" t="inlineStr">
        <is>
          <t>S is taxable = 0; pre tax = 0; roth = 0; cash = 0; total = 0. V is earmarked amount(a). The answer is s.</t>
        </is>
      </c>
      <c r="I363" s="3" t="inlineStr">
        <is>
          <t>READ FROM THE CODE — rendered from the expressions the function runs</t>
        </is>
      </c>
      <c r="J363" s="3" t="inlineStr">
        <is>
          <t>accounts: AssetAccount[]</t>
        </is>
      </c>
      <c r="K363" s="3" t="inlineStr">
        <is>
          <t>BucketSplit</t>
        </is>
      </c>
      <c r="L363"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63" s="3" t="inlineStr">
        <is>
          <t>None found in this function — anything it assumes comes from the functions it depends on.</t>
        </is>
      </c>
      <c r="N363" s="3" t="inlineStr">
        <is>
          <t>Yes</t>
        </is>
      </c>
      <c r="O363" s="3" t="inlineStr">
        <is>
          <t>MK-NW-F-032 earmarkedAmount</t>
        </is>
      </c>
      <c r="P363" s="3" t="n">
        <v>14</v>
      </c>
      <c r="Q363"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63"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63" s="3" t="inlineStr">
        <is>
          <t>—</t>
        </is>
      </c>
      <c r="T363" s="3" t="inlineStr">
        <is>
          <t>SPLIT_BY_HOW_IT_IS_TAXED</t>
        </is>
      </c>
      <c r="U363" s="3" t="inlineStr">
        <is>
          <t>ACTIVE</t>
        </is>
      </c>
      <c r="V363" s="3" t="inlineStr">
        <is>
          <t>2026-08-27</t>
        </is>
      </c>
      <c r="W363" s="3" t="n"/>
      <c r="X363" s="3" t="n"/>
      <c r="Y363" s="3" t="inlineStr">
        <is>
          <t>NOTHING OPEN</t>
        </is>
      </c>
    </row>
    <row r="364" ht="60" customHeight="1">
      <c r="A364" s="3" t="inlineStr">
        <is>
          <t>MK-PL-F-002</t>
        </is>
      </c>
      <c r="B364" s="3" t="inlineStr">
        <is>
          <t>withdrawalPlan</t>
        </is>
      </c>
      <c r="C364" s="3" t="inlineStr">
        <is>
          <t>src/domain/decumulation/index.ts</t>
        </is>
      </c>
      <c r="D364" s="3" t="n">
        <v>124</v>
      </c>
      <c r="E364" s="3" t="inlineStr">
        <is>
          <t>2 · DISPLAYED</t>
        </is>
      </c>
      <c r="F364" s="3" t="inlineStr">
        <is>
          <t>NOT DETERMINED — the code carries no note saying what this is for, and it has no row in the old inventory. Needs reading.</t>
        </is>
      </c>
      <c r="G364"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64"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64" s="3" t="inlineStr">
        <is>
          <t>READ FROM THE CODE — rendered from the expressions the function runs</t>
        </is>
      </c>
      <c r="J364" s="3" t="inlineStr">
        <is>
          <t>1. spendMonthly: number
2. guaranteedMonthly: number
3. nestEgg: number</t>
        </is>
      </c>
      <c r="K364" s="3" t="inlineStr">
        <is>
          <t>WithdrawalPlan</t>
        </is>
      </c>
      <c r="L364" s="3" t="inlineStr">
        <is>
          <t>1. "From your portfolio" — on the Retirement cockpit screen
2. "WILL YOUR MONEY LAST?" — on the Retirement cockpit screen, under "RETIREMENT
3. WHERE YOU STAND"
4. "You plan to spend" — on the Retirement cockpit screen</t>
        </is>
      </c>
      <c r="M364" s="3" t="inlineStr">
        <is>
          <t>· Turns a monthly figure into a year by multiplying by twelve.</t>
        </is>
      </c>
      <c r="N364" s="3" t="inlineStr">
        <is>
          <t>Yes</t>
        </is>
      </c>
      <c r="O364" s="3" t="inlineStr">
        <is>
          <t>—</t>
        </is>
      </c>
      <c r="P364" s="3" t="n">
        <v>0</v>
      </c>
      <c r="Q364" s="3" t="inlineStr">
        <is>
          <t>None — no dependent function stands behind it</t>
        </is>
      </c>
      <c r="R364" s="3" t="inlineStr">
        <is>
          <t>No dependent function — it reads its inputs and answers</t>
        </is>
      </c>
      <c r="S364" s="3" t="inlineStr">
        <is>
          <t>—</t>
        </is>
      </c>
      <c r="T364" s="3" t="inlineStr">
        <is>
          <t>—</t>
        </is>
      </c>
      <c r="U364" s="3" t="inlineStr">
        <is>
          <t>ACTIVE</t>
        </is>
      </c>
      <c r="V364" s="3" t="inlineStr">
        <is>
          <t>2026-09-09</t>
        </is>
      </c>
      <c r="W364" s="3" t="n"/>
      <c r="X364" s="3" t="n"/>
      <c r="Y364" s="3" t="inlineStr">
        <is>
          <t>NOTHING OPEN</t>
        </is>
      </c>
    </row>
    <row r="365" ht="60" customHeight="1">
      <c r="A365" s="3" t="inlineStr">
        <is>
          <t>MK-PL-F-003</t>
        </is>
      </c>
      <c r="B365" s="3" t="inlineStr">
        <is>
          <t>depletionAge</t>
        </is>
      </c>
      <c r="C365" s="3" t="inlineStr">
        <is>
          <t>src/domain/decumulation/index.ts</t>
        </is>
      </c>
      <c r="D365" s="3" t="n">
        <v>167</v>
      </c>
      <c r="E365" s="3" t="inlineStr">
        <is>
          <t>2 · DISPLAYED</t>
        </is>
      </c>
      <c r="F365" s="3" t="inlineStr">
        <is>
          <t>---- deterministic depletion ---- Age the portfolio runs out (deterministic), or null if it lasts to the horizon.</t>
        </is>
      </c>
      <c r="G365" s="11" t="inlineStr">
        <is>
          <t>bal = nest egg
net = net withdrawal now
rmd on = (pre tax share ?? 0) &gt; 0
pre tax bal = bal × min(1, max(0, pre tax share!))   if rmd on
0   otherwise
rate = min(0.6, max(0, rmd tax rate (or 0.22 when missing)))
growth = 1 + return rate
a + 1   when bal ≤ 0
the answer = nothing</t>
        </is>
      </c>
      <c r="H365"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65" s="3" t="inlineStr">
        <is>
          <t>PARTLY READ — some of the code is still showing through; needs a hand pass</t>
        </is>
      </c>
      <c r="J365" s="3" t="inlineStr">
        <is>
          <t>o: { age: number; horizon: number; nestEgg: number; netWithdrawalNow: number; returnRate: number; inflation: number; preTaxShare?: number; rmdTaxRate?: number }</t>
        </is>
      </c>
      <c r="K365" s="3" t="inlineStr">
        <is>
          <t>number | null</t>
        </is>
      </c>
      <c r="L365" s="3" t="inlineStr">
        <is>
          <t>NOT FOUND — a screen calls it, but the words printed beside its answer could not be traced automatically. Needs reading.</t>
        </is>
      </c>
      <c r="M365" s="3" t="inlineStr">
        <is>
          <t>1. If pre tax share is missing it uses 0.
2. If required withdrawal tax rate is missing it uses 22%.</t>
        </is>
      </c>
      <c r="N365" s="3" t="inlineStr">
        <is>
          <t>Yes</t>
        </is>
      </c>
      <c r="O365" s="3" t="inlineStr">
        <is>
          <t>1. MK-PL-F-007 rmdAtAge
2. MK-PL-F-005 rmdStartAgeFor</t>
        </is>
      </c>
      <c r="P365" s="3" t="n">
        <v>6</v>
      </c>
      <c r="Q365" s="3" t="inlineStr">
        <is>
          <t>1. MK-PL-F-007 rmdAtAge
2. MK-PL-F-005 rmdStartAgeFor
3. MK-PL-F-078 rmdDivisorAtAge
4. MK-ST-F-025 rmdStartAgeFromAge
5. MK-ST-F-024 rmdStartAge
6. MK-ST-F-056 has</t>
        </is>
      </c>
      <c r="R365" s="3" t="inlineStr">
        <is>
          <t>1. MK-PL-F-078 rmdDivisorAtAge → MK-PL-F-007 rmdAtAge → MK-PL-F-003 depletionAge
2. MK-ST-F-056 has → MK-ST-F-024 rmdStartAge → MK-ST-F-025 rmdStartAgeFromAge → MK-PL-F-005 rmdStartAgeFor → MK-PL-F-003 depletionAge</t>
        </is>
      </c>
      <c r="S365" s="3" t="inlineStr">
        <is>
          <t>—</t>
        </is>
      </c>
      <c r="T365" s="3" t="inlineStr">
        <is>
          <t>—</t>
        </is>
      </c>
      <c r="U365" s="3" t="inlineStr">
        <is>
          <t>ACTIVE</t>
        </is>
      </c>
      <c r="V365" s="3" t="inlineStr">
        <is>
          <t>2026-08-27</t>
        </is>
      </c>
      <c r="W365" s="3" t="n"/>
      <c r="X365" s="3" t="n"/>
      <c r="Y365" s="3" t="inlineStr">
        <is>
          <t>NOTHING OPEN</t>
        </is>
      </c>
    </row>
    <row r="366" ht="60" customHeight="1">
      <c r="A366" s="3" t="inlineStr">
        <is>
          <t>MK-PL-F-004</t>
        </is>
      </c>
      <c r="B366" s="3" t="inlineStr">
        <is>
          <t>withdrawalOrder</t>
        </is>
      </c>
      <c r="C366" s="3" t="inlineStr">
        <is>
          <t>src/domain/decumulation/index.ts</t>
        </is>
      </c>
      <c r="D366" s="3" t="n">
        <v>218</v>
      </c>
      <c r="E366" s="3" t="inlineStr">
        <is>
          <t>2 · DISPLAYED</t>
        </is>
      </c>
      <c r="F366" s="3" t="inlineStr">
        <is>
          <t>NOT DETERMINED — the code carries no note saying what this is for, and it has no row in the old inventory. Needs reading.</t>
        </is>
      </c>
      <c r="G366" s="11" t="inlineStr">
        <is>
          <t>steps = seq where split[bucket] &gt; 0for each of : ...each = ...each
amount = split[bucket]
pre = steps.find((s) =&gt; bucket = 'preTax')
the answer = steps</t>
        </is>
      </c>
      <c r="H366" s="3" t="inlineStr">
        <is>
          <t>Steps is seq where split[bucket] &gt; 0for each of : ...each = ...each; amount = split[bucket]. Pre is steps.find((s) =&gt; bucket = 'preTax'). The answer is steps.</t>
        </is>
      </c>
      <c r="I366" s="3" t="inlineStr">
        <is>
          <t>PARTLY READ — some of the code is still showing through; needs a hand pass</t>
        </is>
      </c>
      <c r="J366" s="3" t="inlineStr">
        <is>
          <t>1. split: BucketSplit
2. age = 0
3. userOrder?: DrawBucket[] | null</t>
        </is>
      </c>
      <c r="K366" s="3" t="inlineStr">
        <is>
          <t>OrderStep[]</t>
        </is>
      </c>
      <c r="L366" s="3" t="inlineStr">
        <is>
          <t>1. "Why this order?" — on the Cash flow screen
2. "Why? ›" — on the Cash flow screen, under "BIG-TICKET RADAR"</t>
        </is>
      </c>
      <c r="M366" s="3" t="inlineStr">
        <is>
          <t>None found in this function — anything it assumes comes from the functions it depends on.</t>
        </is>
      </c>
      <c r="N366" s="3" t="inlineStr">
        <is>
          <t>Yes</t>
        </is>
      </c>
      <c r="O366" s="3" t="inlineStr">
        <is>
          <t>1. MK-CF-F-132 map
2. MK-ST-F-039 on
3. MK-PL-F-007 rmdAtAge
4. MK-PL-F-005 rmdStartAgeFor</t>
        </is>
      </c>
      <c r="P366" s="3" t="n">
        <v>8</v>
      </c>
      <c r="Q366" s="3" t="inlineStr">
        <is>
          <t>1. MK-CF-F-132 map
2. MK-ST-F-039 on
3. MK-PL-F-007 rmdAtAge
4. MK-PL-F-005 rmdStartAgeFor
5. MK-PL-F-078 rmdDivisorAtAge
6. MK-ST-F-025 rmdStartAgeFromAge
7. MK-ST-F-024 rmdStartAge
8. MK-ST-F-056 has</t>
        </is>
      </c>
      <c r="R366"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66" s="3" t="inlineStr">
        <is>
          <t>—</t>
        </is>
      </c>
      <c r="T366" s="3" t="inlineStr">
        <is>
          <t>—</t>
        </is>
      </c>
      <c r="U366" s="3" t="inlineStr">
        <is>
          <t>ACTIVE</t>
        </is>
      </c>
      <c r="V366" s="3" t="inlineStr">
        <is>
          <t>2026-08-27</t>
        </is>
      </c>
      <c r="W366" s="3" t="n"/>
      <c r="X366" s="3" t="n"/>
      <c r="Y366" s="3" t="inlineStr">
        <is>
          <t>NOTHING OPEN</t>
        </is>
      </c>
    </row>
    <row r="367" ht="60" customHeight="1">
      <c r="A367" s="3" t="inlineStr">
        <is>
          <t>MK-PL-F-005</t>
        </is>
      </c>
      <c r="B367" s="3" t="inlineStr">
        <is>
          <t>rmdStartAgeFor</t>
        </is>
      </c>
      <c r="C367" s="3" t="inlineStr">
        <is>
          <t>src/domain/decumulation/index.ts</t>
        </is>
      </c>
      <c r="D367" s="3" t="n">
        <v>272</v>
      </c>
      <c r="E367" s="3" t="inlineStr">
        <is>
          <t>2 · DISPLAYED</t>
        </is>
      </c>
      <c r="F367" s="3" t="inlineStr">
        <is>
          <t>---- Required Minimum Distributions ---- B4 (founder brief 2026-08-20): the rule lives in ONE dated, sourced table — the Calculation Module's rmd function.</t>
        </is>
      </c>
      <c r="G367" s="11" t="inlineStr">
        <is>
          <t>73   if age = nothing
rmd start age from age(age, now year)   otherwise</t>
        </is>
      </c>
      <c r="H367" s="3" t="inlineStr">
        <is>
          <t>73 — when age is missing; rmd start age from age(age, now year) — otherwise.</t>
        </is>
      </c>
      <c r="I367" s="3" t="inlineStr">
        <is>
          <t>READ FROM THE CODE — rendered from the expressions the function runs</t>
        </is>
      </c>
      <c r="J367" s="3" t="inlineStr">
        <is>
          <t>1. age?: number | null
2. nowYear = new Date().getFullYear()</t>
        </is>
      </c>
      <c r="K367" s="3" t="inlineStr">
        <is>
          <t>number</t>
        </is>
      </c>
      <c r="L367"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67" s="3" t="inlineStr">
        <is>
          <t>· Uses today's date from the device clock, so the answer changes by itself overnight.</t>
        </is>
      </c>
      <c r="N367" s="3" t="inlineStr">
        <is>
          <t>Yes</t>
        </is>
      </c>
      <c r="O367" s="3" t="inlineStr">
        <is>
          <t>MK-ST-F-025 rmdStartAgeFromAge</t>
        </is>
      </c>
      <c r="P367" s="3" t="n">
        <v>3</v>
      </c>
      <c r="Q367" s="3" t="inlineStr">
        <is>
          <t>1. MK-ST-F-025 rmdStartAgeFromAge
2. MK-ST-F-024 rmdStartAge
3. MK-ST-F-056 has</t>
        </is>
      </c>
      <c r="R367" s="3" t="inlineStr">
        <is>
          <t>MK-ST-F-056 has → MK-ST-F-024 rmdStartAge → MK-ST-F-025 rmdStartAgeFromAge → MK-PL-F-005 rmdStartAgeFor</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MK-PL-F-006</t>
        </is>
      </c>
      <c r="B368" s="3" t="inlineStr">
        <is>
          <t>rmdDivisor</t>
        </is>
      </c>
      <c r="C368" s="3" t="inlineStr">
        <is>
          <t>Calculation Module code/engines/rmd.ts</t>
        </is>
      </c>
      <c r="D368" s="3" t="n">
        <v>133</v>
      </c>
      <c r="E368" s="3" t="inlineStr">
        <is>
          <t>3 · DEPENDENT (feeds an action only)</t>
        </is>
      </c>
      <c r="F368" s="3" t="inlineStr">
        <is>
          <t>Divisor at an age, 0 before that person's start age.</t>
        </is>
      </c>
      <c r="G368" s="11" t="inlineStr">
        <is>
          <t>divisor(age) = 0                        when age is below the start age
               the table value at age   when the table lists that age
               straight-line between the two nearest listed ages   otherwise</t>
        </is>
      </c>
      <c r="H368"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68" s="3" t="inlineStr">
        <is>
          <t>READ BY HAND 2026-08-26 — checked line by line against the code</t>
        </is>
      </c>
      <c r="J368" s="3" t="inlineStr">
        <is>
          <t>1. age: number
2. birthYear?: number | null</t>
        </is>
      </c>
      <c r="K368" s="3" t="inlineStr">
        <is>
          <t>number</t>
        </is>
      </c>
      <c r="L368" s="3" t="inlineStr">
        <is>
          <t>—</t>
        </is>
      </c>
      <c r="M368" s="3" t="inlineStr">
        <is>
          <t>None found in this function — anything it assumes comes from the functions it depends on.</t>
        </is>
      </c>
      <c r="N368" s="3" t="inlineStr">
        <is>
          <t>No</t>
        </is>
      </c>
      <c r="O368" s="3" t="inlineStr">
        <is>
          <t>MK-ST-F-024 rmdStartAge</t>
        </is>
      </c>
      <c r="P368" s="3" t="n">
        <v>2</v>
      </c>
      <c r="Q368" s="3" t="inlineStr">
        <is>
          <t>1. MK-ST-F-024 rmdStartAge
2. MK-ST-F-056 has</t>
        </is>
      </c>
      <c r="R368" s="3" t="inlineStr">
        <is>
          <t>MK-ST-F-056 has → MK-ST-F-024 rmdStartAge → MK-PL-F-006 rmdDivisor</t>
        </is>
      </c>
      <c r="S368" s="3" t="inlineStr">
        <is>
          <t>—</t>
        </is>
      </c>
      <c r="T368" s="3" t="inlineStr">
        <is>
          <t>—</t>
        </is>
      </c>
      <c r="U368" s="3" t="inlineStr">
        <is>
          <t>ACTIVE</t>
        </is>
      </c>
      <c r="V368" s="3" t="inlineStr">
        <is>
          <t>2026-08-27</t>
        </is>
      </c>
      <c r="W368" s="3" t="n"/>
      <c r="X368" s="3" t="n"/>
      <c r="Y368" s="3" t="inlineStr">
        <is>
          <t>NOTHING OPEN</t>
        </is>
      </c>
    </row>
    <row r="369" ht="60" customHeight="1">
      <c r="A369" s="3" t="inlineStr">
        <is>
          <t>MK-PL-F-007</t>
        </is>
      </c>
      <c r="B369" s="3" t="inlineStr">
        <is>
          <t>rmdAtAge</t>
        </is>
      </c>
      <c r="C369" s="3" t="inlineStr">
        <is>
          <t>src/domain/decumulation/index.ts</t>
        </is>
      </c>
      <c r="D369" s="3" t="n">
        <v>329</v>
      </c>
      <c r="E369" s="3" t="inlineStr">
        <is>
          <t>2 · DISPLAYED</t>
        </is>
      </c>
      <c r="F369" s="3" t="inlineStr">
        <is>
          <t>Required minimum distribution from pre-tax balances at a given age (0 before the start age).</t>
        </is>
      </c>
      <c r="G369" s="11" t="inlineStr">
        <is>
          <t>required withdrawal = round(pre-tax balance ÷ divisor(age), 2 dp)
                    = 0   when the divisor is 0</t>
        </is>
      </c>
      <c r="H369"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69" s="3" t="inlineStr">
        <is>
          <t>READ BY HAND 2026-08-26 — checked line by line against the code</t>
        </is>
      </c>
      <c r="J369" s="3" t="inlineStr">
        <is>
          <t>1. preTaxBalance: number
2. age: number</t>
        </is>
      </c>
      <c r="K369" s="3" t="inlineStr">
        <is>
          <t>number</t>
        </is>
      </c>
      <c r="L369"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69"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69" s="3" t="inlineStr">
        <is>
          <t>Yes</t>
        </is>
      </c>
      <c r="O369" s="3" t="inlineStr">
        <is>
          <t>MK-PL-F-078 rmdDivisorAtAge</t>
        </is>
      </c>
      <c r="P369" s="3" t="n">
        <v>1</v>
      </c>
      <c r="Q369" s="3" t="inlineStr">
        <is>
          <t>MK-PL-F-078 rmdDivisorAtAge</t>
        </is>
      </c>
      <c r="R369" s="3" t="inlineStr">
        <is>
          <t>MK-PL-F-078 rmdDivisorAtAge → MK-PL-F-007 rmdAtAge</t>
        </is>
      </c>
      <c r="S369" s="3" t="inlineStr">
        <is>
          <t>—</t>
        </is>
      </c>
      <c r="T369" s="3" t="inlineStr">
        <is>
          <t>—</t>
        </is>
      </c>
      <c r="U369" s="3" t="inlineStr">
        <is>
          <t>ACTIVE</t>
        </is>
      </c>
      <c r="V369" s="3" t="inlineStr">
        <is>
          <t>2026-08-27</t>
        </is>
      </c>
      <c r="W369" s="3" t="n"/>
      <c r="X369" s="3" t="n"/>
      <c r="Y369" s="3" t="inlineStr">
        <is>
          <t>NOTHING OPEN</t>
        </is>
      </c>
    </row>
    <row r="370" ht="60" customHeight="1">
      <c r="A370" s="3" t="inlineStr">
        <is>
          <t>MK-PL-F-008</t>
        </is>
      </c>
      <c r="B370" s="3" t="inlineStr">
        <is>
          <t>rmdSchedule</t>
        </is>
      </c>
      <c r="C370" s="3" t="inlineStr">
        <is>
          <t>src/domain/decumulation/index.ts</t>
        </is>
      </c>
      <c r="D370" s="3" t="n">
        <v>410</v>
      </c>
      <c r="E370" s="3" t="inlineStr">
        <is>
          <t>2 · DISPLAYED</t>
        </is>
      </c>
      <c r="F370" s="3" t="inlineStr">
        <is>
          <t>Year-by-year mandated-withdrawal schedule (ESTIMATES: future balances move with returns).</t>
        </is>
      </c>
      <c r="G370" s="11" t="inlineStr">
        <is>
          <t>rows = []
rows   when pre tax now ≤ 0
start age = max(rmd start age for(age now, now year), age now)
bal = pre tax now
r = max(0, exp return (or 0 when missing or zero))
age = start age + i
amount = rmd at age(bal, age)
the answer = rows</t>
        </is>
      </c>
      <c r="H370"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0" s="3" t="inlineStr">
        <is>
          <t>READ FROM THE CODE — rendered from the expressions the function runs</t>
        </is>
      </c>
      <c r="J370" s="3" t="inlineStr">
        <is>
          <t>1. preTaxNow: number
2. ageNow: number
3. expReturn: number
4. years = 15
5. nowYear = new Date().getFullYear()</t>
        </is>
      </c>
      <c r="K370" s="3" t="inlineStr">
        <is>
          <t>RmdYearRow[]</t>
        </is>
      </c>
      <c r="L370" s="3" t="inlineStr">
        <is>
          <t>NOT FOUND — a screen calls it, but the words printed beside its answer could not be traced automatically. Needs reading.</t>
        </is>
      </c>
      <c r="M370" s="3" t="inlineStr">
        <is>
          <t>1. If exp return is missing it counts as zero, so nothing recorded and a real zero look the same.
2. Uses today's date from the device clock, so the answer changes by itself overnight.
3. Rounds the answer to a whole number.</t>
        </is>
      </c>
      <c r="N370" s="3" t="inlineStr">
        <is>
          <t>Yes</t>
        </is>
      </c>
      <c r="O370" s="3" t="inlineStr">
        <is>
          <t>1. MK-PL-F-077 clamp
2. MK-PL-F-054 growOneYear
3. MK-PL-F-007 rmdAtAge
4. MK-PL-F-078 rmdDivisorAtAge
5. MK-PL-F-005 rmdStartAgeFor</t>
        </is>
      </c>
      <c r="P370" s="3" t="n">
        <v>23</v>
      </c>
      <c r="Q370"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0"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0" s="3" t="inlineStr">
        <is>
          <t>—</t>
        </is>
      </c>
      <c r="T370" s="3" t="inlineStr">
        <is>
          <t>—</t>
        </is>
      </c>
      <c r="U370" s="3" t="inlineStr">
        <is>
          <t>ACTIVE</t>
        </is>
      </c>
      <c r="V370" s="3" t="inlineStr">
        <is>
          <t>2026-08-27</t>
        </is>
      </c>
      <c r="W370" s="3" t="n"/>
      <c r="X370" s="3" t="n"/>
      <c r="Y370" s="3" t="inlineStr">
        <is>
          <t>NOTHING OPEN</t>
        </is>
      </c>
    </row>
    <row r="371" ht="60" customHeight="1">
      <c r="A371" s="3" t="inlineStr">
        <is>
          <t>MK-PL-F-009</t>
        </is>
      </c>
      <c r="B371" s="3" t="inlineStr">
        <is>
          <t>rmdTakenThisYear</t>
        </is>
      </c>
      <c r="C371" s="3" t="inlineStr">
        <is>
          <t>src/domain/decumulation/index.ts</t>
        </is>
      </c>
      <c r="D371" s="3" t="n">
        <v>455</v>
      </c>
      <c r="E371" s="3" t="inlineStr">
        <is>
          <t>2 · DISPLAYED</t>
        </is>
      </c>
      <c r="F371" s="3" t="inlineStr">
        <is>
          <t>Withdrawals already taken THIS year from the pre-tax accounts (the one ledger — no side lists).</t>
        </is>
      </c>
      <c r="G371" s="11" t="inlineStr">
        <is>
          <t>ids = a list with no repeats of for each of pre tax account ids: string</t>
        </is>
      </c>
      <c r="H371" s="3" t="inlineStr">
        <is>
          <t>Ids is a list with no repeats of for each of pre tax account ids: string.</t>
        </is>
      </c>
      <c r="I371" s="3" t="inlineStr">
        <is>
          <t>READ FROM THE CODE — rendered from the expressions the function runs</t>
        </is>
      </c>
      <c r="J371" s="3" t="inlineStr">
        <is>
          <t>1. transactions: { type?: string; account_id?: string; amount?: number; date?: string }[]
2. preTaxAccountIds: string[]
3. nowYear = new Date().getFullYear()</t>
        </is>
      </c>
      <c r="K371" s="3" t="inlineStr">
        <is>
          <t>number</t>
        </is>
      </c>
      <c r="L371" s="3" t="inlineStr">
        <is>
          <t>NOT FOUND — a screen calls it, but the words printed beside its answer could not be traced automatically. Needs reading.</t>
        </is>
      </c>
      <c r="M371" s="3" t="inlineStr">
        <is>
          <t>1. If amount is missing it counts as zero, so nothing recorded and a real zero look the same.
2. Uses today's date from the device clock, so the answer changes by itself overnight.</t>
        </is>
      </c>
      <c r="N371" s="3" t="inlineStr">
        <is>
          <t>Yes</t>
        </is>
      </c>
      <c r="O371" s="3" t="inlineStr">
        <is>
          <t>1. MK-ST-F-056 has
2. MK-CF-F-132 map</t>
        </is>
      </c>
      <c r="P371" s="3" t="n">
        <v>2</v>
      </c>
      <c r="Q371" s="3" t="inlineStr">
        <is>
          <t>1. MK-ST-F-056 has
2. MK-CF-F-132 map</t>
        </is>
      </c>
      <c r="R371" s="3" t="inlineStr">
        <is>
          <t>1. MK-ST-F-056 has → MK-PL-F-009 rmdTakenThisYear
2. MK-CF-F-132 map → MK-PL-F-009 rmdTakenThisYear</t>
        </is>
      </c>
      <c r="S371" s="3" t="inlineStr">
        <is>
          <t>—</t>
        </is>
      </c>
      <c r="T371" s="3" t="inlineStr">
        <is>
          <t>—</t>
        </is>
      </c>
      <c r="U371" s="3" t="inlineStr">
        <is>
          <t>ACTIVE</t>
        </is>
      </c>
      <c r="V371" s="3" t="inlineStr">
        <is>
          <t>2026-08-27</t>
        </is>
      </c>
      <c r="W371" s="3" t="n"/>
      <c r="X371" s="3" t="n"/>
      <c r="Y371" s="3" t="inlineStr">
        <is>
          <t>NOTHING OPEN</t>
        </is>
      </c>
    </row>
    <row r="372" ht="60" customHeight="1">
      <c r="A372" s="3" t="inlineStr">
        <is>
          <t>MK-PL-F-010</t>
        </is>
      </c>
      <c r="B372" s="3" t="inlineStr">
        <is>
          <t>drawOrderOutcome</t>
        </is>
      </c>
      <c r="C372" s="3" t="inlineStr">
        <is>
          <t>src/domain/decumulation/index.ts</t>
        </is>
      </c>
      <c r="D372" s="3" t="n">
        <v>504</v>
      </c>
      <c r="E372" s="3" t="inlineStr">
        <is>
          <t>2 · DISPLAYED</t>
        </is>
      </c>
      <c r="F372" s="3" t="inlineStr">
        <is>
          <t>If the draw came from the accounts in this order, how long would the money last and what tax would it cost?</t>
        </is>
      </c>
      <c r="G372"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72"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72" s="3" t="inlineStr">
        <is>
          <t>READ BY HAND 2026-08-26 — checked line by line against the code</t>
        </is>
      </c>
      <c r="J372" s="3" t="inlineStr">
        <is>
          <t>Nothing is handed to it</t>
        </is>
      </c>
      <c r="K372" s="3" t="inlineStr">
        <is>
          <t>NOT DECLARED — the code does not say what it gives back</t>
        </is>
      </c>
      <c r="L372" s="3" t="inlineStr">
        <is>
          <t>NOT FOUND — a screen calls it, but the words printed beside its answer could not be traced automatically. Needs reading.</t>
        </is>
      </c>
      <c r="M372"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72" s="3" t="inlineStr">
        <is>
          <t>Yes</t>
        </is>
      </c>
      <c r="O372" s="3" t="inlineStr">
        <is>
          <t>1. MK-CF-F-155 cash
2. MK-PL-F-007 rmdAtAge
3. MK-PL-F-005 rmdStartAgeFor</t>
        </is>
      </c>
      <c r="P372" s="3" t="n">
        <v>8</v>
      </c>
      <c r="Q372" s="3" t="inlineStr">
        <is>
          <t>1. MK-CF-F-155 cash
2. MK-PL-F-007 rmdAtAge
3. MK-PL-F-005 rmdStartAgeFor
4. MK-XS-F-122 n
5. MK-PL-F-078 rmdDivisorAtAge
6. MK-ST-F-025 rmdStartAgeFromAge
7. MK-ST-F-024 rmdStartAge
8. MK-ST-F-056 has</t>
        </is>
      </c>
      <c r="R372" s="3" t="inlineStr">
        <is>
          <t>1. MK-XS-F-122 n → MK-CF-F-155 cash → MK-PL-F-010 drawOrderOutcome
2. MK-PL-F-078 rmdDivisorAtAge → MK-PL-F-007 rmdAtAge → MK-PL-F-010 drawOrderOutcome
3. MK-ST-F-056 has → MK-ST-F-024 rmdStartAge → MK-ST-F-025 rmdStartAgeFromAge → MK-PL-F-005 rmdStartAgeFor → MK-PL-F-010 drawOrderOutcome</t>
        </is>
      </c>
      <c r="S372" s="3" t="inlineStr">
        <is>
          <t>—</t>
        </is>
      </c>
      <c r="T372" s="3" t="inlineStr">
        <is>
          <t>—</t>
        </is>
      </c>
      <c r="U372" s="3" t="inlineStr">
        <is>
          <t>ACTIVE</t>
        </is>
      </c>
      <c r="V372" s="3" t="inlineStr">
        <is>
          <t>2026-09-12</t>
        </is>
      </c>
      <c r="W372" s="3" t="n"/>
      <c r="X372" s="3" t="n"/>
      <c r="Y372" s="6" t="inlineStr">
        <is>
          <t>TESTED, NOT VERIFIED (G6)</t>
        </is>
      </c>
    </row>
    <row r="373" ht="60" customHeight="1">
      <c r="A373" s="3" t="inlineStr">
        <is>
          <t>MK-PL-F-011</t>
        </is>
      </c>
      <c r="B373" s="3" t="inlineStr">
        <is>
          <t>buildGoalsState</t>
        </is>
      </c>
      <c r="C373" s="3" t="inlineStr">
        <is>
          <t>src/domain/goals/index.ts</t>
        </is>
      </c>
      <c r="D373" s="3" t="n">
        <v>45</v>
      </c>
      <c r="E373" s="3" t="inlineStr">
        <is>
          <t>3 · DEPENDENT</t>
        </is>
      </c>
      <c r="F373" s="3" t="inlineStr">
        <is>
          <t>Months to reach each goal at the given monthly savings capacity.</t>
        </is>
      </c>
      <c r="G373" s="11" t="inlineStr">
        <is>
          <t>user id = uid
goals = progress
monthly capacity = monthly capacity</t>
        </is>
      </c>
      <c r="H373" s="3" t="inlineStr">
        <is>
          <t>user id = uid; goals = progress; monthly capacity = monthly capacity.</t>
        </is>
      </c>
      <c r="I373" s="3" t="inlineStr">
        <is>
          <t>READ FROM THE CODE — rendered from the expressions the function runs</t>
        </is>
      </c>
      <c r="J373" s="3" t="inlineStr">
        <is>
          <t>1. uid: UserId
2. goals: Goal[]
3. monthlyCapacity: number</t>
        </is>
      </c>
      <c r="K373" s="3" t="inlineStr">
        <is>
          <t>GoalsState</t>
        </is>
      </c>
      <c r="L373" s="3" t="inlineStr">
        <is>
          <t>—</t>
        </is>
      </c>
      <c r="M373" s="3" t="inlineStr">
        <is>
          <t>None found in this function — anything it assumes comes from the functions it depends on.</t>
        </is>
      </c>
      <c r="N373" s="3" t="inlineStr">
        <is>
          <t>Yes</t>
        </is>
      </c>
      <c r="O373" s="3" t="inlineStr">
        <is>
          <t>1. MK-CF-F-132 map
2. MK-XS-F-175 uid
3. MK-PL-F-012 waterfall</t>
        </is>
      </c>
      <c r="P373" s="3" t="n">
        <v>81</v>
      </c>
      <c r="Q373" s="3" t="inlineStr">
        <is>
          <t>1. MK-CF-F-132 map
2. MK-XS-F-175 uid
3. MK-PL-F-012 waterfall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3"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MK-PL-F-012</t>
        </is>
      </c>
      <c r="B374" s="3" t="inlineStr">
        <is>
          <t>waterfall</t>
        </is>
      </c>
      <c r="C374" s="3" t="inlineStr">
        <is>
          <t>src/domain/goals/index.ts</t>
        </is>
      </c>
      <c r="D374" s="3" t="n">
        <v>94</v>
      </c>
      <c r="E374" s="3" t="inlineStr">
        <is>
          <t>3 · DEPENDENT</t>
        </is>
      </c>
      <c r="F374" s="3" t="inlineStr">
        <is>
          <t>NOT DETERMINED — the code carries no note saying what this is for, and it has no row in the old inventory. Needs reading.</t>
        </is>
      </c>
      <c r="G374" s="11" t="inlineStr">
        <is>
          <t>left = max(0, surplus)
steps = []
a = min(left, max(0, need)); left -= a; steps.push({ name, allocated: (a) })
the answer = steps</t>
        </is>
      </c>
      <c r="H374" s="3" t="inlineStr">
        <is>
          <t>Left is surplus, never below zero. Steps is []. A: the smaller of left and need, never below zero; left -= a; steps.push({ name, allocated: (a) }). The answer is steps.</t>
        </is>
      </c>
      <c r="I374" s="3" t="inlineStr">
        <is>
          <t>PARTLY READ — some of the code is still showing through; needs a hand pass</t>
        </is>
      </c>
      <c r="J374" s="3" t="inlineStr">
        <is>
          <t>Nothing is handed to it</t>
        </is>
      </c>
      <c r="K374" s="3" t="inlineStr">
        <is>
          <t>NOT DECLARED — the code does not say what it gives back</t>
        </is>
      </c>
      <c r="L374" s="3" t="inlineStr">
        <is>
          <t>—</t>
        </is>
      </c>
      <c r="M374" s="3" t="inlineStr">
        <is>
          <t>1. If emergency gap is missing it uses 0.
2. If toxic debt is missing it uses 0.
3. If employer match monthly is missing it uses 0.
4. Never lets surplus fall below 0.
5. Never lets need fall below 0.</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t>
        </is>
      </c>
      <c r="U374" s="3" t="inlineStr">
        <is>
          <t>ACTIVE</t>
        </is>
      </c>
      <c r="V374" s="3" t="inlineStr">
        <is>
          <t>2026-09-09</t>
        </is>
      </c>
      <c r="W374" s="3" t="n"/>
      <c r="X374" s="3" t="n"/>
      <c r="Y374" s="3" t="inlineStr">
        <is>
          <t>NOTHING OPEN</t>
        </is>
      </c>
    </row>
    <row r="375" ht="60" customHeight="1">
      <c r="A375" s="3" t="inlineStr">
        <is>
          <t>MK-PL-F-013</t>
        </is>
      </c>
      <c r="B375" s="3" t="inlineStr">
        <is>
          <t>goalsFromOnboarding</t>
        </is>
      </c>
      <c r="C375" s="3" t="inlineStr">
        <is>
          <t>src/domain/goals/index.ts</t>
        </is>
      </c>
      <c r="D375" s="3" t="n">
        <v>143</v>
      </c>
      <c r="E375" s="3" t="inlineStr">
        <is>
          <t>3 · DEPENDENT</t>
        </is>
      </c>
      <c r="F375" s="3" t="inlineStr">
        <is>
          <t>NOT DETERMINED — the code carries no note saying what this is for, and it has no row in the old inventory. Needs reading.</t>
        </is>
      </c>
      <c r="G375" s="11" t="inlineStr">
        <is>
          <t>a = op (or none when missing)
raw = goals   if array.is array(goals)
[]   otherwise
the answer:
user id = uid
goals = goals</t>
        </is>
      </c>
      <c r="H375" s="3" t="inlineStr">
        <is>
          <t>A is op (or none — when missing). Raw is goals — when array.is array(goals); [] — otherwise. The answer is user id = uid; goals = goals.</t>
        </is>
      </c>
      <c r="I375" s="3" t="inlineStr">
        <is>
          <t>PARTLY READ — some of the code is still showing through; needs a hand pass</t>
        </is>
      </c>
      <c r="J375" s="3" t="inlineStr">
        <is>
          <t>1. uid: UserId
2. op: Record&lt;string, any&gt; | null</t>
        </is>
      </c>
      <c r="K375" s="3" t="inlineStr">
        <is>
          <t>GoalsDoc</t>
        </is>
      </c>
      <c r="L375" s="3" t="inlineStr">
        <is>
          <t>—</t>
        </is>
      </c>
      <c r="M375" s="3" t="inlineStr">
        <is>
          <t>None found in this function — anything it assumes comes from the functions it depends on.</t>
        </is>
      </c>
      <c r="N375" s="3" t="inlineStr">
        <is>
          <t>Yes</t>
        </is>
      </c>
      <c r="O375" s="3" t="inlineStr">
        <is>
          <t>1. MK-CF-F-132 map
2. MK-ST-F-043 newEntityId
3. MK-ST-F-052 toNum
4. MK-XS-F-175 uid</t>
        </is>
      </c>
      <c r="P375" s="3" t="n">
        <v>79</v>
      </c>
      <c r="Q375"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MK-CF-F-038 debtsFromOnboarding
14. MK-XS-F-083 fetchPriceSeries
15. MK-ST-F-056 has
16. MK-CF-F-116 inverseOf
17. MK-ST-F-065 isoLocalDate
18. MK-CF-F-112 makeTransaction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375"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MK-PL-F-014</t>
        </is>
      </c>
      <c r="B376" s="3" t="inlineStr">
        <is>
          <t>loadGoals</t>
        </is>
      </c>
      <c r="C376" s="3" t="inlineStr">
        <is>
          <t>src/domain/goals/index.ts</t>
        </is>
      </c>
      <c r="D376" s="3" t="n">
        <v>171</v>
      </c>
      <c r="E376" s="3" t="inlineStr">
        <is>
          <t>3 · DEPENDENT (feeds an action only)</t>
        </is>
      </c>
      <c r="F376" s="3" t="inlineStr">
        <is>
          <t>NOT DETERMINED — the code carries no note saying what this is for, and it has no row in the old inventory. Needs reading.</t>
        </is>
      </c>
      <c r="G376" s="11" t="inlineStr">
        <is>
          <t>It reaches outside the app for data and hands back what came back — no arithmetic of its own.</t>
        </is>
      </c>
      <c r="H376" s="3" t="inlineStr">
        <is>
          <t>It reaches outside the app for data and hands back what came back — no arithmetic of its own.</t>
        </is>
      </c>
      <c r="I376" s="3" t="inlineStr">
        <is>
          <t>NO ARITHMETIC — there is no formula to state</t>
        </is>
      </c>
      <c r="J376" s="3" t="inlineStr">
        <is>
          <t>uid: UserId</t>
        </is>
      </c>
      <c r="K376" s="3" t="inlineStr">
        <is>
          <t>NOT DECLARED — the code does not say what it gives back</t>
        </is>
      </c>
      <c r="L376" s="3" t="inlineStr">
        <is>
          <t>—</t>
        </is>
      </c>
      <c r="M376" s="3" t="inlineStr">
        <is>
          <t>None found in this function — anything it assumes comes from the functions it depends on.</t>
        </is>
      </c>
      <c r="N376" s="3" t="inlineStr">
        <is>
          <t>No</t>
        </is>
      </c>
      <c r="O376" s="3" t="inlineStr">
        <is>
          <t>MK-XS-F-175 uid</t>
        </is>
      </c>
      <c r="P376" s="3" t="n">
        <v>80</v>
      </c>
      <c r="Q376"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376"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MK-PL-F-015</t>
        </is>
      </c>
      <c r="B377" s="3" t="inlineStr">
        <is>
          <t>saveGoals</t>
        </is>
      </c>
      <c r="C377" s="3" t="inlineStr">
        <is>
          <t>src/domain/goals/index.ts</t>
        </is>
      </c>
      <c r="D377" s="3" t="n">
        <v>187</v>
      </c>
      <c r="E377" s="3" t="inlineStr">
        <is>
          <t>1 · ACTION</t>
        </is>
      </c>
      <c r="F377" s="3" t="inlineStr">
        <is>
          <t>NOT DETERMINED — the code carries no note saying what this is for, and it has no row in the old inventory. Needs reading.</t>
        </is>
      </c>
      <c r="G377" s="11" t="inlineStr">
        <is>
          <t>It records or announces something and returns no figure — no arithmetic of its own.</t>
        </is>
      </c>
      <c r="H377" s="3" t="inlineStr">
        <is>
          <t>It records or announces something and returns no figure — no arithmetic of its own.</t>
        </is>
      </c>
      <c r="I377" s="3" t="inlineStr">
        <is>
          <t>NO ARITHMETIC — there is no formula to state</t>
        </is>
      </c>
      <c r="J377" s="3" t="inlineStr">
        <is>
          <t>d: GoalsDoc</t>
        </is>
      </c>
      <c r="K377" s="3" t="inlineStr">
        <is>
          <t>NOT DECLARED — the code does not say what it gives back</t>
        </is>
      </c>
      <c r="L377" s="3" t="inlineStr">
        <is>
          <t>—</t>
        </is>
      </c>
      <c r="M377" s="3" t="inlineStr">
        <is>
          <t>None found in this function — anything it assumes comes from the functions it depends on.</t>
        </is>
      </c>
      <c r="N377" s="3" t="inlineStr">
        <is>
          <t>No</t>
        </is>
      </c>
      <c r="O377" s="3" t="inlineStr">
        <is>
          <t>MK-ST-F-042 setUserDoc</t>
        </is>
      </c>
      <c r="P377" s="3" t="n">
        <v>81</v>
      </c>
      <c r="Q377" s="3" t="inlineStr">
        <is>
          <t>1. MK-ST-F-042 setUserDoc
2. MK-XS-F-175 uid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377"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MK-PL-F-016</t>
        </is>
      </c>
      <c r="B378" s="3" t="inlineStr">
        <is>
          <t>availableToSaveSummary</t>
        </is>
      </c>
      <c r="C378" s="3" t="inlineStr">
        <is>
          <t>src/domain/goals/index.ts</t>
        </is>
      </c>
      <c r="D378" s="3" t="n">
        <v>222</v>
      </c>
      <c r="E378" s="3" t="inlineStr">
        <is>
          <t>2 · DISPLAYED</t>
        </is>
      </c>
      <c r="F378" s="3" t="inlineStr">
        <is>
          <t>Summarize per-month available-to-save from a 12-month cash-flow grid.</t>
        </is>
      </c>
      <c r="G378"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78"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78" s="3" t="inlineStr">
        <is>
          <t>READ FROM THE CODE — rendered from the expressions the function runs</t>
        </is>
      </c>
      <c r="J378" s="3" t="inlineStr">
        <is>
          <t>grid: { label: string; amount: number }[]</t>
        </is>
      </c>
      <c r="K378" s="3" t="inlineStr">
        <is>
          <t>SaveCapacity</t>
        </is>
      </c>
      <c r="L378" s="3" t="inlineStr">
        <is>
          <t>"Plan" — on the Goals screen</t>
        </is>
      </c>
      <c r="M378" s="3" t="inlineStr">
        <is>
          <t>· Applies a built-in rate of 25% to avg.</t>
        </is>
      </c>
      <c r="N378" s="3" t="inlineStr">
        <is>
          <t>Yes</t>
        </is>
      </c>
      <c r="O378" s="3" t="inlineStr">
        <is>
          <t>MK-CF-F-132 map</t>
        </is>
      </c>
      <c r="P378" s="3" t="n">
        <v>1</v>
      </c>
      <c r="Q378" s="3" t="inlineStr">
        <is>
          <t>MK-CF-F-132 map</t>
        </is>
      </c>
      <c r="R378" s="3" t="inlineStr">
        <is>
          <t>MK-CF-F-132 map → MK-PL-F-016 availableToSaveSummary</t>
        </is>
      </c>
      <c r="S378" s="3" t="inlineStr">
        <is>
          <t>—</t>
        </is>
      </c>
      <c r="T378" s="3" t="inlineStr">
        <is>
          <t>—</t>
        </is>
      </c>
      <c r="U378" s="3" t="inlineStr">
        <is>
          <t>ACTIVE</t>
        </is>
      </c>
      <c r="V378" s="3" t="inlineStr">
        <is>
          <t>2026-09-09</t>
        </is>
      </c>
      <c r="W378" s="3" t="n"/>
      <c r="X378" s="3" t="n"/>
      <c r="Y378" s="3" t="inlineStr">
        <is>
          <t>NOTHING OPEN</t>
        </is>
      </c>
    </row>
    <row r="379" ht="60" customHeight="1">
      <c r="A379" s="3" t="inlineStr">
        <is>
          <t>MK-PL-F-017</t>
        </is>
      </c>
      <c r="B379" s="3" t="inlineStr">
        <is>
          <t>sinkingFund</t>
        </is>
      </c>
      <c r="C379" s="3" t="inlineStr">
        <is>
          <t>src/domain/goals/index.ts</t>
        </is>
      </c>
      <c r="D379" s="3" t="n">
        <v>256</v>
      </c>
      <c r="E379" s="3" t="inlineStr">
        <is>
          <t>2 · DISPLAYED</t>
        </is>
      </c>
      <c r="F379" s="3" t="inlineStr">
        <is>
          <t>NOT DETERMINED — the code carries no note saying what this is for, and it has no row in the old inventory. Needs reading.</t>
        </is>
      </c>
      <c r="G379" s="11" t="inlineStr">
        <is>
          <t>monthly = max(0, monthly non monthly)
the answer:
annual = monthly × 12
monthly = monthly</t>
        </is>
      </c>
      <c r="H379" s="3" t="inlineStr">
        <is>
          <t>Monthly is monthly non monthly, never below zero. The answer is annual = monthly times 12; monthly = monthly.</t>
        </is>
      </c>
      <c r="I379" s="3" t="inlineStr">
        <is>
          <t>READ FROM THE CODE — rendered from the expressions the function runs</t>
        </is>
      </c>
      <c r="J379" s="3" t="inlineStr">
        <is>
          <t>monthlyNonMonthly: number</t>
        </is>
      </c>
      <c r="K379" s="3" t="inlineStr">
        <is>
          <t>SinkingFund</t>
        </is>
      </c>
      <c r="L379" s="3" t="inlineStr">
        <is>
          <t>NOT FOUND — a screen calls it, but the words printed beside its answer could not be traced automatically. Needs reading.</t>
        </is>
      </c>
      <c r="M379" s="3" t="inlineStr">
        <is>
          <t>1. Turns a monthly figure into a year by multiplying by twelve.
2. Never lets monthly non monthly fall below 0.</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2026-09-09</t>
        </is>
      </c>
      <c r="W379" s="3" t="n"/>
      <c r="X379" s="3" t="n"/>
      <c r="Y379" s="3" t="inlineStr">
        <is>
          <t>NOTHING OPEN</t>
        </is>
      </c>
    </row>
    <row r="380" ht="60" customHeight="1">
      <c r="A380" s="3" t="inlineStr">
        <is>
          <t>MK-PL-F-018</t>
        </is>
      </c>
      <c r="B380" s="3" t="inlineStr">
        <is>
          <t>monthsUntil</t>
        </is>
      </c>
      <c r="C380" s="3" t="inlineStr">
        <is>
          <t>src/domain/goals/index.ts</t>
        </is>
      </c>
      <c r="D380" s="3" t="n">
        <v>292</v>
      </c>
      <c r="E380" s="3" t="inlineStr">
        <is>
          <t>2 · DISPLAYED</t>
        </is>
      </c>
      <c r="F380" s="3" t="inlineStr">
        <is>
          <t>Whole months from `now` to the target month ('YYYY-MM'); &gt;=1, or null if no/!invalid date.</t>
        </is>
      </c>
      <c r="G380" s="11" t="inlineStr">
        <is>
          <t>nothing   when target date is missing
nothing   when y is missing (or m is missing when missing or zero)
max(1, (y − now.get full year()) × 12 + (m − 1 − now.get month()))</t>
        </is>
      </c>
      <c r="H380" s="3" t="inlineStr">
        <is>
          <t>When target date is missing, it answers no answer. When y is missing (or m is missing — when missing or zero), it answers no answer. the larger of 1 and (y minus now.get full year() times 12 plus (m minus 1 minus now.get month())).</t>
        </is>
      </c>
      <c r="I380" s="3" t="inlineStr">
        <is>
          <t>PARTLY READ — some of the code is still showing through; needs a hand pass</t>
        </is>
      </c>
      <c r="J380" s="3" t="inlineStr">
        <is>
          <t>1. targetDate: string | undefined
2. now: Date</t>
        </is>
      </c>
      <c r="K380" s="3" t="inlineStr">
        <is>
          <t>number | null</t>
        </is>
      </c>
      <c r="L380" s="3" t="inlineStr">
        <is>
          <t>NOT FOUND — a screen calls it, but the words printed beside its answer could not be traced automatically. Needs reading.</t>
        </is>
      </c>
      <c r="M380" s="3" t="inlineStr">
        <is>
          <t>· Turns a monthly figure into a year by multiplying by twelve.</t>
        </is>
      </c>
      <c r="N380" s="3" t="inlineStr">
        <is>
          <t>Yes</t>
        </is>
      </c>
      <c r="O380" s="3" t="inlineStr">
        <is>
          <t>MK-CF-F-132 map</t>
        </is>
      </c>
      <c r="P380" s="3" t="n">
        <v>1</v>
      </c>
      <c r="Q380" s="3" t="inlineStr">
        <is>
          <t>MK-CF-F-132 map</t>
        </is>
      </c>
      <c r="R380" s="3" t="inlineStr">
        <is>
          <t>MK-CF-F-132 map → MK-PL-F-018 monthsUntil</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MK-PL-F-019</t>
        </is>
      </c>
      <c r="B381" s="3" t="inlineStr">
        <is>
          <t>goalMonthsRemaining</t>
        </is>
      </c>
      <c r="C381" s="3" t="inlineStr">
        <is>
          <t>src/domain/goals/index.ts</t>
        </is>
      </c>
      <c r="D381" s="3" t="n">
        <v>327</v>
      </c>
      <c r="E381" s="3" t="inlineStr">
        <is>
          <t>3 · DEPENDENT</t>
        </is>
      </c>
      <c r="F381" s="3" t="inlineStr">
        <is>
          <t>Months remaining: from the target date if set, else the goal's `duration` (months).</t>
        </is>
      </c>
      <c r="G381" s="11" t="inlineStr">
        <is>
          <t>from date = months until(target date, now)
from date   when from date ≠ nothing
d = duration read as a number
the answer:
d   if number.is finite(d) and d &gt; 0
nothing   otherwise</t>
        </is>
      </c>
      <c r="H381" s="3" t="inlineStr">
        <is>
          <t>From date is months until(target date, now). When from date is not no answer, it answers from date. D is duration read as a number. The answer is d — when number.is finite(d) and d &gt; 0; no answer — otherwise.</t>
        </is>
      </c>
      <c r="I381" s="3" t="inlineStr">
        <is>
          <t>PARTLY READ — some of the code is still showing through; needs a hand pass</t>
        </is>
      </c>
      <c r="J381" s="3" t="inlineStr">
        <is>
          <t>1. g: GoalLike
2. now: Date = new Date()</t>
        </is>
      </c>
      <c r="K381" s="3" t="inlineStr">
        <is>
          <t>number | null</t>
        </is>
      </c>
      <c r="L381" s="3" t="inlineStr">
        <is>
          <t>—</t>
        </is>
      </c>
      <c r="M381" s="3" t="inlineStr">
        <is>
          <t>· Uses today's date from the device clock, so the answer changes by itself overnight.</t>
        </is>
      </c>
      <c r="N381" s="3" t="inlineStr">
        <is>
          <t>Yes</t>
        </is>
      </c>
      <c r="O381" s="3" t="inlineStr">
        <is>
          <t>MK-PL-F-018 monthsUntil</t>
        </is>
      </c>
      <c r="P381" s="3" t="n">
        <v>2</v>
      </c>
      <c r="Q381" s="3" t="inlineStr">
        <is>
          <t>1. MK-PL-F-018 monthsUntil
2. MK-CF-F-132 map</t>
        </is>
      </c>
      <c r="R381" s="3" t="inlineStr">
        <is>
          <t>MK-CF-F-132 map → MK-PL-F-018 monthsUntil → MK-PL-F-019 goalMonthsRemaining</t>
        </is>
      </c>
      <c r="S381" s="3" t="inlineStr">
        <is>
          <t>—</t>
        </is>
      </c>
      <c r="T381" s="3" t="inlineStr">
        <is>
          <t>—</t>
        </is>
      </c>
      <c r="U381" s="3" t="inlineStr">
        <is>
          <t>ACTIVE</t>
        </is>
      </c>
      <c r="V381" s="3" t="inlineStr">
        <is>
          <t>2026-08-27</t>
        </is>
      </c>
      <c r="W381" s="3" t="n"/>
      <c r="X381" s="3" t="n"/>
      <c r="Y381" s="3" t="inlineStr">
        <is>
          <t>NOTHING OPEN</t>
        </is>
      </c>
    </row>
    <row r="382" ht="60" customHeight="1">
      <c r="A382" s="3" t="inlineStr">
        <is>
          <t>MK-PL-F-020</t>
        </is>
      </c>
      <c r="B382" s="3" t="inlineStr">
        <is>
          <t>requiredMonthly</t>
        </is>
      </c>
      <c r="C382" s="3" t="inlineStr">
        <is>
          <t>src/domain/goals/index.ts</t>
        </is>
      </c>
      <c r="D382" s="3" t="n">
        <v>364</v>
      </c>
      <c r="E382" s="3" t="inlineStr">
        <is>
          <t>2 · DISPLAYED</t>
        </is>
      </c>
      <c r="F382" s="3" t="inlineStr">
        <is>
          <t>$/month still needed to hit the target on time (0 if already funded; null if no date/duration).</t>
        </is>
      </c>
      <c r="G382" s="11" t="inlineStr">
        <is>
          <t>remaining = max(0, (target or 0) − (saved or 0))
0   when remaining = 0
months = goal months remaining(g, now)
the answer:
remaining ÷ months   if months
nothing   otherwise</t>
        </is>
      </c>
      <c r="H382" s="3" t="inlineStr">
        <is>
          <t>Remaining is (target or 0, never below zero minus (saved or 0)). When remaining = 0, it answers 0. Months is goal months remaining(g, now). The answer is remaining divided by months — when months; no answer — otherwise.</t>
        </is>
      </c>
      <c r="I382" s="3" t="inlineStr">
        <is>
          <t>READ FROM THE CODE — rendered from the expressions the function runs</t>
        </is>
      </c>
      <c r="J382" s="3" t="inlineStr">
        <is>
          <t>1. g: GoalLike
2. now: Date = new Date()</t>
        </is>
      </c>
      <c r="K382" s="3" t="inlineStr">
        <is>
          <t>number | null</t>
        </is>
      </c>
      <c r="L382" s="3" t="inlineStr">
        <is>
          <t>NOT FOUND — a screen calls it, but the words printed beside its answer could not be traced automatically. Needs reading.</t>
        </is>
      </c>
      <c r="M382"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82" s="3" t="inlineStr">
        <is>
          <t>Yes</t>
        </is>
      </c>
      <c r="O382" s="3" t="inlineStr">
        <is>
          <t>MK-PL-F-019 goalMonthsRemaining</t>
        </is>
      </c>
      <c r="P382" s="3" t="n">
        <v>3</v>
      </c>
      <c r="Q382" s="3" t="inlineStr">
        <is>
          <t>1. MK-PL-F-019 goalMonthsRemaining
2. MK-PL-F-018 monthsUntil
3. MK-CF-F-132 map</t>
        </is>
      </c>
      <c r="R382" s="3" t="inlineStr">
        <is>
          <t>MK-CF-F-132 map → MK-PL-F-018 monthsUntil → MK-PL-F-019 goalMonthsRemaining → MK-PL-F-020 requiredMonthly</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MK-PL-F-021</t>
        </is>
      </c>
      <c r="B383" s="3" t="inlineStr">
        <is>
          <t>monthsToGoal</t>
        </is>
      </c>
      <c r="C383" s="3" t="inlineStr">
        <is>
          <t>src/domain/goals/index.ts</t>
        </is>
      </c>
      <c r="D383" s="3" t="n">
        <v>399</v>
      </c>
      <c r="E383" s="3" t="inlineStr">
        <is>
          <t>2 · DISPLAYED</t>
        </is>
      </c>
      <c r="F383" s="3" t="inlineStr">
        <is>
          <t>Months to reach the goal at a given monthly contribution (0 if funded; null if contribution &lt;= 0).</t>
        </is>
      </c>
      <c r="G383" s="11" t="inlineStr">
        <is>
          <t>remaining = max(0, (target or 0) − (saved or 0))
0   when remaining = 0
the answer:
round up(remaining ÷ monthly contribution)   if monthly contribution &gt; 0
nothing   otherwise</t>
        </is>
      </c>
      <c r="H383" s="3" t="inlineStr">
        <is>
          <t>Remaining is (target or 0, never below zero minus (saved or 0)). When remaining = 0, it answers 0. The answer is remaining divided by monthly contribution, rounded up — when monthly contribution &gt; 0; no answer — otherwise.</t>
        </is>
      </c>
      <c r="I383" s="3" t="inlineStr">
        <is>
          <t>READ FROM THE CODE — rendered from the expressions the function runs</t>
        </is>
      </c>
      <c r="J383" s="3" t="inlineStr">
        <is>
          <t>1. g: GoalLike
2. monthlyContribution: number</t>
        </is>
      </c>
      <c r="K383" s="3" t="inlineStr">
        <is>
          <t>number | null</t>
        </is>
      </c>
      <c r="L383" s="3" t="inlineStr">
        <is>
          <t>NOT FOUND — a screen calls it, but the words printed beside its answer could not be traced automatically. Needs reading.</t>
        </is>
      </c>
      <c r="M383" s="3" t="inlineStr">
        <is>
          <t>1. If target is missing it counts as zero, so nothing recorded and a real zero look the same.
2. If saved is missing it counts as zero, so nothing recorded and a real zero look the same.</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MK-PL-F-022</t>
        </is>
      </c>
      <c r="B384" s="3" t="inlineStr">
        <is>
          <t>goalProgressPct</t>
        </is>
      </c>
      <c r="C384" s="3" t="inlineStr">
        <is>
          <t>src/domain/goals/index.ts</t>
        </is>
      </c>
      <c r="D384" s="3" t="n">
        <v>428</v>
      </c>
      <c r="E384" s="3" t="inlineStr">
        <is>
          <t>3 · DEPENDENT (feeds an action only)</t>
        </is>
      </c>
      <c r="F384" s="3" t="inlineStr">
        <is>
          <t>Funded %, clamped 0–100.</t>
        </is>
      </c>
      <c r="G384" s="11" t="inlineStr">
        <is>
          <t>0   when (target or 0) ≤ 0
min(100, max(0, round(((saved or 0) ÷ target) × 100)))</t>
        </is>
      </c>
      <c r="H384" s="3" t="inlineStr">
        <is>
          <t>When (target or 0) is at most 0, it answers 0. the smaller of 100 and ((saved or 0, to a whole number divided by target, never below zero times 100)).</t>
        </is>
      </c>
      <c r="I384" s="3" t="inlineStr">
        <is>
          <t>READ FROM THE CODE — rendered from the expressions the function runs</t>
        </is>
      </c>
      <c r="J384" s="3" t="inlineStr">
        <is>
          <t>g: GoalLike</t>
        </is>
      </c>
      <c r="K384" s="3" t="inlineStr">
        <is>
          <t>number</t>
        </is>
      </c>
      <c r="L384" s="3" t="inlineStr">
        <is>
          <t>—</t>
        </is>
      </c>
      <c r="M384" s="3" t="inlineStr">
        <is>
          <t>1. If target is missing it counts as zero, so nothing recorded and a real zero look the same.
2. If saved is missing it counts as zero, so nothing recorded and a real zero look the same.
3. Rounds the answer to a whole number.</t>
        </is>
      </c>
      <c r="N384" s="3" t="inlineStr">
        <is>
          <t>No</t>
        </is>
      </c>
      <c r="O384" s="3" t="inlineStr">
        <is>
          <t>MK-CF-F-155 cash</t>
        </is>
      </c>
      <c r="P384" s="3" t="n">
        <v>2</v>
      </c>
      <c r="Q384" s="3" t="inlineStr">
        <is>
          <t>1. MK-CF-F-155 cash
2. MK-XS-F-122 n</t>
        </is>
      </c>
      <c r="R384" s="3" t="inlineStr">
        <is>
          <t>MK-XS-F-122 n → MK-CF-F-155 cash → MK-PL-F-022 goalProgressPct</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MK-PL-F-023</t>
        </is>
      </c>
      <c r="B385" s="3" t="inlineStr">
        <is>
          <t>goalStatus</t>
        </is>
      </c>
      <c r="C385" s="3" t="inlineStr">
        <is>
          <t>src/domain/goals/index.ts</t>
        </is>
      </c>
      <c r="D385" s="3" t="n">
        <v>469</v>
      </c>
      <c r="E385" s="3" t="inlineStr">
        <is>
          <t>2 · DISPLAYED</t>
        </is>
      </c>
      <c r="F385" s="3" t="inlineStr">
        <is>
          <t>NOT DETERMINED — the code carries no note saying what this is for, and it has no row in the old inventory. Needs reading.</t>
        </is>
      </c>
      <c r="G385" s="11" t="inlineStr">
        <is>
          <t>'fully_funded'   when (saved or 0) ≥ (target or 0) and (target or 0) &gt; 0
req = required monthly(g, now)
'no_date'   when req = nothing
'fully_funded'   when req = 0
the answer:
'on_track'   if (funded this month or 0) + 1e − 6 ≥ req
'behind'   otherwise</t>
        </is>
      </c>
      <c r="H385"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85" s="3" t="inlineStr">
        <is>
          <t>READ FROM THE CODE — rendered from the expressions the function runs</t>
        </is>
      </c>
      <c r="J385" s="3" t="inlineStr">
        <is>
          <t>1. g: GoalLike
2. fundedThisMonth: number | null | undefined
3. now: Date = new Date()</t>
        </is>
      </c>
      <c r="K385" s="3" t="inlineStr">
        <is>
          <t>GoalStatus</t>
        </is>
      </c>
      <c r="L385" s="3" t="inlineStr">
        <is>
          <t>"Complete! 🎉" — on the rewards screen</t>
        </is>
      </c>
      <c r="M385"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85" s="3" t="inlineStr">
        <is>
          <t>Yes</t>
        </is>
      </c>
      <c r="O385" s="3" t="inlineStr">
        <is>
          <t>MK-PL-F-020 requiredMonthly</t>
        </is>
      </c>
      <c r="P385" s="3" t="n">
        <v>4</v>
      </c>
      <c r="Q385" s="3" t="inlineStr">
        <is>
          <t>1. MK-PL-F-020 requiredMonthly
2. MK-PL-F-019 goalMonthsRemaining
3. MK-PL-F-018 monthsUntil
4. MK-CF-F-132 map</t>
        </is>
      </c>
      <c r="R385" s="3" t="inlineStr">
        <is>
          <t>MK-CF-F-132 map → MK-PL-F-018 monthsUntil → MK-PL-F-019 goalMonthsRemaining → MK-PL-F-020 requiredMonthly → MK-PL-F-023 goalStatus</t>
        </is>
      </c>
      <c r="S385" s="3" t="inlineStr">
        <is>
          <t>MK-MN-M-009</t>
        </is>
      </c>
      <c r="T385" s="3" t="inlineStr">
        <is>
          <t>—</t>
        </is>
      </c>
      <c r="U385" s="3" t="inlineStr">
        <is>
          <t>ACTIVE</t>
        </is>
      </c>
      <c r="V385" s="3" t="inlineStr">
        <is>
          <t>2026-08-27</t>
        </is>
      </c>
      <c r="W385" s="3" t="n"/>
      <c r="X385" s="3" t="n"/>
      <c r="Y385" s="3" t="inlineStr">
        <is>
          <t>NOTHING OPEN</t>
        </is>
      </c>
    </row>
    <row r="386" ht="60" customHeight="1">
      <c r="A386" s="3" t="inlineStr">
        <is>
          <t>MK-PL-F-024</t>
        </is>
      </c>
      <c r="B386" s="3" t="inlineStr">
        <is>
          <t>oddsLine</t>
        </is>
      </c>
      <c r="C386" s="3" t="inlineStr">
        <is>
          <t>src/domain/planning/hub.ts</t>
        </is>
      </c>
      <c r="D386" s="3" t="n">
        <v>44</v>
      </c>
      <c r="E386" s="3" t="inlineStr">
        <is>
          <t>2 · DISPLAYED</t>
        </is>
      </c>
      <c r="F386" s="3" t="inlineStr">
        <is>
          <t>How do we state the odds in words?</t>
        </is>
      </c>
      <c r="G386" s="11" t="inlineStr">
        <is>
          <t>`${chance}% ${odds tail(horizon age)}`</t>
        </is>
      </c>
      <c r="H386" s="3" t="inlineStr">
        <is>
          <t>`${chance}% ${odds tail(horizon age)}`.</t>
        </is>
      </c>
      <c r="I386" s="3" t="inlineStr">
        <is>
          <t>PARTLY READ — some of the code is still showing through; needs a hand pass</t>
        </is>
      </c>
      <c r="J386" s="3" t="inlineStr">
        <is>
          <t>1. _lens: 'retired' | string
2. chance: number
3. horizonAge: number</t>
        </is>
      </c>
      <c r="K386" s="3" t="inlineStr">
        <is>
          <t>string</t>
        </is>
      </c>
      <c r="L386" s="3" t="inlineStr">
        <is>
          <t>1. "Draw from savings" — on the Cash flow screen, under "YOUR FUTURE PAYCHECK"
2. "WILL MY MONEY LAST?" — on a card used on more than one screen (PlanOutcome)
3. "WILL MY MONEY LAST?" — on the Home screen, under "WILL MY MONEY LAST?"</t>
        </is>
      </c>
      <c r="M386" s="3" t="inlineStr">
        <is>
          <t>None found in this function — anything it assumes comes from the functions it depends on.</t>
        </is>
      </c>
      <c r="N386" s="3" t="inlineStr">
        <is>
          <t>Yes</t>
        </is>
      </c>
      <c r="O386" s="3" t="inlineStr">
        <is>
          <t>MK-PL-F-085 oddsTail</t>
        </is>
      </c>
      <c r="P386" s="3" t="n">
        <v>1</v>
      </c>
      <c r="Q386" s="3" t="inlineStr">
        <is>
          <t>MK-PL-F-085 oddsTail</t>
        </is>
      </c>
      <c r="R386" s="3" t="inlineStr">
        <is>
          <t>MK-PL-F-085 oddsTail → MK-PL-F-024 oddsLine</t>
        </is>
      </c>
      <c r="S386" s="3" t="inlineStr">
        <is>
          <t>—</t>
        </is>
      </c>
      <c r="T386" s="3" t="inlineStr">
        <is>
          <t>ODDS_SENTENCE</t>
        </is>
      </c>
      <c r="U386" s="3" t="inlineStr">
        <is>
          <t>ACTIVE</t>
        </is>
      </c>
      <c r="V386" s="3" t="inlineStr">
        <is>
          <t>2026-10-01</t>
        </is>
      </c>
      <c r="W386" s="3" t="n"/>
      <c r="X386" s="3" t="n"/>
      <c r="Y386" s="3" t="inlineStr">
        <is>
          <t>NOTHING OPEN</t>
        </is>
      </c>
    </row>
    <row r="387" ht="60" customHeight="1">
      <c r="A387" s="3" t="inlineStr">
        <is>
          <t>MK-PL-F-025</t>
        </is>
      </c>
      <c r="B387" s="3" t="inlineStr">
        <is>
          <t>sampleOddsLine</t>
        </is>
      </c>
      <c r="C387" s="3" t="inlineStr">
        <is>
          <t>src/domain/planning/hub.ts</t>
        </is>
      </c>
      <c r="D387" s="3" t="n">
        <v>87</v>
      </c>
      <c r="E387" s="3" t="inlineStr">
        <is>
          <t>2 · DISPLAYED</t>
        </is>
      </c>
      <c r="F387" s="3" t="inlineStr">
        <is>
          <t>The same sentence for the app-wide SAMPLE, always labelled as one.</t>
        </is>
      </c>
      <c r="G387" s="11" t="inlineStr">
        <is>
          <t>`sample: ${SAMPLE_CHANCE}% odds of lasting to age ${horizon age}`</t>
        </is>
      </c>
      <c r="H387" s="3" t="inlineStr">
        <is>
          <t>`sample: ${SAMPLE_CHANCE}% odds of lasting to age ${horizon age}`.</t>
        </is>
      </c>
      <c r="I387" s="3" t="inlineStr">
        <is>
          <t>PARTLY READ — some of the code is still showing through; needs a hand pass</t>
        </is>
      </c>
      <c r="J387" s="3" t="inlineStr">
        <is>
          <t>horizonAge: number = SAMPLE_HORIZON</t>
        </is>
      </c>
      <c r="K387" s="3" t="inlineStr">
        <is>
          <t>string</t>
        </is>
      </c>
      <c r="L387" s="3" t="inlineStr">
        <is>
          <t>1. "WILL MY MONEY LAST?" — on the Plan screen, under "WILL MY MONEY LAST?"
2. "YOUR RETIREMENT PLAN" — on the Net worth screen, under "YOUR RETIREMENT PLAN"</t>
        </is>
      </c>
      <c r="M387" s="3" t="inlineStr">
        <is>
          <t>None found in this function — anything it assumes comes from the functions it depends on.</t>
        </is>
      </c>
      <c r="N387" s="3" t="inlineStr">
        <is>
          <t>Yes</t>
        </is>
      </c>
      <c r="O387" s="3" t="inlineStr">
        <is>
          <t>—</t>
        </is>
      </c>
      <c r="P387" s="3" t="n">
        <v>0</v>
      </c>
      <c r="Q387" s="3" t="inlineStr">
        <is>
          <t>None — no dependent function stands behind it</t>
        </is>
      </c>
      <c r="R387" s="3" t="inlineStr">
        <is>
          <t>No dependent function — it reads its inputs and answers</t>
        </is>
      </c>
      <c r="S387" s="3" t="inlineStr">
        <is>
          <t>—</t>
        </is>
      </c>
      <c r="T387" s="3" t="inlineStr">
        <is>
          <t>SAMPLE_ODDS_SENTENCE</t>
        </is>
      </c>
      <c r="U387" s="3" t="inlineStr">
        <is>
          <t>ACTIVE</t>
        </is>
      </c>
      <c r="V387" s="3" t="inlineStr">
        <is>
          <t>2026-08-27</t>
        </is>
      </c>
      <c r="W387" s="3" t="n"/>
      <c r="X387" s="3" t="n"/>
      <c r="Y387" s="6" t="inlineStr">
        <is>
          <t>TESTED, NOT VERIFIED (Odds — exact, no rounding)</t>
        </is>
      </c>
    </row>
    <row r="388" ht="60" customHeight="1">
      <c r="A388" s="3" t="inlineStr">
        <is>
          <t>MK-PL-F-026</t>
        </is>
      </c>
      <c r="B388" s="3" t="inlineStr">
        <is>
          <t>planDoor</t>
        </is>
      </c>
      <c r="C388" s="3" t="inlineStr">
        <is>
          <t>src/domain/planning/hub.ts</t>
        </is>
      </c>
      <c r="D388" s="3" t="n">
        <v>124</v>
      </c>
      <c r="E388" s="3" t="inlineStr">
        <is>
          <t>2 · DISPLAYED</t>
        </is>
      </c>
      <c r="F388" s="3" t="inlineStr">
        <is>
          <t>Is there enough to show this person their own odds?</t>
        </is>
      </c>
      <c r="G388"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88"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88" s="3" t="inlineStr">
        <is>
          <t>PARTLY READ — some of the code is still showing through; needs a hand pass</t>
        </is>
      </c>
      <c r="J388" s="3" t="inlineStr">
        <is>
          <t>1. op: Record&lt;string, any&gt; | null
2. accounts: AssetAccount[]</t>
        </is>
      </c>
      <c r="K388" s="3" t="inlineStr">
        <is>
          <t>PlanDoor</t>
        </is>
      </c>
      <c r="L388" s="3" t="inlineStr">
        <is>
          <t>"WILL MY MONEY LAST?" — on the Plan screen, under "WILL MY MONEY LAST?"</t>
        </is>
      </c>
      <c r="M388" s="3" t="inlineStr">
        <is>
          <t>· If balance is missing it counts as zero, so nothing recorded and a real zero look the same.</t>
        </is>
      </c>
      <c r="N388" s="3" t="inlineStr">
        <is>
          <t>Yes</t>
        </is>
      </c>
      <c r="O388" s="3" t="inlineStr">
        <is>
          <t>MK-NW-F-033 retirementEarmarkedValue</t>
        </is>
      </c>
      <c r="P388" s="3" t="n">
        <v>16</v>
      </c>
      <c r="Q388"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88"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88" s="3" t="inlineStr">
        <is>
          <t>MK-PL-M-001 · MK-PL-M-002</t>
        </is>
      </c>
      <c r="T388" s="3" t="inlineStr">
        <is>
          <t>WHAT_THE_PLAN_STILL_NEEDS</t>
        </is>
      </c>
      <c r="U388" s="3" t="inlineStr">
        <is>
          <t>ACTIVE</t>
        </is>
      </c>
      <c r="V388" s="3" t="inlineStr">
        <is>
          <t>2026-09-12</t>
        </is>
      </c>
      <c r="W388" s="3" t="n"/>
      <c r="X388" s="3" t="n"/>
      <c r="Y388" s="3" t="inlineStr">
        <is>
          <t>NOTHING OPEN</t>
        </is>
      </c>
    </row>
    <row r="389" ht="60" customHeight="1">
      <c r="A389" s="3" t="inlineStr">
        <is>
          <t>MK-PL-F-027</t>
        </is>
      </c>
      <c r="B389" s="3" t="inlineStr">
        <is>
          <t>nextDecision</t>
        </is>
      </c>
      <c r="C389" s="3" t="inlineStr">
        <is>
          <t>src/domain/planning/hub.ts</t>
        </is>
      </c>
      <c r="D389" s="3" t="n">
        <v>188</v>
      </c>
      <c r="E389" s="3" t="inlineStr">
        <is>
          <t>2 · DISPLAYED</t>
        </is>
      </c>
      <c r="F389" s="3" t="inlineStr">
        <is>
          <t>NOT DETERMINED — the code carries no note saying what this is for, and it has no row in the old inventory. Needs reading.</t>
        </is>
      </c>
      <c r="G389"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89"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89" s="3" t="inlineStr">
        <is>
          <t>PARTLY READ — some of the code is still showing through; needs a hand pass</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Uses a built-in s a m p l e c h a n c e of 84.
2. Uses a built-in s a m p l e h o r i z o n of 90.
3. Uses today's date from the device clock, so the answer changes by itself overnight.
4. Rounds the answer to a whole number.</t>
        </is>
      </c>
      <c r="N389" s="3" t="inlineStr">
        <is>
          <t>Yes</t>
        </is>
      </c>
      <c r="O389" s="3" t="inlineStr">
        <is>
          <t>1. MK-PL-F-080 rmdRequiredThisYear
2. MK-PL-F-005 rmdStartAgeFor
3. MK-PL-F-009 rmdTakenThisYear</t>
        </is>
      </c>
      <c r="P389" s="3" t="n">
        <v>9</v>
      </c>
      <c r="Q389" s="3" t="inlineStr">
        <is>
          <t>1. MK-PL-F-080 rmdRequiredThisYear
2. MK-PL-F-005 rmdStartAgeFor
3. MK-PL-F-009 rmdTakenThisYear
4. MK-PL-F-007 rmdAtAge
5. MK-ST-F-025 rmdStartAgeFromAge
6. MK-ST-F-056 has
7. MK-CF-F-132 map
8. MK-PL-F-078 rmdDivisorAtAge
9. MK-ST-F-024 rmdStartAge</t>
        </is>
      </c>
      <c r="R389"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89" s="3" t="inlineStr">
        <is>
          <t>—</t>
        </is>
      </c>
      <c r="T389" s="3" t="inlineStr">
        <is>
          <t>—</t>
        </is>
      </c>
      <c r="U389" s="3" t="inlineStr">
        <is>
          <t>ACTIVE</t>
        </is>
      </c>
      <c r="V389" s="3" t="inlineStr">
        <is>
          <t>2026-09-08</t>
        </is>
      </c>
      <c r="W389" s="3" t="n"/>
      <c r="X389" s="3" t="n"/>
      <c r="Y389" s="3" t="inlineStr">
        <is>
          <t>NOTHING OPEN</t>
        </is>
      </c>
    </row>
    <row r="390" ht="60" customHeight="1">
      <c r="A390" s="3" t="inlineStr">
        <is>
          <t>MK-PL-F-028</t>
        </is>
      </c>
      <c r="B390" s="3" t="inlineStr">
        <is>
          <t>sampleAskLine</t>
        </is>
      </c>
      <c r="C390" s="3" t="inlineStr">
        <is>
          <t>src/domain/planning/hub.ts</t>
        </is>
      </c>
      <c r="D390" s="3" t="n">
        <v>284</v>
      </c>
      <c r="E390" s="3" t="inlineStr">
        <is>
          <t>2 · DISPLAYED</t>
        </is>
      </c>
      <c r="F390" s="3" t="inlineStr">
        <is>
          <t>The invitation under a sample: name the answers still missing, so a dead end becomes one tap.</t>
        </is>
      </c>
      <c r="G390"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0"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0" s="3" t="inlineStr">
        <is>
          <t>PARTLY READ — some of the code is still showing through; needs a hand pass</t>
        </is>
      </c>
      <c r="J390" s="3" t="inlineStr">
        <is>
          <t>missing: string[]</t>
        </is>
      </c>
      <c r="K390" s="3" t="inlineStr">
        <is>
          <t>string</t>
        </is>
      </c>
      <c r="L390" s="3" t="inlineStr">
        <is>
          <t>NOT FOUND — a screen calls it, but the words printed beside its answer could not be traced automatically. Needs reading.</t>
        </is>
      </c>
      <c r="M390" s="3" t="inlineStr">
        <is>
          <t>None found in this function — anything it assumes comes from the functions it depends on.</t>
        </is>
      </c>
      <c r="N390" s="3" t="inlineStr">
        <is>
          <t>Yes</t>
        </is>
      </c>
      <c r="O390" s="3" t="inlineStr">
        <is>
          <t>—</t>
        </is>
      </c>
      <c r="P390" s="3" t="n">
        <v>0</v>
      </c>
      <c r="Q390" s="3" t="inlineStr">
        <is>
          <t>None — no dependent function stands behind it</t>
        </is>
      </c>
      <c r="R390" s="3" t="inlineStr">
        <is>
          <t>No dependent function — it reads its inputs and answers</t>
        </is>
      </c>
      <c r="S390" s="3" t="inlineStr">
        <is>
          <t>—</t>
        </is>
      </c>
      <c r="T390" s="3" t="inlineStr">
        <is>
          <t>SAMPLE_ASK_SENTENCE</t>
        </is>
      </c>
      <c r="U390" s="3" t="inlineStr">
        <is>
          <t>ACTIVE</t>
        </is>
      </c>
      <c r="V390" s="3" t="inlineStr">
        <is>
          <t>2026-08-27</t>
        </is>
      </c>
      <c r="W390" s="3" t="n"/>
      <c r="X390" s="3" t="n"/>
      <c r="Y390" s="3" t="inlineStr">
        <is>
          <t>NOTHING OPEN</t>
        </is>
      </c>
    </row>
    <row r="391" ht="45" customHeight="1">
      <c r="A391" s="3" t="inlineStr">
        <is>
          <t>MK-PL-F-029</t>
        </is>
      </c>
      <c r="B391" s="3" t="inlineStr">
        <is>
          <t>shortfallAgeFromBand</t>
        </is>
      </c>
      <c r="C391" s="3" t="inlineStr">
        <is>
          <t>src/domain/planning/hub.ts</t>
        </is>
      </c>
      <c r="D391" s="3" t="n">
        <v>309</v>
      </c>
      <c r="E391" s="3" t="inlineStr">
        <is>
          <t>2 · DISPLAYED</t>
        </is>
      </c>
      <c r="F391" s="3" t="inlineStr">
        <is>
          <t>The age the middle path first hits zero, from a simulation band — null while it never does.</t>
        </is>
      </c>
      <c r="G391" s="11" t="inlineStr">
        <is>
          <t>(band ?? []).find((pt) =&gt; pt.p50 ≤ 0).age (or nothing when missing)</t>
        </is>
      </c>
      <c r="H391" s="3" t="inlineStr">
        <is>
          <t>(band ?? []).find((pt) =&gt; pt.p50 is at most 0).age (or no answer — when missing).</t>
        </is>
      </c>
      <c r="I391" s="3" t="inlineStr">
        <is>
          <t>PARTLY READ — some of the code is still showing through; needs a hand pass</t>
        </is>
      </c>
      <c r="J391" s="3" t="inlineStr">
        <is>
          <t>band?: { age: number; p50: number }[] | null</t>
        </is>
      </c>
      <c r="K391" s="3" t="inlineStr">
        <is>
          <t>number | null</t>
        </is>
      </c>
      <c r="L391" s="3" t="inlineStr">
        <is>
          <t>NOT FOUND — a screen calls it, but the words printed beside its answer could not be traced automatically. Needs reading.</t>
        </is>
      </c>
      <c r="M391" s="3" t="inlineStr">
        <is>
          <t>None found in this function — anything it assumes comes from the functions it depends on.</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AGE_THE_MONEY_RUNS_OUT</t>
        </is>
      </c>
      <c r="U391" s="3" t="inlineStr">
        <is>
          <t>ACTIVE</t>
        </is>
      </c>
      <c r="V391" s="3" t="inlineStr">
        <is>
          <t>2026-08-27</t>
        </is>
      </c>
      <c r="W391" s="3" t="n"/>
      <c r="X391" s="3" t="n"/>
      <c r="Y391" s="3" t="inlineStr">
        <is>
          <t>NOTHING OPEN</t>
        </is>
      </c>
    </row>
    <row r="392" ht="60" customHeight="1">
      <c r="A392" s="3" t="inlineStr">
        <is>
          <t>MK-PL-F-030</t>
        </is>
      </c>
      <c r="B392" s="3" t="inlineStr">
        <is>
          <t>onCourseSentence</t>
        </is>
      </c>
      <c r="C392" s="3" t="inlineStr">
        <is>
          <t>src/domain/planning/hub.ts</t>
        </is>
      </c>
      <c r="D392" s="3" t="n">
        <v>337</v>
      </c>
      <c r="E392" s="3" t="inlineStr">
        <is>
          <t>2 · DISPLAYED</t>
        </is>
      </c>
      <c r="F392" s="3" t="inlineStr">
        <is>
          <t>In one sentence, how is this plan doing?</t>
        </is>
      </c>
      <c r="G392"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392"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392" s="3" t="inlineStr">
        <is>
          <t>PARTLY READ — some of the code is still showing through; needs a hand pass</t>
        </is>
      </c>
      <c r="J392" s="3" t="inlineStr">
        <is>
          <t>Nothing is handed to it</t>
        </is>
      </c>
      <c r="K392" s="3" t="inlineStr">
        <is>
          <t>NOT DECLARED — the code does not say what it gives back</t>
        </is>
      </c>
      <c r="L392" s="3" t="inlineStr">
        <is>
          <t>NOT FOUND — a screen calls it, but the words printed beside its answer could not be traced automatically. Needs reading.</t>
        </is>
      </c>
      <c r="M392" s="3" t="inlineStr">
        <is>
          <t>1. If leftover at horizon is missing it uses 0.
2. Rounds the answer to a whole number.</t>
        </is>
      </c>
      <c r="N392" s="3" t="inlineStr">
        <is>
          <t>Yes</t>
        </is>
      </c>
      <c r="O392" s="3" t="inlineStr">
        <is>
          <t>MK-ST-F-053 money</t>
        </is>
      </c>
      <c r="P392" s="3" t="n">
        <v>6</v>
      </c>
      <c r="Q392" s="3" t="inlineStr">
        <is>
          <t>1. MK-ST-F-053 money
2. MK-ST-F-049 formatMoney
3. MK-XS-F-122 n
4. MK-ST-F-048 currencySymbol
5. MK-ST-F-039 on
6. MK-ST-F-047 activeCurrency</t>
        </is>
      </c>
      <c r="R392"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392" s="3" t="inlineStr">
        <is>
          <t>—</t>
        </is>
      </c>
      <c r="T392" s="3" t="inlineStr">
        <is>
          <t>ARE_YOU_ON_COURSE</t>
        </is>
      </c>
      <c r="U392" s="3" t="inlineStr">
        <is>
          <t>ACTIVE</t>
        </is>
      </c>
      <c r="V392" s="3" t="inlineStr">
        <is>
          <t>2026-08-27</t>
        </is>
      </c>
      <c r="W392" s="3" t="n"/>
      <c r="X392" s="3" t="n"/>
      <c r="Y392" s="3" t="inlineStr">
        <is>
          <t>NOTHING OPEN</t>
        </is>
      </c>
    </row>
    <row r="393" ht="60" customHeight="1">
      <c r="A393" s="3" t="inlineStr">
        <is>
          <t>MK-PL-F-031</t>
        </is>
      </c>
      <c r="B393" s="3" t="inlineStr">
        <is>
          <t>taxOrganizer</t>
        </is>
      </c>
      <c r="C393" s="3" t="inlineStr">
        <is>
          <t>src/domain/planning/index.ts</t>
        </is>
      </c>
      <c r="D393" s="3" t="n">
        <v>129</v>
      </c>
      <c r="E393" s="3" t="inlineStr">
        <is>
          <t>3 · DEPENDENT</t>
        </is>
      </c>
      <c r="F393" s="3" t="inlineStr">
        <is>
          <t>The year-end summary for the accountant: income lines, the four taxable-income steps, contributions, accounts, documents to gather.</t>
        </is>
      </c>
      <c r="G393"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393"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393" s="3" t="inlineStr">
        <is>
          <t>PARTLY READ — some of the code is still showing through; needs a hand pass</t>
        </is>
      </c>
      <c r="J393" s="3" t="inlineStr">
        <is>
          <t>1. op: OnboardingProfile | null
2. opts: { accounts?: any[]; liabilities?: any[]; actualPassive?: number; year: number }</t>
        </is>
      </c>
      <c r="K393" s="3" t="inlineStr">
        <is>
          <t>TaxOrganizer</t>
        </is>
      </c>
      <c r="L393" s="3" t="inlineStr">
        <is>
          <t>—</t>
        </is>
      </c>
      <c r="M393" s="3" t="inlineStr">
        <is>
          <t>1. If balance is missing it counts as zero, so nothing recorded and a real zero look the same.
2. Turns a monthly figure into a year by multiplying by twelve.</t>
        </is>
      </c>
      <c r="N393" s="3" t="inlineStr">
        <is>
          <t>Yes</t>
        </is>
      </c>
      <c r="O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393" s="3" t="n">
        <v>54</v>
      </c>
      <c r="Q393"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MK-CF-F-102 effectiveRateOnGrossFor
30. MK-CF-F-180 enteredLandsAnnual
31. MK-CF-F-086 stateRateOf
32. MK-CF-F-084 taxableAnnual
33. MK-CF-F-151 actualSpending
34. MK-CF-F-150 debtPaymentsCountedAsExpenses
35. MK-CF-F-153 radar
36. MK-CF-F-149 recurringDebtPayments
37. MK-CF-F-176 sumMonthsOverEarners
38. MK-CF-F-177 wageGrossByMonth
39. MK-CF-F-175 sumOverEarners
40. MK-CF-F-172 hasWage
41. MK-CF-F-101 taxOwedFor
42. MK-CF-F-071 extraIncome
43. MK-CF-F-148 inMonth
44. MK-CF-F-191 ym
45. MK-CF-F-022 paymentShape
46. MK-CF-F-152 isRadarItem
47. MK-CF-F-023 requiredPayment
48. MK-CF-F-130 enteredMonthlyRaw
49. MK-CF-F-166 hasMonthlySalaryTable
50. MK-ST-F-036 reconcile
51. MK-CF-F-167 salaryCalendarYear
52. MK-CF-F-100 taxableIncomeFor
53. MK-CF-F-021 defaultPaymentType
54. MK-CF-F-165 salaryMonths</t>
        </is>
      </c>
      <c r="R393"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MK-CF-F-100 taxableIncomeFor → MK-CF-F-101 taxOwedFor → MK-CF-F-102 effectiveRateOnGrossFor → MK-CF-F-181 rateInForce → MK-CF-F-090 effectiveRate → MK-PL-F-031 taxOrganizer
6. MK-CF-F-172 hasWage → MK-CF-F-173 earnerWages → MK-CF-F-180 enteredLandsAnnual → MK-CF-F-181 rateInForce → MK-CF-F-090 effectiveRate → MK-PL-F-031 taxOrganizer
7. MK-XS-F-122 n → MK-ST-F-052 toNum → MK-CF-F-180 enteredLandsAnnual → MK-CF-F-181 rateInForce → MK-CF-F-090 effectiveRate → MK-PL-F-031 taxOrganizer
8. MK-CF-F-085 filingStatusOf → MK-CF-F-181 rateInForce → MK-CF-F-090 effectiveRate → MK-PL-F-031 taxOrganizer
9. … and 5 more paths</t>
        </is>
      </c>
      <c r="S393" s="3" t="inlineStr">
        <is>
          <t>MK-MN-M-027 · MK-MN-M-028</t>
        </is>
      </c>
      <c r="T393" s="3" t="inlineStr">
        <is>
          <t>—</t>
        </is>
      </c>
      <c r="U393" s="3" t="inlineStr">
        <is>
          <t>ACTIVE</t>
        </is>
      </c>
      <c r="V393" s="3" t="inlineStr">
        <is>
          <t>2026-09-28</t>
        </is>
      </c>
      <c r="W393" s="3" t="n"/>
      <c r="X393" s="3" t="n"/>
      <c r="Y393" s="3" t="inlineStr">
        <is>
          <t>NOTHING OPEN</t>
        </is>
      </c>
    </row>
    <row r="394" ht="60" customHeight="1">
      <c r="A394" s="3" t="inlineStr">
        <is>
          <t>MK-PL-F-032</t>
        </is>
      </c>
      <c r="B394" s="3" t="inlineStr">
        <is>
          <t>rothConversionCost</t>
        </is>
      </c>
      <c r="C394" s="3" t="inlineStr">
        <is>
          <t>src/domain/planning/index.ts</t>
        </is>
      </c>
      <c r="D394" s="3" t="n">
        <v>215</v>
      </c>
      <c r="E394" s="3" t="inlineStr">
        <is>
          <t>2 · DISPLAYED</t>
        </is>
      </c>
      <c r="F394" s="3" t="inlineStr">
        <is>
          <t>───────────────────────── Roth conversion (fill a low bracket) ───────────────────────── In a low-income year (e.g.</t>
        </is>
      </c>
      <c r="G394" s="11" t="inlineStr">
        <is>
          <t>tax owed for(gross + amount, status, state rate) − tax owed for(gross, status, state rate)</t>
        </is>
      </c>
      <c r="H394" s="3" t="inlineStr">
        <is>
          <t>tax owed for(gross plus amount, status, state rate) minus tax owed for(gross, status, state rate).</t>
        </is>
      </c>
      <c r="I394" s="3" t="inlineStr">
        <is>
          <t>READ FROM THE CODE — rendered from the expressions the function runs</t>
        </is>
      </c>
      <c r="J394" s="3" t="inlineStr">
        <is>
          <t>1. gross: number
2. amount: number
3. status: import('../income/tax').FilingStatus
4. stateRate: number</t>
        </is>
      </c>
      <c r="K394" s="3" t="inlineStr">
        <is>
          <t>number</t>
        </is>
      </c>
      <c r="L394" s="3" t="inlineStr">
        <is>
          <t>NOT FOUND — a screen calls it, but the words printed beside its answer could not be traced automatically. Needs reading.</t>
        </is>
      </c>
      <c r="M394"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394" s="3" t="inlineStr">
        <is>
          <t>Yes</t>
        </is>
      </c>
      <c r="O394" s="3" t="inlineStr">
        <is>
          <t>MK-CF-F-101 taxOwedFor</t>
        </is>
      </c>
      <c r="P394" s="3" t="n">
        <v>4</v>
      </c>
      <c r="Q394" s="3" t="inlineStr">
        <is>
          <t>1. MK-CF-F-101 taxOwedFor
2. MK-CF-F-100 taxableIncomeFor
3. MK-CF-F-099 deductionFor
4. MK-CF-F-187 seniorDeductionFor</t>
        </is>
      </c>
      <c r="R394" s="3" t="inlineStr">
        <is>
          <t>MK-CF-F-187 seniorDeductionFor → MK-CF-F-099 deductionFor → MK-CF-F-100 taxableIncomeFor → MK-CF-F-101 taxOwedFor → MK-PL-F-032 rothConversionCost</t>
        </is>
      </c>
      <c r="S394" s="3" t="inlineStr">
        <is>
          <t>—</t>
        </is>
      </c>
      <c r="T394" s="3" t="inlineStr">
        <is>
          <t>—</t>
        </is>
      </c>
      <c r="U394" s="3" t="inlineStr">
        <is>
          <t>ACTIVE</t>
        </is>
      </c>
      <c r="V394" s="3" t="inlineStr">
        <is>
          <t>2026-09-09</t>
        </is>
      </c>
      <c r="W394" s="3" t="n"/>
      <c r="X394" s="3" t="n"/>
      <c r="Y394" s="3" t="inlineStr">
        <is>
          <t>NOTHING OPEN</t>
        </is>
      </c>
    </row>
    <row r="395" ht="60" customHeight="1">
      <c r="A395" s="3" t="inlineStr">
        <is>
          <t>MK-PL-F-033</t>
        </is>
      </c>
      <c r="B395" s="3" t="inlineStr">
        <is>
          <t>educationPlan</t>
        </is>
      </c>
      <c r="C395" s="3" t="inlineStr">
        <is>
          <t>src/domain/planning/index.ts</t>
        </is>
      </c>
      <c r="D395" s="3" t="n">
        <v>266</v>
      </c>
      <c r="E395" s="3" t="inlineStr">
        <is>
          <t>2 · DISPLAYED</t>
        </is>
      </c>
      <c r="F395" s="3" t="inlineStr">
        <is>
          <t>NOT DETERMINED — the code carries no note saying what this is for, and it has no row in the old inventory. Needs reading.</t>
        </is>
      </c>
      <c r="G395"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395"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395" s="3" t="inlineStr">
        <is>
          <t>PARTLY READ — the body has a loop the extractor cannot render; the steps shown are the ones before it. Needs a hand pass (G23).</t>
        </is>
      </c>
      <c r="J395" s="3" t="inlineStr">
        <is>
          <t>inp: EduPlanInput</t>
        </is>
      </c>
      <c r="K395" s="3" t="inlineStr">
        <is>
          <t>EduPlan</t>
        </is>
      </c>
      <c r="L395" s="3" t="inlineStr">
        <is>
          <t>"Projected total cost" — on the College costs screen</t>
        </is>
      </c>
      <c r="M395" s="3" t="inlineStr">
        <is>
          <t>1. Uses a built-in future total cost of 0.
2. Turns a monthly figure into a year by multiplying by twelve.
3. Rounds the answer to a whole number.</t>
        </is>
      </c>
      <c r="N395" s="3" t="inlineStr">
        <is>
          <t>Yes</t>
        </is>
      </c>
      <c r="O395" s="3" t="inlineStr">
        <is>
          <t>MK-XS-F-122 n</t>
        </is>
      </c>
      <c r="P395" s="3" t="n">
        <v>1</v>
      </c>
      <c r="Q395" s="3" t="inlineStr">
        <is>
          <t>MK-XS-F-122 n</t>
        </is>
      </c>
      <c r="R395" s="3" t="inlineStr">
        <is>
          <t>MK-XS-F-122 n → MK-PL-F-033 educationPlan</t>
        </is>
      </c>
      <c r="S395" s="3" t="inlineStr">
        <is>
          <t>MK-PL-M-036 · MK-PL-M-037</t>
        </is>
      </c>
      <c r="T395" s="3" t="inlineStr">
        <is>
          <t>—</t>
        </is>
      </c>
      <c r="U395" s="3" t="inlineStr">
        <is>
          <t>ACTIVE</t>
        </is>
      </c>
      <c r="V395" s="3" t="inlineStr">
        <is>
          <t>2026-09-08</t>
        </is>
      </c>
      <c r="W395" s="3" t="n"/>
      <c r="X395" s="3" t="n"/>
      <c r="Y395" s="3" t="inlineStr">
        <is>
          <t>NOTHING OPEN</t>
        </is>
      </c>
    </row>
    <row r="396" ht="60" customHeight="1">
      <c r="A396" s="3" t="inlineStr">
        <is>
          <t>MK-PL-F-034</t>
        </is>
      </c>
      <c r="B396" s="3" t="inlineStr">
        <is>
          <t>lifeInsuranceNeed</t>
        </is>
      </c>
      <c r="C396" s="3" t="inlineStr">
        <is>
          <t>src/domain/planning/index.ts</t>
        </is>
      </c>
      <c r="D396" s="3" t="n">
        <v>329</v>
      </c>
      <c r="E396" s="3" t="inlineStr">
        <is>
          <t>2 · DISPLAYED</t>
        </is>
      </c>
      <c r="F396" s="3" t="inlineStr">
        <is>
          <t>NOT DETERMINED — the code carries no note saying what this is for, and it has no row in the old inventory. Needs reading.</t>
        </is>
      </c>
      <c r="G396" s="11" t="inlineStr">
        <is>
          <t>income replacement = max(0, inp.annual income) × math.max(0, inp.years to replace)
total need = income replacement + max(0, inp.debts) + max(0, inp.future goals) + max(0, inp.final expenses)
covered = max(0, inp.liquid savings) + math.max(0, inp.existing coverage)</t>
        </is>
      </c>
      <c r="H396"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396" s="3" t="inlineStr">
        <is>
          <t>PARTLY READ — some of the code is still showing through; needs a hand pass</t>
        </is>
      </c>
      <c r="J396" s="3" t="inlineStr">
        <is>
          <t>inp: InsuranceInput</t>
        </is>
      </c>
      <c r="K396" s="3" t="inlineStr">
        <is>
          <t>InsuranceNeed</t>
        </is>
      </c>
      <c r="L396" s="3" t="inlineStr">
        <is>
          <t>1. "Gap" — on the Insurance screen
2. "Total need" — on the Insurance screen</t>
        </is>
      </c>
      <c r="M396"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2026-08-27</t>
        </is>
      </c>
      <c r="W396" s="3" t="n"/>
      <c r="X396" s="3" t="n"/>
      <c r="Y396" s="3" t="inlineStr">
        <is>
          <t>NOTHING OPEN</t>
        </is>
      </c>
    </row>
    <row r="397" ht="60" customHeight="1">
      <c r="A397" s="3" t="inlineStr">
        <is>
          <t>MK-PL-F-035</t>
        </is>
      </c>
      <c r="B397" s="3" t="inlineStr">
        <is>
          <t>retireAgeWithContribution</t>
        </is>
      </c>
      <c r="C397" s="3" t="inlineStr">
        <is>
          <t>src/domain/planning/multiGoal.ts</t>
        </is>
      </c>
      <c r="D397" s="3" t="n">
        <v>67</v>
      </c>
      <c r="E397" s="3" t="inlineStr">
        <is>
          <t>2 · DISPLAYED</t>
        </is>
      </c>
      <c r="F397" s="3" t="inlineStr">
        <is>
          <t>Earliest age the projection covers the need, WITH contributions until that age (F4's before/after).</t>
        </is>
      </c>
      <c r="G397" s="11" t="inlineStr">
        <is>
          <t>p = project nest egg({ ...inp, annual contribution: monthly contribution × 12, retire age: age, guaranteed start age: inp.guaranteed start age })
age   when will have ≥ will need
the answer = nothing</t>
        </is>
      </c>
      <c r="H397" s="3" t="inlineStr">
        <is>
          <t>P is project nest egg({ ...inp, annual contribution: monthly contribution times 12, retire age: age, guaranteed start age: inp.guaranteed start age }). When will have is at least will need, it answers age. The answer is no answer.</t>
        </is>
      </c>
      <c r="I397" s="3" t="inlineStr">
        <is>
          <t>READ FROM THE CODE — rendered from the expressions the function runs</t>
        </is>
      </c>
      <c r="J397" s="3" t="inlineStr">
        <is>
          <t>1. inp: RetirementInputs
2. monthlyContribution: number
3. maxAge = 80</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1. MK-PL-F-055 projectNestEgg
2. MK-PL-F-050 simulate
3. MK-PL-F-056 solveRetireAge</t>
        </is>
      </c>
      <c r="P397" s="3" t="n">
        <v>24</v>
      </c>
      <c r="Q397"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397"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MK-PL-F-036</t>
        </is>
      </c>
      <c r="B398" s="3" t="inlineStr">
        <is>
          <t>weighGoals</t>
        </is>
      </c>
      <c r="C398" s="3" t="inlineStr">
        <is>
          <t>src/domain/planning/multiGoal.ts</t>
        </is>
      </c>
      <c r="D398" s="3" t="n">
        <v>117</v>
      </c>
      <c r="E398" s="3" t="inlineStr">
        <is>
          <t>2 · DISPLAYED</t>
        </is>
      </c>
      <c r="F398" s="3" t="inlineStr">
        <is>
          <t>Run the whole combination once.</t>
        </is>
      </c>
      <c r="G398"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398"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398" s="3" t="inlineStr">
        <is>
          <t>PARTLY READ — some of the code is still showing through; needs a hand pass</t>
        </is>
      </c>
      <c r="J398" s="3" t="inlineStr">
        <is>
          <t>w: WeighInputs</t>
        </is>
      </c>
      <c r="K398" s="3" t="inlineStr">
        <is>
          <t>WeighResult</t>
        </is>
      </c>
      <c r="L398" s="3" t="inlineStr">
        <is>
          <t>NOT FOUND — a screen calls it, but the words printed beside its answer could not be traced automatically. Needs reading.</t>
        </is>
      </c>
      <c r="M398"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398" s="3" t="inlineStr">
        <is>
          <t>Yes</t>
        </is>
      </c>
      <c r="O398" s="3" t="inlineStr">
        <is>
          <t>1. MK-PL-F-021 monthsToGoal
2. MK-ST-F-039 on
3. MK-CF-F-034 payoffPlan
4. MK-PL-F-035 retireAgeWithContribution
5. MK-PL-F-050 simulate</t>
        </is>
      </c>
      <c r="P398" s="3" t="n">
        <v>28</v>
      </c>
      <c r="Q398"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398"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398" s="3" t="inlineStr">
        <is>
          <t>—</t>
        </is>
      </c>
      <c r="T398" s="3" t="inlineStr">
        <is>
          <t>—</t>
        </is>
      </c>
      <c r="U398" s="3" t="inlineStr">
        <is>
          <t>ACTIVE</t>
        </is>
      </c>
      <c r="V398" s="3" t="inlineStr">
        <is>
          <t>2026-09-09</t>
        </is>
      </c>
      <c r="W398" s="3" t="n"/>
      <c r="X398" s="3" t="n"/>
      <c r="Y398" s="3" t="inlineStr">
        <is>
          <t>NOTHING OPEN</t>
        </is>
      </c>
    </row>
    <row r="399" ht="60" customHeight="1">
      <c r="A399" s="3" t="inlineStr">
        <is>
          <t>MK-PL-F-037</t>
        </is>
      </c>
      <c r="B399" s="3" t="inlineStr">
        <is>
          <t>trimHints</t>
        </is>
      </c>
      <c r="C399" s="3" t="inlineStr">
        <is>
          <t>src/domain/planning/multiGoal.ts</t>
        </is>
      </c>
      <c r="D399" s="3" t="n">
        <v>193</v>
      </c>
      <c r="E399" s="3" t="inlineStr">
        <is>
          <t>2 · DISPLAYED</t>
        </is>
      </c>
      <c r="F399" s="3" t="inlineStr">
        <is>
          <t>One hint per active goal: the SAME weigher re-run with that dial reduced — a pre-run of the slider, so applying the hint's amount reproduces its numbers exactly (the pin).</t>
        </is>
      </c>
      <c r="G399" s="11" t="inlineStr">
        <is>
          <t>trimmed amount = max(0, round((monthly amount × reduce to) ÷ 100) × 100)
freed = monthly amount − trimmed amount
the answer:
dial id = id
label = label
trimmed amount = trimmed amount
retire age = retire age
chance = chance</t>
        </is>
      </c>
      <c r="H399"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399" s="3" t="inlineStr">
        <is>
          <t>READ FROM THE CODE — rendered from the expressions the function runs</t>
        </is>
      </c>
      <c r="J399" s="3" t="inlineStr">
        <is>
          <t>1. w: WeighInputs
2. reduceTo = 0.6</t>
        </is>
      </c>
      <c r="K399" s="3" t="inlineStr">
        <is>
          <t>TrimHint[]</t>
        </is>
      </c>
      <c r="L399" s="3" t="inlineStr">
        <is>
          <t>NOT FOUND — a screen calls it, but the words printed beside its answer could not be traced automatically. Needs reading.</t>
        </is>
      </c>
      <c r="M399" s="3" t="inlineStr">
        <is>
          <t>· Rounds the answer to a whole number.</t>
        </is>
      </c>
      <c r="N399" s="3" t="inlineStr">
        <is>
          <t>Yes</t>
        </is>
      </c>
      <c r="O399" s="3" t="inlineStr">
        <is>
          <t>1. MK-CF-F-132 map
2. MK-PL-F-036 weighGoals</t>
        </is>
      </c>
      <c r="P399" s="3" t="n">
        <v>29</v>
      </c>
      <c r="Q399"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399"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399" s="3" t="inlineStr">
        <is>
          <t>—</t>
        </is>
      </c>
      <c r="T399" s="3" t="inlineStr">
        <is>
          <t>—</t>
        </is>
      </c>
      <c r="U399" s="3" t="inlineStr">
        <is>
          <t>ACTIVE</t>
        </is>
      </c>
      <c r="V399" s="3" t="inlineStr">
        <is>
          <t>2026-08-27</t>
        </is>
      </c>
      <c r="W399" s="3" t="n"/>
      <c r="X399" s="3" t="n"/>
      <c r="Y399" s="3" t="inlineStr">
        <is>
          <t>NOTHING OPEN</t>
        </is>
      </c>
    </row>
    <row r="400" ht="60" customHeight="1">
      <c r="A400" s="3" t="inlineStr">
        <is>
          <t>MK-PL-F-038</t>
        </is>
      </c>
      <c r="B400" s="3" t="inlineStr">
        <is>
          <t>spendMoreState</t>
        </is>
      </c>
      <c r="C400" s="3" t="inlineStr">
        <is>
          <t>src/domain/planning/spendMore.ts</t>
        </is>
      </c>
      <c r="D400" s="3" t="n">
        <v>78</v>
      </c>
      <c r="E400" s="3" t="inlineStr">
        <is>
          <t>2 · DISPLAYED</t>
        </is>
      </c>
      <c r="F400" s="3" t="inlineStr">
        <is>
          <t>How much more she could spend, and how much of it is genuinely free.</t>
        </is>
      </c>
      <c r="G400" s="11" t="inlineStr">
        <is>
          <t>today = base.retire monthly spend today
odds today = odds at(base, today)
free = 0
the answer:
max extra = max extra
free extra = free
odds today = odds today</t>
        </is>
      </c>
      <c r="H400" s="3" t="inlineStr">
        <is>
          <t>Today is base.retire monthly spend today. Odds today is odds at(base, today). Free is 0. The answer is max extra = max extra; free extra = free; odds today = odds today.</t>
        </is>
      </c>
      <c r="I400" s="3" t="inlineStr">
        <is>
          <t>READ FROM THE CODE — rendered from the expressions the function runs</t>
        </is>
      </c>
      <c r="J400" s="3" t="inlineStr">
        <is>
          <t>1. base: RetirementInputs
2. maxExtra: number
3. step = 500</t>
        </is>
      </c>
      <c r="K400" s="3" t="inlineStr">
        <is>
          <t>SpendMoreState</t>
        </is>
      </c>
      <c r="L400" s="3" t="inlineStr">
        <is>
          <t>"Can I spend more?" — on a card used on more than one screen (SpendMoreControl)</t>
        </is>
      </c>
      <c r="M400" s="3" t="inlineStr">
        <is>
          <t>· Uses a built-in free of 0.</t>
        </is>
      </c>
      <c r="N400" s="3" t="inlineStr">
        <is>
          <t>Yes</t>
        </is>
      </c>
      <c r="O400" s="3" t="inlineStr">
        <is>
          <t>MK-PL-F-069 oddsAt</t>
        </is>
      </c>
      <c r="P400" s="3" t="n">
        <v>23</v>
      </c>
      <c r="Q40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0"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MK-PL-F-039</t>
        </is>
      </c>
      <c r="B401" s="3" t="inlineStr">
        <is>
          <t>spendMoreSentence</t>
        </is>
      </c>
      <c r="C401" s="3" t="inlineStr">
        <is>
          <t>src/domain/planning/spendMore.ts</t>
        </is>
      </c>
      <c r="D401" s="3" t="n">
        <v>119</v>
      </c>
      <c r="E401" s="3" t="inlineStr">
        <is>
          <t>2 · DISPLAYED</t>
        </is>
      </c>
      <c r="F401" s="3" t="inlineStr">
        <is>
          <t>What the screen says at a given stepper position — a real run every time, never a bucket.</t>
        </is>
      </c>
      <c r="G401" s="11" t="inlineStr">
        <is>
          <t>chance = odds at(base, base.retire monthly spend today + extra)
failing = round(100 − chance, 6 dp)
the answer:
chance = chance
tone = 'watch'
text = `lasts in almost every simulated future — about ${chance} out of 100.`</t>
        </is>
      </c>
      <c r="H401" s="3" t="inlineStr">
        <is>
          <t>Chance is odds at(base, base.retire monthly spend today plus extra). Failing is 100 minus chance, to 6 decimal places. The answer is chance = chance; tone = 'watch'; text = `lasts in almost every simulated future — about ${chance} out of 100.`.</t>
        </is>
      </c>
      <c r="I401" s="3" t="inlineStr">
        <is>
          <t>PARTLY READ — some of the code is still showing through; needs a hand pass</t>
        </is>
      </c>
      <c r="J401" s="3" t="inlineStr">
        <is>
          <t>1. base: RetirementInputs
2. extra: number
3. horizonAge: number
4. oddsToday: number</t>
        </is>
      </c>
      <c r="K401" s="3" t="inlineStr">
        <is>
          <t>NOT DECLARED — the code does not say what it gives back</t>
        </is>
      </c>
      <c r="L401" s="3" t="inlineStr">
        <is>
          <t>NOT FOUND — a screen calls it, but the words printed beside its answer could not be traced automatically. Needs reading.</t>
        </is>
      </c>
      <c r="M401" s="3" t="inlineStr">
        <is>
          <t>· Rounds the answer to 6 decimal places.</t>
        </is>
      </c>
      <c r="N401" s="3" t="inlineStr">
        <is>
          <t>Yes</t>
        </is>
      </c>
      <c r="O401" s="3" t="inlineStr">
        <is>
          <t>MK-PL-F-069 oddsAt</t>
        </is>
      </c>
      <c r="P401" s="3" t="n">
        <v>23</v>
      </c>
      <c r="Q401"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1"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01" s="3" t="inlineStr">
        <is>
          <t>—</t>
        </is>
      </c>
      <c r="T401" s="3" t="inlineStr">
        <is>
          <t>—</t>
        </is>
      </c>
      <c r="U401" s="3" t="inlineStr">
        <is>
          <t>ACTIVE</t>
        </is>
      </c>
      <c r="V401" s="3" t="inlineStr">
        <is>
          <t>2026-09-14</t>
        </is>
      </c>
      <c r="W401" s="3" t="n"/>
      <c r="X401" s="3" t="n"/>
      <c r="Y401" s="3" t="inlineStr">
        <is>
          <t>NOTHING OPEN</t>
        </is>
      </c>
    </row>
    <row r="402" ht="60" customHeight="1">
      <c r="A402" s="3" t="inlineStr">
        <is>
          <t>MK-PL-F-040</t>
        </is>
      </c>
      <c r="B402" s="3" t="inlineStr">
        <is>
          <t>targetAtRetirement</t>
        </is>
      </c>
      <c r="C402" s="3" t="inlineStr">
        <is>
          <t>src/domain/planning/target.ts</t>
        </is>
      </c>
      <c r="D402" s="3" t="n">
        <v>107</v>
      </c>
      <c r="E402" s="3" t="inlineStr">
        <is>
          <t>2 · DISPLAYED</t>
        </is>
      </c>
      <c r="F402" s="3" t="inlineStr">
        <is>
          <t>THE TARGET: the balance on day one of retirement that reaches TARGET_ODDS.</t>
        </is>
      </c>
      <c r="G402"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02"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02" s="3" t="inlineStr">
        <is>
          <t>PARTLY READ — the body has a loop the extractor cannot render; the steps shown are the ones before it. Needs a hand pass (G23).</t>
        </is>
      </c>
      <c r="J402" s="3" t="inlineStr">
        <is>
          <t>base: RetirementInputs</t>
        </is>
      </c>
      <c r="K402" s="3" t="inlineStr">
        <is>
          <t>number | null</t>
        </is>
      </c>
      <c r="L402" s="3" t="inlineStr">
        <is>
          <t>NOT FOUND — a screen calls it, but the words printed beside its answer could not be traced automatically. Needs reading.</t>
        </is>
      </c>
      <c r="M402" s="3" t="inlineStr">
        <is>
          <t>None found in this function — anything it assumes comes from the functions it depends on.</t>
        </is>
      </c>
      <c r="N402" s="3" t="inlineStr">
        <is>
          <t>Yes</t>
        </is>
      </c>
      <c r="O402" s="3" t="inlineStr">
        <is>
          <t>1. MK-CF-O-002 expenses
2. MK-PL-F-071 oddsOf
3. MK-PL-F-070 smallestThatWorks</t>
        </is>
      </c>
      <c r="P402" s="3" t="n">
        <v>24</v>
      </c>
      <c r="Q402"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02"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02" s="3" t="inlineStr">
        <is>
          <t>—</t>
        </is>
      </c>
      <c r="T402" s="3" t="inlineStr">
        <is>
          <t>—</t>
        </is>
      </c>
      <c r="U402" s="3" t="inlineStr">
        <is>
          <t>ACTIVE</t>
        </is>
      </c>
      <c r="V402" s="3" t="inlineStr">
        <is>
          <t>2026-09-14</t>
        </is>
      </c>
      <c r="W402" s="3" t="n"/>
      <c r="X402" s="3" t="n"/>
      <c r="Y402" s="3" t="inlineStr">
        <is>
          <t>NOTHING OPEN</t>
        </is>
      </c>
    </row>
    <row r="403" ht="60" customHeight="1">
      <c r="A403" s="3" t="inlineStr">
        <is>
          <t>MK-PL-F-041</t>
        </is>
      </c>
      <c r="B403" s="3" t="inlineStr">
        <is>
          <t>requiredAnnualSaving</t>
        </is>
      </c>
      <c r="C403" s="3" t="inlineStr">
        <is>
          <t>src/domain/planning/target.ts</t>
        </is>
      </c>
      <c r="D403" s="3" t="n">
        <v>161</v>
      </c>
      <c r="E403" s="3" t="inlineStr">
        <is>
          <t>3 · DEPENDENT</t>
        </is>
      </c>
      <c r="F403" s="3" t="inlineStr">
        <is>
          <t>THE YEARLY SAVING: the total annual contribution that reaches TARGET_ODDS on the real plan — the one with their age, their years left, their expenses, their big costs.</t>
        </is>
      </c>
      <c r="G403"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03"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03" s="3" t="inlineStr">
        <is>
          <t>PARTLY READ — the body has a loop the extractor cannot render; the steps shown are the ones before it. Needs a hand pass (G23).</t>
        </is>
      </c>
      <c r="J403" s="3" t="inlineStr">
        <is>
          <t>base: RetirementInputs</t>
        </is>
      </c>
      <c r="K403" s="3" t="inlineStr">
        <is>
          <t>NOT DECLARED — the code does not say what it gives back</t>
        </is>
      </c>
      <c r="L403" s="3" t="inlineStr">
        <is>
          <t>—</t>
        </is>
      </c>
      <c r="M403" s="3" t="inlineStr">
        <is>
          <t>· If annual contribution is missing it uses 0.</t>
        </is>
      </c>
      <c r="N403" s="3" t="inlineStr">
        <is>
          <t>Yes</t>
        </is>
      </c>
      <c r="O403" s="3" t="inlineStr">
        <is>
          <t>1. MK-PL-F-071 oddsOf
2. MK-PL-F-070 smallestThatWorks</t>
        </is>
      </c>
      <c r="P403" s="3" t="n">
        <v>24</v>
      </c>
      <c r="Q403"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3"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03" s="3" t="inlineStr">
        <is>
          <t>—</t>
        </is>
      </c>
      <c r="T403" s="3" t="inlineStr">
        <is>
          <t>—</t>
        </is>
      </c>
      <c r="U403" s="3" t="inlineStr">
        <is>
          <t>ACTIVE</t>
        </is>
      </c>
      <c r="V403" s="3" t="inlineStr">
        <is>
          <t>2026-09-14</t>
        </is>
      </c>
      <c r="W403" s="3" t="n"/>
      <c r="X403" s="3" t="n"/>
      <c r="Y403" s="3" t="inlineStr">
        <is>
          <t>NOTHING OPEN</t>
        </is>
      </c>
    </row>
    <row r="404" ht="60" customHeight="1">
      <c r="A404" s="3" t="inlineStr">
        <is>
          <t>MK-PL-F-042</t>
        </is>
      </c>
      <c r="B404" s="3" t="inlineStr">
        <is>
          <t>savingToReachTarget</t>
        </is>
      </c>
      <c r="C404" s="3" t="inlineStr">
        <is>
          <t>src/domain/planning/target.ts</t>
        </is>
      </c>
      <c r="D404" s="3" t="n">
        <v>220</v>
      </c>
      <c r="E404" s="3" t="inlineStr">
        <is>
          <t>3 · DEPENDENT</t>
        </is>
      </c>
      <c r="F404" s="3" t="inlineStr">
        <is>
          <t>The yearly saving whose PROJECTION reaches a typed target.</t>
        </is>
      </c>
      <c r="G404" s="11" t="inlineStr">
        <is>
          <t>found = smallest that works(0, MAX_SAVING, 500, (x) =&gt; projected with(x) ≥ typed target)
nothing   when found = nothing
total = round up(found ÷ 500) × 500
the answer:
total = total
extra = max(0, total − (base.annual contribution ?? 0))</t>
        </is>
      </c>
      <c r="H404"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04" s="3" t="inlineStr">
        <is>
          <t>PARTLY READ — some of the code is still showing through; needs a hand pass</t>
        </is>
      </c>
      <c r="J404" s="3" t="inlineStr">
        <is>
          <t>1. base: RetirementInputs
2. typedTarget: number</t>
        </is>
      </c>
      <c r="K404" s="3" t="inlineStr">
        <is>
          <t>NOT DECLARED — the code does not say what it gives back</t>
        </is>
      </c>
      <c r="L404" s="3" t="inlineStr">
        <is>
          <t>—</t>
        </is>
      </c>
      <c r="M404" s="3" t="inlineStr">
        <is>
          <t>· If annual contribution is missing it uses 0.</t>
        </is>
      </c>
      <c r="N404" s="3" t="inlineStr">
        <is>
          <t>Yes</t>
        </is>
      </c>
      <c r="O404" s="3" t="inlineStr">
        <is>
          <t>1. MK-PL-F-050 simulate
2. MK-PL-F-070 smallestThatWorks</t>
        </is>
      </c>
      <c r="P404" s="3" t="n">
        <v>23</v>
      </c>
      <c r="Q404"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4"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04" s="3" t="inlineStr">
        <is>
          <t>—</t>
        </is>
      </c>
      <c r="T404" s="3" t="inlineStr">
        <is>
          <t>—</t>
        </is>
      </c>
      <c r="U404" s="3" t="inlineStr">
        <is>
          <t>ACTIVE</t>
        </is>
      </c>
      <c r="V404" s="3" t="inlineStr">
        <is>
          <t>2026-08-27</t>
        </is>
      </c>
      <c r="W404" s="3" t="n"/>
      <c r="X404" s="3" t="n"/>
      <c r="Y404" s="3" t="inlineStr">
        <is>
          <t>NOTHING OPEN</t>
        </is>
      </c>
    </row>
    <row r="405" ht="60" customHeight="1">
      <c r="A405" s="3" t="inlineStr">
        <is>
          <t>MK-PL-F-043</t>
        </is>
      </c>
      <c r="B405" s="3" t="inlineStr">
        <is>
          <t>howTheGapCloses</t>
        </is>
      </c>
      <c r="C405" s="3" t="inlineStr">
        <is>
          <t>src/domain/planning/target.ts</t>
        </is>
      </c>
      <c r="D405" s="3" t="n">
        <v>254</v>
      </c>
      <c r="E405" s="3" t="inlineStr">
        <is>
          <t>2 · DISPLAYED</t>
        </is>
      </c>
      <c r="F405" s="3" t="inlineStr">
        <is>
          <t>Where the money to close the gap actually comes from — the breakdown that stops a person subtracting and concluding the app cannot add up (founder, 2026-08-14).</t>
        </is>
      </c>
      <c r="G405" s="11" t="inlineStr">
        <is>
          <t>years = max(0, base.retire age − base.current age)
no saving = simulate({ ...base, annual contribution: 0 }).projected at retirement
with saving = simulate({ ...base, annual contribution: total annual saving }).projected at retirement
put in = total annual saving × years</t>
        </is>
      </c>
      <c r="H405"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05" s="3" t="inlineStr">
        <is>
          <t>PARTLY READ — some of the code is still showing through; needs a hand pass</t>
        </is>
      </c>
      <c r="J405" s="3" t="inlineStr">
        <is>
          <t>1. base: RetirementInputs
2. totalAnnualSaving: number</t>
        </is>
      </c>
      <c r="K405" s="3" t="inlineStr">
        <is>
          <t>NOT DECLARED — the code does not say what it gives back</t>
        </is>
      </c>
      <c r="L405" s="3" t="inlineStr">
        <is>
          <t>NOT FOUND — a screen calls it, but the words printed beside its answer could not be traced automatically. Needs reading.</t>
        </is>
      </c>
      <c r="M405" s="3" t="inlineStr">
        <is>
          <t>None found in this function — anything it assumes comes from the functions it depends on.</t>
        </is>
      </c>
      <c r="N405" s="3" t="inlineStr">
        <is>
          <t>Yes</t>
        </is>
      </c>
      <c r="O405" s="3" t="inlineStr">
        <is>
          <t>1. MK-XS-F-147 call
2. MK-PL-F-050 simulate</t>
        </is>
      </c>
      <c r="P405" s="3" t="n">
        <v>26</v>
      </c>
      <c r="Q405"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5"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05" s="3" t="inlineStr">
        <is>
          <t>—</t>
        </is>
      </c>
      <c r="T405" s="3" t="inlineStr">
        <is>
          <t>—</t>
        </is>
      </c>
      <c r="U405" s="3" t="inlineStr">
        <is>
          <t>ACTIVE</t>
        </is>
      </c>
      <c r="V405" s="3" t="inlineStr">
        <is>
          <t>2026-09-09</t>
        </is>
      </c>
      <c r="W405" s="3" t="n"/>
      <c r="X405" s="3" t="n"/>
      <c r="Y405" s="3" t="inlineStr">
        <is>
          <t>NOTHING OPEN</t>
        </is>
      </c>
    </row>
    <row r="406" ht="60" customHeight="1">
      <c r="A406" s="3" t="inlineStr">
        <is>
          <t>MK-PL-F-044</t>
        </is>
      </c>
      <c r="B406" s="3" t="inlineStr">
        <is>
          <t>planTarget</t>
        </is>
      </c>
      <c r="C406" s="3" t="inlineStr">
        <is>
          <t>src/domain/planning/target.ts</t>
        </is>
      </c>
      <c r="D406" s="3" t="n">
        <v>323</v>
      </c>
      <c r="E406" s="3" t="inlineStr">
        <is>
          <t>2 · DISPLAYED</t>
        </is>
      </c>
      <c r="F406" s="3" t="inlineStr">
        <is>
          <t>One call, everything the second gauge and the bridge sentence need.</t>
        </is>
      </c>
      <c r="G406"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06"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06" s="3" t="inlineStr">
        <is>
          <t>PARTLY READ — some of the code is still showing through; needs a hand pass</t>
        </is>
      </c>
      <c r="J406" s="3" t="inlineStr">
        <is>
          <t>1. base: RetirementInputs
2. annualIncome?: number
3. roomAnnual?: number
4. typedTarget?: number | null</t>
        </is>
      </c>
      <c r="K406" s="3" t="inlineStr">
        <is>
          <t>PlanTarget</t>
        </is>
      </c>
      <c r="L406" s="3" t="inlineStr">
        <is>
          <t>NOT FOUND — a screen calls it, but the words printed beside its answer could not be traced automatically. Needs reading.</t>
        </is>
      </c>
      <c r="M406" s="3" t="inlineStr">
        <is>
          <t>1. If annual contribution is missing it uses 0.
2. Rounds the answer to a whole number.</t>
        </is>
      </c>
      <c r="N406" s="3" t="inlineStr">
        <is>
          <t>Yes</t>
        </is>
      </c>
      <c r="O406" s="3" t="inlineStr">
        <is>
          <t>1. MK-PL-F-041 requiredAnnualSaving
2. MK-PL-F-042 savingToReachTarget
3. MK-PL-F-050 simulate
4. MK-PL-F-040 targetAtRetirement</t>
        </is>
      </c>
      <c r="P406" s="3" t="n">
        <v>27</v>
      </c>
      <c r="Q406"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06"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06" s="3" t="inlineStr">
        <is>
          <t>—</t>
        </is>
      </c>
      <c r="T406" s="3" t="inlineStr">
        <is>
          <t>—</t>
        </is>
      </c>
      <c r="U406" s="3" t="inlineStr">
        <is>
          <t>ACTIVE</t>
        </is>
      </c>
      <c r="V406" s="3" t="inlineStr">
        <is>
          <t>2026-09-09</t>
        </is>
      </c>
      <c r="W406" s="3" t="n"/>
      <c r="X406" s="3" t="n"/>
      <c r="Y406" s="3" t="inlineStr">
        <is>
          <t>NOTHING OPEN</t>
        </is>
      </c>
    </row>
    <row r="407" ht="60" customHeight="1">
      <c r="A407" s="3" t="inlineStr">
        <is>
          <t>MK-PL-F-045</t>
        </is>
      </c>
      <c r="B407" s="3" t="inlineStr">
        <is>
          <t>ssUpliftFactor</t>
        </is>
      </c>
      <c r="C407" s="3" t="inlineStr">
        <is>
          <t>src/domain/planning/target.ts</t>
        </is>
      </c>
      <c r="D407" s="3" t="n">
        <v>382</v>
      </c>
      <c r="E407" s="3" t="inlineStr">
        <is>
          <t>3 · DEPENDENT</t>
        </is>
      </c>
      <c r="F407" s="3" t="inlineStr">
        <is>
          <t>Social Security pays roughly 8% more for each year you delay past full retirement age — the claim-later lever has to raise the CHECK, not just move its start date.</t>
        </is>
      </c>
      <c r="G407" s="11" t="inlineStr">
        <is>
          <t>1 + 0.08 × max(0, to age − from age)</t>
        </is>
      </c>
      <c r="H407" s="3" t="inlineStr">
        <is>
          <t>1 plus 0.08 times to age minus from age, never below zero.</t>
        </is>
      </c>
      <c r="I407" s="3" t="inlineStr">
        <is>
          <t>READ FROM THE CODE — rendered from the expressions the function runs</t>
        </is>
      </c>
      <c r="J407" s="3" t="inlineStr">
        <is>
          <t>1. fromAge: number
2. toAge: number</t>
        </is>
      </c>
      <c r="K407" s="3" t="inlineStr">
        <is>
          <t>number</t>
        </is>
      </c>
      <c r="L407" s="3" t="inlineStr">
        <is>
          <t>—</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t>
        </is>
      </c>
      <c r="U407" s="3" t="inlineStr">
        <is>
          <t>ACTIVE</t>
        </is>
      </c>
      <c r="V407" s="3" t="inlineStr">
        <is>
          <t>2026-08-27</t>
        </is>
      </c>
      <c r="W407" s="3" t="n"/>
      <c r="X407" s="3" t="n"/>
      <c r="Y407" s="3" t="inlineStr">
        <is>
          <t>NOTHING OPEN</t>
        </is>
      </c>
    </row>
    <row r="408" ht="60" customHeight="1">
      <c r="A408" s="3" t="inlineStr">
        <is>
          <t>MK-PL-F-046</t>
        </is>
      </c>
      <c r="B408" s="3" t="inlineStr">
        <is>
          <t>leverDeltas</t>
        </is>
      </c>
      <c r="C408" s="3" t="inlineStr">
        <is>
          <t>src/domain/planning/target.ts</t>
        </is>
      </c>
      <c r="D408" s="3" t="n">
        <v>417</v>
      </c>
      <c r="E408" s="3" t="inlineStr">
        <is>
          <t>2 · DISPLAYED</t>
        </is>
      </c>
      <c r="F408" s="3" t="inlineStr">
        <is>
          <t>NOT DETERMINED — the code carries no note saying what this is for, and it has no row in the old inventory. Needs reading.</t>
        </is>
      </c>
      <c r="G408"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08"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08" s="3" t="inlineStr">
        <is>
          <t>PARTLY READ — some of the code is still showing through; needs a hand pass</t>
        </is>
      </c>
      <c r="J408" s="3" t="inlineStr">
        <is>
          <t>1. base: RetirementInputs
2. opts: { spendCutMonthly?: number; retireLaterYears?: number; claimAge?: number } = {}</t>
        </is>
      </c>
      <c r="K408" s="3" t="inlineStr">
        <is>
          <t>Lever[]</t>
        </is>
      </c>
      <c r="L408" s="3" t="inlineStr">
        <is>
          <t>NOT FOUND — a screen calls it, but the words printed beside its answer could not be traced automatically. Needs reading.</t>
        </is>
      </c>
      <c r="M408" s="3" t="inlineStr">
        <is>
          <t>1. If retire later years is missing it uses 2.
2. If spend cut monthly is missing it uses 400.
3. If claim age is missing it uses 70.
4. If guaranteed monthly income is missing it uses 0.
5. Rounds the answer to a whole number.</t>
        </is>
      </c>
      <c r="N408" s="3" t="inlineStr">
        <is>
          <t>Yes</t>
        </is>
      </c>
      <c r="O408" s="3" t="inlineStr">
        <is>
          <t>1. MK-CF-F-132 map
2. MK-PL-F-071 oddsOf
3. MK-PL-F-051 ssStreamOf
4. MK-PL-F-045 ssUpliftFactor
5. MK-PL-F-052 withSsStream</t>
        </is>
      </c>
      <c r="P408" s="3" t="n">
        <v>26</v>
      </c>
      <c r="Q408"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08"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MK-PL-F-047</t>
        </is>
      </c>
      <c r="B409" s="3" t="inlineStr">
        <is>
          <t>colFactor</t>
        </is>
      </c>
      <c r="C409" s="3" t="inlineStr">
        <is>
          <t>src/domain/retirement/col.ts</t>
        </is>
      </c>
      <c r="D409" s="3" t="n">
        <v>79</v>
      </c>
      <c r="E409" s="3" t="inlineStr">
        <is>
          <t>2 · DISPLAYED</t>
        </is>
      </c>
      <c r="F409" s="3" t="inlineStr">
        <is>
          <t>Cost-of-living factor for a free-text location.</t>
        </is>
      </c>
      <c r="G409" s="11" t="inlineStr">
        <is>
          <t>q = string(location ?? '').trim().to lower case()
factor = 1
name = nothing   when q is missing
the answer:
factor = row.factor
name = row.name
[LOOP — the answer is found inside a loop the extractor cannot render; the steps above are the ones before it. Read by hand.]</t>
        </is>
      </c>
      <c r="H409" s="3" t="inlineStr">
        <is>
          <t>Q is string(location ?? '').trim().to lower case(). When q is missing, it answers factor = 1; name is missing. The answer is factor = row.factor; name = row.name. The answer is found inside a loop that cannot be rendered here; read the code by hand.</t>
        </is>
      </c>
      <c r="I409" s="3" t="inlineStr">
        <is>
          <t>PARTLY READ — the body has a loop the extractor cannot render; the steps shown are the ones before it. Needs a hand pass (G23).</t>
        </is>
      </c>
      <c r="J409" s="3" t="inlineStr">
        <is>
          <t>location?: string | null</t>
        </is>
      </c>
      <c r="K409" s="3" t="inlineStr">
        <is>
          <t>ColMatch</t>
        </is>
      </c>
      <c r="L409" s="3" t="inlineStr">
        <is>
          <t>1. "Country / region" — on the setup questions, which appear on more than one screen
2. "You plan to spend" — on the Retirement cockpit screen</t>
        </is>
      </c>
      <c r="M409" s="3" t="inlineStr">
        <is>
          <t>None found in this function — anything it assumes comes from the functions it depends on.</t>
        </is>
      </c>
      <c r="N409" s="3" t="inlineStr">
        <is>
          <t>Yes</t>
        </is>
      </c>
      <c r="O409" s="3" t="inlineStr">
        <is>
          <t>—</t>
        </is>
      </c>
      <c r="P409" s="3" t="n">
        <v>0</v>
      </c>
      <c r="Q409" s="3" t="inlineStr">
        <is>
          <t>None — no dependent function stands behind it</t>
        </is>
      </c>
      <c r="R409" s="3" t="inlineStr">
        <is>
          <t>No dependent function — it reads its inputs and answers</t>
        </is>
      </c>
      <c r="S409" s="3" t="inlineStr">
        <is>
          <t>—</t>
        </is>
      </c>
      <c r="T409" s="3" t="inlineStr">
        <is>
          <t>COST_OF_LIVING</t>
        </is>
      </c>
      <c r="U409" s="3" t="inlineStr">
        <is>
          <t>ACTIVE</t>
        </is>
      </c>
      <c r="V409" s="3" t="inlineStr">
        <is>
          <t>2026-09-08</t>
        </is>
      </c>
      <c r="W409" s="3" t="n"/>
      <c r="X409" s="3" t="n"/>
      <c r="Y409" s="3" t="inlineStr">
        <is>
          <t>NOTHING OPEN</t>
        </is>
      </c>
    </row>
    <row r="410" ht="60" customHeight="1">
      <c r="A410" s="3" t="inlineStr">
        <is>
          <t>MK-PL-F-048</t>
        </is>
      </c>
      <c r="B410" s="3" t="inlineStr">
        <is>
          <t>capitalNeeded</t>
        </is>
      </c>
      <c r="C410" s="3" t="inlineStr">
        <is>
          <t>src/domain/retirement/index.ts</t>
        </is>
      </c>
      <c r="D410" s="3" t="n">
        <v>61</v>
      </c>
      <c r="E410" s="3" t="inlineStr">
        <is>
          <t>2 · DISPLAYED</t>
        </is>
      </c>
      <c r="F410" s="3" t="inlineStr">
        <is>
          <t>NOT DETERMINED — the code carries no note saying what this is for, and it has no row in the old inventory. Needs reading.</t>
        </is>
      </c>
      <c r="G410"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0"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0" s="3" t="inlineStr">
        <is>
          <t>PARTLY READ — some of the code is still showing through; needs a hand pass</t>
        </is>
      </c>
      <c r="J410" s="3" t="inlineStr">
        <is>
          <t>inp: CapitalNeedInputs</t>
        </is>
      </c>
      <c r="K410" s="3" t="inlineStr">
        <is>
          <t>CapitalNeed</t>
        </is>
      </c>
      <c r="L410"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0" s="3" t="inlineStr">
        <is>
          <t>1. Turns a monthly figure into a year by multiplying by twelve.
2. Never lets r fall below 0.</t>
        </is>
      </c>
      <c r="N410" s="3" t="inlineStr">
        <is>
          <t>Yes</t>
        </is>
      </c>
      <c r="O410" s="3" t="inlineStr">
        <is>
          <t>—</t>
        </is>
      </c>
      <c r="P410" s="3" t="n">
        <v>0</v>
      </c>
      <c r="Q410" s="3" t="inlineStr">
        <is>
          <t>None — no dependent function stands behind it</t>
        </is>
      </c>
      <c r="R410" s="3" t="inlineStr">
        <is>
          <t>No dependent function — it reads its inputs and answers</t>
        </is>
      </c>
      <c r="S410" s="3" t="inlineStr">
        <is>
          <t>—</t>
        </is>
      </c>
      <c r="T410" s="3" t="inlineStr">
        <is>
          <t>—</t>
        </is>
      </c>
      <c r="U410" s="3" t="inlineStr">
        <is>
          <t>ACTIVE</t>
        </is>
      </c>
      <c r="V410" s="3" t="inlineStr">
        <is>
          <t>2026-08-27</t>
        </is>
      </c>
      <c r="W410" s="3" t="n"/>
      <c r="X410" s="3" t="n"/>
      <c r="Y410" s="3" t="inlineStr">
        <is>
          <t>NOTHING OPEN</t>
        </is>
      </c>
    </row>
    <row r="411" ht="60" customHeight="1">
      <c r="A411" s="3" t="inlineStr">
        <is>
          <t>MK-PL-F-049</t>
        </is>
      </c>
      <c r="B411" s="3" t="inlineStr">
        <is>
          <t>retirementSpendMonthly</t>
        </is>
      </c>
      <c r="C411" s="3" t="inlineStr">
        <is>
          <t>src/domain/retirement/index.ts</t>
        </is>
      </c>
      <c r="D411" s="3" t="n">
        <v>112</v>
      </c>
      <c r="E411" s="3" t="inlineStr">
        <is>
          <t>2 · DISPLAYED</t>
        </is>
      </c>
      <c r="F411" s="3" t="inlineStr">
        <is>
          <t>All-in monthly retirement spend = base + travel + medical (annual→monthly), adjusted by the expected trajectory (spend less / same / more later) and the retirement location's cost-of-living factor (retLocation).</t>
        </is>
      </c>
      <c r="G411"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11"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11" s="3" t="inlineStr">
        <is>
          <t>PARTLY READ — some of the code is still showing through; needs a hand pass</t>
        </is>
      </c>
      <c r="J411" s="3" t="inlineStr">
        <is>
          <t>op: OnboardingProfile | null</t>
        </is>
      </c>
      <c r="K411" s="3" t="inlineStr">
        <is>
          <t>number</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MK-PL-F-047 colFactor
2. MK-CF-O-002 expenses
3. MK-PL-F-001 taxBucketSplit
4. MK-ST-F-052 toNum</t>
        </is>
      </c>
      <c r="P411" s="3" t="n">
        <v>28</v>
      </c>
      <c r="Q411"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11"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11" s="3" t="inlineStr">
        <is>
          <t>MK-PL-M-009</t>
        </is>
      </c>
      <c r="T411" s="3" t="inlineStr">
        <is>
          <t>RETIREMENT_SPENDING</t>
        </is>
      </c>
      <c r="U411" s="3" t="inlineStr">
        <is>
          <t>ACTIVE</t>
        </is>
      </c>
      <c r="V411" s="3" t="inlineStr">
        <is>
          <t>2026-09-12</t>
        </is>
      </c>
      <c r="W411" s="3" t="n"/>
      <c r="X411" s="3" t="n"/>
      <c r="Y411" s="3" t="inlineStr">
        <is>
          <t>NOTHING OPEN</t>
        </is>
      </c>
    </row>
    <row r="412" ht="60" customHeight="1">
      <c r="A412" s="3" t="inlineStr">
        <is>
          <t>MK-PL-F-050</t>
        </is>
      </c>
      <c r="B412" s="3" t="inlineStr">
        <is>
          <t>simulate</t>
        </is>
      </c>
      <c r="C412" s="3" t="inlineStr">
        <is>
          <t>src/domain/retirement/index.ts</t>
        </is>
      </c>
      <c r="D412" s="3" t="n">
        <v>371</v>
      </c>
      <c r="E412" s="3" t="inlineStr">
        <is>
          <t>2 · DISPLAYED</t>
        </is>
      </c>
      <c r="F412" s="3" t="inlineStr">
        <is>
          <t>B4 (founder brief 2026-08-20): the RMD rule lives in the ONE dated, sourced table — the Calculation Module's rmd function.</t>
        </is>
      </c>
      <c r="G412"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12"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12" s="3" t="inlineStr">
        <is>
          <t>PARTLY READ — some of the code is still showing through; needs a hand pass</t>
        </is>
      </c>
      <c r="J412" s="3" t="inlineStr">
        <is>
          <t>inp: RetirementInputs</t>
        </is>
      </c>
      <c r="K412" s="3" t="inlineStr">
        <is>
          <t>NOT DECLARED — the code does not say what it gives back</t>
        </is>
      </c>
      <c r="L412" s="3" t="inlineStr">
        <is>
          <t>1. "Claim at age" — on the Retirement cockpit screen
2. "Run Monte Carlo simulation" — on the Retirement cockpit screen</t>
        </is>
      </c>
      <c r="M412"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12" s="3" t="inlineStr">
        <is>
          <t>Yes</t>
        </is>
      </c>
      <c r="O412" s="3" t="inlineStr">
        <is>
          <t>1. MK-CF-O-002 expenses
2. MK-CF-F-132 map
3. MK-PL-F-074 median
4. MK-PL-F-072 mulberry32
5. MK-XS-F-122 n
6. MK-PL-F-073 normal
7. MK-PL-F-075 pctOfSorted
8. MK-ST-F-025 rmdStartAgeFromAge</t>
        </is>
      </c>
      <c r="P412" s="3" t="n">
        <v>21</v>
      </c>
      <c r="Q412"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12"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12" s="3" t="inlineStr">
        <is>
          <t>MK-CF-M-022 · MK-PL-M-034 · MK-XS-M-002</t>
        </is>
      </c>
      <c r="T412" s="3" t="inlineStr">
        <is>
          <t>WILL_IT_LAST</t>
        </is>
      </c>
      <c r="U412" s="3" t="inlineStr">
        <is>
          <t>ACTIVE</t>
        </is>
      </c>
      <c r="V412" s="3" t="inlineStr">
        <is>
          <t>2026-09-08</t>
        </is>
      </c>
      <c r="W412" s="3" t="n"/>
      <c r="X412" s="3" t="n"/>
      <c r="Y412" s="6" t="inlineStr">
        <is>
          <t>TESTED, NOT VERIFIED (G14, G17, G7, Odds — exact, no rounding)</t>
        </is>
      </c>
    </row>
    <row r="413" ht="60" customHeight="1">
      <c r="A413" s="3" t="inlineStr">
        <is>
          <t>MK-PL-F-051</t>
        </is>
      </c>
      <c r="B413" s="3" t="inlineStr">
        <is>
          <t>ssStreamOf</t>
        </is>
      </c>
      <c r="C413" s="3" t="inlineStr">
        <is>
          <t>src/domain/retirement/index.ts</t>
        </is>
      </c>
      <c r="D413" s="3" t="n">
        <v>520</v>
      </c>
      <c r="E413" s="3" t="inlineStr">
        <is>
          <t>3 · DEPENDENT</t>
        </is>
      </c>
      <c r="F413" s="3" t="inlineStr">
        <is>
          <t>The Social Security stream inside an input set, when streams are in use.</t>
        </is>
      </c>
      <c r="G413" s="11" t="inlineStr">
        <is>
          <t>st = (inp.guaranteed streams ?? []).find((x) =&gt; kind = 'ss')
the answer:
monthly = st.monthly
start age = st.start age   if st
nothing   otherwise</t>
        </is>
      </c>
      <c r="H413" s="3" t="inlineStr">
        <is>
          <t>St is (inp.guaranteed streams ?? []).find((x) =&gt; kind = 'ss'). The answer is monthly = st.monthly; start age = st.start age — when st; no answer — otherwise.</t>
        </is>
      </c>
      <c r="I413" s="3" t="inlineStr">
        <is>
          <t>PARTLY READ — some of the code is still showing through; needs a hand pass</t>
        </is>
      </c>
      <c r="J413" s="3" t="inlineStr">
        <is>
          <t>inp: RetirementInputs</t>
        </is>
      </c>
      <c r="K413" s="3" t="inlineStr">
        <is>
          <t>NOT DECLARED — the code does not say what it gives back</t>
        </is>
      </c>
      <c r="L413" s="3" t="inlineStr">
        <is>
          <t>—</t>
        </is>
      </c>
      <c r="M413" s="3" t="inlineStr">
        <is>
          <t>None found in this function — anything it assumes comes from the functions it depends on.</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MK-PL-F-052</t>
        </is>
      </c>
      <c r="B414" s="3" t="inlineStr">
        <is>
          <t>withSsStream</t>
        </is>
      </c>
      <c r="C414" s="3" t="inlineStr">
        <is>
          <t>src/domain/retirement/index.ts</t>
        </is>
      </c>
      <c r="D414" s="3" t="n">
        <v>549</v>
      </c>
      <c r="E414" s="3" t="inlineStr">
        <is>
          <t>2 · DISPLAYED</t>
        </is>
      </c>
      <c r="F414" s="3" t="inlineStr">
        <is>
          <t>An input set with its Social Security stream replaced — the ONE way a decision screen patches a claim scenario, so the flat streams ride along untouched and the legacy fields stay in step for anything still reading them.</t>
        </is>
      </c>
      <c r="G414" s="11" t="inlineStr">
        <is>
          <t>others = inp.guaranteed streams (or none when missing) where kind ! = 'ss'</t>
        </is>
      </c>
      <c r="H414" s="3" t="inlineStr">
        <is>
          <t>Others is inp.guaranteed streams (or none — when missing) where kind ! = 'ss'.</t>
        </is>
      </c>
      <c r="I414" s="3" t="inlineStr">
        <is>
          <t>PARTLY READ — some of the code is still showing through; needs a hand pass</t>
        </is>
      </c>
      <c r="J414" s="3" t="inlineStr">
        <is>
          <t>1. inp: RetirementInputs
2. monthly: number
3. claimAge: number</t>
        </is>
      </c>
      <c r="K414" s="3" t="inlineStr">
        <is>
          <t>RetirementInputs</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t>
        </is>
      </c>
      <c r="P414" s="3" t="n">
        <v>0</v>
      </c>
      <c r="Q414" s="3" t="inlineStr">
        <is>
          <t>None — no dependent function stands behind it</t>
        </is>
      </c>
      <c r="R414" s="3" t="inlineStr">
        <is>
          <t>No dependent function — it reads its inputs and answers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MK-PL-F-053</t>
        </is>
      </c>
      <c r="B415" s="3" t="inlineStr">
        <is>
          <t>buildRetirementState</t>
        </is>
      </c>
      <c r="C415" s="3" t="inlineStr">
        <is>
          <t>src/domain/retirement/index.ts</t>
        </is>
      </c>
      <c r="D415" s="3" t="n">
        <v>583</v>
      </c>
      <c r="E415" s="3" t="inlineStr">
        <is>
          <t>3 · DEPENDENT</t>
        </is>
      </c>
      <c r="F415" s="3" t="inlineStr">
        <is>
          <t>NOT DETERMINED — the code carries no note saying what this is for, and it has no row in the old inventory. Needs reading.</t>
        </is>
      </c>
      <c r="G415" s="11" t="inlineStr">
        <is>
          <t>sim = simulate(inp)</t>
        </is>
      </c>
      <c r="H415" s="3" t="inlineStr">
        <is>
          <t>Sim is simulate(inp).</t>
        </is>
      </c>
      <c r="I415" s="3" t="inlineStr">
        <is>
          <t>READ FROM THE CODE — rendered from the expressions the function runs</t>
        </is>
      </c>
      <c r="J415" s="3" t="inlineStr">
        <is>
          <t>1. uid: UserId
2. inp: RetirementInputs</t>
        </is>
      </c>
      <c r="K415" s="3" t="inlineStr">
        <is>
          <t>RetirementState</t>
        </is>
      </c>
      <c r="L415" s="3" t="inlineStr">
        <is>
          <t>—</t>
        </is>
      </c>
      <c r="M415" s="3" t="inlineStr">
        <is>
          <t>· If paths is missing it uses 1000.</t>
        </is>
      </c>
      <c r="N415" s="3" t="inlineStr">
        <is>
          <t>Yes</t>
        </is>
      </c>
      <c r="O415" s="3" t="inlineStr">
        <is>
          <t>1. MK-PL-F-050 simulate
2. MK-XS-F-175 uid</t>
        </is>
      </c>
      <c r="P415" s="3" t="n">
        <v>96</v>
      </c>
      <c r="Q415"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MK-CF-F-038 debtsFromOnboarding
19. MK-XS-F-083 fetchPriceSeries
20. MK-PL-F-013 goalsFromOnboarding
21. MK-ST-F-056 has
22. MK-CF-F-116 inverseOf
23. MK-ST-F-065 isoLocalDate
24. MK-CF-F-112 makeTransaction
25. MK-ST-F-043 newEntityId
26. MK-XS-F-006 pruneDaily
27. MK-ST-F-073 rebuildDays
28. MK-NW-F-054 reclassifyAccounts
29. MK-XS-F-174 recomputeBalances
30. MK-CF-F-115 restoreUndo
31. MK-CF-F-109 reviewTransactions
32. MK-ST-F-044 setMoneyFormat
33. MK-CF-F-114 undoSnapshot
34. MK-CF-F-191 ym
35. MK-CF-F-151 actualSpending
36. MK-CF-F-150 debtPaymentsCountedAsExpenses
37. MK-CF-F-153 radar
38. MK-CF-F-149 recurringDebtPayments
39. MK-ST-F-024 rmdStartAge
40. MK-CF-F-138 addLot
41. MK-CF-F-136 bumpCash
42. MK-CF-F-137 findPos
43. MK-CF-F-139 removeShares
44. MK-PF-F-001 totalShares
45. MK-ST-F-052 toNum
46. MK-ST-F-053 money
47. MK-CF-F-085 filingStatusOf
48. MK-CF-F-097 grossFromNet
49. MK-CF-F-185 needsTakeHomeConversion
50. MK-CF-F-089 over65CountOf
51. MK-CF-F-037 inferDebtType
52. MK-ST-F-069 amountOf
53. MK-CF-F-133 cashOf
54. MK-ST-F-066 isDayKey
55. MK-ST-F-070 isOpening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MK-CF-F-131 normPayee
70. MK-CF-F-113 affectedAccountIds
71. MK-CF-F-148 inMonth
72. MK-CF-F-022 paymentShape
73. MK-CF-F-152 isRadarItem
74. MK-CF-F-023 requiredPayment
75. MK-CF-F-134 usesSleeve
76. MK-ST-F-049 formatMoney
77. MK-CF-F-101 taxOwedFor
78. MK-ST-F-067 utcOfDay
79. MK-CF-F-155 cash
80. MK-ST-F-035 covers
81. MK-NW-F-009 maturityClass
82. MK-ST-F-010 nameEvidence
83. MK-PF-F-031 contractMultiplier
84. MK-CF-F-072 currentRetirementIncomeMonthly
85. MK-CF-F-021 defaultPaymentType
86. MK-ST-F-048 currencySymbol
87. MK-ST-F-039 on
88. MK-CF-F-100 taxableIncomeFor
89. MK-ST-F-034 firstDate
90. MK-XS-F-147 call
91. MK-CF-F-075 retirementIncomeMonthly
92. MK-ST-F-047 activeCurrency
93. MK-CF-F-099 deductionFor
94. MK-XS-F-064 currentIdToken
95. MK-XS-F-112 relayUrl
96. MK-CF-F-187 seniorDeductionFor</t>
        </is>
      </c>
      <c r="R415"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15" s="3" t="inlineStr">
        <is>
          <t>—</t>
        </is>
      </c>
      <c r="T415" s="3" t="inlineStr">
        <is>
          <t>—</t>
        </is>
      </c>
      <c r="U415" s="3" t="inlineStr">
        <is>
          <t>ACTIVE</t>
        </is>
      </c>
      <c r="V415" s="3" t="inlineStr">
        <is>
          <t>2026-08-27</t>
        </is>
      </c>
      <c r="W415" s="3" t="n"/>
      <c r="X415" s="3" t="n"/>
      <c r="Y415" s="3" t="inlineStr">
        <is>
          <t>NOTHING OPEN</t>
        </is>
      </c>
    </row>
    <row r="416" ht="60" customHeight="1">
      <c r="A416" s="3" t="inlineStr">
        <is>
          <t>MK-PL-F-054</t>
        </is>
      </c>
      <c r="B416" s="3" t="inlineStr">
        <is>
          <t>growOneYear</t>
        </is>
      </c>
      <c r="C416" s="3" t="inlineStr">
        <is>
          <t>src/domain/retirement/index.ts</t>
        </is>
      </c>
      <c r="D416" s="3" t="n">
        <v>622</v>
      </c>
      <c r="E416" s="3" t="inlineStr">
        <is>
          <t>3 · DEPENDENT</t>
        </is>
      </c>
      <c r="F416" s="3" t="inlineStr">
        <is>
          <t>── Deterministic projection (instant — drives the live sliders; no RNG) ────────────── Assumes the average return every year (no market swings).</t>
        </is>
      </c>
      <c r="G416" s="11" t="inlineStr">
        <is>
          <t>balance × (1 + (rate or 0))</t>
        </is>
      </c>
      <c r="H416" s="3" t="inlineStr">
        <is>
          <t>balance times (1 plus (rate or 0)).</t>
        </is>
      </c>
      <c r="I416" s="3" t="inlineStr">
        <is>
          <t>READ FROM THE CODE — rendered from the expressions the function runs</t>
        </is>
      </c>
      <c r="J416" s="3" t="inlineStr">
        <is>
          <t>1. balance: number
2. rate: number</t>
        </is>
      </c>
      <c r="K416" s="3" t="inlineStr">
        <is>
          <t>number</t>
        </is>
      </c>
      <c r="L416" s="3" t="inlineStr">
        <is>
          <t>—</t>
        </is>
      </c>
      <c r="M416" s="3" t="inlineStr">
        <is>
          <t>· If rate is missing it counts as zero, so nothing recorded and a real zero look the same.</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MK-PL-F-055</t>
        </is>
      </c>
      <c r="B417" s="3" t="inlineStr">
        <is>
          <t>projectNestEgg</t>
        </is>
      </c>
      <c r="C417" s="3" t="inlineStr">
        <is>
          <t>src/domain/retirement/index.ts</t>
        </is>
      </c>
      <c r="D417" s="3" t="n">
        <v>668</v>
      </c>
      <c r="E417" s="3" t="inlineStr">
        <is>
          <t>2 · DISPLAYED</t>
        </is>
      </c>
      <c r="F417" s="3" t="inlineStr">
        <is>
          <t>What will the pot be worth at retirement, and how big does it need to be?</t>
        </is>
      </c>
      <c r="G417" s="11" t="inlineStr">
        <is>
          <t>years to retire  n = max(0, retire age − age today)
pot = start balance × (1 + r)^n
    + Σ for year y = 0 … n−1 of ( contribution × (1 + g)^y × (1 + r)^(n − y − 1) )
where r = the assumed return and g = the rate contributions grow</t>
        </is>
      </c>
      <c r="H417"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17" s="3" t="inlineStr">
        <is>
          <t>READ BY HAND 2026-08-26 — checked line by line against the code</t>
        </is>
      </c>
      <c r="J417" s="3" t="inlineStr">
        <is>
          <t>inp: RetirementInputs</t>
        </is>
      </c>
      <c r="K417" s="3" t="inlineStr">
        <is>
          <t>NestEggProjection</t>
        </is>
      </c>
      <c r="L417" s="3" t="inlineStr">
        <is>
          <t>NOT FOUND — a screen calls it, but the words printed beside its answer could not be traced automatically. Needs reading.</t>
        </is>
      </c>
      <c r="M417"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17" s="3" t="inlineStr">
        <is>
          <t>Yes</t>
        </is>
      </c>
      <c r="O417" s="3" t="inlineStr">
        <is>
          <t>1. MK-CF-F-132 map
2. MK-PL-F-050 simulate</t>
        </is>
      </c>
      <c r="P417" s="3" t="n">
        <v>22</v>
      </c>
      <c r="Q417"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1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17" s="3" t="inlineStr">
        <is>
          <t>MK-PL-M-026 · MK-PL-M-033</t>
        </is>
      </c>
      <c r="T417" s="3" t="inlineStr">
        <is>
          <t>POT_AT_RETIREMENT</t>
        </is>
      </c>
      <c r="U417" s="3" t="inlineStr">
        <is>
          <t>ACTIVE</t>
        </is>
      </c>
      <c r="V417" s="3" t="inlineStr">
        <is>
          <t>2026-08-27</t>
        </is>
      </c>
      <c r="W417" s="3" t="n"/>
      <c r="X417" s="3" t="n"/>
      <c r="Y417" s="3" t="inlineStr">
        <is>
          <t>NOTHING OPEN</t>
        </is>
      </c>
    </row>
    <row r="418" ht="60" customHeight="1">
      <c r="A418" s="3" t="inlineStr">
        <is>
          <t>MK-PL-F-056</t>
        </is>
      </c>
      <c r="B418" s="3" t="inlineStr">
        <is>
          <t>solveRetireAge</t>
        </is>
      </c>
      <c r="C418" s="3" t="inlineStr">
        <is>
          <t>src/domain/retirement/index.ts</t>
        </is>
      </c>
      <c r="D418" s="3" t="n">
        <v>726</v>
      </c>
      <c r="E418" s="3" t="inlineStr">
        <is>
          <t>2 · DISPLAYED</t>
        </is>
      </c>
      <c r="F418" s="3" t="inlineStr">
        <is>
          <t>"Even if you never save another dollar, you can retire at age Y." Earliest retire age where the current pot (no further contributions) already covers the plan.</t>
        </is>
      </c>
      <c r="G418" s="11" t="inlineStr">
        <is>
          <t>p = project nest egg({ ...inp, annual contribution: 0, retire age: age, guaranteed start age: inp.guaranteed start age })
age   when will have ≥ will need
the answer = nothing</t>
        </is>
      </c>
      <c r="H418" s="3" t="inlineStr">
        <is>
          <t>P is project nest egg({ ...inp, annual contribution: 0, retire age: age, guaranteed start age: inp.guaranteed start age }). When will have is at least will need, it answers age. The answer is no answer.</t>
        </is>
      </c>
      <c r="I418" s="3" t="inlineStr">
        <is>
          <t>READ FROM THE CODE — rendered from the expressions the function runs</t>
        </is>
      </c>
      <c r="J418" s="3" t="inlineStr">
        <is>
          <t>1. inp: RetirementInputs
2. maxAge = 80</t>
        </is>
      </c>
      <c r="K418" s="3" t="inlineStr">
        <is>
          <t>number | null</t>
        </is>
      </c>
      <c r="L418" s="3" t="inlineStr">
        <is>
          <t>"IF YOU NEVER SAVE AGAIN" — on the Retirement cockpit screen</t>
        </is>
      </c>
      <c r="M418" s="3" t="inlineStr">
        <is>
          <t>None found in this function — anything it assumes comes from the functions it depends on.</t>
        </is>
      </c>
      <c r="N418" s="3" t="inlineStr">
        <is>
          <t>Yes</t>
        </is>
      </c>
      <c r="O418" s="3" t="inlineStr">
        <is>
          <t>MK-PL-F-055 projectNestEgg</t>
        </is>
      </c>
      <c r="P418" s="3" t="n">
        <v>23</v>
      </c>
      <c r="Q418"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18" s="3" t="inlineStr">
        <is>
          <t>—</t>
        </is>
      </c>
      <c r="T418" s="3" t="inlineStr">
        <is>
          <t>—</t>
        </is>
      </c>
      <c r="U418" s="3" t="inlineStr">
        <is>
          <t>ACTIVE</t>
        </is>
      </c>
      <c r="V418" s="3" t="inlineStr">
        <is>
          <t>2026-08-27</t>
        </is>
      </c>
      <c r="W418" s="3" t="n"/>
      <c r="X418" s="3" t="n"/>
      <c r="Y418" s="3" t="inlineStr">
        <is>
          <t>NOTHING OPEN</t>
        </is>
      </c>
    </row>
    <row r="419" ht="60" customHeight="1">
      <c r="A419" s="3" t="inlineStr">
        <is>
          <t>MK-PL-F-057</t>
        </is>
      </c>
      <c r="B419" s="3" t="inlineStr">
        <is>
          <t>fullRetirementAge</t>
        </is>
      </c>
      <c r="C419" s="3" t="inlineStr">
        <is>
          <t>src/domain/retirement/ssTiming.ts</t>
        </is>
      </c>
      <c r="D419" s="3" t="n">
        <v>47</v>
      </c>
      <c r="E419" s="3" t="inlineStr">
        <is>
          <t>3 · DEPENDENT</t>
        </is>
      </c>
      <c r="F419" s="3" t="inlineStr">
        <is>
          <t>Full retirement age in YEARS (fractional — 66y4m = 66.333…), from the birth year.</t>
        </is>
      </c>
      <c r="G419" s="11" t="inlineStr">
        <is>
          <t>full retirement age = 67                          when born 1960 or later
                      66 + (birth year − 1954) × 2 months   when born 1955-1959
                      66                          when born 1954 or earlier</t>
        </is>
      </c>
      <c r="H419"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19" s="3" t="inlineStr">
        <is>
          <t>READ BY HAND 2026-08-26 — checked line by line against the code</t>
        </is>
      </c>
      <c r="J419" s="3" t="inlineStr">
        <is>
          <t>birthYear?: number | null</t>
        </is>
      </c>
      <c r="K419" s="3" t="inlineStr">
        <is>
          <t>number</t>
        </is>
      </c>
      <c r="L419" s="3" t="inlineStr">
        <is>
          <t>—</t>
        </is>
      </c>
      <c r="M419" s="3" t="inlineStr">
        <is>
          <t>None found in this function — anything it assumes comes from the functions it depends on.</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SS_FULL_RETIREMENT_AGE</t>
        </is>
      </c>
      <c r="U419" s="3" t="inlineStr">
        <is>
          <t>ACTIVE</t>
        </is>
      </c>
      <c r="V419" s="3" t="inlineStr">
        <is>
          <t>2026-08-27</t>
        </is>
      </c>
      <c r="W419" s="3" t="n"/>
      <c r="X419" s="3" t="n"/>
      <c r="Y419" s="3" t="inlineStr">
        <is>
          <t>NOTHING OPEN</t>
        </is>
      </c>
    </row>
    <row r="420" ht="60" customHeight="1">
      <c r="A420" s="3" t="inlineStr">
        <is>
          <t>MK-PL-F-058</t>
        </is>
      </c>
      <c r="B420" s="3" t="inlineStr">
        <is>
          <t>ssClaimFactorFor</t>
        </is>
      </c>
      <c r="C420" s="3" t="inlineStr">
        <is>
          <t>src/domain/retirement/ssTiming.ts</t>
        </is>
      </c>
      <c r="D420" s="3" t="n">
        <v>93</v>
      </c>
      <c r="E420" s="3" t="inlineStr">
        <is>
          <t>3 · DEPENDENT</t>
        </is>
      </c>
      <c r="F420" s="3" t="inlineStr">
        <is>
          <t>SSA factor for a claim age (62–70), relative to the statement amount at the person's OWN full retirement age.</t>
        </is>
      </c>
      <c r="G420" s="11" t="inlineStr">
        <is>
          <t>months = round(claim age) × 12 − full retirement age × 12
factor = 1                                                   when months = 0
         1 − (first 36 early months × 5/9 of 1%)
           − (each further early month × 5/12 of 1%)          when claiming early
         1 + (each month claimed late × 2/3 of 1%)            when claiming late</t>
        </is>
      </c>
      <c r="H420"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0" s="3" t="inlineStr">
        <is>
          <t>READ BY HAND 2026-08-26 — checked line by line against the code</t>
        </is>
      </c>
      <c r="J420" s="3" t="inlineStr">
        <is>
          <t>1. claimAge: number
2. birthYear?: number | null</t>
        </is>
      </c>
      <c r="K420" s="3" t="inlineStr">
        <is>
          <t>number</t>
        </is>
      </c>
      <c r="L420" s="3" t="inlineStr">
        <is>
          <t>—</t>
        </is>
      </c>
      <c r="M420" s="3" t="inlineStr">
        <is>
          <t>1. Turns a monthly figure into a year by multiplying by twelve.
2. Caps early at 36.
3. Rounds the answer to a whole number.</t>
        </is>
      </c>
      <c r="N420" s="3" t="inlineStr">
        <is>
          <t>Yes</t>
        </is>
      </c>
      <c r="O420" s="3" t="inlineStr">
        <is>
          <t>MK-PL-F-057 fullRetirementAge</t>
        </is>
      </c>
      <c r="P420" s="3" t="n">
        <v>1</v>
      </c>
      <c r="Q420" s="3" t="inlineStr">
        <is>
          <t>MK-PL-F-057 fullRetirementAge</t>
        </is>
      </c>
      <c r="R420" s="3" t="inlineStr">
        <is>
          <t>MK-PL-F-057 fullRetirementAge → MK-PL-F-058 ssClaimFactorFor</t>
        </is>
      </c>
      <c r="S420" s="3" t="inlineStr">
        <is>
          <t>MK-PL-M-019</t>
        </is>
      </c>
      <c r="T420" s="3" t="inlineStr">
        <is>
          <t>SS_CLAIM_FACTOR</t>
        </is>
      </c>
      <c r="U420" s="3" t="inlineStr">
        <is>
          <t>ACTIVE</t>
        </is>
      </c>
      <c r="V420" s="3" t="inlineStr">
        <is>
          <t>2026-08-27</t>
        </is>
      </c>
      <c r="W420" s="3" t="n"/>
      <c r="X420" s="3" t="n"/>
      <c r="Y420" s="3" t="inlineStr">
        <is>
          <t>NOTHING OPEN</t>
        </is>
      </c>
    </row>
    <row r="421" ht="45" customHeight="1">
      <c r="A421" s="3" t="inlineStr">
        <is>
          <t>MK-PL-F-059</t>
        </is>
      </c>
      <c r="B421" s="3" t="inlineStr">
        <is>
          <t>ssClaimFactor</t>
        </is>
      </c>
      <c r="C421" s="3" t="inlineStr">
        <is>
          <t>src/domain/retirement/ssTiming.ts</t>
        </is>
      </c>
      <c r="D421" s="3" t="n">
        <v>124</v>
      </c>
      <c r="E421" s="3" t="inlineStr">
        <is>
          <t>3 · DEPENDENT (feeds an action only)</t>
        </is>
      </c>
      <c r="F421" s="3" t="inlineStr">
        <is>
          <t>The pre-table factor, anchored at 67 — unchanged behaviour for anyone born 1960+.</t>
        </is>
      </c>
      <c r="G421" s="11" t="inlineStr">
        <is>
          <t>ss claim factor for(claim age, nothing)</t>
        </is>
      </c>
      <c r="H421" s="3" t="inlineStr">
        <is>
          <t>ss claim factor for(claim age, no answer).</t>
        </is>
      </c>
      <c r="I421" s="3" t="inlineStr">
        <is>
          <t>READ FROM THE CODE — rendered from the expressions the function runs</t>
        </is>
      </c>
      <c r="J421" s="3" t="inlineStr">
        <is>
          <t>claimAge: number</t>
        </is>
      </c>
      <c r="K421" s="3" t="inlineStr">
        <is>
          <t>number</t>
        </is>
      </c>
      <c r="L421" s="3" t="inlineStr">
        <is>
          <t>—</t>
        </is>
      </c>
      <c r="M421" s="3" t="inlineStr">
        <is>
          <t>None found in this function — anything it assumes comes from the functions it depends on.</t>
        </is>
      </c>
      <c r="N421" s="3" t="inlineStr">
        <is>
          <t>No</t>
        </is>
      </c>
      <c r="O421" s="3" t="inlineStr">
        <is>
          <t>MK-PL-F-058 ssClaimFactorFor</t>
        </is>
      </c>
      <c r="P421" s="3" t="n">
        <v>2</v>
      </c>
      <c r="Q421" s="3" t="inlineStr">
        <is>
          <t>1. MK-PL-F-058 ssClaimFactorFor
2. MK-PL-F-057 fullRetirementAge</t>
        </is>
      </c>
      <c r="R421" s="3" t="inlineStr">
        <is>
          <t>MK-PL-F-057 fullRetirementAge → MK-PL-F-058 ssClaimFactorFor → MK-PL-F-059 ssClaimFactor</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MK-PL-F-060</t>
        </is>
      </c>
      <c r="B422" s="3" t="inlineStr">
        <is>
          <t>ssBenefitAt</t>
        </is>
      </c>
      <c r="C422" s="3" t="inlineStr">
        <is>
          <t>src/domain/retirement/ssTiming.ts</t>
        </is>
      </c>
      <c r="D422" s="3" t="n">
        <v>155</v>
      </c>
      <c r="E422" s="3" t="inlineStr">
        <is>
          <t>2 · DISPLAYED</t>
        </is>
      </c>
      <c r="F422" s="3" t="inlineStr">
        <is>
          <t>Monthly benefit at a claim age from the at-FRA statement amount (today's dollars, whole $).</t>
        </is>
      </c>
      <c r="G422" s="11" t="inlineStr">
        <is>
          <t>monthly benefit = statement amount at full retirement age × factor(claim age)</t>
        </is>
      </c>
      <c r="H422" s="3" t="inlineStr">
        <is>
          <t>The amount on the Social Security statement, scaled by the claim-age factor and rounded to whole dollars. In today's money — no inflation is applied here.</t>
        </is>
      </c>
      <c r="I422" s="3" t="inlineStr">
        <is>
          <t>READ BY HAND 2026-08-26 — checked line by line against the code</t>
        </is>
      </c>
      <c r="J422" s="3" t="inlineStr">
        <is>
          <t>1. statementMonthly: number
2. claimAge: number
3. birthYear?: number | null</t>
        </is>
      </c>
      <c r="K422" s="3" t="inlineStr">
        <is>
          <t>number</t>
        </is>
      </c>
      <c r="L422" s="3" t="inlineStr">
        <is>
          <t>NOT FOUND — a screen calls it, but the words printed beside its answer could not be traced automatically. Needs reading.</t>
        </is>
      </c>
      <c r="M422" s="3" t="inlineStr">
        <is>
          <t>· If statement monthly is missing it counts as zero, so nothing recorded and a real zero look the same.</t>
        </is>
      </c>
      <c r="N422" s="3" t="inlineStr">
        <is>
          <t>Yes</t>
        </is>
      </c>
      <c r="O422" s="3" t="inlineStr">
        <is>
          <t>MK-PL-F-058 ssClaimFactorFor</t>
        </is>
      </c>
      <c r="P422" s="3" t="n">
        <v>2</v>
      </c>
      <c r="Q422" s="3" t="inlineStr">
        <is>
          <t>1. MK-PL-F-058 ssClaimFactorFor
2. MK-PL-F-057 fullRetirementAge</t>
        </is>
      </c>
      <c r="R422" s="3" t="inlineStr">
        <is>
          <t>MK-PL-F-057 fullRetirementAge → MK-PL-F-058 ssClaimFactorFor → MK-PL-F-060 ssBenefitAt</t>
        </is>
      </c>
      <c r="S422" s="3" t="inlineStr">
        <is>
          <t>MK-PL-M-017 · MK-PL-M-019</t>
        </is>
      </c>
      <c r="T422" s="3" t="inlineStr">
        <is>
          <t>SS_BENEFIT_AT_AGE</t>
        </is>
      </c>
      <c r="U422" s="3" t="inlineStr">
        <is>
          <t>ACTIVE</t>
        </is>
      </c>
      <c r="V422" s="3" t="inlineStr">
        <is>
          <t>2026-09-09</t>
        </is>
      </c>
      <c r="W422" s="3" t="n"/>
      <c r="X422" s="3" t="n"/>
      <c r="Y422" s="3" t="inlineStr">
        <is>
          <t>NOTHING OPEN</t>
        </is>
      </c>
    </row>
    <row r="423" ht="45" customHeight="1">
      <c r="A423" s="3" t="inlineStr">
        <is>
          <t>MK-PL-F-061</t>
        </is>
      </c>
      <c r="B423" s="3" t="inlineStr">
        <is>
          <t>ssBenefitAtClaimAge</t>
        </is>
      </c>
      <c r="C423" s="3" t="inlineStr">
        <is>
          <t>src/domain/retirement/ssTiming.ts</t>
        </is>
      </c>
      <c r="D423" s="3" t="n">
        <v>176</v>
      </c>
      <c r="E423" s="3" t="inlineStr">
        <is>
          <t>2 · DISPLAYED</t>
        </is>
      </c>
      <c r="F423" s="3" t="inlineStr">
        <is>
          <t>Kept for callers not yet passing a birth year (behaves as born-1960+).</t>
        </is>
      </c>
      <c r="G423" s="11" t="inlineStr">
        <is>
          <t>ss benefit at(statement monthly, claim age, nothing)</t>
        </is>
      </c>
      <c r="H423" s="3" t="inlineStr">
        <is>
          <t>ss benefit at(statement monthly, claim age, no answer).</t>
        </is>
      </c>
      <c r="I423" s="3" t="inlineStr">
        <is>
          <t>READ FROM THE CODE — rendered from the expressions the function runs</t>
        </is>
      </c>
      <c r="J423" s="3" t="inlineStr">
        <is>
          <t>1. statementMonthly: number
2. claimAge: number</t>
        </is>
      </c>
      <c r="K423" s="3" t="inlineStr">
        <is>
          <t>number</t>
        </is>
      </c>
      <c r="L423" s="3" t="inlineStr">
        <is>
          <t>"When should I claim Social Security?" — on a card used on more than one screen (ClaimAgeRow)</t>
        </is>
      </c>
      <c r="M423" s="3" t="inlineStr">
        <is>
          <t>None found in this function — anything it assumes comes from the functions it depends on.</t>
        </is>
      </c>
      <c r="N423" s="3" t="inlineStr">
        <is>
          <t>Yes</t>
        </is>
      </c>
      <c r="O423" s="3" t="inlineStr">
        <is>
          <t>MK-PL-F-060 ssBenefitAt</t>
        </is>
      </c>
      <c r="P423" s="3" t="n">
        <v>3</v>
      </c>
      <c r="Q423" s="3" t="inlineStr">
        <is>
          <t>1. MK-PL-F-060 ssBenefitAt
2. MK-PL-F-058 ssClaimFactorFor
3. MK-PL-F-057 fullRetirementAge</t>
        </is>
      </c>
      <c r="R423" s="3" t="inlineStr">
        <is>
          <t>MK-PL-F-057 fullRetirementAge → MK-PL-F-058 ssClaimFactorFor → MK-PL-F-060 ssBenefitAt → MK-PL-F-061 ssBenefitAtClaimAge</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MK-PL-F-062</t>
        </is>
      </c>
      <c r="B424" s="3" t="inlineStr">
        <is>
          <t>ssLifetimeTotal</t>
        </is>
      </c>
      <c r="C424" s="3" t="inlineStr">
        <is>
          <t>src/domain/retirement/ssTiming.ts</t>
        </is>
      </c>
      <c r="D424" s="3" t="n">
        <v>205</v>
      </c>
      <c r="E424" s="3" t="inlineStr">
        <is>
          <t>2 · DISPLAYED</t>
        </is>
      </c>
      <c r="F424" s="3" t="inlineStr">
        <is>
          <t>Total collected from claim age to a live-to age the USER sets (months × monthly, today's dollars).</t>
        </is>
      </c>
      <c r="G424" s="11" t="inlineStr">
        <is>
          <t>months = max(0, round((live to age − claim age) × 12))
the answer = ss benefit at(statement monthly, claim age, birth year) × months</t>
        </is>
      </c>
      <c r="H424" s="3" t="inlineStr">
        <is>
          <t>Months is (live to age minus claim age, to a whole number times 12, never below zero). The answer is ss benefit at(statement monthly, claim age, birth year) times months.</t>
        </is>
      </c>
      <c r="I424" s="3" t="inlineStr">
        <is>
          <t>READ FROM THE CODE — rendered from the expressions the function runs</t>
        </is>
      </c>
      <c r="J424" s="3" t="inlineStr">
        <is>
          <t>1. statementMonthly: number
2. claimAge: number
3. liveToAge: number
4. birthYear?: number | null</t>
        </is>
      </c>
      <c r="K424" s="3" t="inlineStr">
        <is>
          <t>number</t>
        </is>
      </c>
      <c r="L424" s="3" t="inlineStr">
        <is>
          <t>NOT FOUND — a screen calls it, but the words printed beside its answer could not be traced automatically. Needs reading.</t>
        </is>
      </c>
      <c r="M424"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24" s="3" t="inlineStr">
        <is>
          <t>Yes</t>
        </is>
      </c>
      <c r="O424" s="3" t="inlineStr">
        <is>
          <t>MK-PL-F-060 ssBenefitAt</t>
        </is>
      </c>
      <c r="P424" s="3" t="n">
        <v>3</v>
      </c>
      <c r="Q424" s="3" t="inlineStr">
        <is>
          <t>1. MK-PL-F-060 ssBenefitAt
2. MK-PL-F-058 ssClaimFactorFor
3. MK-PL-F-057 fullRetirementAge</t>
        </is>
      </c>
      <c r="R424" s="3" t="inlineStr">
        <is>
          <t>MK-PL-F-057 fullRetirementAge → MK-PL-F-058 ssClaimFactorFor → MK-PL-F-060 ssBenefitAt → MK-PL-F-062 ssLifetimeTotal</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MK-PL-F-063</t>
        </is>
      </c>
      <c r="B425" s="3" t="inlineStr">
        <is>
          <t>fraLabel</t>
        </is>
      </c>
      <c r="C425" s="3" t="inlineStr">
        <is>
          <t>src/domain/retirement/ssTiming.ts</t>
        </is>
      </c>
      <c r="D425" s="3" t="n">
        <v>236</v>
      </c>
      <c r="E425" s="3" t="inlineStr">
        <is>
          <t>2 · DISPLAYED</t>
        </is>
      </c>
      <c r="F425" s="3" t="inlineStr">
        <is>
          <t>The FRA as words a person recognises — "67", or "66 and 4 months".</t>
        </is>
      </c>
      <c r="G425" s="11" t="inlineStr">
        <is>
          <t>fra = full retirement age(birth year)
years = round down(fra)
months = round((fra − years) × 12)
the answer:
string(years)   if months = 0
`${years} and ${months} months`   otherwise</t>
        </is>
      </c>
      <c r="H425" s="3" t="inlineStr">
        <is>
          <t>Fra is full retirement age(birth year). Years is fra, rounded down. Months is (fra minus years, to a whole number times 12). The answer is string(years) — when months = 0; `${years} and ${months} months` — otherwise.</t>
        </is>
      </c>
      <c r="I425" s="3" t="inlineStr">
        <is>
          <t>PARTLY READ — some of the code is still showing through; needs a hand pass</t>
        </is>
      </c>
      <c r="J425" s="3" t="inlineStr">
        <is>
          <t>birthYear?: number | null</t>
        </is>
      </c>
      <c r="K425" s="3" t="inlineStr">
        <is>
          <t>string</t>
        </is>
      </c>
      <c r="L425" s="3" t="inlineStr">
        <is>
          <t>"We lay it out. You decide." — on the Social Security timing screen</t>
        </is>
      </c>
      <c r="M425" s="3" t="inlineStr">
        <is>
          <t>1. Turns a monthly figure into a year by multiplying by twelve.
2. Rounds the answer to a whole number.</t>
        </is>
      </c>
      <c r="N425" s="3" t="inlineStr">
        <is>
          <t>Yes</t>
        </is>
      </c>
      <c r="O425" s="3" t="inlineStr">
        <is>
          <t>MK-PL-F-057 fullRetirementAge</t>
        </is>
      </c>
      <c r="P425" s="3" t="n">
        <v>1</v>
      </c>
      <c r="Q425" s="3" t="inlineStr">
        <is>
          <t>MK-PL-F-057 fullRetirementAge</t>
        </is>
      </c>
      <c r="R425" s="3" t="inlineStr">
        <is>
          <t>MK-PL-F-057 fullRetirementAge → MK-PL-F-063 fraLabel</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MK-PL-F-064</t>
        </is>
      </c>
      <c r="B426" s="3" t="inlineStr">
        <is>
          <t>claimWindow</t>
        </is>
      </c>
      <c r="C426" s="3" t="inlineStr">
        <is>
          <t>src/domain/retirement/ssTiming.ts</t>
        </is>
      </c>
      <c r="D426" s="3" t="n">
        <v>268</v>
      </c>
      <c r="E426" s="3" t="inlineStr">
        <is>
          <t>2 · DISPLAYED</t>
        </is>
      </c>
      <c r="F426" s="3" t="inlineStr">
        <is>
          <t>The claim window: the month the person turns 62 → the month they turn 70.</t>
        </is>
      </c>
      <c r="G426"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26"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26" s="3" t="inlineStr">
        <is>
          <t>PARTLY READ — some of the code is still showing through; needs a hand pass</t>
        </is>
      </c>
      <c r="J426" s="3" t="inlineStr">
        <is>
          <t>1. birthYear: number | null
2. birthMonth: number | null</t>
        </is>
      </c>
      <c r="K426" s="3" t="inlineStr">
        <is>
          <t>NOT DECLARED — the code does not say what it gives back</t>
        </is>
      </c>
      <c r="L426" s="3" t="inlineStr">
        <is>
          <t>"Your assumption, not our prediction." — on the Social Security timing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t>
        </is>
      </c>
      <c r="U426" s="3" t="inlineStr">
        <is>
          <t>ACTIVE</t>
        </is>
      </c>
      <c r="V426" s="3" t="inlineStr">
        <is>
          <t>2026-08-27</t>
        </is>
      </c>
      <c r="W426" s="3" t="n"/>
      <c r="X426" s="3" t="n"/>
      <c r="Y426" s="3" t="inlineStr">
        <is>
          <t>NOTHING OPEN</t>
        </is>
      </c>
    </row>
    <row r="427" ht="60" customHeight="1">
      <c r="A427" s="3" t="inlineStr">
        <is>
          <t>MK-PL-F-065</t>
        </is>
      </c>
      <c r="B427" s="3" t="inlineStr">
        <is>
          <t>volOf</t>
        </is>
      </c>
      <c r="C427" s="3" t="inlineStr">
        <is>
          <t>src/domain/retirement/willItLast.ts</t>
        </is>
      </c>
      <c r="D427" s="3" t="n">
        <v>83</v>
      </c>
      <c r="E427" s="3" t="inlineStr">
        <is>
          <t>2 · DISPLAYED</t>
        </is>
      </c>
      <c r="F427" s="3" t="inlineStr">
        <is>
          <t>Same volatility convention as the cockpit: higher return ⇒ more volatility.</t>
        </is>
      </c>
      <c r="G427" s="11" t="inlineStr">
        <is>
          <t>hold ret × 1.7 between 0.05 and 0.2</t>
        </is>
      </c>
      <c r="H427" s="3" t="inlineStr">
        <is>
          <t>hold ret times 1.7 between 0.05 and 0.2</t>
        </is>
      </c>
      <c r="I427" s="3" t="inlineStr">
        <is>
          <t>READ FROM THE CODE — rendered from the expressions the function runs</t>
        </is>
      </c>
      <c r="J427" s="3" t="inlineStr">
        <is>
          <t>ret: number</t>
        </is>
      </c>
      <c r="K427" s="3" t="inlineStr">
        <is>
          <t>NOT DECLARED — the code does not say what it gives back</t>
        </is>
      </c>
      <c r="L427" s="3" t="inlineStr">
        <is>
          <t>NOT FOUND — a screen calls it, but the words printed beside its answer could not be traced automatically. Needs reading.</t>
        </is>
      </c>
      <c r="M427" s="3" t="inlineStr">
        <is>
          <t>· Never lets the answer fall below 5% or rise above 20%.</t>
        </is>
      </c>
      <c r="N427" s="3" t="inlineStr">
        <is>
          <t>Yes</t>
        </is>
      </c>
      <c r="O427" s="3" t="inlineStr">
        <is>
          <t>1. MK-PL-F-077 clamp
2. MK-CF-O-002 expenses
3. MK-PL-F-050 simulate</t>
        </is>
      </c>
      <c r="P427" s="3" t="n">
        <v>36</v>
      </c>
      <c r="Q427"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27"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27" s="3" t="inlineStr">
        <is>
          <t>—</t>
        </is>
      </c>
      <c r="T427" s="3" t="inlineStr">
        <is>
          <t>SWING_FROM_RETURN</t>
        </is>
      </c>
      <c r="U427" s="3" t="inlineStr">
        <is>
          <t>ACTIVE</t>
        </is>
      </c>
      <c r="V427" s="3" t="inlineStr">
        <is>
          <t>2026-08-27</t>
        </is>
      </c>
      <c r="W427" s="3" t="n"/>
      <c r="X427" s="3" t="n"/>
      <c r="Y427" s="3" t="inlineStr">
        <is>
          <t>NOTHING OPEN</t>
        </is>
      </c>
    </row>
    <row r="428" ht="60" customHeight="1">
      <c r="A428" s="3" t="inlineStr">
        <is>
          <t>MK-PL-F-066</t>
        </is>
      </c>
      <c r="B428" s="3" t="inlineStr">
        <is>
          <t>displayOdds</t>
        </is>
      </c>
      <c r="C428" s="3" t="inlineStr">
        <is>
          <t>src/domain/retirement/willItLast.ts</t>
        </is>
      </c>
      <c r="D428" s="3" t="n">
        <v>140</v>
      </c>
      <c r="E428" s="3" t="inlineStr">
        <is>
          <t>2 · DISPLAYED</t>
        </is>
      </c>
      <c r="F428" s="3" t="inlineStr">
        <is>
          <t>B6 (founder brief 2026-08-20): the odds a person sees, to the nearest 5 — with one honesty guard at each end: 100 means "every simulated future worked" and 0 means "none did", and neither claim may be minted by rounding.</t>
        </is>
      </c>
      <c r="G428" s="11" t="inlineStr">
        <is>
          <t>min(100, max(0, round(chance, 6 dp)))</t>
        </is>
      </c>
      <c r="H428" s="3" t="inlineStr">
        <is>
          <t>the smaller of 100 and chance, to 6 decimal places, never below zero.</t>
        </is>
      </c>
      <c r="I428" s="3" t="inlineStr">
        <is>
          <t>READ FROM THE CODE — rendered from the expressions the function runs</t>
        </is>
      </c>
      <c r="J428" s="3" t="inlineStr">
        <is>
          <t>chance: number</t>
        </is>
      </c>
      <c r="K428" s="3" t="inlineStr">
        <is>
          <t>number</t>
        </is>
      </c>
      <c r="L428" s="3" t="inlineStr">
        <is>
          <t>"Claim at age" — on the Retirement cockpit screen</t>
        </is>
      </c>
      <c r="M428" s="3" t="inlineStr">
        <is>
          <t>· Rounds the answer to 6 decimal places.</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ODDS_DISPLAY</t>
        </is>
      </c>
      <c r="U428" s="3" t="inlineStr">
        <is>
          <t>ACTIVE</t>
        </is>
      </c>
      <c r="V428" s="3" t="inlineStr">
        <is>
          <t>2026-09-14</t>
        </is>
      </c>
      <c r="W428" s="3" t="n"/>
      <c r="X428" s="3" t="n"/>
      <c r="Y428" s="3" t="inlineStr">
        <is>
          <t>NOTHING OPEN</t>
        </is>
      </c>
    </row>
    <row r="429" ht="60" customHeight="1">
      <c r="A429" s="3" t="inlineStr">
        <is>
          <t>MK-PL-F-067</t>
        </is>
      </c>
      <c r="B429" s="3" t="inlineStr">
        <is>
          <t>willItLastInputs</t>
        </is>
      </c>
      <c r="C429" s="3" t="inlineStr">
        <is>
          <t>src/domain/retirement/willItLast.ts</t>
        </is>
      </c>
      <c r="D429" s="3" t="n">
        <v>193</v>
      </c>
      <c r="E429" s="3" t="inlineStr">
        <is>
          <t>2 · DISPLAYED</t>
        </is>
      </c>
      <c r="F429" s="3" t="inlineStr">
        <is>
          <t>What goes into working out the odds?</t>
        </is>
      </c>
      <c r="G429"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29"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29" s="3" t="inlineStr">
        <is>
          <t>PARTLY READ — some of the code is still showing through; needs a hand pass</t>
        </is>
      </c>
      <c r="J429" s="3" t="inlineStr">
        <is>
          <t>a: WillItLastArgs</t>
        </is>
      </c>
      <c r="K429" s="3" t="inlineStr">
        <is>
          <t>RetirementInputs | null</t>
        </is>
      </c>
      <c r="L429" s="3" t="inlineStr">
        <is>
          <t>NOT FOUND — a screen calls it, but the words printed beside its answer could not be traced automatically. Needs reading.</t>
        </is>
      </c>
      <c r="M429"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29" s="3" t="inlineStr">
        <is>
          <t>Yes</t>
        </is>
      </c>
      <c r="O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29" s="3" t="n">
        <v>91</v>
      </c>
      <c r="Q429"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2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29" s="3" t="inlineStr">
        <is>
          <t>MK-PL-M-008 · MK-PL-M-011 · MK-PL-M-029</t>
        </is>
      </c>
      <c r="T429" s="3" t="inlineStr">
        <is>
          <t>WILL_IT_LAST_INPUTS</t>
        </is>
      </c>
      <c r="U429" s="3" t="inlineStr">
        <is>
          <t>ACTIVE</t>
        </is>
      </c>
      <c r="V429" s="3" t="inlineStr">
        <is>
          <t>2026-09-12</t>
        </is>
      </c>
      <c r="W429" s="3" t="n"/>
      <c r="X429" s="3" t="n"/>
      <c r="Y429" s="6" t="inlineStr">
        <is>
          <t>TESTED, NOT VERIFIED (G5, G7, G9)</t>
        </is>
      </c>
    </row>
    <row r="430" ht="60" customHeight="1">
      <c r="A430" s="3" t="inlineStr">
        <is>
          <t>MK-PL-F-068</t>
        </is>
      </c>
      <c r="B430" s="3" t="inlineStr">
        <is>
          <t>selectWillItLast</t>
        </is>
      </c>
      <c r="C430" s="3" t="inlineStr">
        <is>
          <t>src/domain/retirement/willItLast.ts</t>
        </is>
      </c>
      <c r="D430" s="3" t="n">
        <v>313</v>
      </c>
      <c r="E430" s="3" t="inlineStr">
        <is>
          <t>2 · DISPLAYED</t>
        </is>
      </c>
      <c r="F430" s="3" t="inlineStr">
        <is>
          <t>The one will-it-last read.</t>
        </is>
      </c>
      <c r="G430"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0"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0" s="3" t="inlineStr">
        <is>
          <t>PARTLY READ — some of the code is still showing through; needs a hand pass</t>
        </is>
      </c>
      <c r="J430" s="3" t="inlineStr">
        <is>
          <t>a: WillItLastArgs</t>
        </is>
      </c>
      <c r="K430" s="3" t="inlineStr">
        <is>
          <t>WillItLastResult</t>
        </is>
      </c>
      <c r="L430" s="3" t="inlineStr">
        <is>
          <t>1. "All bills &amp; the calendar ›" — on the Cash flow screen, under "BY MONTH
2. $"
3. "Draw from savings" — on the Cash flow screen, under "YOUR FUTURE PAYCHECK"
4. "WILL MY MONEY LAST?" — on the Cash flow screen, under "WILL MY MONEY LAST?"</t>
        </is>
      </c>
      <c r="M430" s="3" t="inlineStr">
        <is>
          <t>None found in this function — anything it assumes comes from the functions it depends on.</t>
        </is>
      </c>
      <c r="N430" s="3" t="inlineStr">
        <is>
          <t>Yes</t>
        </is>
      </c>
      <c r="O430" s="3" t="inlineStr">
        <is>
          <t>1. MK-PL-F-066 displayOdds
2. MK-PL-F-079 numOrZero
3. MK-NW-F-033 retirementEarmarkedValue
4. MK-PL-F-049 retirementSpendMonthly
5. MK-PL-F-050 simulate
6. MK-PL-F-067 willItLastInputs</t>
        </is>
      </c>
      <c r="P430" s="3" t="n">
        <v>93</v>
      </c>
      <c r="Q430"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0"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0" s="3" t="inlineStr">
        <is>
          <t>MK-PL-M-034 · MK-XS-M-002</t>
        </is>
      </c>
      <c r="T430" s="3" t="inlineStr">
        <is>
          <t>WILL_IT_LAST_RESULT</t>
        </is>
      </c>
      <c r="U430" s="3" t="inlineStr">
        <is>
          <t>ACTIVE</t>
        </is>
      </c>
      <c r="V430" s="3" t="inlineStr">
        <is>
          <t>2026-09-12</t>
        </is>
      </c>
      <c r="W430" s="3" t="n"/>
      <c r="X430" s="3" t="n"/>
      <c r="Y430" s="3" t="inlineStr">
        <is>
          <t>NOTHING OPEN</t>
        </is>
      </c>
    </row>
    <row r="431" ht="60" customHeight="1">
      <c r="A431" s="3" t="inlineStr">
        <is>
          <t>MK-PL-F-069</t>
        </is>
      </c>
      <c r="B431" s="3" t="inlineStr">
        <is>
          <t>oddsAt</t>
        </is>
      </c>
      <c r="C431" s="3" t="inlineStr">
        <is>
          <t>src/domain/planning/spendMore.ts</t>
        </is>
      </c>
      <c r="D431" s="3" t="n">
        <v>45</v>
      </c>
      <c r="E431" s="3" t="inlineStr">
        <is>
          <t>1 · ACTION</t>
        </is>
      </c>
      <c r="F431" s="3" t="inlineStr">
        <is>
          <t>NOT DETERMINED — the code carries no note saying what this is for, and it has no row in the old inventory. Needs reading.</t>
        </is>
      </c>
      <c r="G431" s="11" t="inlineStr">
        <is>
          <t>the answer = simulate({ …base, retire monthly spend today: monthly spend }).chance of success</t>
        </is>
      </c>
      <c r="H431" s="3" t="inlineStr">
        <is>
          <t>The odds the money lasts when the monthly expenses in retirement are set to a given figure — one full run of the simulation (MK-PL-F-050) with that one input changed.</t>
        </is>
      </c>
      <c r="I431" s="3" t="inlineStr">
        <is>
          <t>READ BY HAND 2026-08-26 — checked line by line against the code</t>
        </is>
      </c>
      <c r="J431" s="3" t="inlineStr">
        <is>
          <t>1. base: RetirementInputs
2. monthlySpend: number</t>
        </is>
      </c>
      <c r="K431" s="3" t="inlineStr">
        <is>
          <t>NOT DECLARED — the code does not say what it gives back</t>
        </is>
      </c>
      <c r="L431" s="3" t="inlineStr">
        <is>
          <t>—</t>
        </is>
      </c>
      <c r="M431" s="3" t="inlineStr">
        <is>
          <t>None found in this function — anything it assumes comes from the functions it depends on.</t>
        </is>
      </c>
      <c r="N431" s="3" t="inlineStr">
        <is>
          <t>Yes</t>
        </is>
      </c>
      <c r="O431" s="3" t="inlineStr">
        <is>
          <t>MK-PL-F-050 simulate</t>
        </is>
      </c>
      <c r="P431" s="3" t="n">
        <v>22</v>
      </c>
      <c r="Q431"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1"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31" s="3" t="inlineStr">
        <is>
          <t>—</t>
        </is>
      </c>
      <c r="T431" s="3" t="inlineStr">
        <is>
          <t>—</t>
        </is>
      </c>
      <c r="U431" s="3" t="inlineStr">
        <is>
          <t>ACTIVE</t>
        </is>
      </c>
      <c r="V431" s="3" t="inlineStr">
        <is>
          <t>2026-09-12</t>
        </is>
      </c>
      <c r="W431" s="3" t="n"/>
      <c r="X431" s="3" t="n"/>
      <c r="Y431" s="3" t="inlineStr">
        <is>
          <t>NOTHING OPEN</t>
        </is>
      </c>
    </row>
    <row r="432" ht="60" customHeight="1">
      <c r="A432" s="3" t="inlineStr">
        <is>
          <t>MK-PL-F-070</t>
        </is>
      </c>
      <c r="B432" s="3" t="inlineStr">
        <is>
          <t>smallestThatWorks</t>
        </is>
      </c>
      <c r="C432" s="3" t="inlineStr">
        <is>
          <t>src/domain/planning/target.ts</t>
        </is>
      </c>
      <c r="D432" s="3" t="n">
        <v>48</v>
      </c>
      <c r="E432" s="3" t="inlineStr">
        <is>
          <t>3 · DEPENDENT</t>
        </is>
      </c>
      <c r="F432" s="3" t="inlineStr">
        <is>
          <t>Smallest x in [lo, hi] where reaching(x) is true, to `tol`.</t>
        </is>
      </c>
      <c r="G432" s="11" t="inlineStr">
        <is>
          <t>lo   when works(lo)
nothing   when !works(hi)
a = lo, b = hi
mid = (a + b) ÷ 2
the answer = b</t>
        </is>
      </c>
      <c r="H432" s="3" t="inlineStr">
        <is>
          <t>When works(lo), it answers lo. When !works(hi), it answers no answer. A is lo, b = hi. Mid is (a plus b) divided by 2. The answer is b.</t>
        </is>
      </c>
      <c r="I432" s="3" t="inlineStr">
        <is>
          <t>READ FROM THE CODE — rendered from the expressions the function runs</t>
        </is>
      </c>
      <c r="J432" s="3" t="inlineStr">
        <is>
          <t>1. lo: number
2. hi: number
3. tol: number
4. works: (x: number) =&gt; boolean</t>
        </is>
      </c>
      <c r="K432" s="3" t="inlineStr">
        <is>
          <t>number | null</t>
        </is>
      </c>
      <c r="L432" s="3" t="inlineStr">
        <is>
          <t>—</t>
        </is>
      </c>
      <c r="M432" s="3" t="inlineStr">
        <is>
          <t>None found in this function — anything it assumes comes from the functions it depends on.</t>
        </is>
      </c>
      <c r="N432" s="3" t="inlineStr">
        <is>
          <t>Yes</t>
        </is>
      </c>
      <c r="O432" s="3" t="inlineStr">
        <is>
          <t>—</t>
        </is>
      </c>
      <c r="P432" s="3" t="n">
        <v>0</v>
      </c>
      <c r="Q432" s="3" t="inlineStr">
        <is>
          <t>None — no dependent function stands behind it</t>
        </is>
      </c>
      <c r="R432" s="3" t="inlineStr">
        <is>
          <t>No dependent function — it reads its inputs and answers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MK-PL-F-071</t>
        </is>
      </c>
      <c r="B433" s="3" t="inlineStr">
        <is>
          <t>oddsOf</t>
        </is>
      </c>
      <c r="C433" s="3" t="inlineStr">
        <is>
          <t>src/domain/planning/target.ts</t>
        </is>
      </c>
      <c r="D433" s="3" t="n">
        <v>79</v>
      </c>
      <c r="E433" s="3" t="inlineStr">
        <is>
          <t>1 · ACTION</t>
        </is>
      </c>
      <c r="F433" s="3" t="inlineStr">
        <is>
          <t>NOT DETERMINED — the code carries no note saying what this is for, and it has no row in the old inventory. Needs reading.</t>
        </is>
      </c>
      <c r="G433" s="11" t="inlineStr">
        <is>
          <t>simulate(inp).chance of success</t>
        </is>
      </c>
      <c r="H433" s="3" t="inlineStr">
        <is>
          <t>simulate(inp).chance of success</t>
        </is>
      </c>
      <c r="I433" s="3" t="inlineStr">
        <is>
          <t>PARTLY READ — some of the code is still showing through; needs a hand pass</t>
        </is>
      </c>
      <c r="J433" s="3" t="inlineStr">
        <is>
          <t>inp: RetirementInputs</t>
        </is>
      </c>
      <c r="K433" s="3" t="inlineStr">
        <is>
          <t>NOT DECLARED — the code does not say what it gives back</t>
        </is>
      </c>
      <c r="L433" s="3" t="inlineStr">
        <is>
          <t>—</t>
        </is>
      </c>
      <c r="M433" s="3" t="inlineStr">
        <is>
          <t>None found in this function — anything it assumes comes from the functions it depends on.</t>
        </is>
      </c>
      <c r="N433" s="3" t="inlineStr">
        <is>
          <t>Yes</t>
        </is>
      </c>
      <c r="O433" s="3" t="inlineStr">
        <is>
          <t>MK-PL-F-050 simulate</t>
        </is>
      </c>
      <c r="P433" s="3" t="n">
        <v>22</v>
      </c>
      <c r="Q43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3"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33" s="3" t="inlineStr">
        <is>
          <t>—</t>
        </is>
      </c>
      <c r="T433" s="3" t="inlineStr">
        <is>
          <t>—</t>
        </is>
      </c>
      <c r="U433" s="3" t="inlineStr">
        <is>
          <t>ACTIVE</t>
        </is>
      </c>
      <c r="V433" s="3" t="inlineStr">
        <is>
          <t>2026-08-27</t>
        </is>
      </c>
      <c r="W433" s="3" t="n"/>
      <c r="X433" s="3" t="n"/>
      <c r="Y433" s="3" t="inlineStr">
        <is>
          <t>NOTHING OPEN</t>
        </is>
      </c>
    </row>
    <row r="434" ht="45" customHeight="1">
      <c r="A434" s="3" t="inlineStr">
        <is>
          <t>MK-PL-F-072</t>
        </is>
      </c>
      <c r="B434" s="3" t="inlineStr">
        <is>
          <t>mulberry32</t>
        </is>
      </c>
      <c r="C434" s="3" t="inlineStr">
        <is>
          <t>src/domain/retirement/index.ts</t>
        </is>
      </c>
      <c r="D434" s="3" t="n">
        <v>217</v>
      </c>
      <c r="E434" s="3" t="inlineStr">
        <is>
          <t>3 · DEPENDENT</t>
        </is>
      </c>
      <c r="F434" s="3" t="inlineStr">
        <is>
          <t>deterministic RNG so results/tests are reproducible</t>
        </is>
      </c>
      <c r="G434" s="11" t="inlineStr">
        <is>
          <t>t = seed += 0x6d2b79f5
the answer = ((t ^ (t &gt;&gt;&gt; 14)) &gt;&gt;&gt; 0) ÷ 4294967296</t>
        </is>
      </c>
      <c r="H434" s="3" t="inlineStr">
        <is>
          <t>T is seed += 0x6d2b79f5. The answer is ((t ^ (t &gt;&gt;&gt; 14)) &gt;&gt;&gt; 0) divided by 4294967296.</t>
        </is>
      </c>
      <c r="I434" s="3" t="inlineStr">
        <is>
          <t>READ FROM THE CODE — rendered from the expressions the function runs</t>
        </is>
      </c>
      <c r="J434" s="3" t="inlineStr">
        <is>
          <t>seed: number</t>
        </is>
      </c>
      <c r="K434" s="3" t="inlineStr">
        <is>
          <t>NOT DECLARED — the code does not say what it gives back</t>
        </is>
      </c>
      <c r="L434" s="3" t="inlineStr">
        <is>
          <t>—</t>
        </is>
      </c>
      <c r="M434" s="3" t="inlineStr">
        <is>
          <t>None found in this function — anything it assumes comes from the functions it depends on.</t>
        </is>
      </c>
      <c r="N434" s="3" t="inlineStr">
        <is>
          <t>Yes</t>
        </is>
      </c>
      <c r="O434" s="3" t="inlineStr">
        <is>
          <t>—</t>
        </is>
      </c>
      <c r="P434" s="3" t="n">
        <v>0</v>
      </c>
      <c r="Q434" s="3" t="inlineStr">
        <is>
          <t>None — no dependent function stands behind it</t>
        </is>
      </c>
      <c r="R434" s="3" t="inlineStr">
        <is>
          <t>No dependent function — it reads its inputs and answers</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MK-PL-F-073</t>
        </is>
      </c>
      <c r="B435" s="3" t="inlineStr">
        <is>
          <t>normal</t>
        </is>
      </c>
      <c r="C435" s="3" t="inlineStr">
        <is>
          <t>src/domain/retirement/index.ts</t>
        </is>
      </c>
      <c r="D435" s="3" t="n">
        <v>253</v>
      </c>
      <c r="E435" s="3" t="inlineStr">
        <is>
          <t>3 · DEPENDENT</t>
        </is>
      </c>
      <c r="F435" s="3" t="inlineStr">
        <is>
          <t>NOT DETERMINED — the code carries no note saying what this is for, and it has no row in the old inventory. Needs reading.</t>
        </is>
      </c>
      <c r="G435" s="11" t="inlineStr">
        <is>
          <t>u = 0, v = 0
[LOOP — the answer is found inside a loop the extractor cannot render; the steps above are the ones before it. Read by hand.]</t>
        </is>
      </c>
      <c r="H435" s="3" t="inlineStr">
        <is>
          <t>U is 0, v = 0. The answer is mean plus sd times √(-2 times math.log(u)) times math.cos(2 times math.PI times v). The answer is found inside a loop that cannot be rendered here; read the code by hand.</t>
        </is>
      </c>
      <c r="I435" s="3" t="inlineStr">
        <is>
          <t>PARTLY READ — the body has a loop the extractor cannot render; the steps shown are the ones before it. Needs a hand pass (G23).</t>
        </is>
      </c>
      <c r="J435" s="3" t="inlineStr">
        <is>
          <t>rng: () =&gt; number, mean: number, sd: number</t>
        </is>
      </c>
      <c r="K435" s="3" t="inlineStr">
        <is>
          <t>number</t>
        </is>
      </c>
      <c r="L435" s="3" t="inlineStr">
        <is>
          <t>—</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2026-09-08</t>
        </is>
      </c>
      <c r="W435" s="3" t="n"/>
      <c r="X435" s="3" t="n"/>
      <c r="Y435" s="3" t="inlineStr">
        <is>
          <t>NOTHING OPEN</t>
        </is>
      </c>
    </row>
    <row r="436" ht="60" customHeight="1">
      <c r="A436" s="3" t="inlineStr">
        <is>
          <t>MK-PL-F-074</t>
        </is>
      </c>
      <c r="B436" s="3" t="inlineStr">
        <is>
          <t>median</t>
        </is>
      </c>
      <c r="C436" s="3" t="inlineStr">
        <is>
          <t>src/domain/_shared/num.ts</t>
        </is>
      </c>
      <c r="D436" s="3" t="n">
        <v>157</v>
      </c>
      <c r="E436" s="3" t="inlineStr">
        <is>
          <t>2 · DISPLAYED</t>
        </is>
      </c>
      <c r="F436" s="3" t="inlineStr">
        <is>
          <t>The middle value of a list, 0 when it is empty.</t>
        </is>
      </c>
      <c r="G436" s="11" t="inlineStr">
        <is>
          <t>0   when count of xs is missing
s = [...xs].sort((a, b) =&gt; a − b)
m = round down(length ÷ 2)
the answer:
s[m]   if length % 2
(s[m − 1] + s[m]) ÷ 2   otherwise</t>
        </is>
      </c>
      <c r="H436" s="3" t="inlineStr">
        <is>
          <t>When how many xs is missing there are, it answers 0. S is [...xs].sort((a, b) =&gt; a minus b). M is length divided by 2, rounded down. The answer is s[m] — when length % 2; (s[m minus 1] plus s[m]) divided by 2 — otherwise.</t>
        </is>
      </c>
      <c r="I436" s="3" t="inlineStr">
        <is>
          <t>PARTLY READ — some of the code is still showing through; needs a hand pass</t>
        </is>
      </c>
      <c r="J436" s="3" t="inlineStr">
        <is>
          <t>xs: number[]</t>
        </is>
      </c>
      <c r="K436" s="3" t="inlineStr">
        <is>
          <t>number</t>
        </is>
      </c>
      <c r="L436" s="3" t="inlineStr">
        <is>
          <t>NOT FOUND — a screen calls it, but the words printed beside its answer could not be traced automatically. Needs reading.</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t>
        </is>
      </c>
      <c r="U436" s="3" t="inlineStr">
        <is>
          <t>ACTIVE</t>
        </is>
      </c>
      <c r="V436" s="3" t="inlineStr">
        <is>
          <t>2026-08-27</t>
        </is>
      </c>
      <c r="W436" s="3" t="n"/>
      <c r="X436" s="3" t="n"/>
      <c r="Y436" s="3" t="inlineStr">
        <is>
          <t>NOTHING OPEN</t>
        </is>
      </c>
    </row>
    <row r="437" ht="60" customHeight="1">
      <c r="A437" s="3" t="inlineStr">
        <is>
          <t>MK-PL-F-075</t>
        </is>
      </c>
      <c r="B437" s="3" t="inlineStr">
        <is>
          <t>pctOfSorted</t>
        </is>
      </c>
      <c r="C437" s="3" t="inlineStr">
        <is>
          <t>src/domain/retirement/index.ts</t>
        </is>
      </c>
      <c r="D437" s="3" t="n">
        <v>292</v>
      </c>
      <c r="E437" s="3" t="inlineStr">
        <is>
          <t>3 · DEPENDENT</t>
        </is>
      </c>
      <c r="F437" s="3" t="inlineStr">
        <is>
          <t>p in [0,1] over a pre-sorted ascending array (nearest-rank)</t>
        </is>
      </c>
      <c r="G437" s="11" t="inlineStr">
        <is>
          <t>0   when count of sorted is missing
idx = min(sorted.length − 1, max(0, round(p × (sorted.length − 1))))
the answer = sorted[idx]</t>
        </is>
      </c>
      <c r="H437" s="3" t="inlineStr">
        <is>
          <t>When how many sorted is missing there are, it answers 0. Idx: the smaller of sorted.length minus 1 and p times (sorted.length minus 1, to a whole number, never below zero). The answer is sorted[idx].</t>
        </is>
      </c>
      <c r="I437" s="3" t="inlineStr">
        <is>
          <t>READ FROM THE CODE — rendered from the expressions the function runs</t>
        </is>
      </c>
      <c r="J437" s="3" t="inlineStr">
        <is>
          <t>1. sorted: number[]
2. p: number</t>
        </is>
      </c>
      <c r="K437" s="3" t="inlineStr">
        <is>
          <t>number</t>
        </is>
      </c>
      <c r="L437" s="3" t="inlineStr">
        <is>
          <t>—</t>
        </is>
      </c>
      <c r="M437" s="3" t="inlineStr">
        <is>
          <t>· Rounds the answer to a whole number.</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t>
        </is>
      </c>
      <c r="U437" s="3" t="inlineStr">
        <is>
          <t>ACTIVE</t>
        </is>
      </c>
      <c r="V437" s="3" t="inlineStr">
        <is>
          <t>2026-08-27</t>
        </is>
      </c>
      <c r="W437" s="3" t="n"/>
      <c r="X437" s="3" t="n"/>
      <c r="Y437" s="3" t="inlineStr">
        <is>
          <t>NOTHING OPEN</t>
        </is>
      </c>
    </row>
    <row r="438" ht="60" customHeight="1">
      <c r="A438" s="3" t="inlineStr">
        <is>
          <t>MK-PL-F-077</t>
        </is>
      </c>
      <c r="B438" s="3" t="inlineStr">
        <is>
          <t>clamp</t>
        </is>
      </c>
      <c r="C438" s="3" t="inlineStr">
        <is>
          <t>src/domain/retirement/willItLast.ts</t>
        </is>
      </c>
      <c r="D438" s="3" t="n">
        <v>54</v>
      </c>
      <c r="E438" s="3" t="inlineStr">
        <is>
          <t>2 · DISPLAYED</t>
        </is>
      </c>
      <c r="F438" s="3" t="inlineStr">
        <is>
          <t>NOT DETERMINED — the code carries no note saying what this is for, and it has no row in the old inventory. Needs reading.</t>
        </is>
      </c>
      <c r="G438" s="11" t="inlineStr">
        <is>
          <t>max(lo, min(hi, v))</t>
        </is>
      </c>
      <c r="H438" s="3" t="inlineStr">
        <is>
          <t>the larger of lo and the smaller of hi and v</t>
        </is>
      </c>
      <c r="I438" s="3" t="inlineStr">
        <is>
          <t>READ FROM THE CODE — rendered from the expressions the function runs</t>
        </is>
      </c>
      <c r="J438" s="3" t="inlineStr">
        <is>
          <t>1. v: number
2. lo: number
3. hi: number</t>
        </is>
      </c>
      <c r="K438" s="3" t="inlineStr">
        <is>
          <t>NOT DECLARED — the code does not say what it gives back</t>
        </is>
      </c>
      <c r="L438" s="3" t="inlineStr">
        <is>
          <t>1. "Claim at age" — on the Retirement cockpit screen
2. "Save" — on the Retirement cockpit screen
3. "Test retiring earlier, saving more, market ups &amp; downs." — on the Retirement cockpit screen
4. "What counts toward retirement?" — on the Retirement cockpit screen</t>
        </is>
      </c>
      <c r="M438" s="3" t="inlineStr">
        <is>
          <t>None found in this function — anything it assumes comes from the functions it depends on.</t>
        </is>
      </c>
      <c r="N438" s="3" t="inlineStr">
        <is>
          <t>Yes</t>
        </is>
      </c>
      <c r="O438" s="3" t="inlineStr">
        <is>
          <t>MK-NW-F-035 blendedVolatility</t>
        </is>
      </c>
      <c r="P438" s="3" t="n">
        <v>16</v>
      </c>
      <c r="Q438"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38"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MK-PL-F-078</t>
        </is>
      </c>
      <c r="B439" s="3" t="inlineStr">
        <is>
          <t>rmdDivisorAtAge</t>
        </is>
      </c>
      <c r="C439" s="3" t="inlineStr">
        <is>
          <t>src/domain/decumulation/index.ts</t>
        </is>
      </c>
      <c r="D439" s="3" t="n">
        <v>299</v>
      </c>
      <c r="E439" s="3" t="inlineStr">
        <is>
          <t>2 · DISPLAYED</t>
        </is>
      </c>
      <c r="F439" s="3" t="inlineStr">
        <is>
          <t>NOT DETERMINED — the code carries no note saying what this is for, and it has no row in the old inventory. Needs reading.</t>
        </is>
      </c>
      <c r="G439" s="11" t="inlineStr">
        <is>
          <t>table rmd divisor(age, now year − age)</t>
        </is>
      </c>
      <c r="H439" s="3" t="inlineStr">
        <is>
          <t>table rmd divisor(age, now year minus age).</t>
        </is>
      </c>
      <c r="I439" s="3" t="inlineStr">
        <is>
          <t>READ FROM THE CODE — rendered from the expressions the function runs</t>
        </is>
      </c>
      <c r="J439" s="3" t="inlineStr">
        <is>
          <t>1. age: number
2. nowYear = new Date().getFullYear()</t>
        </is>
      </c>
      <c r="K439" s="3" t="inlineStr">
        <is>
          <t>number</t>
        </is>
      </c>
      <c r="L439" s="3" t="inlineStr">
        <is>
          <t>"Suggested withdrawal order" — on the Retirement cockpit screen</t>
        </is>
      </c>
      <c r="M439" s="3" t="inlineStr">
        <is>
          <t>· Uses today's date from the device clock, so the answer changes by itself overnight.</t>
        </is>
      </c>
      <c r="N439" s="3" t="inlineStr">
        <is>
          <t>Yes</t>
        </is>
      </c>
      <c r="O439" s="3" t="inlineStr">
        <is>
          <t>—</t>
        </is>
      </c>
      <c r="P439" s="3" t="n">
        <v>0</v>
      </c>
      <c r="Q439" s="3" t="inlineStr">
        <is>
          <t>None — no dependent function stands behind it</t>
        </is>
      </c>
      <c r="R439" s="3" t="inlineStr">
        <is>
          <t>No dependent function — it reads its inputs and answers</t>
        </is>
      </c>
      <c r="S439" s="3" t="inlineStr">
        <is>
          <t>—</t>
        </is>
      </c>
      <c r="T439" s="3" t="inlineStr">
        <is>
          <t>—</t>
        </is>
      </c>
      <c r="U439" s="3" t="inlineStr">
        <is>
          <t>ACTIVE</t>
        </is>
      </c>
      <c r="V439" s="3" t="inlineStr">
        <is>
          <t>2026-09-13</t>
        </is>
      </c>
      <c r="W439" s="3" t="n"/>
      <c r="X439" s="3" t="n"/>
      <c r="Y439" s="3" t="inlineStr">
        <is>
          <t>NOTHING OPEN</t>
        </is>
      </c>
    </row>
    <row r="440" ht="60" customHeight="1">
      <c r="A440" s="3" t="inlineStr">
        <is>
          <t>MK-PL-F-079</t>
        </is>
      </c>
      <c r="B440" s="3" t="inlineStr">
        <is>
          <t>numOrZero</t>
        </is>
      </c>
      <c r="C440" s="3" t="inlineStr">
        <is>
          <t>src/domain/retirement/willItLast.ts</t>
        </is>
      </c>
      <c r="D440" s="3" t="n">
        <v>34</v>
      </c>
      <c r="E440" s="3" t="inlineStr">
        <is>
          <t>3 · DEPENDENT</t>
        </is>
      </c>
      <c r="F440" s="3" t="inlineStr">
        <is>
          <t>NOT DETERMINED — the code carries no note saying what this is for, and it has no row in the old inventory. Needs reading.</t>
        </is>
      </c>
      <c r="G440" s="11" t="inlineStr">
        <is>
          <t>n = the number in the text after every character but digits and the decimal point is removed
the answer = 0 when that is not a number, else n</t>
        </is>
      </c>
      <c r="H440" s="3" t="inlineStr">
        <is>
          <t>Reads a typed amount as a number — strips dollar signs, commas and spaces — and gives 0 when nothing numeric is left.</t>
        </is>
      </c>
      <c r="I440" s="3" t="inlineStr">
        <is>
          <t>READ BY HAND 2026-08-26 — checked line by line against the code</t>
        </is>
      </c>
      <c r="J440" s="3" t="inlineStr">
        <is>
          <t>v: any</t>
        </is>
      </c>
      <c r="K440" s="3" t="inlineStr">
        <is>
          <t>n; };</t>
        </is>
      </c>
      <c r="L440" s="3" t="inlineStr">
        <is>
          <t>—</t>
        </is>
      </c>
      <c r="M440" s="3" t="inlineStr">
        <is>
          <t>None found in this function — anything it assumes comes from the functions it depends on.</t>
        </is>
      </c>
      <c r="N440" s="3" t="inlineStr">
        <is>
          <t>Yes</t>
        </is>
      </c>
      <c r="O440" s="3" t="inlineStr">
        <is>
          <t>MK-XS-F-122 n</t>
        </is>
      </c>
      <c r="P440" s="3" t="n">
        <v>1</v>
      </c>
      <c r="Q440" s="3" t="inlineStr">
        <is>
          <t>MK-XS-F-122 n</t>
        </is>
      </c>
      <c r="R440" s="3" t="inlineStr">
        <is>
          <t>MK-XS-F-122 n → MK-PL-F-079 numOrZero</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MK-PL-F-080</t>
        </is>
      </c>
      <c r="B441" s="3" t="inlineStr">
        <is>
          <t>rmdRequiredThisYear</t>
        </is>
      </c>
      <c r="C441" s="3" t="inlineStr">
        <is>
          <t>src/domain/decumulation/index.ts</t>
        </is>
      </c>
      <c r="D441" s="3" t="n">
        <v>362</v>
      </c>
      <c r="E441" s="3" t="inlineStr">
        <is>
          <t>2 · DISPLAYED</t>
        </is>
      </c>
      <c r="F441" s="3" t="inlineStr">
        <is>
          <t>What must be taken out this year, and which balance is it based on?</t>
        </is>
      </c>
      <c r="G441" s="11" t="inlineStr">
        <is>
          <t>balance used = the pre-tax balance on 31 December last year, when the person entered one (&gt; 0); otherwise today's pre-tax balance
amount = rmd at age(balance used, age)
basis = 'prior_year_end' or 'today' — so the screen can say which</t>
        </is>
      </c>
      <c r="H441" s="3" t="inlineStr">
        <is>
          <t>If the person has entered last 31 December's pre-tax balance, the required amount is that balance divided by the life-expectancy factor for their age. If not, today's balance is used instead, and the answer carries a flag saying so, which the screen prints.</t>
        </is>
      </c>
      <c r="I441" s="3" t="inlineStr">
        <is>
          <t>READ BY HAND 2026-08-26 — checked line by line against the code</t>
        </is>
      </c>
      <c r="J441" s="3" t="inlineStr">
        <is>
          <t>1. preTaxToday: number
2. priorYearEndPreTax: number | null | undefined
3. age: number</t>
        </is>
      </c>
      <c r="K441" s="3" t="inlineStr">
        <is>
          <t>RmdThisYear</t>
        </is>
      </c>
      <c r="L441" s="3" t="inlineStr">
        <is>
          <t>NOT FOUND — a screen calls it, but the words printed beside its answer could not be traced automatically. Needs reading.</t>
        </is>
      </c>
      <c r="M441"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41" s="3" t="inlineStr">
        <is>
          <t>Yes</t>
        </is>
      </c>
      <c r="O441" s="3" t="inlineStr">
        <is>
          <t>MK-PL-F-007 rmdAtAge</t>
        </is>
      </c>
      <c r="P441" s="3" t="n">
        <v>2</v>
      </c>
      <c r="Q441" s="3" t="inlineStr">
        <is>
          <t>1. MK-PL-F-007 rmdAtAge
2. MK-PL-F-078 rmdDivisorAtAge</t>
        </is>
      </c>
      <c r="R441" s="3" t="inlineStr">
        <is>
          <t>MK-PL-F-078 rmdDivisorAtAge → MK-PL-F-007 rmdAtAge → MK-PL-F-080 rmdRequiredThisYear</t>
        </is>
      </c>
      <c r="S441" s="3" t="inlineStr">
        <is>
          <t>MK-PL-M-013</t>
        </is>
      </c>
      <c r="T441" s="3" t="inlineStr">
        <is>
          <t>—</t>
        </is>
      </c>
      <c r="U441" s="3" t="inlineStr">
        <is>
          <t>ACTIVE</t>
        </is>
      </c>
      <c r="V441" s="3" t="inlineStr">
        <is>
          <t>2026-09-08</t>
        </is>
      </c>
      <c r="W441" s="3" t="n"/>
      <c r="X441" s="3" t="n"/>
      <c r="Y441" s="6" t="inlineStr">
        <is>
          <t>TESTED, NOT VERIFIED (G8)</t>
        </is>
      </c>
    </row>
    <row r="442" ht="60" customHeight="1">
      <c r="A442" s="3" t="inlineStr">
        <is>
          <t>MK-PL-F-081</t>
        </is>
      </c>
      <c r="B442" s="3" t="inlineStr">
        <is>
          <t>taxableGainShare</t>
        </is>
      </c>
      <c r="C442" s="3" t="inlineStr">
        <is>
          <t>src/domain/decumulation/index.ts</t>
        </is>
      </c>
      <c r="D442" s="3" t="n">
        <v>570</v>
      </c>
      <c r="E442" s="3" t="inlineStr">
        <is>
          <t>2 · DISPLAYED</t>
        </is>
      </c>
      <c r="F442" s="3" t="inlineStr">
        <is>
          <t>What share of the person's taxable holdings is unrealised gain?</t>
        </is>
      </c>
      <c r="G442" s="11" t="inlineStr">
        <is>
          <t>over every holding in a TAXABLE account that has a price (the broker's mark, else the price feed): value += market value(holding, price) · basis += cost basis(holding)
nothing   when value ≤ 0 (no priced taxable holding)
the answer = min(1, max(0, (value − basis) ÷ value))</t>
        </is>
      </c>
      <c r="H442" s="3" t="inlineStr">
        <is>
          <t>Add up what the taxable holdings are worth today and what was paid for them; the gain share is the difference as a fraction of today's value, never below zero and never above one. With no priced taxable holding there is no answer.</t>
        </is>
      </c>
      <c r="I442" s="3" t="inlineStr">
        <is>
          <t>READ BY HAND 2026-08-26 — checked line by line against the code</t>
        </is>
      </c>
      <c r="J442" s="3" t="inlineStr">
        <is>
          <t>1. accounts: AssetAccount[]
2. priceOf: (ticker: string) =&gt; number | null</t>
        </is>
      </c>
      <c r="K442" s="3" t="inlineStr">
        <is>
          <t>number | null</t>
        </is>
      </c>
      <c r="L442" s="3" t="inlineStr">
        <is>
          <t>NOT FOUND — a screen calls it, but the words printed beside its answer could not be traced automatically. Needs reading.</t>
        </is>
      </c>
      <c r="M442" s="3" t="inlineStr">
        <is>
          <t>1. A holding with no price is left out; no priced taxable holding at all → nothing, never a guessed 50% (founder ruling 2026-09-08, G6).
2. A loss overall counts as a 0% gain share (no tax on drawing at a loss), never negative.</t>
        </is>
      </c>
      <c r="N442" s="3" t="inlineStr">
        <is>
          <t>Yes</t>
        </is>
      </c>
      <c r="O442" s="3" t="inlineStr">
        <is>
          <t>1. MK-PF-F-002 costBasis
2. MK-PF-F-004 marketValue</t>
        </is>
      </c>
      <c r="P442" s="3" t="n">
        <v>4</v>
      </c>
      <c r="Q442" s="3" t="inlineStr">
        <is>
          <t>1. MK-PF-F-002 costBasis
2. MK-PF-F-004 marketValue
3. MK-PF-F-031 contractMultiplier
4. MK-PF-F-001 totalShares</t>
        </is>
      </c>
      <c r="R442" s="3" t="inlineStr">
        <is>
          <t>1. MK-PF-F-031 contractMultiplier → MK-PF-F-002 costBasis → MK-PL-F-081 taxableGainShare
2. MK-PF-F-031 contractMultiplier → MK-PF-F-004 marketValue → MK-PL-F-081 taxableGainShare
3. MK-PF-F-001 totalShares → MK-PF-F-004 marketValue → MK-PL-F-081 taxableGainShare</t>
        </is>
      </c>
      <c r="S442" s="3" t="inlineStr">
        <is>
          <t>—</t>
        </is>
      </c>
      <c r="T442" s="3" t="inlineStr">
        <is>
          <t>—</t>
        </is>
      </c>
      <c r="U442" s="3" t="inlineStr">
        <is>
          <t>ACTIVE</t>
        </is>
      </c>
      <c r="V442" s="3" t="inlineStr">
        <is>
          <t>2026-09-08</t>
        </is>
      </c>
      <c r="W442" s="3" t="n"/>
      <c r="X442" s="3" t="n"/>
      <c r="Y442" s="6" t="inlineStr">
        <is>
          <t>TESTED, NOT VERIFIED (G6)</t>
        </is>
      </c>
    </row>
    <row r="443" ht="60" customHeight="1">
      <c r="A443" s="3" t="inlineStr">
        <is>
          <t>MK-PL-F-082</t>
        </is>
      </c>
      <c r="B443" s="3" t="inlineStr">
        <is>
          <t>taxableIncomeSteps</t>
        </is>
      </c>
      <c r="C443" s="3" t="inlineStr">
        <is>
          <t>src/domain/planning/index.ts</t>
        </is>
      </c>
      <c r="D443" s="3" t="n">
        <v>65</v>
      </c>
      <c r="E443" s="3" t="inlineStr">
        <is>
          <t>3 · DEPENDENT</t>
        </is>
      </c>
      <c r="F443" s="3" t="inlineStr">
        <is>
          <t>From everything earned to what is actually taxed — the four lines a return shows (founder ruling brief Q-46 (2026-08-20), 2026-09-08).</t>
        </is>
      </c>
      <c r="G443"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43"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43" s="3" t="inlineStr">
        <is>
          <t>READ BY HAND 2026-08-26 — checked line by line against the code</t>
        </is>
      </c>
      <c r="J443" s="3" t="inlineStr">
        <is>
          <t>1. op: OnboardingProfile | null
2. grossIncome: number</t>
        </is>
      </c>
      <c r="K443" s="3" t="inlineStr">
        <is>
          <t>TaxableIncomeSteps</t>
        </is>
      </c>
      <c r="L443" s="3" t="inlineStr">
        <is>
          <t>—</t>
        </is>
      </c>
      <c r="M443"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43" s="3" t="inlineStr">
        <is>
          <t>Yes</t>
        </is>
      </c>
      <c r="O443" s="3" t="inlineStr">
        <is>
          <t>1. MK-CF-F-099 deductionFor
2. MK-CF-F-085 filingStatusOf
3. MK-CF-F-188 householdPreTaxContributionsAnnual
4. MK-ST-F-039 on
5. MK-CF-F-089 over65CountOf
6. MK-CF-F-187 seniorDeductionFor</t>
        </is>
      </c>
      <c r="P443" s="3" t="n">
        <v>12</v>
      </c>
      <c r="Q443"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43"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43" s="3" t="inlineStr">
        <is>
          <t>MK-MN-M-027 · MK-MN-M-028</t>
        </is>
      </c>
      <c r="T443" s="3" t="inlineStr">
        <is>
          <t>—</t>
        </is>
      </c>
      <c r="U443" s="3" t="inlineStr">
        <is>
          <t>ACTIVE</t>
        </is>
      </c>
      <c r="V443" s="3" t="inlineStr">
        <is>
          <t>2026-09-08</t>
        </is>
      </c>
      <c r="W443" s="3" t="n"/>
      <c r="X443" s="3" t="n"/>
      <c r="Y443" s="6" t="inlineStr">
        <is>
          <t>TESTED, NOT VERIFIED (G22 / Q46)</t>
        </is>
      </c>
    </row>
    <row r="444" ht="60" customHeight="1">
      <c r="A444" s="3" t="inlineStr">
        <is>
          <t>MK-PL-F-083</t>
        </is>
      </c>
      <c r="B444" s="3" t="inlineStr">
        <is>
          <t>inflationRateInForce</t>
        </is>
      </c>
      <c r="C444" s="3" t="inlineStr">
        <is>
          <t>src/domain/retirement/inflation.ts</t>
        </is>
      </c>
      <c r="D444" s="3" t="n">
        <v>47</v>
      </c>
      <c r="E444" s="3" t="inlineStr">
        <is>
          <t>2 · DISPLAYED</t>
        </is>
      </c>
      <c r="F444" s="3" t="inlineStr">
        <is>
          <t>The inflation rate a plan runs on, and where it came from.</t>
        </is>
      </c>
      <c r="G444"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44" s="3" t="inlineStr">
        <is>
          <t>The person's own inflation rate when they set one on the cockpit; otherwise the dated default — 2.5% a year, the 30-year average of consumer prices — with its source, so the screen can say where the figure came from.</t>
        </is>
      </c>
      <c r="I444" s="3" t="inlineStr">
        <is>
          <t>READ BY HAND 2026-08-26 — checked line by line against the code</t>
        </is>
      </c>
      <c r="J444" s="3" t="inlineStr">
        <is>
          <t>entered: number | null | undefined</t>
        </is>
      </c>
      <c r="K444" s="3" t="inlineStr">
        <is>
          <t>InflationInForce</t>
        </is>
      </c>
      <c r="L444" s="3" t="inlineStr">
        <is>
          <t>NOT FOUND — a screen calls it, but the words printed beside its answer could not be traced automatically. Needs reading.</t>
        </is>
      </c>
      <c r="M444" s="3" t="inlineStr">
        <is>
          <t>· Founder ruling brief Q-50 (2026-08-20), executed 2026-09-08 (G30): the default is the dated 30-year average — 2.5% a year, Bureau of Labor Statistics CPI-U 1996–2025, checked 2026-09-08 — never a live feed; the person's own rate outranks it.</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2026-09-11</t>
        </is>
      </c>
      <c r="W444" s="3" t="n"/>
      <c r="X444" s="3" t="n"/>
      <c r="Y444" s="6" t="inlineStr">
        <is>
          <t>TESTED, NOT VERIFIED (Brief D7 — inflation lever, G30)</t>
        </is>
      </c>
    </row>
    <row r="445" ht="60" customHeight="1">
      <c r="A445" s="3" t="inlineStr">
        <is>
          <t>MK-PL-F-084</t>
        </is>
      </c>
      <c r="B445" s="3" t="inlineStr">
        <is>
          <t>rateBandWords</t>
        </is>
      </c>
      <c r="C445" s="3" t="inlineStr">
        <is>
          <t>src/domain/decumulation/index.ts</t>
        </is>
      </c>
      <c r="D445" s="3" t="n">
        <v>86</v>
      </c>
      <c r="E445" s="3" t="inlineStr">
        <is>
          <t>2 · DISPLAYED</t>
        </is>
      </c>
      <c r="F445" s="3" t="inlineStr">
        <is>
          <t>HOW A WITHDRAWAL RATE READS, IN HIS OWN-MATH FRAMING — DEC-0036, and ONE place for it (DEC-0215).</t>
        </is>
      </c>
      <c r="G445" s="11" t="inlineStr">
        <is>
          <t>NOT READ YET — the body is not a shape this can render faithfully, so nothing is claimed rather than something being guessed. It needs reading by hand.</t>
        </is>
      </c>
      <c r="H445" s="3" t="inlineStr">
        <is>
          <t>NOT READ YET — the body is not a shape this can render faithfully, so nothing is claimed rather than something being guessed. It needs reading by hand.</t>
        </is>
      </c>
      <c r="I445" s="3" t="inlineStr">
        <is>
          <t>NOT READ — nothing is claimed rather than something guessed</t>
        </is>
      </c>
      <c r="J445" s="3" t="inlineStr">
        <is>
          <t>1. band: RateBand | null | undefined
2. opts?: { short?: boolean }</t>
        </is>
      </c>
      <c r="K445" s="3" t="inlineStr">
        <is>
          <t>string</t>
        </is>
      </c>
      <c r="L445" s="3" t="inlineStr">
        <is>
          <t>1. "From your portfolio" — on the Retirement cockpit screen
2. "WILL YOUR MONEY LAST?" — on the Retirement cockpit screen, under "RETIREMENT
3. WHERE YOU STAND"</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2026-10-01</t>
        </is>
      </c>
      <c r="W445" s="3" t="n"/>
      <c r="X445" s="3" t="n"/>
      <c r="Y445" s="3" t="inlineStr">
        <is>
          <t>NOTHING OPEN</t>
        </is>
      </c>
    </row>
    <row r="446" ht="45" customHeight="1">
      <c r="A446" s="3" t="inlineStr">
        <is>
          <t>MK-PL-F-085</t>
        </is>
      </c>
      <c r="B446" s="3" t="inlineStr">
        <is>
          <t>oddsTail</t>
        </is>
      </c>
      <c r="C446" s="3" t="inlineStr">
        <is>
          <t>src/domain/planning/hub.ts</t>
        </is>
      </c>
      <c r="D446" s="3" t="n">
        <v>68</v>
      </c>
      <c r="E446" s="3" t="inlineStr">
        <is>
          <t>2 · DISPLAYED</t>
        </is>
      </c>
      <c r="F446" s="3" t="inlineStr">
        <is>
          <t>THE WORDS WITHOUT THE NUMBER — for the gauge, which prints the number large and the words beneath it.</t>
        </is>
      </c>
      <c r="G446" s="11" t="inlineStr">
        <is>
          <t>`odds of lasting to age ${horizon age}`</t>
        </is>
      </c>
      <c r="H446" s="3" t="inlineStr">
        <is>
          <t>`odds of lasting to age ${horizon age}`.</t>
        </is>
      </c>
      <c r="I446" s="3" t="inlineStr">
        <is>
          <t>PARTLY READ — some of the code is still showing through; needs a hand pass</t>
        </is>
      </c>
      <c r="J446" s="3" t="inlineStr">
        <is>
          <t>horizonAge: number</t>
        </is>
      </c>
      <c r="K446" s="3" t="inlineStr">
        <is>
          <t>string</t>
        </is>
      </c>
      <c r="L446" s="3" t="inlineStr">
        <is>
          <t>NOT FOUND — a screen calls it, but the words printed beside its answer could not be traced automatically. Needs reading.</t>
        </is>
      </c>
      <c r="M446" s="3" t="inlineStr">
        <is>
          <t>None found in this function — anything it assumes comes from the functions it depends on.</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2026-10-01</t>
        </is>
      </c>
      <c r="W446" s="3" t="n"/>
      <c r="X446" s="3" t="n"/>
      <c r="Y446" s="3" t="inlineStr">
        <is>
          <t>NOTHING OPEN</t>
        </is>
      </c>
    </row>
    <row r="447" ht="60" customHeight="1">
      <c r="A447" s="3" t="inlineStr">
        <is>
          <t>MK-ST-F-001</t>
        </is>
      </c>
      <c r="B447" s="3" t="inlineStr">
        <is>
          <t>looksFixedIncome</t>
        </is>
      </c>
      <c r="C447" s="3" t="inlineStr">
        <is>
          <t>Calculation Module code/engines/classify.ts</t>
        </is>
      </c>
      <c r="D447" s="3" t="n">
        <v>266</v>
      </c>
      <c r="E447" s="3" t="inlineStr">
        <is>
          <t>3 · DEPENDENT (feeds an action only)</t>
        </is>
      </c>
      <c r="F447" s="3" t="inlineStr">
        <is>
          <t>Fixed income by its words.</t>
        </is>
      </c>
      <c r="G447"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47"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47" s="3" t="inlineStr">
        <is>
          <t>PARTLY READ — some of the code is still showing through; needs a hand pass</t>
        </is>
      </c>
      <c r="J447" s="3" t="inlineStr">
        <is>
          <t>text: string</t>
        </is>
      </c>
      <c r="K447" s="3" t="inlineStr">
        <is>
          <t>boolean</t>
        </is>
      </c>
      <c r="L447" s="3" t="inlineStr">
        <is>
          <t>—</t>
        </is>
      </c>
      <c r="M447" s="3" t="inlineStr">
        <is>
          <t>None found in this function — anything it assumes comes from the functions it depends on.</t>
        </is>
      </c>
      <c r="N447" s="3" t="inlineStr">
        <is>
          <t>No</t>
        </is>
      </c>
      <c r="O447" s="3" t="inlineStr">
        <is>
          <t>—</t>
        </is>
      </c>
      <c r="P447" s="3" t="n">
        <v>0</v>
      </c>
      <c r="Q447" s="3" t="inlineStr">
        <is>
          <t>None — no dependent function stands behind it</t>
        </is>
      </c>
      <c r="R447" s="3" t="inlineStr">
        <is>
          <t>No dependent function — it reads its inputs and answers</t>
        </is>
      </c>
      <c r="S447" s="3" t="inlineStr">
        <is>
          <t>—</t>
        </is>
      </c>
      <c r="T447" s="3" t="inlineStr">
        <is>
          <t>—</t>
        </is>
      </c>
      <c r="U447" s="3" t="inlineStr">
        <is>
          <t>ACTIVE</t>
        </is>
      </c>
      <c r="V447" s="3" t="inlineStr">
        <is>
          <t>2026-08-27</t>
        </is>
      </c>
      <c r="W447" s="3" t="n"/>
      <c r="X447" s="3" t="n"/>
      <c r="Y447" s="3" t="inlineStr">
        <is>
          <t>NOTHING OPEN</t>
        </is>
      </c>
    </row>
    <row r="448" ht="45" customHeight="1">
      <c r="A448" s="3" t="inlineStr">
        <is>
          <t>MK-ST-F-002</t>
        </is>
      </c>
      <c r="B448" s="3" t="inlineStr">
        <is>
          <t>monthWords</t>
        </is>
      </c>
      <c r="C448" s="3" t="inlineStr">
        <is>
          <t>Calculation Module code/engines/coverage.ts</t>
        </is>
      </c>
      <c r="D448" s="3" t="n">
        <v>55</v>
      </c>
      <c r="E448" s="3" t="inlineStr">
        <is>
          <t>3 · DEPENDENT</t>
        </is>
      </c>
      <c r="F448" s="3" t="inlineStr">
        <is>
          <t>"March 2022" — a month a person reads, not a date stamp.</t>
        </is>
      </c>
      <c r="G448" s="11" t="inlineStr">
        <is>
          <t>''   when iso is missing
`${MONTHS[m − 1]} ${y}`   if m
string(y)   otherwise</t>
        </is>
      </c>
      <c r="H448" s="3" t="inlineStr">
        <is>
          <t>When iso is missing, it answers ''. `${MONTHS[m minus 1]} ${y}` — when m; string(y) — otherwise.</t>
        </is>
      </c>
      <c r="I448" s="3" t="inlineStr">
        <is>
          <t>PARTLY READ — some of the code is still showing through; needs a hand pass</t>
        </is>
      </c>
      <c r="J448" s="3" t="inlineStr">
        <is>
          <t>iso: string | null</t>
        </is>
      </c>
      <c r="K448" s="3" t="inlineStr">
        <is>
          <t>string</t>
        </is>
      </c>
      <c r="L448" s="3" t="inlineStr">
        <is>
          <t>—</t>
        </is>
      </c>
      <c r="M448" s="3" t="inlineStr">
        <is>
          <t>None found in this function — anything it assumes comes from the functions it depends on.</t>
        </is>
      </c>
      <c r="N448" s="3" t="inlineStr">
        <is>
          <t>Yes</t>
        </is>
      </c>
      <c r="O448" s="3" t="inlineStr">
        <is>
          <t>MK-CF-F-132 map</t>
        </is>
      </c>
      <c r="P448" s="3" t="n">
        <v>1</v>
      </c>
      <c r="Q448" s="3" t="inlineStr">
        <is>
          <t>MK-CF-F-132 map</t>
        </is>
      </c>
      <c r="R448" s="3" t="inlineStr">
        <is>
          <t>MK-CF-F-132 map → MK-ST-F-002 monthWords</t>
        </is>
      </c>
      <c r="S448" s="3" t="inlineStr">
        <is>
          <t>—</t>
        </is>
      </c>
      <c r="T448" s="3" t="inlineStr">
        <is>
          <t>—</t>
        </is>
      </c>
      <c r="U448" s="3" t="inlineStr">
        <is>
          <t>ACTIVE</t>
        </is>
      </c>
      <c r="V448" s="3" t="inlineStr">
        <is>
          <t>2026-08-27</t>
        </is>
      </c>
      <c r="W448" s="3" t="n"/>
      <c r="X448" s="3" t="n"/>
      <c r="Y448" s="3" t="inlineStr">
        <is>
          <t>NOTHING OPEN</t>
        </is>
      </c>
    </row>
    <row r="449" ht="45" customHeight="1">
      <c r="A449" s="3" t="inlineStr">
        <is>
          <t>MK-ST-F-003</t>
        </is>
      </c>
      <c r="B449" s="3" t="inlineStr">
        <is>
          <t>dayWords</t>
        </is>
      </c>
      <c r="C449" s="3" t="inlineStr">
        <is>
          <t>Calculation Module code/engines/coverage.ts</t>
        </is>
      </c>
      <c r="D449" s="3" t="n">
        <v>82</v>
      </c>
      <c r="E449" s="3" t="inlineStr">
        <is>
          <t>3 · DEPENDENT</t>
        </is>
      </c>
      <c r="F449" s="3" t="inlineStr">
        <is>
          <t>"14 March 2022".</t>
        </is>
      </c>
      <c r="G449" s="11" t="inlineStr">
        <is>
          <t>''   when iso is missing
`${d} ${MONTHS[m − 1]} ${y}`   if m and d
month words(iso)   otherwise</t>
        </is>
      </c>
      <c r="H449" s="3" t="inlineStr">
        <is>
          <t>When iso is missing, it answers ''. `${d} ${MONTHS[m minus 1]} ${y}` — when m and d; month words(iso) — otherwise.</t>
        </is>
      </c>
      <c r="I449" s="3" t="inlineStr">
        <is>
          <t>PARTLY READ — some of the code is still showing through; needs a hand pass</t>
        </is>
      </c>
      <c r="J449" s="3" t="inlineStr">
        <is>
          <t>iso: string | null</t>
        </is>
      </c>
      <c r="K449" s="3" t="inlineStr">
        <is>
          <t>string</t>
        </is>
      </c>
      <c r="L449" s="3" t="inlineStr">
        <is>
          <t>—</t>
        </is>
      </c>
      <c r="M449" s="3" t="inlineStr">
        <is>
          <t>None found in this function — anything it assumes comes from the functions it depends on.</t>
        </is>
      </c>
      <c r="N449" s="3" t="inlineStr">
        <is>
          <t>Yes</t>
        </is>
      </c>
      <c r="O449" s="3" t="inlineStr">
        <is>
          <t>1. MK-CF-F-132 map
2. MK-ST-F-002 monthWords</t>
        </is>
      </c>
      <c r="P449" s="3" t="n">
        <v>2</v>
      </c>
      <c r="Q449" s="3" t="inlineStr">
        <is>
          <t>1. MK-CF-F-132 map
2. MK-ST-F-002 monthWords</t>
        </is>
      </c>
      <c r="R449" s="3" t="inlineStr">
        <is>
          <t>1. MK-CF-F-132 map → MK-ST-F-003 dayWords
2. MK-CF-F-132 map → MK-ST-F-002 monthWords → MK-ST-F-003 dayWords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MK-ST-F-004</t>
        </is>
      </c>
      <c r="B450" s="3" t="inlineStr">
        <is>
          <t>coverageFor</t>
        </is>
      </c>
      <c r="C450" s="3" t="inlineStr">
        <is>
          <t>Calculation Module code/engines/coverage.ts</t>
        </is>
      </c>
      <c r="D450" s="3" t="n">
        <v>119</v>
      </c>
      <c r="E450" s="3" t="inlineStr">
        <is>
          <t>2 · DISPLAYED</t>
        </is>
      </c>
      <c r="F450" s="3" t="inlineStr">
        <is>
          <t>What can we honestly say about a window starting on `from`?</t>
        </is>
      </c>
      <c r="G450"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0"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0" s="3" t="inlineStr">
        <is>
          <t>PARTLY READ — some of the code is still showing through; needs a hand pass</t>
        </is>
      </c>
      <c r="J450" s="3" t="inlineStr">
        <is>
          <t>1. days: Dated[]
2. from: string
3. today: string</t>
        </is>
      </c>
      <c r="K450" s="3" t="inlineStr">
        <is>
          <t>Coverage</t>
        </is>
      </c>
      <c r="L450" s="3" t="inlineStr">
        <is>
          <t>NOT FOUND — a screen calls it, but the words printed beside its answer could not be traced automatically. Needs reading.</t>
        </is>
      </c>
      <c r="M450" s="3" t="inlineStr">
        <is>
          <t>None found in this function — anything it assumes comes from the functions it depends on.</t>
        </is>
      </c>
      <c r="N450" s="3" t="inlineStr">
        <is>
          <t>Yes</t>
        </is>
      </c>
      <c r="O450" s="3" t="inlineStr">
        <is>
          <t>1. MK-ST-F-003 dayWords
2. MK-ST-F-034 firstDate
3. MK-ST-F-002 monthWords</t>
        </is>
      </c>
      <c r="P450" s="3" t="n">
        <v>4</v>
      </c>
      <c r="Q450" s="3" t="inlineStr">
        <is>
          <t>1. MK-ST-F-003 dayWords
2. MK-ST-F-034 firstDate
3. MK-ST-F-002 monthWords
4. MK-CF-F-132 map</t>
        </is>
      </c>
      <c r="R450" s="3" t="inlineStr">
        <is>
          <t>1. MK-CF-F-132 map → MK-ST-F-003 dayWords → MK-ST-F-004 coverageFor
2. MK-CF-F-132 map → MK-ST-F-002 monthWords → MK-ST-F-003 dayWords → MK-ST-F-004 coverageFor
3. MK-ST-F-034 firstDate → MK-ST-F-004 coverageFor
4. MK-CF-F-132 map → MK-ST-F-002 monthWords → MK-ST-F-004 coverageFor</t>
        </is>
      </c>
      <c r="S450" s="3" t="inlineStr">
        <is>
          <t>—</t>
        </is>
      </c>
      <c r="T450" s="3" t="inlineStr">
        <is>
          <t>—</t>
        </is>
      </c>
      <c r="U450" s="3" t="inlineStr">
        <is>
          <t>ACTIVE</t>
        </is>
      </c>
      <c r="V450" s="3" t="inlineStr">
        <is>
          <t>2026-08-27</t>
        </is>
      </c>
      <c r="W450" s="3" t="n"/>
      <c r="X450" s="3" t="n"/>
      <c r="Y450" s="3" t="inlineStr">
        <is>
          <t>NOTHING OPEN</t>
        </is>
      </c>
    </row>
    <row r="451" ht="60" customHeight="1">
      <c r="A451" s="3" t="inlineStr">
        <is>
          <t>MK-ST-F-005</t>
        </is>
      </c>
      <c r="B451" s="3" t="inlineStr">
        <is>
          <t>measuredFromLabel</t>
        </is>
      </c>
      <c r="C451" s="3" t="inlineStr">
        <is>
          <t>Calculation Module code/engines/coverage.ts</t>
        </is>
      </c>
      <c r="D451" s="3" t="n">
        <v>168</v>
      </c>
      <c r="E451" s="3" t="inlineStr">
        <is>
          <t>2 · DISPLAYED</t>
        </is>
      </c>
      <c r="F451" s="3" t="inlineStr">
        <is>
          <t>The short label that rides beside a change figure, always — whether the window is covered or not.</t>
        </is>
      </c>
      <c r="G451" s="11" t="inlineStr">
        <is>
          <t>start = first date(days)
''   when start is missing
actual = start   if start &gt; from
from   otherwise
the answer = `since ${day words(actual)}`</t>
        </is>
      </c>
      <c r="H451" s="3" t="inlineStr">
        <is>
          <t>Start is first date(days). When start is missing, it answers ''. Actual is start — when start &gt; from; from — otherwise. The answer is `since ${day words(actual)}`.</t>
        </is>
      </c>
      <c r="I451" s="3" t="inlineStr">
        <is>
          <t>PARTLY READ — some of the code is still showing through; needs a hand pass</t>
        </is>
      </c>
      <c r="J451" s="3" t="inlineStr">
        <is>
          <t>1. days: Dated[]
2. from: string</t>
        </is>
      </c>
      <c r="K451" s="3" t="inlineStr">
        <is>
          <t>string</t>
        </is>
      </c>
      <c r="L451" s="3" t="inlineStr">
        <is>
          <t>NOT FOUND — a screen calls it, but the words printed beside its answer could not be traced automatically. Needs reading.</t>
        </is>
      </c>
      <c r="M451" s="3" t="inlineStr">
        <is>
          <t>None found in this function — anything it assumes comes from the functions it depends on.</t>
        </is>
      </c>
      <c r="N451" s="3" t="inlineStr">
        <is>
          <t>Yes</t>
        </is>
      </c>
      <c r="O451" s="3" t="inlineStr">
        <is>
          <t>1. MK-ST-F-003 dayWords
2. MK-ST-F-034 firstDate</t>
        </is>
      </c>
      <c r="P451" s="3" t="n">
        <v>4</v>
      </c>
      <c r="Q451" s="3" t="inlineStr">
        <is>
          <t>1. MK-ST-F-003 dayWords
2. MK-ST-F-034 firstDate
3. MK-CF-F-132 map
4. MK-ST-F-002 monthWords</t>
        </is>
      </c>
      <c r="R451" s="3" t="inlineStr">
        <is>
          <t>1. MK-CF-F-132 map → MK-ST-F-003 dayWords → MK-ST-F-005 measuredFromLabel
2. MK-CF-F-132 map → MK-ST-F-002 monthWords → MK-ST-F-003 dayWords → MK-ST-F-005 measuredFromLabel
3. MK-ST-F-034 firstDate → MK-ST-F-005 measuredFromLabel</t>
        </is>
      </c>
      <c r="S451" s="3" t="inlineStr">
        <is>
          <t>—</t>
        </is>
      </c>
      <c r="T451" s="3" t="inlineStr">
        <is>
          <t>—</t>
        </is>
      </c>
      <c r="U451" s="3" t="inlineStr">
        <is>
          <t>ACTIVE</t>
        </is>
      </c>
      <c r="V451" s="3" t="inlineStr">
        <is>
          <t>2026-08-27</t>
        </is>
      </c>
      <c r="W451" s="3" t="n"/>
      <c r="X451" s="3" t="n"/>
      <c r="Y451" s="3" t="inlineStr">
        <is>
          <t>NOTHING OPEN</t>
        </is>
      </c>
    </row>
    <row r="452" ht="45" customHeight="1">
      <c r="A452" s="3" t="inlineStr">
        <is>
          <t>MK-ST-F-006</t>
        </is>
      </c>
      <c r="B452" s="3" t="inlineStr">
        <is>
          <t>canAnswer</t>
        </is>
      </c>
      <c r="C452" s="3" t="inlineStr">
        <is>
          <t>Calculation Module code/engines/coverage.ts</t>
        </is>
      </c>
      <c r="D452" s="3" t="n">
        <v>192</v>
      </c>
      <c r="E452" s="3" t="inlineStr">
        <is>
          <t>3 · DEPENDENT (feeds an action only)</t>
        </is>
      </c>
      <c r="F452" s="3" t="inlineStr">
        <is>
          <t>Is there any record at all on or before this date?</t>
        </is>
      </c>
      <c r="G452" s="11" t="inlineStr">
        <is>
          <t>on or before(days, from) ≠ nothing</t>
        </is>
      </c>
      <c r="H452" s="3" t="inlineStr">
        <is>
          <t>on or before(days, from) is not no answer.</t>
        </is>
      </c>
      <c r="I452" s="3" t="inlineStr">
        <is>
          <t>READ FROM THE CODE — rendered from the expressions the function runs</t>
        </is>
      </c>
      <c r="J452" s="3" t="inlineStr">
        <is>
          <t>1. days: Dated[]
2. from: string</t>
        </is>
      </c>
      <c r="K452" s="3" t="inlineStr">
        <is>
          <t>boolean</t>
        </is>
      </c>
      <c r="L452" s="3" t="inlineStr">
        <is>
          <t>—</t>
        </is>
      </c>
      <c r="M452" s="3" t="inlineStr">
        <is>
          <t>None found in this function — anything it assumes comes from the functions it depends on.</t>
        </is>
      </c>
      <c r="N452" s="3" t="inlineStr">
        <is>
          <t>No</t>
        </is>
      </c>
      <c r="O452" s="3" t="inlineStr">
        <is>
          <t>1. MK-ST-F-034 firstDate
2. MK-ST-F-033 onOrBefore</t>
        </is>
      </c>
      <c r="P452" s="3" t="n">
        <v>2</v>
      </c>
      <c r="Q452" s="3" t="inlineStr">
        <is>
          <t>1. MK-ST-F-034 firstDate
2. MK-ST-F-033 onOrBefore</t>
        </is>
      </c>
      <c r="R452" s="3" t="inlineStr">
        <is>
          <t>1. MK-ST-F-034 firstDate → MK-ST-F-006 canAnswer
2. MK-ST-F-033 onOrBefore → MK-ST-F-006 canAnswer</t>
        </is>
      </c>
      <c r="S452" s="3" t="inlineStr">
        <is>
          <t>—</t>
        </is>
      </c>
      <c r="T452" s="3" t="inlineStr">
        <is>
          <t>—</t>
        </is>
      </c>
      <c r="U452" s="3" t="inlineStr">
        <is>
          <t>ACTIVE</t>
        </is>
      </c>
      <c r="V452" s="3" t="inlineStr">
        <is>
          <t>2026-08-27</t>
        </is>
      </c>
      <c r="W452" s="3" t="n"/>
      <c r="X452" s="3" t="n"/>
      <c r="Y452" s="3" t="inlineStr">
        <is>
          <t>NOTHING OPEN</t>
        </is>
      </c>
    </row>
    <row r="453" ht="60" customHeight="1">
      <c r="A453" s="3" t="inlineStr">
        <is>
          <t>MK-ST-F-007</t>
        </is>
      </c>
      <c r="B453" s="3" t="inlineStr">
        <is>
          <t>classifyEvent</t>
        </is>
      </c>
      <c r="C453" s="3" t="inlineStr">
        <is>
          <t>Calculation Module code/engines/events.ts</t>
        </is>
      </c>
      <c r="D453" s="3" t="n">
        <v>208</v>
      </c>
      <c r="E453" s="3" t="inlineStr">
        <is>
          <t>3 · DEPENDENT (feeds an action only)</t>
        </is>
      </c>
      <c r="F453" s="3" t="inlineStr">
        <is>
          <t>Classify one institution word.</t>
        </is>
      </c>
      <c r="G453"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53"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53" s="3" t="inlineStr">
        <is>
          <t>PARTLY READ — the body has a loop the extractor cannot render; the steps shown are the ones before it. Needs a hand pass (G23).</t>
        </is>
      </c>
      <c r="J453" s="3" t="inlineStr">
        <is>
          <t>word: string | null | undefined</t>
        </is>
      </c>
      <c r="K453" s="3" t="inlineStr">
        <is>
          <t>Classified</t>
        </is>
      </c>
      <c r="L453" s="3" t="inlineStr">
        <is>
          <t>—</t>
        </is>
      </c>
      <c r="M453" s="3" t="inlineStr">
        <is>
          <t>None found in this function — anything it assumes comes from the functions it depends on.</t>
        </is>
      </c>
      <c r="N453" s="3" t="inlineStr">
        <is>
          <t>No</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2026-09-08</t>
        </is>
      </c>
      <c r="W453" s="3" t="n"/>
      <c r="X453" s="3" t="n"/>
      <c r="Y453" s="3" t="inlineStr">
        <is>
          <t>NOTHING OPEN</t>
        </is>
      </c>
    </row>
    <row r="454" ht="60" customHeight="1">
      <c r="A454" s="3" t="inlineStr">
        <is>
          <t>MK-ST-F-008</t>
        </is>
      </c>
      <c r="B454" s="3" t="inlineStr">
        <is>
          <t>touches</t>
        </is>
      </c>
      <c r="C454" s="3" t="inlineStr">
        <is>
          <t>Calculation Module code/engines/events.ts</t>
        </is>
      </c>
      <c r="D454" s="3" t="n">
        <v>236</v>
      </c>
      <c r="E454" s="3" t="inlineStr">
        <is>
          <t>3 · DEPENDENT (feeds an action only)</t>
        </is>
      </c>
      <c r="F454" s="3" t="inlineStr">
        <is>
          <t>Does this event add to that total?</t>
        </is>
      </c>
      <c r="G454" s="11" t="inlineStr">
        <is>
          <t>EVENTS[e].totals.includes(total)</t>
        </is>
      </c>
      <c r="H454" s="3" t="inlineStr">
        <is>
          <t>EVENTS[e].totals.includes(total).</t>
        </is>
      </c>
      <c r="I454" s="3" t="inlineStr">
        <is>
          <t>PARTLY READ — some of the code is still showing through; needs a hand pass</t>
        </is>
      </c>
      <c r="J454" s="3" t="inlineStr">
        <is>
          <t>1. e: CanonicalEvent
2. total: 'contributions' | 'withdrawals' | 'income' | 'costs' | 'units' | 'costBasis' | 'realisedGain'</t>
        </is>
      </c>
      <c r="K454" s="3" t="inlineStr">
        <is>
          <t>boolean</t>
        </is>
      </c>
      <c r="L454" s="3" t="inlineStr">
        <is>
          <t>—</t>
        </is>
      </c>
      <c r="M454" s="3" t="inlineStr">
        <is>
          <t>None found in this function — anything it assumes comes from the functions it depends on.</t>
        </is>
      </c>
      <c r="N454" s="3" t="inlineStr">
        <is>
          <t>No</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45" customHeight="1">
      <c r="A455" s="3" t="inlineStr">
        <is>
          <t>MK-ST-F-009</t>
        </is>
      </c>
      <c r="B455" s="3" t="inlineStr">
        <is>
          <t>directionOf</t>
        </is>
      </c>
      <c r="C455" s="3" t="inlineStr">
        <is>
          <t>Calculation Module code/engines/events.ts</t>
        </is>
      </c>
      <c r="D455" s="3" t="n">
        <v>256</v>
      </c>
      <c r="E455" s="3" t="inlineStr">
        <is>
          <t>3 · DEPENDENT (feeds an action only)</t>
        </is>
      </c>
      <c r="F455" s="3" t="inlineStr">
        <is>
          <t>The direction an event implies, where the event itself decides it.</t>
        </is>
      </c>
      <c r="G455" s="11" t="inlineStr">
        <is>
          <t>EVENTS[e].direction (or 'NONE' when missing)</t>
        </is>
      </c>
      <c r="H455" s="3" t="inlineStr">
        <is>
          <t>EVENTS[e].direction (or 'NONE' — when missing).</t>
        </is>
      </c>
      <c r="I455" s="3" t="inlineStr">
        <is>
          <t>PARTLY READ — some of the code is still showing through; needs a hand pass</t>
        </is>
      </c>
      <c r="J455" s="3" t="inlineStr">
        <is>
          <t>e: CanonicalEvent</t>
        </is>
      </c>
      <c r="K455" s="3" t="inlineStr">
        <is>
          <t>Money['direction']</t>
        </is>
      </c>
      <c r="L455" s="3" t="inlineStr">
        <is>
          <t>—</t>
        </is>
      </c>
      <c r="M455" s="3" t="inlineStr">
        <is>
          <t>None found in this function — anything it assumes comes from the functions it depends on.</t>
        </is>
      </c>
      <c r="N455" s="3" t="inlineStr">
        <is>
          <t>No</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MK-ST-F-010</t>
        </is>
      </c>
      <c r="B456" s="3" t="inlineStr">
        <is>
          <t>nameEvidence</t>
        </is>
      </c>
      <c r="C456" s="3" t="inlineStr">
        <is>
          <t>Calculation Module code/engines/holding-class.ts</t>
        </is>
      </c>
      <c r="D456" s="3" t="n">
        <v>91</v>
      </c>
      <c r="E456" s="3" t="inlineStr">
        <is>
          <t>3 · DEPENDENT</t>
        </is>
      </c>
      <c r="F456" s="3" t="inlineStr">
        <is>
          <t>What the NAME (symbol + description together) says, or null when it says nothing.</t>
        </is>
      </c>
      <c r="G456"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56"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56" s="3" t="inlineStr">
        <is>
          <t>PARTLY READ — some of the code is still showing through; needs a hand pass</t>
        </is>
      </c>
      <c r="J456" s="3" t="inlineStr">
        <is>
          <t>label?: string | null</t>
        </is>
      </c>
      <c r="K456" s="3" t="inlineStr">
        <is>
          <t>HoldingClass | null</t>
        </is>
      </c>
      <c r="L456" s="3" t="inlineStr">
        <is>
          <t>—</t>
        </is>
      </c>
      <c r="M456" s="3" t="inlineStr">
        <is>
          <t>None found in this function — anything it assumes comes from the functions it depends on.</t>
        </is>
      </c>
      <c r="N456" s="3" t="inlineStr">
        <is>
          <t>Yes</t>
        </is>
      </c>
      <c r="O456" s="3" t="inlineStr">
        <is>
          <t>1. MK-XS-F-147 call
2. MK-ST-F-056 has
3. MK-CF-F-132 map</t>
        </is>
      </c>
      <c r="P456" s="3" t="n">
        <v>6</v>
      </c>
      <c r="Q456" s="3" t="inlineStr">
        <is>
          <t>1. MK-XS-F-147 call
2. MK-ST-F-056 has
3. MK-CF-F-132 map
4. MK-ST-F-027 accountId
5. MK-XS-F-064 currentIdToken
6. MK-XS-F-112 relayUrl</t>
        </is>
      </c>
      <c r="R456"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56" s="3" t="inlineStr">
        <is>
          <t>—</t>
        </is>
      </c>
      <c r="T456" s="3" t="inlineStr">
        <is>
          <t>—</t>
        </is>
      </c>
      <c r="U456" s="3" t="inlineStr">
        <is>
          <t>ACTIVE</t>
        </is>
      </c>
      <c r="V456" s="3" t="inlineStr">
        <is>
          <t>2026-08-27</t>
        </is>
      </c>
      <c r="W456" s="3" t="n"/>
      <c r="X456" s="3" t="n"/>
      <c r="Y456" s="3" t="inlineStr">
        <is>
          <t>NOTHING OPEN</t>
        </is>
      </c>
    </row>
    <row r="457" ht="60" customHeight="1">
      <c r="A457" s="3" t="inlineStr">
        <is>
          <t>MK-ST-F-011</t>
        </is>
      </c>
      <c r="B457" s="3" t="inlineStr">
        <is>
          <t>classifyHoldingClass</t>
        </is>
      </c>
      <c r="C457" s="3" t="inlineStr">
        <is>
          <t>Calculation Module code/engines/holding-class.ts</t>
        </is>
      </c>
      <c r="D457" s="3" t="n">
        <v>193</v>
      </c>
      <c r="E457" s="3" t="inlineStr">
        <is>
          <t>3 · DEPENDENT</t>
        </is>
      </c>
      <c r="F457" s="3" t="inlineStr">
        <is>
          <t>NOT DETERMINED — the code carries no note saying what this is for, and it has no row in the old inventory. Needs reading.</t>
        </is>
      </c>
      <c r="G457"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57"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57" s="3" t="inlineStr">
        <is>
          <t>PARTLY READ — some of the code is still showing through; needs a hand pass</t>
        </is>
      </c>
      <c r="J457" s="3" t="inlineStr">
        <is>
          <t>e: ClassEvidence</t>
        </is>
      </c>
      <c r="K457" s="3" t="inlineStr">
        <is>
          <t>ClassVerdict</t>
        </is>
      </c>
      <c r="L457" s="3" t="inlineStr">
        <is>
          <t>—</t>
        </is>
      </c>
      <c r="M457" s="3" t="inlineStr">
        <is>
          <t>None found in this function — anything it assumes comes from the functions it depends on.</t>
        </is>
      </c>
      <c r="N457" s="3" t="inlineStr">
        <is>
          <t>Yes</t>
        </is>
      </c>
      <c r="O457" s="3" t="inlineStr">
        <is>
          <t>MK-ST-F-010 nameEvidence</t>
        </is>
      </c>
      <c r="P457" s="3" t="n">
        <v>7</v>
      </c>
      <c r="Q457" s="3" t="inlineStr">
        <is>
          <t>1. MK-ST-F-010 nameEvidence
2. MK-XS-F-147 call
3. MK-ST-F-056 has
4. MK-CF-F-132 map
5. MK-ST-F-027 accountId
6. MK-XS-F-064 currentIdToken
7. MK-XS-F-112 relayUrl</t>
        </is>
      </c>
      <c r="R457"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57" s="3" t="inlineStr">
        <is>
          <t>—</t>
        </is>
      </c>
      <c r="T457" s="3" t="inlineStr">
        <is>
          <t>—</t>
        </is>
      </c>
      <c r="U457" s="3" t="inlineStr">
        <is>
          <t>ACTIVE</t>
        </is>
      </c>
      <c r="V457" s="3" t="inlineStr">
        <is>
          <t>2026-08-27</t>
        </is>
      </c>
      <c r="W457" s="3" t="n"/>
      <c r="X457" s="3" t="n"/>
      <c r="Y457" s="3" t="inlineStr">
        <is>
          <t>NOTHING OPEN</t>
        </is>
      </c>
    </row>
    <row r="458" ht="60" customHeight="1">
      <c r="A458" s="3" t="inlineStr">
        <is>
          <t>MK-ST-F-012</t>
        </is>
      </c>
      <c r="B458" s="3" t="inlineStr">
        <is>
          <t>toLedgerRow</t>
        </is>
      </c>
      <c r="C458" s="3" t="inlineStr">
        <is>
          <t>Calculation Module code/engines/ledger.ts</t>
        </is>
      </c>
      <c r="D458" s="3" t="n">
        <v>131</v>
      </c>
      <c r="E458" s="3" t="inlineStr">
        <is>
          <t>3 · DEPENDENT (feeds an action only)</t>
        </is>
      </c>
      <c r="F458" s="3" t="inlineStr">
        <is>
          <t>Read one institution row into one ledger row.</t>
        </is>
      </c>
      <c r="G458" s="11" t="inlineStr">
        <is>
          <t>c = classify event(raw.word)
money = read money(raw.amount, convention, rule.direction)
units = number or undefined(raw.units)
legacy = TO_LEGACY[event]
is trade = legacy = 'BUY' (or legacy = 'SELL' when missing or zero)</t>
        </is>
      </c>
      <c r="H458" s="3" t="inlineStr">
        <is>
          <t>C is classify event(raw.word). Money is read money(raw.amount, convention, rule.direction). Units is number or undefined(raw.units). Legacy is TO_LEGACY[event]. Is trade is legacy = 'BUY' (or legacy = 'SELL' — when missing or zero).</t>
        </is>
      </c>
      <c r="I458" s="3" t="inlineStr">
        <is>
          <t>PARTLY READ — some of the code is still showing through; needs a hand pass</t>
        </is>
      </c>
      <c r="J458" s="3" t="inlineStr">
        <is>
          <t>1. raw: RawActivity
2. convention: SignConvention</t>
        </is>
      </c>
      <c r="K458" s="3" t="inlineStr">
        <is>
          <t>LedgerRow</t>
        </is>
      </c>
      <c r="L458" s="3" t="inlineStr">
        <is>
          <t>—</t>
        </is>
      </c>
      <c r="M458" s="3" t="inlineStr">
        <is>
          <t>None found in this function — anything it assumes comes from the functions it depends on.</t>
        </is>
      </c>
      <c r="N458" s="3" t="inlineStr">
        <is>
          <t>No</t>
        </is>
      </c>
      <c r="O458" s="3" t="inlineStr">
        <is>
          <t>1. MK-ST-F-007 classifyEvent
2. MK-ST-F-053 money
3. MK-ST-F-058 numberOrUndefined
4. MK-ST-F-018 readMoney
5. MK-ST-F-019 signed
6. MK-ST-F-021 toNumber</t>
        </is>
      </c>
      <c r="P458" s="3" t="n">
        <v>11</v>
      </c>
      <c r="Q458" s="3" t="inlineStr">
        <is>
          <t>1. MK-ST-F-007 classifyEvent
2. MK-ST-F-053 money
3. MK-ST-F-058 numberOrUndefined
4. MK-ST-F-018 readMoney
5. MK-ST-F-019 signed
6. MK-ST-F-021 toNumber
7. MK-ST-F-049 formatMoney
8. MK-XS-F-122 n
9. MK-ST-F-048 currencySymbol
10. MK-ST-F-039 on
11. MK-ST-F-047 activeCurrency</t>
        </is>
      </c>
      <c r="R458"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58" s="3" t="inlineStr">
        <is>
          <t>—</t>
        </is>
      </c>
      <c r="T458" s="3" t="inlineStr">
        <is>
          <t>—</t>
        </is>
      </c>
      <c r="U458" s="3" t="inlineStr">
        <is>
          <t>ACTIVE</t>
        </is>
      </c>
      <c r="V458" s="3" t="inlineStr">
        <is>
          <t>2026-08-27</t>
        </is>
      </c>
      <c r="W458" s="3" t="n"/>
      <c r="X458" s="3" t="n"/>
      <c r="Y458" s="3" t="inlineStr">
        <is>
          <t>NOTHING OPEN</t>
        </is>
      </c>
    </row>
    <row r="459" ht="60" customHeight="1">
      <c r="A459" s="3" t="inlineStr">
        <is>
          <t>MK-ST-F-013</t>
        </is>
      </c>
      <c r="B459" s="3" t="inlineStr">
        <is>
          <t>personalFlowTotals</t>
        </is>
      </c>
      <c r="C459" s="3" t="inlineStr">
        <is>
          <t>Calculation Module code/engines/ledger.ts</t>
        </is>
      </c>
      <c r="D459" s="3" t="n">
        <v>227</v>
      </c>
      <c r="E459" s="3" t="inlineStr">
        <is>
          <t>2 · DISPLAYED</t>
        </is>
      </c>
      <c r="F459" s="3" t="inlineStr">
        <is>
          <t>NOT DETERMINED — the code carries no note saying what this is for, and it has no row in the old inventory. Needs reading.</t>
        </is>
      </c>
      <c r="G459" s="11" t="inlineStr">
        <is>
          <t>bucket = STORED_TYPE_BUCKET[string(type ?? '')] (or 'none' when missing)
d = dec.parse(amount)
the answer = t</t>
        </is>
      </c>
      <c r="H459" s="3" t="inlineStr">
        <is>
          <t>Bucket is STORED_TYPE_BUCKET[string(type ?? '')] (or 'none' — when missing). D is dec.parse(amount). The answer is t.</t>
        </is>
      </c>
      <c r="I459" s="3" t="inlineStr">
        <is>
          <t>PARTLY READ — some of the code is still showing through; needs a hand pass</t>
        </is>
      </c>
      <c r="J459" s="3" t="inlineStr">
        <is>
          <t>rows: StoredFlowRow[]</t>
        </is>
      </c>
      <c r="K459" s="3" t="inlineStr">
        <is>
          <t>PersonalFlowTotals</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t>
        </is>
      </c>
      <c r="P459" s="3" t="n">
        <v>0</v>
      </c>
      <c r="Q459" s="3" t="inlineStr">
        <is>
          <t>None — no dependent function stands behind it</t>
        </is>
      </c>
      <c r="R459" s="3" t="inlineStr">
        <is>
          <t>No dependent function — it reads its inputs and answers</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MK-ST-F-014</t>
        </is>
      </c>
      <c r="B460" s="3" t="inlineStr">
        <is>
          <t>importKey</t>
        </is>
      </c>
      <c r="C460" s="3" t="inlineStr">
        <is>
          <t>Calculation Module code/engines/ledger.ts</t>
        </is>
      </c>
      <c r="D460" s="3" t="n">
        <v>279</v>
      </c>
      <c r="E460" s="3" t="inlineStr">
        <is>
          <t>3 · DEPENDENT (feeds an action only)</t>
        </is>
      </c>
      <c r="F460" s="3" t="inlineStr">
        <is>
          <t>NOT DETERMINED — the code carries no note saying what this is for, and it has no row in the old inventory. Needs reading.</t>
        </is>
      </c>
      <c r="G460" s="11" t="inlineStr">
        <is>
          <t>the answer = account | date | WORD | amount | units | security | ref | description, joined with '|' (missing parts empty)</t>
        </is>
      </c>
      <c r="H460"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0" s="3" t="inlineStr">
        <is>
          <t>READ BY HAND 2026-08-26 — checked line by line against the code</t>
        </is>
      </c>
      <c r="J460" s="3" t="inlineStr">
        <is>
          <t>id: ImportIdentity</t>
        </is>
      </c>
      <c r="K460" s="3" t="inlineStr">
        <is>
          <t>string</t>
        </is>
      </c>
      <c r="L460" s="3" t="inlineStr">
        <is>
          <t>—</t>
        </is>
      </c>
      <c r="M460" s="3" t="inlineStr">
        <is>
          <t>None found in this function — anything it assumes comes from the functions it depends on.</t>
        </is>
      </c>
      <c r="N460" s="3" t="inlineStr">
        <is>
          <t>No</t>
        </is>
      </c>
      <c r="O460" s="3" t="inlineStr">
        <is>
          <t>—</t>
        </is>
      </c>
      <c r="P460" s="3" t="n">
        <v>0</v>
      </c>
      <c r="Q460" s="3" t="inlineStr">
        <is>
          <t>None — no dependent function stands behind it</t>
        </is>
      </c>
      <c r="R460" s="3" t="inlineStr">
        <is>
          <t>No dependent function — it reads its inputs and answers</t>
        </is>
      </c>
      <c r="S460" s="3" t="inlineStr">
        <is>
          <t>—</t>
        </is>
      </c>
      <c r="T460" s="3" t="inlineStr">
        <is>
          <t>—</t>
        </is>
      </c>
      <c r="U460" s="3" t="inlineStr">
        <is>
          <t>ACTIVE</t>
        </is>
      </c>
      <c r="V460" s="3" t="inlineStr">
        <is>
          <t>2026-09-12</t>
        </is>
      </c>
      <c r="W460" s="3" t="n"/>
      <c r="X460" s="3" t="n"/>
      <c r="Y460" s="3" t="inlineStr">
        <is>
          <t>NOTHING OPEN</t>
        </is>
      </c>
    </row>
    <row r="461" ht="60" customHeight="1">
      <c r="A461" s="3" t="inlineStr">
        <is>
          <t>MK-ST-F-015</t>
        </is>
      </c>
      <c r="B461" s="3" t="inlineStr">
        <is>
          <t>rowsFor</t>
        </is>
      </c>
      <c r="C461" s="3" t="inlineStr">
        <is>
          <t>Calculation Module code/engines/ledger.ts</t>
        </is>
      </c>
      <c r="D461" s="3" t="n">
        <v>310</v>
      </c>
      <c r="E461" s="3" t="inlineStr">
        <is>
          <t>3 · DEPENDENT (feeds an action only)</t>
        </is>
      </c>
      <c r="F461" s="3" t="inlineStr">
        <is>
          <t>NOT DETERMINED — the code carries no note saying what this is for, and it has no row in the old inventory. Needs reading.</t>
        </is>
      </c>
      <c r="G461" s="11" t="inlineStr">
        <is>
          <t>rows where EVENTS[event].totals.includes(total)</t>
        </is>
      </c>
      <c r="H461" s="3" t="inlineStr">
        <is>
          <t>rows where EVENTS[event].totals.includes(total).</t>
        </is>
      </c>
      <c r="I461" s="3" t="inlineStr">
        <is>
          <t>PARTLY READ — some of the code is still showing through; needs a hand pass</t>
        </is>
      </c>
      <c r="J461" s="3" t="inlineStr">
        <is>
          <t>Nothing is handed to it</t>
        </is>
      </c>
      <c r="K461" s="3" t="inlineStr">
        <is>
          <t>NOT DECLARED — the code does not say what it gives back</t>
        </is>
      </c>
      <c r="L461" s="3" t="inlineStr">
        <is>
          <t>—</t>
        </is>
      </c>
      <c r="M461" s="3" t="inlineStr">
        <is>
          <t>None found in this function — anything it assumes comes from the functions it depends on.</t>
        </is>
      </c>
      <c r="N461" s="3" t="inlineStr">
        <is>
          <t>No</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2026-08-27</t>
        </is>
      </c>
      <c r="W461" s="3" t="n"/>
      <c r="X461" s="3" t="n"/>
      <c r="Y461" s="3" t="inlineStr">
        <is>
          <t>NOTHING OPEN</t>
        </is>
      </c>
    </row>
    <row r="462" ht="45" customHeight="1">
      <c r="A462" s="3" t="inlineStr">
        <is>
          <t>MK-ST-F-016</t>
        </is>
      </c>
      <c r="B462" s="3" t="inlineStr">
        <is>
          <t>totalOf</t>
        </is>
      </c>
      <c r="C462" s="3" t="inlineStr">
        <is>
          <t>Calculation Module code/engines/ledger.ts</t>
        </is>
      </c>
      <c r="D462" s="3" t="n">
        <v>334</v>
      </c>
      <c r="E462" s="3" t="inlineStr">
        <is>
          <t>3 · DEPENDENT (feeds an action only)</t>
        </is>
      </c>
      <c r="F462" s="3" t="inlineStr">
        <is>
          <t>A total, summed SIGNED and EXACT — a reversal reduces its total instead of inflating it.</t>
        </is>
      </c>
      <c r="G462" s="11" t="inlineStr">
        <is>
          <t>dec.sum(rows for(rows, total).map((r) =&gt; signed amount))</t>
        </is>
      </c>
      <c r="H462" s="3" t="inlineStr">
        <is>
          <t>dec.sum(rows for(rows, total).map((r) =&gt; signed amount)).</t>
        </is>
      </c>
      <c r="I462" s="3" t="inlineStr">
        <is>
          <t>PARTLY READ — some of the code is still showing through; needs a hand pass</t>
        </is>
      </c>
      <c r="J462" s="3" t="inlineStr">
        <is>
          <t>1. rows: LedgerRow[]
2. total: 'contributions' | 'withdrawals' | 'income' | 'costs'</t>
        </is>
      </c>
      <c r="K462" s="3" t="inlineStr">
        <is>
          <t>Dec</t>
        </is>
      </c>
      <c r="L462" s="3" t="inlineStr">
        <is>
          <t>—</t>
        </is>
      </c>
      <c r="M462" s="3" t="inlineStr">
        <is>
          <t>None found in this function — anything it assumes comes from the functions it depends on.</t>
        </is>
      </c>
      <c r="N462" s="3" t="inlineStr">
        <is>
          <t>No</t>
        </is>
      </c>
      <c r="O462" s="3" t="inlineStr">
        <is>
          <t>1. MK-CF-F-132 map
2. MK-ST-F-015 rowsFor</t>
        </is>
      </c>
      <c r="P462" s="3" t="n">
        <v>2</v>
      </c>
      <c r="Q462" s="3" t="inlineStr">
        <is>
          <t>1. MK-CF-F-132 map
2. MK-ST-F-015 rowsFor</t>
        </is>
      </c>
      <c r="R462" s="3" t="inlineStr">
        <is>
          <t>1. MK-CF-F-132 map → MK-ST-F-016 totalOf
2. MK-ST-F-015 rowsFor → MK-ST-F-016 totalOf</t>
        </is>
      </c>
      <c r="S462" s="3" t="inlineStr">
        <is>
          <t>—</t>
        </is>
      </c>
      <c r="T462" s="3" t="inlineStr">
        <is>
          <t>—</t>
        </is>
      </c>
      <c r="U462" s="3" t="inlineStr">
        <is>
          <t>ACTIVE</t>
        </is>
      </c>
      <c r="V462" s="3" t="inlineStr">
        <is>
          <t>2026-08-27</t>
        </is>
      </c>
      <c r="W462" s="3" t="n"/>
      <c r="X462" s="3" t="n"/>
      <c r="Y462" s="3" t="inlineStr">
        <is>
          <t>NOTHING OPEN</t>
        </is>
      </c>
    </row>
    <row r="463" ht="45" customHeight="1">
      <c r="A463" s="3" t="inlineStr">
        <is>
          <t>MK-ST-F-017</t>
        </is>
      </c>
      <c r="B463" s="3" t="inlineStr">
        <is>
          <t>unclassified</t>
        </is>
      </c>
      <c r="C463" s="3" t="inlineStr">
        <is>
          <t>Calculation Module code/engines/ledger.ts</t>
        </is>
      </c>
      <c r="D463" s="3" t="n">
        <v>354</v>
      </c>
      <c r="E463" s="3" t="inlineStr">
        <is>
          <t>3 · DEPENDENT (feeds an action only)</t>
        </is>
      </c>
      <c r="F463" s="3" t="inlineStr">
        <is>
          <t>Everything we could not name, for the honest line on screen: "12 entries we could not classify".</t>
        </is>
      </c>
      <c r="G463" s="11" t="inlineStr">
        <is>
          <t>rows where recognised is missing</t>
        </is>
      </c>
      <c r="H463" s="3" t="inlineStr">
        <is>
          <t>rows where recognised is missing.</t>
        </is>
      </c>
      <c r="I463" s="3" t="inlineStr">
        <is>
          <t>READ FROM THE CODE — rendered from the expressions the function runs</t>
        </is>
      </c>
      <c r="J463" s="3" t="inlineStr">
        <is>
          <t>rows: LedgerRow[]</t>
        </is>
      </c>
      <c r="K463" s="3" t="inlineStr">
        <is>
          <t>LedgerRow[]</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60" customHeight="1">
      <c r="A464" s="3" t="inlineStr">
        <is>
          <t>MK-ST-F-018</t>
        </is>
      </c>
      <c r="B464" s="3" t="inlineStr">
        <is>
          <t>readMoney</t>
        </is>
      </c>
      <c r="C464" s="3" t="inlineStr">
        <is>
          <t>Calculation Module code/engines/money.ts</t>
        </is>
      </c>
      <c r="D464" s="3" t="n">
        <v>65</v>
      </c>
      <c r="E464" s="3" t="inlineStr">
        <is>
          <t>3 · DEPENDENT (feeds an action only)</t>
        </is>
      </c>
      <c r="F464" s="3" t="inlineStr">
        <is>
          <t>Read a raw amount into a Money, given how that source signs things.</t>
        </is>
      </c>
      <c r="G464"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64"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64" s="3" t="inlineStr">
        <is>
          <t>PARTLY READ — some of the code is still showing through; needs a hand pass</t>
        </is>
      </c>
      <c r="J464" s="3" t="inlineStr">
        <is>
          <t>Nothing is handed to it</t>
        </is>
      </c>
      <c r="K464" s="3" t="inlineStr">
        <is>
          <t>NOT DECLARED — the code does not say what it gives back</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MK-ST-F-019</t>
        </is>
      </c>
      <c r="B465" s="3" t="inlineStr">
        <is>
          <t>signed</t>
        </is>
      </c>
      <c r="C465" s="3" t="inlineStr">
        <is>
          <t>Calculation Module code/engines/money.ts</t>
        </is>
      </c>
      <c r="D465" s="3" t="n">
        <v>108</v>
      </c>
      <c r="E465" s="3" t="inlineStr">
        <is>
          <t>3 · DEPENDENT (feeds an action only)</t>
        </is>
      </c>
      <c r="F465" s="3" t="inlineStr">
        <is>
          <t>The signed value, for arithmetic.</t>
        </is>
      </c>
      <c r="G465" s="11" t="inlineStr">
        <is>
          <t>amount.neg()   if direction = 'OUT'
amount   if direction = 'IN'
dec.ZERO   otherwise   otherwise</t>
        </is>
      </c>
      <c r="H465" s="3" t="inlineStr">
        <is>
          <t>amount.neg() — when direction = 'OUT'; amount — when direction = 'IN'; dec.ZERO — otherwise — otherwise.</t>
        </is>
      </c>
      <c r="I465" s="3" t="inlineStr">
        <is>
          <t>PARTLY READ — some of the code is still showing through; needs a hand pass</t>
        </is>
      </c>
      <c r="J465" s="3" t="inlineStr">
        <is>
          <t>m: Money</t>
        </is>
      </c>
      <c r="K465" s="3" t="inlineStr">
        <is>
          <t>Dec</t>
        </is>
      </c>
      <c r="L465" s="3" t="inlineStr">
        <is>
          <t>—</t>
        </is>
      </c>
      <c r="M465" s="3" t="inlineStr">
        <is>
          <t>None found in this function — anything it assumes comes from the functions it depends on.</t>
        </is>
      </c>
      <c r="N465" s="3" t="inlineStr">
        <is>
          <t>No</t>
        </is>
      </c>
      <c r="O465" s="3" t="inlineStr">
        <is>
          <t>—</t>
        </is>
      </c>
      <c r="P465" s="3" t="n">
        <v>0</v>
      </c>
      <c r="Q465" s="3" t="inlineStr">
        <is>
          <t>None — no dependent function stands behind it</t>
        </is>
      </c>
      <c r="R465" s="3" t="inlineStr">
        <is>
          <t>No dependent function — it reads its inputs and answers</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MK-ST-F-020</t>
        </is>
      </c>
      <c r="B466" s="3" t="inlineStr">
        <is>
          <t>sumSigned</t>
        </is>
      </c>
      <c r="C466" s="3" t="inlineStr">
        <is>
          <t>Calculation Module code/engines/money.ts</t>
        </is>
      </c>
      <c r="D466" s="3" t="n">
        <v>129</v>
      </c>
      <c r="E466" s="3" t="inlineStr">
        <is>
          <t>3 · DEPENDENT (feeds an action only)</t>
        </is>
      </c>
      <c r="F466" s="3" t="inlineStr">
        <is>
          <t>Add money SIGNED and EXACTLY — a credit and its reversal cancel to true zero, so a reconciliation can assert equality rather than a tolerance.</t>
        </is>
      </c>
      <c r="G466" s="11" t="inlineStr">
        <is>
          <t>dec.sum(items.map(signed))</t>
        </is>
      </c>
      <c r="H466" s="3" t="inlineStr">
        <is>
          <t>dec.sum(items.map(signed)).</t>
        </is>
      </c>
      <c r="I466" s="3" t="inlineStr">
        <is>
          <t>PARTLY READ — some of the code is still showing through; needs a hand pass</t>
        </is>
      </c>
      <c r="J466" s="3" t="inlineStr">
        <is>
          <t>items: Money[]</t>
        </is>
      </c>
      <c r="K466" s="3" t="inlineStr">
        <is>
          <t>Dec</t>
        </is>
      </c>
      <c r="L466" s="3" t="inlineStr">
        <is>
          <t>—</t>
        </is>
      </c>
      <c r="M466" s="3" t="inlineStr">
        <is>
          <t>None found in this function — anything it assumes comes from the functions it depends on.</t>
        </is>
      </c>
      <c r="N466" s="3" t="inlineStr">
        <is>
          <t>No</t>
        </is>
      </c>
      <c r="O466" s="3" t="inlineStr">
        <is>
          <t>1. MK-CF-F-132 map
2. MK-ST-F-019 signed</t>
        </is>
      </c>
      <c r="P466" s="3" t="n">
        <v>2</v>
      </c>
      <c r="Q466" s="3" t="inlineStr">
        <is>
          <t>1. MK-CF-F-132 map
2. MK-ST-F-019 signed</t>
        </is>
      </c>
      <c r="R466" s="3" t="inlineStr">
        <is>
          <t>1. MK-CF-F-132 map → MK-ST-F-020 sumSigned
2. MK-ST-F-019 signed → MK-ST-F-020 sumSigned</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MK-ST-F-021</t>
        </is>
      </c>
      <c r="B467" s="3" t="inlineStr">
        <is>
          <t>toNumber</t>
        </is>
      </c>
      <c r="C467" s="3" t="inlineStr">
        <is>
          <t>Calculation Module code/engines/money.ts</t>
        </is>
      </c>
      <c r="D467" s="3" t="n">
        <v>173</v>
      </c>
      <c r="E467" s="3" t="inlineStr">
        <is>
          <t>2 · DISPLAYED</t>
        </is>
      </c>
      <c r="F467" s="3" t="inlineStr">
        <is>
          <t>Institution files write money as text: "$8,502.00 ", "($0.53)", "--", "1,234.56".</t>
        </is>
      </c>
      <c r="G467"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67"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67" s="3" t="inlineStr">
        <is>
          <t>PARTLY READ — some of the code is still showing through; needs a hand pass</t>
        </is>
      </c>
      <c r="J467" s="3" t="inlineStr">
        <is>
          <t>raw: number | string | null | undefined</t>
        </is>
      </c>
      <c r="K467" s="3" t="inlineStr">
        <is>
          <t>number | null</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MK-XS-F-122 n</t>
        </is>
      </c>
      <c r="P467" s="3" t="n">
        <v>1</v>
      </c>
      <c r="Q467" s="3" t="inlineStr">
        <is>
          <t>MK-XS-F-122 n</t>
        </is>
      </c>
      <c r="R467" s="3" t="inlineStr">
        <is>
          <t>MK-XS-F-122 n → MK-ST-F-021 toNumber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MK-ST-F-022</t>
        </is>
      </c>
      <c r="B468" s="3" t="inlineStr">
        <is>
          <t>reconcileAccountTotal</t>
        </is>
      </c>
      <c r="C468" s="3" t="inlineStr">
        <is>
          <t>Calculation Module code/engines/reconcile.ts</t>
        </is>
      </c>
      <c r="D468" s="3" t="n">
        <v>79</v>
      </c>
      <c r="E468" s="3" t="inlineStr">
        <is>
          <t>3 · DEPENDENT (feeds an action only)</t>
        </is>
      </c>
      <c r="F468" s="3" t="inlineStr">
        <is>
          <t>ASSERTION 1 — holdings + cash = the broker's stated total.</t>
        </is>
      </c>
      <c r="G468" s="11" t="inlineStr">
        <is>
          <t>stated = dec.parse(stated total) (or dec.ZERO when missing)
the answer = verdict(parts, stated, 'what the account holds and the broker\'s own total')</t>
        </is>
      </c>
      <c r="H468" s="3" t="inlineStr">
        <is>
          <t>Stated is dec.parse(stated total) (or dec.ZERO — when missing). The answer is verdict(parts, stated, 'what the account holds and the broker\'s own total').</t>
        </is>
      </c>
      <c r="I468" s="3" t="inlineStr">
        <is>
          <t>PARTLY READ — some of the code is still showing through; needs a hand pass</t>
        </is>
      </c>
      <c r="J468" s="3" t="inlineStr">
        <is>
          <t>Nothing is handed to it</t>
        </is>
      </c>
      <c r="K468" s="3" t="inlineStr">
        <is>
          <t>NOT DECLARED — the code does not say what it gives back</t>
        </is>
      </c>
      <c r="L468" s="3" t="inlineStr">
        <is>
          <t>—</t>
        </is>
      </c>
      <c r="M468" s="3" t="inlineStr">
        <is>
          <t>None found in this function — anything it assumes comes from the functions it depends on.</t>
        </is>
      </c>
      <c r="N468" s="3" t="inlineStr">
        <is>
          <t>No</t>
        </is>
      </c>
      <c r="O468" s="3" t="inlineStr">
        <is>
          <t>1. MK-CF-F-132 map
2. MK-ST-F-060 verdict</t>
        </is>
      </c>
      <c r="P468" s="3" t="n">
        <v>2</v>
      </c>
      <c r="Q468" s="3" t="inlineStr">
        <is>
          <t>1. MK-CF-F-132 map
2. MK-ST-F-060 verdict</t>
        </is>
      </c>
      <c r="R468" s="3" t="inlineStr">
        <is>
          <t>1. MK-CF-F-132 map → MK-ST-F-022 reconcileAccountTotal
2. MK-ST-F-060 verdict → MK-ST-F-022 reconcileAccountTotal</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MK-ST-F-023</t>
        </is>
      </c>
      <c r="B469" s="3" t="inlineStr">
        <is>
          <t>reconcileLedgerIdentity</t>
        </is>
      </c>
      <c r="C469" s="3" t="inlineStr">
        <is>
          <t>Calculation Module code/engines/reconcile.ts</t>
        </is>
      </c>
      <c r="D469" s="3" t="n">
        <v>107</v>
      </c>
      <c r="E469" s="3" t="inlineStr">
        <is>
          <t>3 · DEPENDENT (feeds an action only)</t>
        </is>
      </c>
      <c r="F469" s="3" t="inlineStr">
        <is>
          <t>ASSERTION 2 — the accounting identity every statement satisfies, exactly.</t>
        </is>
      </c>
      <c r="G469" s="11" t="inlineStr">
        <is>
          <t>d = (v: unknown) =&gt; dec.parse(v) (or dec.ZERO when missing)
the answer = verdict(computed, D(ending), 'the change walk and the ending value')</t>
        </is>
      </c>
      <c r="H469" s="3" t="inlineStr">
        <is>
          <t>D is (v: unknown) =&gt; dec.parse(v) (or dec.ZERO — when missing). The answer is verdict(computed, D(ending), 'the change walk and the ending value').</t>
        </is>
      </c>
      <c r="I469" s="3" t="inlineStr">
        <is>
          <t>PARTLY READ — some of the code is still showing through; needs a hand pass</t>
        </is>
      </c>
      <c r="J469" s="3" t="inlineStr">
        <is>
          <t>Nothing is handed to it</t>
        </is>
      </c>
      <c r="K469" s="3" t="inlineStr">
        <is>
          <t>NOT DECLARED — the code does not say what it gives back</t>
        </is>
      </c>
      <c r="L469" s="3" t="inlineStr">
        <is>
          <t>—</t>
        </is>
      </c>
      <c r="M469" s="3" t="inlineStr">
        <is>
          <t>None found in this function — anything it assumes comes from the functions it depends on.</t>
        </is>
      </c>
      <c r="N469" s="3" t="inlineStr">
        <is>
          <t>No</t>
        </is>
      </c>
      <c r="O469" s="3" t="inlineStr">
        <is>
          <t>MK-ST-F-060 verdict</t>
        </is>
      </c>
      <c r="P469" s="3" t="n">
        <v>1</v>
      </c>
      <c r="Q469" s="3" t="inlineStr">
        <is>
          <t>MK-ST-F-060 verdict</t>
        </is>
      </c>
      <c r="R469" s="3" t="inlineStr">
        <is>
          <t>MK-ST-F-060 verdict → MK-ST-F-023 reconcileLedgerIdentity</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MK-ST-F-024</t>
        </is>
      </c>
      <c r="B470" s="3" t="inlineStr">
        <is>
          <t>rmdStartAge</t>
        </is>
      </c>
      <c r="C470" s="3" t="inlineStr">
        <is>
          <t>Calculation Module code/engines/rmd.ts</t>
        </is>
      </c>
      <c r="D470" s="3" t="n">
        <v>55</v>
      </c>
      <c r="E470" s="3" t="inlineStr">
        <is>
          <t>2 · DISPLAYED</t>
        </is>
      </c>
      <c r="F470" s="3" t="inlineStr">
        <is>
          <t>The age required withdrawals begin, by birth year.</t>
        </is>
      </c>
      <c r="G470" s="11" t="inlineStr">
        <is>
          <t>start age = 75   when born 1960 or later
            73   otherwise</t>
        </is>
      </c>
      <c r="H470" s="3" t="inlineStr">
        <is>
          <t>The age required withdrawals begin. Born 1960 or later, 75; everyone else, 73 — including birth years before 1951, whose real start age was 72 or 70 and a half. An unknown birth year silently answers 73 rather than refusing. Finding A36.</t>
        </is>
      </c>
      <c r="I470" s="3" t="inlineStr">
        <is>
          <t>READ BY HAND 2026-08-26 — checked line by line against the code</t>
        </is>
      </c>
      <c r="J470" s="3" t="inlineStr">
        <is>
          <t>birthYear?: number | null</t>
        </is>
      </c>
      <c r="K470" s="3" t="inlineStr">
        <is>
          <t>number</t>
        </is>
      </c>
      <c r="L470"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0" s="3" t="inlineStr">
        <is>
          <t>· When the birth year is missing the start age is taken as 73 — the rule for those born 1951–1959, the middle of the 55–70 audience (A36). The whole schedule is coded: 70½ before 1949, 72 for 1949–1950, 73 for 1951–1959, 75 from 1960.</t>
        </is>
      </c>
      <c r="N470" s="3" t="inlineStr">
        <is>
          <t>Yes</t>
        </is>
      </c>
      <c r="O470" s="3" t="inlineStr">
        <is>
          <t>MK-ST-F-056 has</t>
        </is>
      </c>
      <c r="P470" s="3" t="n">
        <v>1</v>
      </c>
      <c r="Q470" s="3" t="inlineStr">
        <is>
          <t>MK-ST-F-056 has</t>
        </is>
      </c>
      <c r="R470" s="3" t="inlineStr">
        <is>
          <t>MK-ST-F-056 has → MK-ST-F-024 rmdStartAge</t>
        </is>
      </c>
      <c r="S470" s="3" t="inlineStr">
        <is>
          <t>—</t>
        </is>
      </c>
      <c r="T470" s="3" t="inlineStr">
        <is>
          <t>—</t>
        </is>
      </c>
      <c r="U470" s="3" t="inlineStr">
        <is>
          <t>ACTIVE</t>
        </is>
      </c>
      <c r="V470" s="3" t="inlineStr">
        <is>
          <t>2026-08-27</t>
        </is>
      </c>
      <c r="W470" s="3" t="n"/>
      <c r="X470" s="3" t="n"/>
      <c r="Y470" s="3" t="inlineStr">
        <is>
          <t>NOTHING OPEN</t>
        </is>
      </c>
    </row>
    <row r="471" ht="60" customHeight="1">
      <c r="A471" s="3" t="inlineStr">
        <is>
          <t>MK-ST-F-025</t>
        </is>
      </c>
      <c r="B471" s="3" t="inlineStr">
        <is>
          <t>rmdStartAgeFromAge</t>
        </is>
      </c>
      <c r="C471" s="3" t="inlineStr">
        <is>
          <t>Calculation Module code/engines/rmd.ts</t>
        </is>
      </c>
      <c r="D471" s="3" t="n">
        <v>94</v>
      </c>
      <c r="E471" s="3" t="inlineStr">
        <is>
          <t>3 · DEPENDENT</t>
        </is>
      </c>
      <c r="F471" s="3" t="inlineStr">
        <is>
          <t>The same rule when only an age is known (birth year ≈ this year − age; ±1 year of precision, which is what an age-only caller has).</t>
        </is>
      </c>
      <c r="G471" s="11" t="inlineStr">
        <is>
          <t>rmd start age(now year − age)</t>
        </is>
      </c>
      <c r="H471" s="3" t="inlineStr">
        <is>
          <t>rmd start age(now year minus age).</t>
        </is>
      </c>
      <c r="I471" s="3" t="inlineStr">
        <is>
          <t>READ FROM THE CODE — rendered from the expressions the function runs</t>
        </is>
      </c>
      <c r="J471" s="3" t="inlineStr">
        <is>
          <t>1. age: number
2. nowYear: number</t>
        </is>
      </c>
      <c r="K471" s="3" t="inlineStr">
        <is>
          <t>number</t>
        </is>
      </c>
      <c r="L471" s="3" t="inlineStr">
        <is>
          <t>—</t>
        </is>
      </c>
      <c r="M471" s="3" t="inlineStr">
        <is>
          <t>None found in this function — anything it assumes comes from the functions it depends on.</t>
        </is>
      </c>
      <c r="N471" s="3" t="inlineStr">
        <is>
          <t>Yes</t>
        </is>
      </c>
      <c r="O471" s="3" t="inlineStr">
        <is>
          <t>MK-ST-F-024 rmdStartAge</t>
        </is>
      </c>
      <c r="P471" s="3" t="n">
        <v>2</v>
      </c>
      <c r="Q471" s="3" t="inlineStr">
        <is>
          <t>1. MK-ST-F-024 rmdStartAge
2. MK-ST-F-056 has</t>
        </is>
      </c>
      <c r="R471" s="3" t="inlineStr">
        <is>
          <t>MK-ST-F-056 has → MK-ST-F-024 rmdStartAge → MK-ST-F-025 rmdStartAgeFromAge</t>
        </is>
      </c>
      <c r="S471" s="3" t="inlineStr">
        <is>
          <t>—</t>
        </is>
      </c>
      <c r="T471" s="3" t="inlineStr">
        <is>
          <t>—</t>
        </is>
      </c>
      <c r="U471" s="3" t="inlineStr">
        <is>
          <t>ACTIVE</t>
        </is>
      </c>
      <c r="V471" s="3" t="inlineStr">
        <is>
          <t>2026-08-27</t>
        </is>
      </c>
      <c r="W471" s="3" t="n"/>
      <c r="X471" s="3" t="n"/>
      <c r="Y471" s="3" t="inlineStr">
        <is>
          <t>NOTHING OPEN</t>
        </is>
      </c>
    </row>
    <row r="472" ht="60" customHeight="1">
      <c r="A472" s="3" t="inlineStr">
        <is>
          <t>MK-ST-F-026</t>
        </is>
      </c>
      <c r="B472" s="3" t="inlineStr">
        <is>
          <t>holdingId</t>
        </is>
      </c>
      <c r="C472" s="3" t="inlineStr">
        <is>
          <t>Calculation Module code/engines/snapshots.ts</t>
        </is>
      </c>
      <c r="D472" s="3" t="n">
        <v>81</v>
      </c>
      <c r="E472" s="3" t="inlineStr">
        <is>
          <t>1 · ACTION</t>
        </is>
      </c>
      <c r="F472" s="3" t="inlineStr">
        <is>
          <t>NOT DETERMINED — the code carries no note saying what this is for, and it has no row in the old inventory. Needs reading.</t>
        </is>
      </c>
      <c r="G472" s="11" t="inlineStr">
        <is>
          <t>the answer = date | account id | security key</t>
        </is>
      </c>
      <c r="H472" s="3" t="inlineStr">
        <is>
          <t>The identity of one holding snapshot: its date, account and security, joined with vertical bars. No arithmetic.</t>
        </is>
      </c>
      <c r="I472" s="3" t="inlineStr">
        <is>
          <t>READ BY HAND 2026-08-26 — checked line by line against the code</t>
        </is>
      </c>
      <c r="J472" s="3" t="inlineStr">
        <is>
          <t>s: Pick&lt;HoldingSnapshot, 'date' | 'accountId' | 'securityKey'&gt;</t>
        </is>
      </c>
      <c r="K472" s="3" t="inlineStr">
        <is>
          <t>string</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2026-09-12</t>
        </is>
      </c>
      <c r="W472" s="3" t="n"/>
      <c r="X472" s="3" t="n"/>
      <c r="Y472" s="3" t="inlineStr">
        <is>
          <t>NOTHING OPEN</t>
        </is>
      </c>
    </row>
    <row r="473" ht="60" customHeight="1">
      <c r="A473" s="3" t="inlineStr">
        <is>
          <t>MK-ST-F-027</t>
        </is>
      </c>
      <c r="B473" s="3" t="inlineStr">
        <is>
          <t>accountId</t>
        </is>
      </c>
      <c r="C473" s="3" t="inlineStr">
        <is>
          <t>Calculation Module code/engines/snapshots.ts</t>
        </is>
      </c>
      <c r="D473" s="3" t="n">
        <v>118</v>
      </c>
      <c r="E473" s="3" t="inlineStr">
        <is>
          <t>1 · ACTION</t>
        </is>
      </c>
      <c r="F473" s="3" t="inlineStr">
        <is>
          <t>NOT DETERMINED — the code carries no note saying what this is for, and it has no row in the old inventory. Needs reading.</t>
        </is>
      </c>
      <c r="G473" s="11" t="inlineStr">
        <is>
          <t>the answer = date | account id</t>
        </is>
      </c>
      <c r="H473" s="3" t="inlineStr">
        <is>
          <t>The identity of one account snapshot: its date and account, joined with a vertical bar. No arithmetic.</t>
        </is>
      </c>
      <c r="I473" s="3" t="inlineStr">
        <is>
          <t>READ BY HAND 2026-08-26 — checked line by line against the code</t>
        </is>
      </c>
      <c r="J473" s="3" t="inlineStr">
        <is>
          <t>s: Pick&lt;AccountSnapshot, 'date' | 'accountId'&gt;</t>
        </is>
      </c>
      <c r="K473" s="3" t="inlineStr">
        <is>
          <t>string</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2026-09-12</t>
        </is>
      </c>
      <c r="W473" s="3" t="n"/>
      <c r="X473" s="3" t="n"/>
      <c r="Y473" s="3" t="inlineStr">
        <is>
          <t>NOTHING OPEN</t>
        </is>
      </c>
    </row>
    <row r="474" ht="60" customHeight="1">
      <c r="A474" s="3" t="inlineStr">
        <is>
          <t>MK-ST-F-028</t>
        </is>
      </c>
      <c r="B474" s="3" t="inlineStr">
        <is>
          <t>buildDayFromAccounts</t>
        </is>
      </c>
      <c r="C474" s="3" t="inlineStr">
        <is>
          <t>Calculation Module code/engines/snapshots.ts</t>
        </is>
      </c>
      <c r="D474" s="3" t="n">
        <v>191</v>
      </c>
      <c r="E474" s="3" t="inlineStr">
        <is>
          <t>3 · DEPENDENT</t>
        </is>
      </c>
      <c r="F474" s="3" t="inlineStr">
        <is>
          <t>Today's SnapshotDay, observed from the live account state.</t>
        </is>
      </c>
      <c r="G474"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74"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74" s="3" t="inlineStr">
        <is>
          <t>READ FROM THE CODE — rendered from the expressions the function runs</t>
        </is>
      </c>
      <c r="J474" s="3" t="inlineStr">
        <is>
          <t>1. accounts: AccountLike[]
2. date: string
3. writtenAt: string</t>
        </is>
      </c>
      <c r="K474" s="3" t="inlineStr">
        <is>
          <t>SnapshotDay</t>
        </is>
      </c>
      <c r="L474" s="3" t="inlineStr">
        <is>
          <t>—</t>
        </is>
      </c>
      <c r="M474"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2026-09-12</t>
        </is>
      </c>
      <c r="W474" s="3" t="n"/>
      <c r="X474" s="3" t="n"/>
      <c r="Y474" s="3" t="inlineStr">
        <is>
          <t>NOTHING OPEN</t>
        </is>
      </c>
    </row>
    <row r="475" ht="60" customHeight="1">
      <c r="A475" s="3" t="inlineStr">
        <is>
          <t>MK-ST-F-029</t>
        </is>
      </c>
      <c r="B475" s="3" t="inlineStr">
        <is>
          <t>prune</t>
        </is>
      </c>
      <c r="C475" s="3" t="inlineStr">
        <is>
          <t>Calculation Module code/engines/snapshots.ts</t>
        </is>
      </c>
      <c r="D475" s="3" t="n">
        <v>283</v>
      </c>
      <c r="E475" s="3" t="inlineStr">
        <is>
          <t>3 · DEPENDENT (feeds an action only)</t>
        </is>
      </c>
      <c r="F475" s="3" t="inlineStr">
        <is>
          <t>Which days survive.</t>
        </is>
      </c>
      <c r="G475" s="11" t="inlineStr">
        <is>
          <t>cutoff = the date today
cutoff key = the first 10 of cutoff.to isostring()
all = a list with no repeats of for each of days: date
the answer = days where date ≥ cutoff key (or is month end(date, all) when missing or zero)</t>
        </is>
      </c>
      <c r="H475" s="3" t="inlineStr">
        <is>
          <t>Cutoff: the date today. Cutoff key: the first 10 of cutoff.to isostring(). All is a list with no repeats of for each of days: date. The answer is days where date is at least cutoff key (or is month end(date, all) — when missing or zero).</t>
        </is>
      </c>
      <c r="I475" s="3" t="inlineStr">
        <is>
          <t>PARTLY READ — some of the code is still showing through; needs a hand pass</t>
        </is>
      </c>
      <c r="J475" s="3" t="inlineStr">
        <is>
          <t>1. days: SnapshotDay[]
2. today: string</t>
        </is>
      </c>
      <c r="K475" s="3" t="inlineStr">
        <is>
          <t>SnapshotDay[]</t>
        </is>
      </c>
      <c r="L475" s="3" t="inlineStr">
        <is>
          <t>—</t>
        </is>
      </c>
      <c r="M475" s="3" t="inlineStr">
        <is>
          <t>None found in this function — anything it assumes comes from the functions it depends on.</t>
        </is>
      </c>
      <c r="N475" s="3" t="inlineStr">
        <is>
          <t>No</t>
        </is>
      </c>
      <c r="O475" s="3" t="inlineStr">
        <is>
          <t>1. MK-ST-F-061 isMonthEnd
2. MK-CF-F-132 map</t>
        </is>
      </c>
      <c r="P475" s="3" t="n">
        <v>3</v>
      </c>
      <c r="Q475" s="3" t="inlineStr">
        <is>
          <t>1. MK-ST-F-061 isMonthEnd
2. MK-CF-F-132 map
3. MK-ST-F-056 has</t>
        </is>
      </c>
      <c r="R475" s="3" t="inlineStr">
        <is>
          <t>1. MK-ST-F-056 has → MK-ST-F-061 isMonthEnd → MK-ST-F-029 prune
2. MK-CF-F-132 map → MK-ST-F-061 isMonthEnd → MK-ST-F-029 prune
3. MK-CF-F-132 map → MK-ST-F-029 prune</t>
        </is>
      </c>
      <c r="S475" s="3" t="inlineStr">
        <is>
          <t>—</t>
        </is>
      </c>
      <c r="T475" s="3" t="inlineStr">
        <is>
          <t>—</t>
        </is>
      </c>
      <c r="U475" s="3" t="inlineStr">
        <is>
          <t>ACTIVE</t>
        </is>
      </c>
      <c r="V475" s="3" t="inlineStr">
        <is>
          <t>2026-08-27</t>
        </is>
      </c>
      <c r="W475" s="3" t="n"/>
      <c r="X475" s="3" t="n"/>
      <c r="Y475" s="3" t="inlineStr">
        <is>
          <t>NOTHING OPEN</t>
        </is>
      </c>
    </row>
    <row r="476" ht="45" customHeight="1">
      <c r="A476" s="3" t="inlineStr">
        <is>
          <t>MK-ST-F-030</t>
        </is>
      </c>
      <c r="B476" s="3" t="inlineStr">
        <is>
          <t>record</t>
        </is>
      </c>
      <c r="C476" s="3" t="inlineStr">
        <is>
          <t>Calculation Module code/engines/snapshots.ts</t>
        </is>
      </c>
      <c r="D476" s="3" t="n">
        <v>324</v>
      </c>
      <c r="E476" s="3" t="inlineStr">
        <is>
          <t>2 · DISPLAYED</t>
        </is>
      </c>
      <c r="F476" s="3" t="inlineStr">
        <is>
          <t>── writing ───────────────────────────────────────────────────────────────────────────────────── Add a day.</t>
        </is>
      </c>
      <c r="G476" s="11" t="inlineStr">
        <is>
          <t>rest = days where date ! = day.date
the answer = [...rest, day].sort((a, b) =&gt; date.locale compare(date))</t>
        </is>
      </c>
      <c r="H476" s="3" t="inlineStr">
        <is>
          <t>Rest is days where date ! = day.date. The answer is [...rest, day].sort((a, b) =&gt; date.locale compare(date)).</t>
        </is>
      </c>
      <c r="I476" s="3" t="inlineStr">
        <is>
          <t>PARTLY READ — some of the code is still showing through; needs a hand pass</t>
        </is>
      </c>
      <c r="J476" s="3" t="inlineStr">
        <is>
          <t>1. days: SnapshotDay[]
2. day: SnapshotDay</t>
        </is>
      </c>
      <c r="K476" s="3" t="inlineStr">
        <is>
          <t>SnapshotDay[]</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2026-09-25</t>
        </is>
      </c>
      <c r="W476" s="3" t="n"/>
      <c r="X476" s="3" t="n"/>
      <c r="Y476" s="3" t="inlineStr">
        <is>
          <t>NOTHING OPEN</t>
        </is>
      </c>
    </row>
    <row r="477" ht="60" customHeight="1">
      <c r="A477" s="3" t="inlineStr">
        <is>
          <t>MK-ST-F-031</t>
        </is>
      </c>
      <c r="B477" s="3" t="inlineStr">
        <is>
          <t>valueOn</t>
        </is>
      </c>
      <c r="C477" s="3" t="inlineStr">
        <is>
          <t>Calculation Module code/engines/snapshots.ts</t>
        </is>
      </c>
      <c r="D477" s="3" t="n">
        <v>366</v>
      </c>
      <c r="E477" s="3" t="inlineStr">
        <is>
          <t>2 · DISPLAYED</t>
        </is>
      </c>
      <c r="F477" s="3" t="inlineStr">
        <is>
          <t>── reading ───────────────────────────────────────────────────────────────────────────────────── What one account was worth on a date — the figure the old code had to back-solve.</t>
        </is>
      </c>
      <c r="G477" s="11" t="inlineStr">
        <is>
          <t>day = on or before(days, date)
nothing   when day is missing
in set = (id: string) =&gt; account ids.size = 0 (or account ids.has(id) when missing or zero)
holdings = Σ over day.holdings where in set(account id) of (value)
cash = Σ over day.accounts where in set(account id) of (cash + (typed value ?? 0))
nothing   when !day.holdings.some((h) =&gt; in set(account id)) and !day.accounts.some((a) =&gt; in set(account id))
the answer = holdings + cash</t>
        </is>
      </c>
      <c r="H477" s="3" t="inlineStr">
        <is>
          <t>Day is on or before(days, date). When day is missing, it answers no answer. In set is (id: string) =&gt; account ids.size = 0 (or account ids.has(id) — when missing or zero). Holdings: the value added up across day.holdings where in set(account id). Cash: the cash plus (typed value ?? 0) added up across day.accounts where in set(account id). When !day.holdings.some((h) =&gt; in set(account id)) and !day.accounts.some((a) =&gt; in set(account id)), it answers no answer. The answer is holdings plus cash.</t>
        </is>
      </c>
      <c r="I477" s="3" t="inlineStr">
        <is>
          <t>PARTLY READ — some of the code is still showing through; needs a hand pass</t>
        </is>
      </c>
      <c r="J477" s="3" t="inlineStr">
        <is>
          <t>1. days: SnapshotDay[]
2. accountIds: Set&lt;string&gt;
3. date: string</t>
        </is>
      </c>
      <c r="K477" s="3" t="inlineStr">
        <is>
          <t>number | null</t>
        </is>
      </c>
      <c r="L477" s="3" t="inlineStr">
        <is>
          <t>NOT FOUND — a screen calls it, but the words printed beside its answer could not be traced automatically. Needs reading.</t>
        </is>
      </c>
      <c r="M477" s="3" t="inlineStr">
        <is>
          <t>· If typed value is missing it uses 0.</t>
        </is>
      </c>
      <c r="N477" s="3" t="inlineStr">
        <is>
          <t>Yes</t>
        </is>
      </c>
      <c r="O477" s="3" t="inlineStr">
        <is>
          <t>1. MK-ST-F-027 accountId
2. MK-CF-F-155 cash
3. MK-ST-F-056 has
4. MK-ST-F-033 onOrBefore</t>
        </is>
      </c>
      <c r="P477" s="3" t="n">
        <v>5</v>
      </c>
      <c r="Q477" s="3" t="inlineStr">
        <is>
          <t>1. MK-ST-F-027 accountId
2. MK-CF-F-155 cash
3. MK-ST-F-056 has
4. MK-ST-F-033 onOrBefore
5. MK-XS-F-122 n</t>
        </is>
      </c>
      <c r="R477" s="3" t="inlineStr">
        <is>
          <t>1. MK-ST-F-027 accountId → MK-ST-F-031 valueOn
2. MK-XS-F-122 n → MK-CF-F-155 cash → MK-ST-F-031 valueOn
3. MK-ST-F-056 has → MK-ST-F-031 valueOn
4. MK-ST-F-033 onOrBefore → MK-ST-F-031 valueOn</t>
        </is>
      </c>
      <c r="S477" s="3" t="inlineStr">
        <is>
          <t>MK-PF-M-001 · MK-PF-M-004</t>
        </is>
      </c>
      <c r="T477" s="3" t="inlineStr">
        <is>
          <t>—</t>
        </is>
      </c>
      <c r="U477" s="3" t="inlineStr">
        <is>
          <t>ACTIVE</t>
        </is>
      </c>
      <c r="V477" s="3" t="inlineStr">
        <is>
          <t>2026-09-09</t>
        </is>
      </c>
      <c r="W477" s="3" t="n"/>
      <c r="X477" s="3" t="n"/>
      <c r="Y477" s="3" t="inlineStr">
        <is>
          <t>NOTHING OPEN</t>
        </is>
      </c>
    </row>
    <row r="478" ht="60" customHeight="1">
      <c r="A478" s="3" t="inlineStr">
        <is>
          <t>MK-ST-F-032</t>
        </is>
      </c>
      <c r="B478" s="3" t="inlineStr">
        <is>
          <t>unitsOn</t>
        </is>
      </c>
      <c r="C478" s="3" t="inlineStr">
        <is>
          <t>Calculation Module code/engines/snapshots.ts</t>
        </is>
      </c>
      <c r="D478" s="3" t="n">
        <v>398</v>
      </c>
      <c r="E478" s="3" t="inlineStr">
        <is>
          <t>3 · DEPENDENT (feeds an action only)</t>
        </is>
      </c>
      <c r="F478" s="3" t="inlineStr">
        <is>
          <t>How many units of one holding were held on a date — what the trend chart needs and never had.</t>
        </is>
      </c>
      <c r="G478" s="11" t="inlineStr">
        <is>
          <t>day = on or before(days, date)
h = day.holdings.find((x) =&gt; account id = acc id and security key = security key)
the answer:
units   if h
nothing   otherwise</t>
        </is>
      </c>
      <c r="H478" s="3" t="inlineStr">
        <is>
          <t>Day is on or before(days, date). H is day.holdings.find((x) =&gt; account id = acc id and security key = security key). The answer is units — when h; no answer — otherwise.</t>
        </is>
      </c>
      <c r="I478" s="3" t="inlineStr">
        <is>
          <t>PARTLY READ — some of the code is still showing through; needs a hand pass</t>
        </is>
      </c>
      <c r="J478" s="3" t="inlineStr">
        <is>
          <t>1. days: SnapshotDay[]
2. accId: string
3. securityKey: string
4. date: string</t>
        </is>
      </c>
      <c r="K478" s="3" t="inlineStr">
        <is>
          <t>number | null</t>
        </is>
      </c>
      <c r="L478" s="3" t="inlineStr">
        <is>
          <t>—</t>
        </is>
      </c>
      <c r="M478" s="3" t="inlineStr">
        <is>
          <t>None found in this function — anything it assumes comes from the functions it depends on.</t>
        </is>
      </c>
      <c r="N478" s="3" t="inlineStr">
        <is>
          <t>No</t>
        </is>
      </c>
      <c r="O478" s="3" t="inlineStr">
        <is>
          <t>MK-ST-F-033 onOrBefore</t>
        </is>
      </c>
      <c r="P478" s="3" t="n">
        <v>1</v>
      </c>
      <c r="Q478" s="3" t="inlineStr">
        <is>
          <t>MK-ST-F-033 onOrBefore</t>
        </is>
      </c>
      <c r="R478" s="3" t="inlineStr">
        <is>
          <t>MK-ST-F-033 onOrBefore → MK-ST-F-032 unitsOn</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MK-ST-F-033</t>
        </is>
      </c>
      <c r="B479" s="3" t="inlineStr">
        <is>
          <t>onOrBefore</t>
        </is>
      </c>
      <c r="C479" s="3" t="inlineStr">
        <is>
          <t>Calculation Module code/engines/snapshots.ts</t>
        </is>
      </c>
      <c r="D479" s="3" t="n">
        <v>428</v>
      </c>
      <c r="E479" s="3" t="inlineStr">
        <is>
          <t>3 · DEPENDENT</t>
        </is>
      </c>
      <c r="F479" s="3" t="inlineStr">
        <is>
          <t>The latest day at or before a date, or nothing when the record does not reach back that far.</t>
        </is>
      </c>
      <c r="G479" s="11" t="inlineStr">
        <is>
          <t>best = nothing
[LOOP — the answer is found inside a loop the extractor cannot render; the steps above are the ones before it. Read by hand.]</t>
        </is>
      </c>
      <c r="H479" s="3" t="inlineStr">
        <is>
          <t>Best is no answer. The answer is best. The answer is found inside a loop that cannot be rendered here; read the code by hand.</t>
        </is>
      </c>
      <c r="I479" s="3" t="inlineStr">
        <is>
          <t>PARTLY READ — the body has a loop the extractor cannot render; the steps shown are the ones before it. Needs a hand pass (G23).</t>
        </is>
      </c>
      <c r="J479" s="3" t="inlineStr">
        <is>
          <t>1. days: T[]
2. date: string</t>
        </is>
      </c>
      <c r="K479" s="3" t="inlineStr">
        <is>
          <t>T | null</t>
        </is>
      </c>
      <c r="L479" s="3" t="inlineStr">
        <is>
          <t>—</t>
        </is>
      </c>
      <c r="M479" s="3" t="inlineStr">
        <is>
          <t>None found in this function — anything it assumes comes from the functions it depends on.</t>
        </is>
      </c>
      <c r="N479" s="3" t="inlineStr">
        <is>
          <t>Yes</t>
        </is>
      </c>
      <c r="O479" s="3" t="inlineStr">
        <is>
          <t>—</t>
        </is>
      </c>
      <c r="P479" s="3" t="n">
        <v>0</v>
      </c>
      <c r="Q479" s="3" t="inlineStr">
        <is>
          <t>None — no dependent function stands behind it</t>
        </is>
      </c>
      <c r="R479" s="3" t="inlineStr">
        <is>
          <t>No dependent function — it reads its inputs and answers</t>
        </is>
      </c>
      <c r="S479" s="3" t="inlineStr">
        <is>
          <t>—</t>
        </is>
      </c>
      <c r="T479" s="3" t="inlineStr">
        <is>
          <t>—</t>
        </is>
      </c>
      <c r="U479" s="3" t="inlineStr">
        <is>
          <t>ACTIVE</t>
        </is>
      </c>
      <c r="V479" s="3" t="inlineStr">
        <is>
          <t>2026-09-08</t>
        </is>
      </c>
      <c r="W479" s="3" t="n"/>
      <c r="X479" s="3" t="n"/>
      <c r="Y479" s="3" t="inlineStr">
        <is>
          <t>NOTHING OPEN</t>
        </is>
      </c>
    </row>
    <row r="480" ht="60" customHeight="1">
      <c r="A480" s="3" t="inlineStr">
        <is>
          <t>MK-ST-F-034</t>
        </is>
      </c>
      <c r="B480" s="3" t="inlineStr">
        <is>
          <t>firstDate</t>
        </is>
      </c>
      <c r="C480" s="3" t="inlineStr">
        <is>
          <t>Calculation Module code/engines/snapshots.ts</t>
        </is>
      </c>
      <c r="D480" s="3" t="n">
        <v>465</v>
      </c>
      <c r="E480" s="3" t="inlineStr">
        <is>
          <t>3 · DEPENDENT</t>
        </is>
      </c>
      <c r="F480" s="3" t="inlineStr">
        <is>
          <t>The first date the record covers — so a change figure can say what it is measured FROM, rather than presenting a figure measured from install day as though it covered the year.</t>
        </is>
      </c>
      <c r="G480" s="11" t="inlineStr">
        <is>
          <t>days.reduce((a, b) =&gt; (date &lt; date ? a : b)).date   if count of days
nothing   otherwise</t>
        </is>
      </c>
      <c r="H480" s="3" t="inlineStr">
        <is>
          <t>days.reduce((a, b) =&gt; (date &lt; date ? a : b)).date — when how many days there are; no answer — otherwise.</t>
        </is>
      </c>
      <c r="I480" s="3" t="inlineStr">
        <is>
          <t>PARTLY READ — some of the code is still showing through; needs a hand pass</t>
        </is>
      </c>
      <c r="J480" s="3" t="inlineStr">
        <is>
          <t>days: T[]</t>
        </is>
      </c>
      <c r="K480" s="3" t="inlineStr">
        <is>
          <t>string | null</t>
        </is>
      </c>
      <c r="L480" s="3" t="inlineStr">
        <is>
          <t>—</t>
        </is>
      </c>
      <c r="M480" s="3" t="inlineStr">
        <is>
          <t>None found in this function — anything it assumes comes from the functions it depends on.</t>
        </is>
      </c>
      <c r="N480" s="3" t="inlineStr">
        <is>
          <t>Yes</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45" customHeight="1">
      <c r="A481" s="3" t="inlineStr">
        <is>
          <t>MK-ST-F-035</t>
        </is>
      </c>
      <c r="B481" s="3" t="inlineStr">
        <is>
          <t>covers</t>
        </is>
      </c>
      <c r="C481" s="3" t="inlineStr">
        <is>
          <t>Calculation Module code/engines/snapshots.ts</t>
        </is>
      </c>
      <c r="D481" s="3" t="n">
        <v>501</v>
      </c>
      <c r="E481" s="3" t="inlineStr">
        <is>
          <t>3 · DEPENDENT (feeds an action only)</t>
        </is>
      </c>
      <c r="F481" s="3" t="inlineStr">
        <is>
          <t>Does the record actually cover this window?</t>
        </is>
      </c>
      <c r="G481" s="11" t="inlineStr">
        <is>
          <t>f = first date(days)
the answer = f ≠ nothing and f ≤ from</t>
        </is>
      </c>
      <c r="H481" s="3" t="inlineStr">
        <is>
          <t>F is first date(days). The answer is f is not no answer and f is at most from.</t>
        </is>
      </c>
      <c r="I481" s="3" t="inlineStr">
        <is>
          <t>READ FROM THE CODE — rendered from the expressions the function runs</t>
        </is>
      </c>
      <c r="J481" s="3" t="inlineStr">
        <is>
          <t>1. days: SnapshotDay[]
2. from: string</t>
        </is>
      </c>
      <c r="K481" s="3" t="inlineStr">
        <is>
          <t>boolean</t>
        </is>
      </c>
      <c r="L481" s="3" t="inlineStr">
        <is>
          <t>—</t>
        </is>
      </c>
      <c r="M481" s="3" t="inlineStr">
        <is>
          <t>None found in this function — anything it assumes comes from the functions it depends on.</t>
        </is>
      </c>
      <c r="N481" s="3" t="inlineStr">
        <is>
          <t>No</t>
        </is>
      </c>
      <c r="O481" s="3" t="inlineStr">
        <is>
          <t>MK-ST-F-034 firstDate</t>
        </is>
      </c>
      <c r="P481" s="3" t="n">
        <v>1</v>
      </c>
      <c r="Q481" s="3" t="inlineStr">
        <is>
          <t>MK-ST-F-034 firstDate</t>
        </is>
      </c>
      <c r="R481" s="3" t="inlineStr">
        <is>
          <t>MK-ST-F-034 firstDate → MK-ST-F-035 covers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MK-ST-F-036</t>
        </is>
      </c>
      <c r="B482" s="3" t="inlineStr">
        <is>
          <t>reconcile</t>
        </is>
      </c>
      <c r="C482" s="3" t="inlineStr">
        <is>
          <t>Calculation Module code/engines/snapshots.ts</t>
        </is>
      </c>
      <c r="D482" s="3" t="n">
        <v>545</v>
      </c>
      <c r="E482" s="3" t="inlineStr">
        <is>
          <t>3 · DEPENDENT (feeds an action only)</t>
        </is>
      </c>
      <c r="F482" s="3" t="inlineStr">
        <is>
          <t>── the outside check ─────────────────────────────────────────────────────────────────────────── Our figure against the broker's own stated total.</t>
        </is>
      </c>
      <c r="G482" s="11" t="inlineStr">
        <is>
          <t>theirs = day.accounts.find((a) =&gt; account id = acc id).stated total (or nothing when missing)
the answer:
ours = ours
theirs = theirs
difference = nothing   if theirs = nothing
ours − theirs   otherwise</t>
        </is>
      </c>
      <c r="H482" s="3" t="inlineStr">
        <is>
          <t>Theirs is day.accounts.find((a) =&gt; account id = acc id).stated total (or no answer — when missing). The answer is ours = ours; theirs = theirs; difference is missing — when theirs is missing; ours minus theirs — otherwise.</t>
        </is>
      </c>
      <c r="I482" s="3" t="inlineStr">
        <is>
          <t>PARTLY READ — some of the code is still showing through; needs a hand pass</t>
        </is>
      </c>
      <c r="J482" s="3" t="inlineStr">
        <is>
          <t>1. day: SnapshotDay
2. accId: string</t>
        </is>
      </c>
      <c r="K482" s="3" t="inlineStr">
        <is>
          <t>NOT DECLARED — the code does not say what it gives back</t>
        </is>
      </c>
      <c r="L482" s="3" t="inlineStr">
        <is>
          <t>—</t>
        </is>
      </c>
      <c r="M482" s="3" t="inlineStr">
        <is>
          <t>· If cash is missing it uses 0.</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2026-09-09</t>
        </is>
      </c>
      <c r="W482" s="3" t="n"/>
      <c r="X482" s="3" t="n"/>
      <c r="Y482" s="3" t="inlineStr">
        <is>
          <t>NOTHING OPEN</t>
        </is>
      </c>
    </row>
    <row r="483" ht="60" customHeight="1">
      <c r="A483" s="3" t="inlineStr">
        <is>
          <t>MK-ST-F-037</t>
        </is>
      </c>
      <c r="B483" s="3" t="inlineStr">
        <is>
          <t>pendingUpload</t>
        </is>
      </c>
      <c r="C483" s="3" t="inlineStr">
        <is>
          <t>Calculation Module code/engines/snapshots.ts</t>
        </is>
      </c>
      <c r="D483" s="3" t="n">
        <v>573</v>
      </c>
      <c r="E483" s="3" t="inlineStr">
        <is>
          <t>3 · DEPENDENT (feeds an action only)</t>
        </is>
      </c>
      <c r="F483" s="3" t="inlineStr">
        <is>
          <t>── the later cloud sync ──────────────────────────────────────────────────────────────────────── Everything not yet uploaded, oldest first.</t>
        </is>
      </c>
      <c r="G483" s="11" t="inlineStr">
        <is>
          <t>days where last uploaded is missing (or date &gt; last uploaded when missing or zero)</t>
        </is>
      </c>
      <c r="H483" s="3" t="inlineStr">
        <is>
          <t>days where last uploaded is missing (or date &gt; last uploaded — when missing or zero).</t>
        </is>
      </c>
      <c r="I483" s="3" t="inlineStr">
        <is>
          <t>READ FROM THE CODE — rendered from the expressions the function runs</t>
        </is>
      </c>
      <c r="J483" s="3" t="inlineStr">
        <is>
          <t>1. days: SnapshotDay[]
2. lastUploaded: string | null</t>
        </is>
      </c>
      <c r="K483" s="3" t="inlineStr">
        <is>
          <t>SnapshotDay[]</t>
        </is>
      </c>
      <c r="L483" s="3" t="inlineStr">
        <is>
          <t>—</t>
        </is>
      </c>
      <c r="M483" s="3" t="inlineStr">
        <is>
          <t>None found in this function — anything it assumes comes from the functions it depends on.</t>
        </is>
      </c>
      <c r="N483" s="3" t="inlineStr">
        <is>
          <t>No</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MK-ST-F-038</t>
        </is>
      </c>
      <c r="B484" s="3" t="inlineStr">
        <is>
          <t>windowBounds</t>
        </is>
      </c>
      <c r="C484" s="3" t="inlineStr">
        <is>
          <t>Calculation Module code/engines/window-return.ts</t>
        </is>
      </c>
      <c r="D484" s="3" t="n">
        <v>109</v>
      </c>
      <c r="E484" s="3" t="inlineStr">
        <is>
          <t>2 · DISPLAYED</t>
        </is>
      </c>
      <c r="F484" s="3" t="inlineStr">
        <is>
          <t>NOT DETERMINED — the code carries no note saying what this is for, and it has no row in the old inventory. Needs reading.</t>
        </is>
      </c>
      <c r="G484" s="11" t="inlineStr">
        <is>
          <t>beginning as of = the day before the start
days = round((end − start) in days) + 1</t>
        </is>
      </c>
      <c r="H484" s="3" t="inlineStr">
        <is>
          <t>The bounds of a return window: the beginning value is read on the day BEFORE the start, and the window's length counts both boundary days (brief D3, 2026-08-20).</t>
        </is>
      </c>
      <c r="I484" s="3" t="inlineStr">
        <is>
          <t>READ BY HAND 2026-08-26 — checked line by line against the code</t>
        </is>
      </c>
      <c r="J484" s="3" t="inlineStr">
        <is>
          <t>1. start: string
2. end: string</t>
        </is>
      </c>
      <c r="K484" s="3" t="inlineStr">
        <is>
          <t>WindowBounds</t>
        </is>
      </c>
      <c r="L484" s="3" t="inlineStr">
        <is>
          <t>NOT FOUND — a screen calls it, but the words printed beside its answer could not be traced automatically. Needs reading.</t>
        </is>
      </c>
      <c r="M484" s="3" t="inlineStr">
        <is>
          <t>· Rounds the answer to a whole number.</t>
        </is>
      </c>
      <c r="N484" s="3" t="inlineStr">
        <is>
          <t>Yes</t>
        </is>
      </c>
      <c r="O484" s="3" t="inlineStr">
        <is>
          <t>1. MK-ST-F-063 shiftDay
2. MK-ST-F-062 toUtc</t>
        </is>
      </c>
      <c r="P484" s="3" t="n">
        <v>2</v>
      </c>
      <c r="Q484" s="3" t="inlineStr">
        <is>
          <t>1. MK-ST-F-063 shiftDay
2. MK-ST-F-062 toUtc</t>
        </is>
      </c>
      <c r="R484" s="3" t="inlineStr">
        <is>
          <t>1. MK-ST-F-062 toUtc → MK-ST-F-063 shiftDay → MK-ST-F-038 windowBounds
2. MK-ST-F-062 toUtc → MK-ST-F-038 windowBounds</t>
        </is>
      </c>
      <c r="S484" s="3" t="inlineStr">
        <is>
          <t>—</t>
        </is>
      </c>
      <c r="T484" s="3" t="inlineStr">
        <is>
          <t>—</t>
        </is>
      </c>
      <c r="U484" s="3" t="inlineStr">
        <is>
          <t>ACTIVE</t>
        </is>
      </c>
      <c r="V484" s="3" t="inlineStr">
        <is>
          <t>2026-09-12</t>
        </is>
      </c>
      <c r="W484" s="3" t="n"/>
      <c r="X484" s="3" t="n"/>
      <c r="Y484" s="3" t="inlineStr">
        <is>
          <t>NOTHING OPEN</t>
        </is>
      </c>
    </row>
    <row r="485" ht="60" customHeight="1">
      <c r="A485" s="3" t="inlineStr">
        <is>
          <t>MK-ST-F-039</t>
        </is>
      </c>
      <c r="B485" s="3" t="inlineStr">
        <is>
          <t>on</t>
        </is>
      </c>
      <c r="C485" s="3" t="inlineStr">
        <is>
          <t>src/domain/_shared/eventBus.ts</t>
        </is>
      </c>
      <c r="D485" s="3" t="n">
        <v>40</v>
      </c>
      <c r="E485" s="3" t="inlineStr">
        <is>
          <t>2 · DISPLAYED</t>
        </is>
      </c>
      <c r="F485" s="3" t="inlineStr">
        <is>
          <t>NOT DETERMINED — the code carries no note saying what this is for, and it has no row in the old inventory. Needs reading.</t>
        </is>
      </c>
      <c r="G485" s="11" t="inlineStr">
        <is>
          <t>() =&gt; handlers[event type].delete(handler as handler)</t>
        </is>
      </c>
      <c r="H485" s="3" t="inlineStr">
        <is>
          <t>() =&gt; handlers[event type].delete(handler as handler).</t>
        </is>
      </c>
      <c r="I485" s="3" t="inlineStr">
        <is>
          <t>PARTLY READ — some of the code is still showing through; needs a hand pass</t>
        </is>
      </c>
      <c r="J485" s="3" t="inlineStr">
        <is>
          <t>1. eventType: string
2. handler: Handler&lt;T&gt;</t>
        </is>
      </c>
      <c r="K485" s="3" t="inlineStr">
        <is>
          <t>()</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MK-ST-F-040</t>
        </is>
      </c>
      <c r="B486" s="3" t="inlineStr">
        <is>
          <t>emit</t>
        </is>
      </c>
      <c r="C486" s="3" t="inlineStr">
        <is>
          <t>src/domain/_shared/eventBus.ts</t>
        </is>
      </c>
      <c r="D486" s="3" t="n">
        <v>67</v>
      </c>
      <c r="E486" s="3" t="inlineStr">
        <is>
          <t>1 · ACTION</t>
        </is>
      </c>
      <c r="F486" s="3" t="inlineStr">
        <is>
          <t>NOT DETERMINED — the code carries no note saying what this is for, and it has no row in the old inventory. Needs reading.</t>
        </is>
      </c>
      <c r="G486" s="11" t="inlineStr">
        <is>
          <t>It records or announces something and returns no figure — no arithmetic of its own.</t>
        </is>
      </c>
      <c r="H486" s="3" t="inlineStr">
        <is>
          <t>It records or announces something and returns no figure — no arithmetic of its own.</t>
        </is>
      </c>
      <c r="I486" s="3" t="inlineStr">
        <is>
          <t>NO ARITHMETIC — there is no formula to state</t>
        </is>
      </c>
      <c r="J486" s="3" t="inlineStr">
        <is>
          <t>1. eventType: string
2. payload: T</t>
        </is>
      </c>
      <c r="K486" s="3" t="inlineStr">
        <is>
          <t>void</t>
        </is>
      </c>
      <c r="L486" s="3" t="inlineStr">
        <is>
          <t>—</t>
        </is>
      </c>
      <c r="M486" s="3" t="inlineStr">
        <is>
          <t>None found in this function — anything it assumes comes from the functions it depends on.</t>
        </is>
      </c>
      <c r="N486" s="3" t="inlineStr">
        <is>
          <t>Yes</t>
        </is>
      </c>
      <c r="O486" s="3" t="inlineStr">
        <is>
          <t>—</t>
        </is>
      </c>
      <c r="P486" s="3" t="n">
        <v>0</v>
      </c>
      <c r="Q486" s="3" t="inlineStr">
        <is>
          <t>None — no dependent function stands behind it</t>
        </is>
      </c>
      <c r="R486" s="3" t="inlineStr">
        <is>
          <t>No dependent function — it reads its inputs and answers</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MK-ST-F-041</t>
        </is>
      </c>
      <c r="B487" s="3" t="inlineStr">
        <is>
          <t>getUserDoc</t>
        </is>
      </c>
      <c r="C487" s="3" t="inlineStr">
        <is>
          <t>src/domain/_shared/firestore.ts</t>
        </is>
      </c>
      <c r="D487" s="3" t="n">
        <v>27</v>
      </c>
      <c r="E487" s="3" t="inlineStr">
        <is>
          <t>4 · BRINGS DATA IN</t>
        </is>
      </c>
      <c r="F487" s="3" t="inlineStr">
        <is>
          <t>Read a single-document-per-user collection (e.g.</t>
        </is>
      </c>
      <c r="G487" s="11" t="inlineStr">
        <is>
          <t>snap = await get doc(doc(db, collection name, uid))
the answer:
snap.data() as T   if snap.exists()
nothing   otherwise</t>
        </is>
      </c>
      <c r="H487" s="3" t="inlineStr">
        <is>
          <t>Snap is await get doc(doc(db, collection name, uid)). The answer is snap.data() as T — when snap.exists(); no answer — otherwise.</t>
        </is>
      </c>
      <c r="I487" s="3" t="inlineStr">
        <is>
          <t>PARTLY READ — some of the code is still showing through; needs a hand pass</t>
        </is>
      </c>
      <c r="J487" s="3" t="inlineStr">
        <is>
          <t>1. collectionName: string
2. uid: UserId</t>
        </is>
      </c>
      <c r="K487" s="3" t="inlineStr">
        <is>
          <t>Promise&lt;T | null&gt;</t>
        </is>
      </c>
      <c r="L487" s="3" t="inlineStr">
        <is>
          <t>—</t>
        </is>
      </c>
      <c r="M487" s="3" t="inlineStr">
        <is>
          <t>None found in this function — anything it assumes comes from the functions it depends on.</t>
        </is>
      </c>
      <c r="N487" s="3" t="inlineStr">
        <is>
          <t>No</t>
        </is>
      </c>
      <c r="O487" s="3" t="inlineStr">
        <is>
          <t>MK-XS-F-175 uid</t>
        </is>
      </c>
      <c r="P487" s="3" t="n">
        <v>80</v>
      </c>
      <c r="Q487"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7"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MK-ST-F-042</t>
        </is>
      </c>
      <c r="B488" s="3" t="inlineStr">
        <is>
          <t>setUserDoc</t>
        </is>
      </c>
      <c r="C488" s="3" t="inlineStr">
        <is>
          <t>src/domain/_shared/firestore.ts</t>
        </is>
      </c>
      <c r="D488" s="3" t="n">
        <v>55</v>
      </c>
      <c r="E488" s="3" t="inlineStr">
        <is>
          <t>1 · ACTION</t>
        </is>
      </c>
      <c r="F488" s="3" t="inlineStr">
        <is>
          <t>Write/merge a single-document-per-user collection, stamping last_updated.</t>
        </is>
      </c>
      <c r="G488" s="11" t="inlineStr">
        <is>
          <t>It reaches outside the app for data and hands back what came back — no arithmetic of its own.</t>
        </is>
      </c>
      <c r="H488" s="3" t="inlineStr">
        <is>
          <t>It reaches outside the app for data and hands back what came back — no arithmetic of its own.</t>
        </is>
      </c>
      <c r="I488" s="3" t="inlineStr">
        <is>
          <t>NO ARITHMETIC — there is no formula to state</t>
        </is>
      </c>
      <c r="J488" s="3" t="inlineStr">
        <is>
          <t>1. collectionName: string
2. uid: UserId
3. data: T</t>
        </is>
      </c>
      <c r="K488" s="3" t="inlineStr">
        <is>
          <t>Promise&lt;void&gt;</t>
        </is>
      </c>
      <c r="L488" s="3" t="inlineStr">
        <is>
          <t>—</t>
        </is>
      </c>
      <c r="M488" s="3" t="inlineStr">
        <is>
          <t>None found in this function — anything it assumes comes from the functions it depends on.</t>
        </is>
      </c>
      <c r="N488" s="3" t="inlineStr">
        <is>
          <t>Yes</t>
        </is>
      </c>
      <c r="O488" s="3" t="inlineStr">
        <is>
          <t>MK-XS-F-175 uid</t>
        </is>
      </c>
      <c r="P488" s="3" t="n">
        <v>80</v>
      </c>
      <c r="Q488"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488"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88" s="3" t="inlineStr">
        <is>
          <t>—</t>
        </is>
      </c>
      <c r="T488" s="3" t="inlineStr">
        <is>
          <t>—</t>
        </is>
      </c>
      <c r="U488" s="3" t="inlineStr">
        <is>
          <t>ACTIVE</t>
        </is>
      </c>
      <c r="V488" s="3" t="inlineStr">
        <is>
          <t>2026-08-27</t>
        </is>
      </c>
      <c r="W488" s="3" t="n"/>
      <c r="X488" s="3" t="n"/>
      <c r="Y488" s="3" t="inlineStr">
        <is>
          <t>NOTHING OPEN</t>
        </is>
      </c>
    </row>
    <row r="489" ht="45" customHeight="1">
      <c r="A489" s="3" t="inlineStr">
        <is>
          <t>MK-ST-F-043</t>
        </is>
      </c>
      <c r="B489" s="3" t="inlineStr">
        <is>
          <t>newEntityId</t>
        </is>
      </c>
      <c r="C489" s="3" t="inlineStr">
        <is>
          <t>src/domain/_shared/ids.ts</t>
        </is>
      </c>
      <c r="D489" s="3" t="n">
        <v>40</v>
      </c>
      <c r="E489" s="3" t="inlineStr">
        <is>
          <t>2 · DISPLAYED</t>
        </is>
      </c>
      <c r="F489" s="3" t="inlineStr">
        <is>
          <t>What do we call this new thing?</t>
        </is>
      </c>
      <c r="G489" s="11" t="inlineStr">
        <is>
          <t>`${prefix}_${date.now().to string(36)}${math.random().to string(36).slice(2, 8)}`</t>
        </is>
      </c>
      <c r="H489" s="3" t="inlineStr">
        <is>
          <t>`${prefix}_${date.now().to string(36)}${math.random().to string(36).slice(2, 8)}`.</t>
        </is>
      </c>
      <c r="I489" s="3" t="inlineStr">
        <is>
          <t>PARTLY READ — some of the code is still showing through; needs a hand pass</t>
        </is>
      </c>
      <c r="J489" s="3" t="inlineStr">
        <is>
          <t>prefix: string</t>
        </is>
      </c>
      <c r="K489" s="3" t="inlineStr">
        <is>
          <t>EntityId</t>
        </is>
      </c>
      <c r="L489" s="3" t="inlineStr">
        <is>
          <t>NOT FOUND — a screen calls it, but the words printed beside its answer could not be traced automatically. Needs reading.</t>
        </is>
      </c>
      <c r="M489" s="3" t="inlineStr">
        <is>
          <t>· Uses today's date from the device clock, so the answer changes by itself overnight.</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NEW_ID</t>
        </is>
      </c>
      <c r="U489" s="3" t="inlineStr">
        <is>
          <t>ACTIVE</t>
        </is>
      </c>
      <c r="V489" s="3" t="inlineStr">
        <is>
          <t>2026-08-27</t>
        </is>
      </c>
      <c r="W489" s="3" t="n"/>
      <c r="X489" s="3" t="n"/>
      <c r="Y489" s="3" t="inlineStr">
        <is>
          <t>NOTHING OPEN</t>
        </is>
      </c>
    </row>
    <row r="490" ht="60" customHeight="1">
      <c r="A490" s="3" t="inlineStr">
        <is>
          <t>MK-ST-F-044</t>
        </is>
      </c>
      <c r="B490" s="3" t="inlineStr">
        <is>
          <t>setMoneyFormat</t>
        </is>
      </c>
      <c r="C490" s="3" t="inlineStr">
        <is>
          <t>src/domain/_shared/money.ts</t>
        </is>
      </c>
      <c r="D490" s="3" t="n">
        <v>56</v>
      </c>
      <c r="E490" s="3" t="inlineStr">
        <is>
          <t>1 · ACTION</t>
        </is>
      </c>
      <c r="F490" s="3" t="inlineStr">
        <is>
          <t>NOT DETERMINED — the code carries no note saying what this is for, and it has no row in the old inventory. Needs reading.</t>
        </is>
      </c>
      <c r="G490" s="11" t="inlineStr">
        <is>
          <t>c = CURRENCIES.find((x) =&gt; code = currency)</t>
        </is>
      </c>
      <c r="H490" s="3" t="inlineStr">
        <is>
          <t>C is CURRENCIES.find((x) =&gt; code = currency).</t>
        </is>
      </c>
      <c r="I490" s="3" t="inlineStr">
        <is>
          <t>PARTLY READ — some of the code is still showing through; needs a hand pass</t>
        </is>
      </c>
      <c r="J490" s="3" t="inlineStr">
        <is>
          <t>1. currency?: string | null
2. locale?: string | null</t>
        </is>
      </c>
      <c r="K490" s="3" t="inlineStr">
        <is>
          <t>NOT DECLARED — the code does not say what it gives back</t>
        </is>
      </c>
      <c r="L490" s="3" t="inlineStr">
        <is>
          <t>—</t>
        </is>
      </c>
      <c r="M490" s="3" t="inlineStr">
        <is>
          <t>None found in this function — anything it assumes comes from the functions it depends on.</t>
        </is>
      </c>
      <c r="N490" s="3" t="inlineStr">
        <is>
          <t>Yes</t>
        </is>
      </c>
      <c r="O490" s="3" t="inlineStr">
        <is>
          <t>1. MK-ST-F-053 money
2. MK-ST-F-055 round2</t>
        </is>
      </c>
      <c r="P490" s="3" t="n">
        <v>7</v>
      </c>
      <c r="Q490" s="3" t="inlineStr">
        <is>
          <t>1. MK-ST-F-053 money
2. MK-ST-F-055 round2
3. MK-ST-F-049 formatMoney
4. MK-XS-F-122 n
5. MK-ST-F-048 currencySymbol
6. MK-ST-F-039 on
7. MK-ST-F-047 activeCurrency</t>
        </is>
      </c>
      <c r="R490"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MK-ST-F-045</t>
        </is>
      </c>
      <c r="B491" s="3" t="inlineStr">
        <is>
          <t>setHideBalances</t>
        </is>
      </c>
      <c r="C491" s="3" t="inlineStr">
        <is>
          <t>src/domain/_shared/money.ts</t>
        </is>
      </c>
      <c r="D491" s="3" t="n">
        <v>88</v>
      </c>
      <c r="E491" s="3" t="inlineStr">
        <is>
          <t>1 · ACTION</t>
        </is>
      </c>
      <c r="F491" s="3" t="inlineStr">
        <is>
          <t>NOT DETERMINED — the code carries no note saying what this is for, and it has no row in the old inventory. Needs reading.</t>
        </is>
      </c>
      <c r="G491" s="11" t="inlineStr">
        <is>
          <t>It records or announces something and returns no figure — no arithmetic of its own.</t>
        </is>
      </c>
      <c r="H491" s="3" t="inlineStr">
        <is>
          <t>It records or announces something and returns no figure — no arithmetic of its own.</t>
        </is>
      </c>
      <c r="I491" s="3" t="inlineStr">
        <is>
          <t>NO ARITHMETIC — there is no formula to state</t>
        </is>
      </c>
      <c r="J491" s="3" t="inlineStr">
        <is>
          <t>b: boolean</t>
        </is>
      </c>
      <c r="K491" s="3" t="inlineStr">
        <is>
          <t>NOT DECLARED — the code does not say what it gives back</t>
        </is>
      </c>
      <c r="L491" s="3" t="inlineStr">
        <is>
          <t>—</t>
        </is>
      </c>
      <c r="M491" s="3" t="inlineStr">
        <is>
          <t>None found in this function — anything it assumes comes from the functions it depends on.</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2026-08-27</t>
        </is>
      </c>
      <c r="W491" s="3" t="n"/>
      <c r="X491" s="3" t="n"/>
      <c r="Y491" s="3" t="inlineStr">
        <is>
          <t>NOTHING OPEN</t>
        </is>
      </c>
    </row>
    <row r="492" ht="60" customHeight="1">
      <c r="A492" s="3" t="inlineStr">
        <is>
          <t>MK-ST-F-046</t>
        </is>
      </c>
      <c r="B492" s="3" t="inlineStr">
        <is>
          <t>balancesHidden</t>
        </is>
      </c>
      <c r="C492" s="3" t="inlineStr">
        <is>
          <t>src/domain/_shared/money.ts</t>
        </is>
      </c>
      <c r="D492" s="3" t="n">
        <v>104</v>
      </c>
      <c r="E492" s="3" t="inlineStr">
        <is>
          <t>3 · DEPENDENT (feeds an action only)</t>
        </is>
      </c>
      <c r="F492" s="3" t="inlineStr">
        <is>
          <t>NOT DETERMINED — the code carries no note saying what this is for, and it has no row in the old inventory. Needs reading.</t>
        </is>
      </c>
      <c r="G492" s="11" t="inlineStr">
        <is>
          <t>the answer = the hide-balances switch</t>
        </is>
      </c>
      <c r="H492" s="3" t="inlineStr">
        <is>
          <t>Whether the person has hidden balances on screen. No arithmetic.</t>
        </is>
      </c>
      <c r="I492" s="3" t="inlineStr">
        <is>
          <t>READ BY HAND 2026-08-26 — checked line by line against the code</t>
        </is>
      </c>
      <c r="J492" s="3" t="inlineStr">
        <is>
          <t>Nothing is handed to it</t>
        </is>
      </c>
      <c r="K492" s="3" t="inlineStr">
        <is>
          <t>boolean</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2026-09-12</t>
        </is>
      </c>
      <c r="W492" s="3" t="n"/>
      <c r="X492" s="3" t="n"/>
      <c r="Y492" s="3" t="inlineStr">
        <is>
          <t>NOTHING OPEN</t>
        </is>
      </c>
    </row>
    <row r="493" ht="45" customHeight="1">
      <c r="A493" s="3" t="inlineStr">
        <is>
          <t>MK-ST-F-047</t>
        </is>
      </c>
      <c r="B493" s="3" t="inlineStr">
        <is>
          <t>activeCurrency</t>
        </is>
      </c>
      <c r="C493" s="3" t="inlineStr">
        <is>
          <t>src/domain/_shared/money.ts</t>
        </is>
      </c>
      <c r="D493" s="3" t="n">
        <v>133</v>
      </c>
      <c r="E493" s="3" t="inlineStr">
        <is>
          <t>3 · DEPENDENT</t>
        </is>
      </c>
      <c r="F493" s="3" t="inlineStr">
        <is>
          <t>Which currency is the app showing?</t>
        </is>
      </c>
      <c r="G493" s="11" t="inlineStr">
        <is>
          <t>the first of CURRENCIES.find((c) =&gt; code = code) (or CURRENCIES when missing)</t>
        </is>
      </c>
      <c r="H493" s="3" t="inlineStr">
        <is>
          <t>the first of CURRENCIES.find((c) =&gt; code = code) (or CURRENCIES — when missing).</t>
        </is>
      </c>
      <c r="I493" s="3" t="inlineStr">
        <is>
          <t>PARTLY READ — some of the code is still showing through; needs a hand pass</t>
        </is>
      </c>
      <c r="J493" s="3" t="inlineStr">
        <is>
          <t>Nothing is handed to it</t>
        </is>
      </c>
      <c r="K493" s="3" t="inlineStr">
        <is>
          <t>Currency</t>
        </is>
      </c>
      <c r="L493" s="3" t="inlineStr">
        <is>
          <t>—</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CURRENCY</t>
        </is>
      </c>
      <c r="U493" s="3" t="inlineStr">
        <is>
          <t>ACTIVE</t>
        </is>
      </c>
      <c r="V493" s="3" t="inlineStr">
        <is>
          <t>2026-08-27</t>
        </is>
      </c>
      <c r="W493" s="3" t="n"/>
      <c r="X493" s="3" t="n"/>
      <c r="Y493" s="3" t="inlineStr">
        <is>
          <t>NOTHING OPEN</t>
        </is>
      </c>
    </row>
    <row r="494" ht="60" customHeight="1">
      <c r="A494" s="3" t="inlineStr">
        <is>
          <t>MK-ST-F-048</t>
        </is>
      </c>
      <c r="B494" s="3" t="inlineStr">
        <is>
          <t>currencySymbol</t>
        </is>
      </c>
      <c r="C494" s="3" t="inlineStr">
        <is>
          <t>src/domain/_shared/money.ts</t>
        </is>
      </c>
      <c r="D494" s="3" t="n">
        <v>164</v>
      </c>
      <c r="E494" s="3" t="inlineStr">
        <is>
          <t>2 · DISPLAYED</t>
        </is>
      </c>
      <c r="F494" s="3" t="inlineStr">
        <is>
          <t>NOT DETERMINED — the code carries no note saying what this is for, and it has no row in the old inventory. Needs reading.</t>
        </is>
      </c>
      <c r="G494" s="11" t="inlineStr">
        <is>
          <t>active currency().symbol</t>
        </is>
      </c>
      <c r="H494" s="3" t="inlineStr">
        <is>
          <t>active currency().symbol.</t>
        </is>
      </c>
      <c r="I494" s="3" t="inlineStr">
        <is>
          <t>PARTLY READ — some of the code is still showing through; needs a hand pass</t>
        </is>
      </c>
      <c r="J494" s="3" t="inlineStr">
        <is>
          <t>Nothing is handed to it</t>
        </is>
      </c>
      <c r="K494" s="3" t="inlineStr">
        <is>
          <t>string</t>
        </is>
      </c>
      <c r="L494"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494" s="3" t="inlineStr">
        <is>
          <t>None found in this function — anything it assumes comes from the functions it depends on.</t>
        </is>
      </c>
      <c r="N494" s="3" t="inlineStr">
        <is>
          <t>Yes</t>
        </is>
      </c>
      <c r="O494" s="3" t="inlineStr">
        <is>
          <t>MK-ST-F-047 activeCurrency</t>
        </is>
      </c>
      <c r="P494" s="3" t="n">
        <v>1</v>
      </c>
      <c r="Q494" s="3" t="inlineStr">
        <is>
          <t>MK-ST-F-047 activeCurrency</t>
        </is>
      </c>
      <c r="R494" s="3" t="inlineStr">
        <is>
          <t>MK-ST-F-047 activeCurrency → MK-ST-F-048 currencySymbol</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MK-ST-F-049</t>
        </is>
      </c>
      <c r="B495" s="3" t="inlineStr">
        <is>
          <t>formatMoney</t>
        </is>
      </c>
      <c r="C495" s="3" t="inlineStr">
        <is>
          <t>src/domain/_shared/money.ts</t>
        </is>
      </c>
      <c r="D495" s="3" t="n">
        <v>207</v>
      </c>
      <c r="E495" s="3" t="inlineStr">
        <is>
          <t>2 · DISPLAYED</t>
        </is>
      </c>
      <c r="F495" s="3" t="inlineStr">
        <is>
          <t>Full amount, no minor units (matches the app's whole-number money style), locale-grouped.</t>
        </is>
      </c>
      <c r="G495" s="11" t="inlineStr">
        <is>
          <t>BALANCE_MASK   when hide
NOT_A_NUMBER   when !number.is finite(n)
v = round(n)
the answer = new intl.number format(locale, { style: 'currency', currency: code, maximum fraction digits: 0 }).format(v)
neg = '-'   if v &lt; 0
''   otherwise</t>
        </is>
      </c>
      <c r="H495" s="3" t="inlineStr">
        <is>
          <t>When hide, it answers BALANCE_MASK. When !number.is finite(n), it answers NOT_A_NUMBER. V is n, to a whole number. The answer is new intl.number format(locale, { style: 'currency', currency: code, maximum fraction digits: 0 }).format(v). Neg is '-' — when v &lt; 0; '' — otherwise.</t>
        </is>
      </c>
      <c r="I495" s="3" t="inlineStr">
        <is>
          <t>PARTLY READ — some of the code is still showing through; needs a hand pass</t>
        </is>
      </c>
      <c r="J495" s="3" t="inlineStr">
        <is>
          <t>n: number</t>
        </is>
      </c>
      <c r="K495" s="3" t="inlineStr">
        <is>
          <t>string</t>
        </is>
      </c>
      <c r="L495" s="3" t="inlineStr">
        <is>
          <t>NOT FOUND — a screen calls it, but the words printed beside its answer could not be traced automatically. Needs reading.</t>
        </is>
      </c>
      <c r="M495" s="3" t="inlineStr">
        <is>
          <t>· Rounds the answer to a whole number.</t>
        </is>
      </c>
      <c r="N495" s="3" t="inlineStr">
        <is>
          <t>Yes</t>
        </is>
      </c>
      <c r="O495" s="3" t="inlineStr">
        <is>
          <t>1. MK-ST-F-048 currencySymbol
2. MK-XS-F-122 n
3. MK-ST-F-039 on</t>
        </is>
      </c>
      <c r="P495" s="3" t="n">
        <v>4</v>
      </c>
      <c r="Q495" s="3" t="inlineStr">
        <is>
          <t>1. MK-ST-F-048 currencySymbol
2. MK-XS-F-122 n
3. MK-ST-F-039 on
4. MK-ST-F-047 activeCurrency</t>
        </is>
      </c>
      <c r="R495" s="3" t="inlineStr">
        <is>
          <t>1. MK-ST-F-047 activeCurrency → MK-ST-F-048 currencySymbol → MK-ST-F-049 formatMoney
2. MK-XS-F-122 n → MK-ST-F-049 formatMoney
3. MK-ST-F-039 on → MK-ST-F-049 formatMoney</t>
        </is>
      </c>
      <c r="S495" s="3" t="inlineStr">
        <is>
          <t>—</t>
        </is>
      </c>
      <c r="T495" s="3" t="inlineStr">
        <is>
          <t>MONEY_IN_WORDS</t>
        </is>
      </c>
      <c r="U495" s="3" t="inlineStr">
        <is>
          <t>ACTIVE</t>
        </is>
      </c>
      <c r="V495" s="3" t="inlineStr">
        <is>
          <t>2026-08-27</t>
        </is>
      </c>
      <c r="W495" s="3" t="n"/>
      <c r="X495" s="3" t="n"/>
      <c r="Y495" s="3" t="inlineStr">
        <is>
          <t>NOTHING OPEN</t>
        </is>
      </c>
    </row>
    <row r="496" ht="60" customHeight="1">
      <c r="A496" s="3" t="inlineStr">
        <is>
          <t>MK-ST-F-050</t>
        </is>
      </c>
      <c r="B496" s="3" t="inlineStr">
        <is>
          <t>formatMoneyCents</t>
        </is>
      </c>
      <c r="C496" s="3" t="inlineStr">
        <is>
          <t>src/domain/_shared/money.ts</t>
        </is>
      </c>
      <c r="D496" s="3" t="n">
        <v>246</v>
      </c>
      <c r="E496" s="3" t="inlineStr">
        <is>
          <t>3 · DEPENDENT</t>
        </is>
      </c>
      <c r="F496" s="3" t="inlineStr">
        <is>
          <t>Same as formatMoney but keeps 2 decimal places — for precise amounts (transactions, holdings, recurring lines).</t>
        </is>
      </c>
      <c r="G496" s="11" t="inlineStr">
        <is>
          <t>BALANCE_MASK   when hide
NOT_A_NUMBER   when !number.is finite(n)
v = n
the answer = new intl.number format(locale, { style: 'currency', currency: code, minimum fraction digits: 2, maximum fraction digits: 2 }).format(v)
neg = '-'   if v &lt; 0
''   otherwise</t>
        </is>
      </c>
      <c r="H496"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496" s="3" t="inlineStr">
        <is>
          <t>PARTLY READ — some of the code is still showing through; needs a hand pass</t>
        </is>
      </c>
      <c r="J496" s="3" t="inlineStr">
        <is>
          <t>n: number</t>
        </is>
      </c>
      <c r="K496" s="3" t="inlineStr">
        <is>
          <t>string</t>
        </is>
      </c>
      <c r="L496" s="3" t="inlineStr">
        <is>
          <t>—</t>
        </is>
      </c>
      <c r="M496" s="3" t="inlineStr">
        <is>
          <t>None found in this function — anything it assumes comes from the functions it depends on.</t>
        </is>
      </c>
      <c r="N496" s="3" t="inlineStr">
        <is>
          <t>Yes</t>
        </is>
      </c>
      <c r="O496" s="3" t="inlineStr">
        <is>
          <t>1. MK-ST-F-048 currencySymbol
2. MK-XS-F-122 n</t>
        </is>
      </c>
      <c r="P496" s="3" t="n">
        <v>3</v>
      </c>
      <c r="Q496" s="3" t="inlineStr">
        <is>
          <t>1. MK-ST-F-048 currencySymbol
2. MK-XS-F-122 n
3. MK-ST-F-047 activeCurrency</t>
        </is>
      </c>
      <c r="R496" s="3" t="inlineStr">
        <is>
          <t>1. MK-ST-F-047 activeCurrency → MK-ST-F-048 currencySymbol → MK-ST-F-050 formatMoneyCents
2. MK-XS-F-122 n → MK-ST-F-050 formatMoneyCents</t>
        </is>
      </c>
      <c r="S496" s="3" t="inlineStr">
        <is>
          <t>—</t>
        </is>
      </c>
      <c r="T496" s="3" t="inlineStr">
        <is>
          <t>MONEY_IN_WORDS_WITH_CENTS</t>
        </is>
      </c>
      <c r="U496" s="3" t="inlineStr">
        <is>
          <t>ACTIVE</t>
        </is>
      </c>
      <c r="V496" s="3" t="inlineStr">
        <is>
          <t>2026-08-27</t>
        </is>
      </c>
      <c r="W496" s="3" t="n"/>
      <c r="X496" s="3" t="n"/>
      <c r="Y496" s="3" t="inlineStr">
        <is>
          <t>NOTHING OPEN</t>
        </is>
      </c>
    </row>
    <row r="497" ht="60" customHeight="1">
      <c r="A497" s="3" t="inlineStr">
        <is>
          <t>MK-ST-F-051</t>
        </is>
      </c>
      <c r="B497" s="3" t="inlineStr">
        <is>
          <t>moneyCompact</t>
        </is>
      </c>
      <c r="C497" s="3" t="inlineStr">
        <is>
          <t>src/domain/_shared/money.ts</t>
        </is>
      </c>
      <c r="D497" s="3" t="n">
        <v>289</v>
      </c>
      <c r="E497" s="3" t="inlineStr">
        <is>
          <t>2 · DISPLAYED</t>
        </is>
      </c>
      <c r="F497" s="3" t="inlineStr">
        <is>
          <t>Compact form for tight spaces (chart labels, donut center).</t>
        </is>
      </c>
      <c r="G497" s="11" t="inlineStr">
        <is>
          <t>BALANCE_MASK   when hide
s = currency symbol()
neg = '-'   if n &lt; 0
''   otherwise
a = size of(n)
`${neg}${s}${(a ÷ 1e6).to fixed(2).replace( ÷ \.?0+$ ÷ , '')}${style}`   when a ≥ 1e6
`${neg}${s}${math.round(a ÷ 1e3)}K`   when a ≥ 1e3
the answer = `${neg}${s}${math.round(a)}`</t>
        </is>
      </c>
      <c r="H497"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497" s="3" t="inlineStr">
        <is>
          <t>PARTLY READ — some of the code is still showing through; needs a hand pass</t>
        </is>
      </c>
      <c r="J497" s="3" t="inlineStr">
        <is>
          <t>1. n: number
2. style: 'M' | 'MM' = 'MM'</t>
        </is>
      </c>
      <c r="K497" s="3" t="inlineStr">
        <is>
          <t>string</t>
        </is>
      </c>
      <c r="L497"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497" s="3" t="inlineStr">
        <is>
          <t>1. Rounds the answer to a whole number.
2. Shows 2 decimal places.</t>
        </is>
      </c>
      <c r="N497" s="3" t="inlineStr">
        <is>
          <t>Yes</t>
        </is>
      </c>
      <c r="O497" s="3" t="inlineStr">
        <is>
          <t>1. MK-ST-F-048 currencySymbol
2. MK-XS-F-122 n</t>
        </is>
      </c>
      <c r="P497" s="3" t="n">
        <v>3</v>
      </c>
      <c r="Q497" s="3" t="inlineStr">
        <is>
          <t>1. MK-ST-F-048 currencySymbol
2. MK-XS-F-122 n
3. MK-ST-F-047 activeCurrency</t>
        </is>
      </c>
      <c r="R497" s="3" t="inlineStr">
        <is>
          <t>1. MK-ST-F-047 activeCurrency → MK-ST-F-048 currencySymbol → MK-ST-F-051 moneyCompact
2. MK-XS-F-122 n → MK-ST-F-051 moneyCompact</t>
        </is>
      </c>
      <c r="S497" s="3" t="inlineStr">
        <is>
          <t>—</t>
        </is>
      </c>
      <c r="T497" s="3" t="inlineStr">
        <is>
          <t>—</t>
        </is>
      </c>
      <c r="U497" s="3" t="inlineStr">
        <is>
          <t>ACTIVE</t>
        </is>
      </c>
      <c r="V497" s="3" t="inlineStr">
        <is>
          <t>2026-08-27</t>
        </is>
      </c>
      <c r="W497" s="3" t="n"/>
      <c r="X497" s="3" t="n"/>
      <c r="Y497" s="3" t="inlineStr">
        <is>
          <t>NOTHING OPEN</t>
        </is>
      </c>
    </row>
    <row r="498" ht="60" customHeight="1">
      <c r="A498" s="3" t="inlineStr">
        <is>
          <t>MK-ST-F-052</t>
        </is>
      </c>
      <c r="B498" s="3" t="inlineStr">
        <is>
          <t>toNum</t>
        </is>
      </c>
      <c r="C498" s="3" t="inlineStr">
        <is>
          <t>src/domain/_shared/num.ts</t>
        </is>
      </c>
      <c r="D498" s="3" t="n">
        <v>66</v>
      </c>
      <c r="E498" s="3" t="inlineStr">
        <is>
          <t>3 · DEPENDENT</t>
        </is>
      </c>
      <c r="F498" s="3" t="inlineStr">
        <is>
          <t>What number did the person actually type?</t>
        </is>
      </c>
      <c r="G498" s="11" t="inlineStr">
        <is>
          <t>n = parse float(string(v ?? '').replace( ÷ [^0 − 9.\-] ÷ g, ''))
the answer:
n   if number.is finite(n)
0   otherwise</t>
        </is>
      </c>
      <c r="H498" s="3" t="inlineStr">
        <is>
          <t>N is parse float(string(v ?? '').replace( divided by [^0 minus 9.\-] divided by g, '')). The answer is n — when number.is finite(n); 0 — otherwise.</t>
        </is>
      </c>
      <c r="I498" s="3" t="inlineStr">
        <is>
          <t>PARTLY READ — some of the code is still showing through; needs a hand pass</t>
        </is>
      </c>
      <c r="J498" s="3" t="inlineStr">
        <is>
          <t>v: any</t>
        </is>
      </c>
      <c r="K498" s="3" t="inlineStr">
        <is>
          <t>number</t>
        </is>
      </c>
      <c r="L498" s="3" t="inlineStr">
        <is>
          <t>—</t>
        </is>
      </c>
      <c r="M498" s="3" t="inlineStr">
        <is>
          <t>None found in this function — anything it assumes comes from the functions it depends on.</t>
        </is>
      </c>
      <c r="N498" s="3" t="inlineStr">
        <is>
          <t>Yes</t>
        </is>
      </c>
      <c r="O498" s="3" t="inlineStr">
        <is>
          <t>MK-XS-F-122 n</t>
        </is>
      </c>
      <c r="P498" s="3" t="n">
        <v>1</v>
      </c>
      <c r="Q498" s="3" t="inlineStr">
        <is>
          <t>MK-XS-F-122 n</t>
        </is>
      </c>
      <c r="R498" s="3" t="inlineStr">
        <is>
          <t>MK-XS-F-122 n → MK-ST-F-052 toNum</t>
        </is>
      </c>
      <c r="S498" s="3" t="inlineStr">
        <is>
          <t>—</t>
        </is>
      </c>
      <c r="T498" s="3" t="inlineStr">
        <is>
          <t>READ_A_NUMBER</t>
        </is>
      </c>
      <c r="U498" s="3" t="inlineStr">
        <is>
          <t>ACTIVE</t>
        </is>
      </c>
      <c r="V498" s="3" t="inlineStr">
        <is>
          <t>2026-08-27</t>
        </is>
      </c>
      <c r="W498" s="3" t="n"/>
      <c r="X498" s="3" t="n"/>
      <c r="Y498" s="3" t="inlineStr">
        <is>
          <t>NOTHING OPEN</t>
        </is>
      </c>
    </row>
    <row r="499" ht="60" customHeight="1">
      <c r="A499" s="3" t="inlineStr">
        <is>
          <t>MK-ST-F-053</t>
        </is>
      </c>
      <c r="B499" s="3" t="inlineStr">
        <is>
          <t>money</t>
        </is>
      </c>
      <c r="C499" s="3" t="inlineStr">
        <is>
          <t>src/domain/_shared/num.ts</t>
        </is>
      </c>
      <c r="D499" s="3" t="n">
        <v>104</v>
      </c>
      <c r="E499" s="3" t="inlineStr">
        <is>
          <t>1 · ACTION</t>
        </is>
      </c>
      <c r="F499" s="3" t="inlineStr">
        <is>
          <t>Currency/locale-aware (delegates to the active money format; defaults to USD/en-US).</t>
        </is>
      </c>
      <c r="G499" s="11" t="inlineStr">
        <is>
          <t>format money(n)</t>
        </is>
      </c>
      <c r="H499" s="3" t="inlineStr">
        <is>
          <t>format money(n)</t>
        </is>
      </c>
      <c r="I499" s="3" t="inlineStr">
        <is>
          <t>READ FROM THE CODE — rendered from the expressions the function runs</t>
        </is>
      </c>
      <c r="J499" s="3" t="inlineStr">
        <is>
          <t>n: number</t>
        </is>
      </c>
      <c r="K499" s="3" t="inlineStr">
        <is>
          <t>string</t>
        </is>
      </c>
      <c r="L499" s="3" t="inlineStr">
        <is>
          <t>1. "ACCOUNTS (year-end)" — on the Tax organiser screen, under "ACCOUNTS (year-end)"
2. "Allocate to this goal ›" — on the Goals screen, under "YOUR GOALS"
3. "Amount" — on the budget screen
4. "Annual vesting cash flow" — on the setup questions, which appear on more than one screen
5. "Annuity / other" — on the setup questions, which appear on more than one screen
6. "Available /year" — on the setup questions, which appear on more than one screen</t>
        </is>
      </c>
      <c r="M499" s="3" t="inlineStr">
        <is>
          <t>None found in this function — anything it assumes comes from the functions it depends on.</t>
        </is>
      </c>
      <c r="N499" s="3" t="inlineStr">
        <is>
          <t>Yes</t>
        </is>
      </c>
      <c r="O499" s="3" t="inlineStr">
        <is>
          <t>1. MK-ST-F-049 formatMoney
2. MK-XS-F-122 n</t>
        </is>
      </c>
      <c r="P499" s="3" t="n">
        <v>5</v>
      </c>
      <c r="Q499" s="3" t="inlineStr">
        <is>
          <t>1. MK-ST-F-049 formatMoney
2. MK-XS-F-122 n
3. MK-ST-F-048 currencySymbol
4. MK-ST-F-039 on
5. MK-ST-F-047 activeCurrency</t>
        </is>
      </c>
      <c r="R499" s="3" t="inlineStr">
        <is>
          <t>1. MK-ST-F-047 activeCurrency → MK-ST-F-048 currencySymbol → MK-ST-F-049 formatMoney → MK-ST-F-053 money
2. MK-XS-F-122 n → MK-ST-F-049 formatMoney → MK-ST-F-053 money
3. MK-ST-F-039 on → MK-ST-F-049 formatMoney → MK-ST-F-053 money
4. MK-XS-F-122 n → MK-ST-F-053 money</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MK-ST-F-054</t>
        </is>
      </c>
      <c r="B500" s="3" t="inlineStr">
        <is>
          <t>money2</t>
        </is>
      </c>
      <c r="C500" s="3" t="inlineStr">
        <is>
          <t>src/domain/_shared/num.ts</t>
        </is>
      </c>
      <c r="D500" s="3" t="n">
        <v>121</v>
      </c>
      <c r="E500" s="3" t="inlineStr">
        <is>
          <t>1 · ACTION</t>
        </is>
      </c>
      <c r="F500" s="3" t="inlineStr">
        <is>
          <t>Same, but keeps cents — for precise amounts (transactions, holdings).</t>
        </is>
      </c>
      <c r="G500" s="11" t="inlineStr">
        <is>
          <t>format money cents(n)</t>
        </is>
      </c>
      <c r="H500" s="3" t="inlineStr">
        <is>
          <t>format money cents(n)</t>
        </is>
      </c>
      <c r="I500" s="3" t="inlineStr">
        <is>
          <t>READ FROM THE CODE — rendered from the expressions the function runs</t>
        </is>
      </c>
      <c r="J500" s="3" t="inlineStr">
        <is>
          <t>n: number</t>
        </is>
      </c>
      <c r="K500" s="3" t="inlineStr">
        <is>
          <t>string</t>
        </is>
      </c>
      <c r="L500" s="3" t="inlineStr">
        <is>
          <t>1. "Monthly equivalent" — on the income screen
2. "Total" — on the Import holdings screen
3. "Value" — on the Import holdings screen, under "REVIEW YOUR HOLDINGS"
4. "You earned" — on the income screen</t>
        </is>
      </c>
      <c r="M500" s="3" t="inlineStr">
        <is>
          <t>None found in this function — anything it assumes comes from the functions it depends on.</t>
        </is>
      </c>
      <c r="N500" s="3" t="inlineStr">
        <is>
          <t>Yes</t>
        </is>
      </c>
      <c r="O500" s="3" t="inlineStr">
        <is>
          <t>1. MK-ST-F-050 formatMoneyCents
2. MK-XS-F-122 n</t>
        </is>
      </c>
      <c r="P500" s="3" t="n">
        <v>4</v>
      </c>
      <c r="Q500" s="3" t="inlineStr">
        <is>
          <t>1. MK-ST-F-050 formatMoneyCents
2. MK-XS-F-122 n
3. MK-ST-F-048 currencySymbol
4. MK-ST-F-047 activeCurrency</t>
        </is>
      </c>
      <c r="R500" s="3" t="inlineStr">
        <is>
          <t>1. MK-ST-F-047 activeCurrency → MK-ST-F-048 currencySymbol → MK-ST-F-050 formatMoneyCents → MK-ST-F-054 money2
2. MK-XS-F-122 n → MK-ST-F-050 formatMoneyCents → MK-ST-F-054 money2
3. MK-XS-F-122 n → MK-ST-F-054 money2</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MK-ST-F-055</t>
        </is>
      </c>
      <c r="B501" s="3" t="inlineStr">
        <is>
          <t>round2</t>
        </is>
      </c>
      <c r="C501" s="3" t="inlineStr">
        <is>
          <t>Calculation Module code/engines/money.ts</t>
        </is>
      </c>
      <c r="D501" s="3" t="n">
        <v>218</v>
      </c>
      <c r="E501" s="3" t="inlineStr">
        <is>
          <t>3 · DEPENDENT</t>
        </is>
      </c>
      <c r="F501" s="3" t="inlineStr">
        <is>
          <t>Rounds a money figure to the cent — two decimals.</t>
        </is>
      </c>
      <c r="G501" s="11" t="inlineStr">
        <is>
          <t>round2(n) = round(n × 100) ÷ 100</t>
        </is>
      </c>
      <c r="H501" s="3" t="inlineStr">
        <is>
          <t>Rounds to two decimal places — the cent. The hundred is the rounding scale, nothing to do with percentages or with an option contract being a hundred shares.</t>
        </is>
      </c>
      <c r="I501" s="3" t="inlineStr">
        <is>
          <t>READ BY HAND 2026-08-26 — checked line by line against the code</t>
        </is>
      </c>
      <c r="J501" s="3" t="inlineStr">
        <is>
          <t>n: number</t>
        </is>
      </c>
      <c r="K501" s="3" t="inlineStr">
        <is>
          <t>number</t>
        </is>
      </c>
      <c r="L501" s="3" t="inlineStr">
        <is>
          <t>—</t>
        </is>
      </c>
      <c r="M501" s="3" t="inlineStr">
        <is>
          <t>· Rounds the answer to two decimals (cents).</t>
        </is>
      </c>
      <c r="N501" s="3" t="inlineStr">
        <is>
          <t>Yes</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2026-09-08</t>
        </is>
      </c>
      <c r="W501" s="3" t="inlineStr">
        <is>
          <t>[from MK-NW-M-043, Assumptions; typed A15] does it round to 2 decimals or a whole number? Two contradicting statements.</t>
        </is>
      </c>
      <c r="X501" s="6" t="inlineStr">
        <is>
          <t>Two decimals: round(n × 100) ÷ 100. Both file lines are false (A15, C4); the generator misreads the idiom. Fix the generator and re-extract; the row then reads 'Rounds to two decimals (cents)'. Code right.</t>
        </is>
      </c>
      <c r="Y501" s="6" t="inlineStr">
        <is>
          <t>WAITING ON YOU — answer to read · CODED, NOT TESTED (C4)</t>
        </is>
      </c>
    </row>
    <row r="502" ht="60" customHeight="1">
      <c r="A502" s="3" t="inlineStr">
        <is>
          <t>MK-ST-F-056</t>
        </is>
      </c>
      <c r="B502" s="3" t="inlineStr">
        <is>
          <t>has</t>
        </is>
      </c>
      <c r="C502" s="3" t="inlineStr">
        <is>
          <t>Calculation Module code/engines/classify.ts</t>
        </is>
      </c>
      <c r="D502" s="3" t="n">
        <v>121</v>
      </c>
      <c r="E502" s="3" t="inlineStr">
        <is>
          <t>1 · ACTION</t>
        </is>
      </c>
      <c r="F502" s="3" t="inlineStr">
        <is>
          <t>NOT DETERMINED — the code carries no note saying what this is for, and it has no row in the old inventory. Needs reading.</t>
        </is>
      </c>
      <c r="G502" s="11" t="inlineStr">
        <is>
          <t>re.test(s)</t>
        </is>
      </c>
      <c r="H502" s="3" t="inlineStr">
        <is>
          <t>re.test(s)</t>
        </is>
      </c>
      <c r="I502" s="3" t="inlineStr">
        <is>
          <t>PARTLY READ — some of the code is still showing through; needs a hand pass</t>
        </is>
      </c>
      <c r="J502" s="3" t="inlineStr">
        <is>
          <t>1. s: string
2. re: RegExp</t>
        </is>
      </c>
      <c r="K502" s="3" t="inlineStr">
        <is>
          <t>NOT DECLARED — the code does not say what it gives back</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MK-ST-F-057</t>
        </is>
      </c>
      <c r="B503" s="3" t="inlineStr">
        <is>
          <t>divRounded</t>
        </is>
      </c>
      <c r="C503" s="3" t="inlineStr">
        <is>
          <t>Calculation Module code/engines/decimal.ts</t>
        </is>
      </c>
      <c r="D503" s="3" t="n">
        <v>127</v>
      </c>
      <c r="E503" s="3" t="inlineStr">
        <is>
          <t>3 · DEPENDENT (feeds an action only)</t>
        </is>
      </c>
      <c r="F503" s="3" t="inlineStr">
        <is>
          <t>Round-half-even division on bigints.</t>
        </is>
      </c>
      <c r="G503" s="11" t="inlineStr">
        <is>
          <t>negative = (num &lt; 0n) ! = (den &lt; 0n)
n = -num   if num &lt; 0n
-den   if num, d = den &lt; 0n
den   otherwise   otherwise
q = n ÷ d, r = (n % d) × 2n
out = q
the answer:
-out   if negative
out   otherwise</t>
        </is>
      </c>
      <c r="H503" s="3" t="inlineStr">
        <is>
          <t>Negative is (num &lt; 0n) ! = (den &lt; 0n). N is -num — when num &lt; 0n; -den — when num, d = den &lt; 0n; den — otherwise — otherwise. Q is n divided by d, r = (n % d) times 2n. Out is q. The answer is -out — when negative; out — otherwise.</t>
        </is>
      </c>
      <c r="I503" s="3" t="inlineStr">
        <is>
          <t>READ FROM THE CODE — rendered from the expressions the function runs</t>
        </is>
      </c>
      <c r="J503" s="3" t="inlineStr">
        <is>
          <t>1. num: bigint
2. den: bigint</t>
        </is>
      </c>
      <c r="K503" s="3" t="inlineStr">
        <is>
          <t>bigint</t>
        </is>
      </c>
      <c r="L503" s="3" t="inlineStr">
        <is>
          <t>—</t>
        </is>
      </c>
      <c r="M503" s="3" t="inlineStr">
        <is>
          <t>None found in this function — anything it assumes comes from the functions it depends on.</t>
        </is>
      </c>
      <c r="N503" s="3" t="inlineStr">
        <is>
          <t>No</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MK-ST-F-058</t>
        </is>
      </c>
      <c r="B504" s="3" t="inlineStr">
        <is>
          <t>numberOrUndefined</t>
        </is>
      </c>
      <c r="C504" s="3" t="inlineStr">
        <is>
          <t>Calculation Module code/engines/ledger.ts</t>
        </is>
      </c>
      <c r="D504" s="3" t="n">
        <v>381</v>
      </c>
      <c r="E504" s="3" t="inlineStr">
        <is>
          <t>3 · DEPENDENT (feeds an action only)</t>
        </is>
      </c>
      <c r="F504" s="3" t="inlineStr">
        <is>
          <t>NOT DETERMINED — the code carries no note saying what this is for, and it has no row in the old inventory. Needs reading.</t>
        </is>
      </c>
      <c r="G504" s="11" t="inlineStr">
        <is>
          <t>n = v   if v is a number
na n   if v = nothing
parse float(string(v).replace( ÷ [$,\s] ÷ g, ''))   otherwise   otherwise
the answer:
n   if number.is finite(n)
undefined   otherwise</t>
        </is>
      </c>
      <c r="H504" s="3" t="inlineStr">
        <is>
          <t>N is v — when v is a number; na n — when v is missing; parse float(string(v).replace( divided by [$,\s] divided by g, '')) — otherwise — otherwise. The answer is n — when number.is finite(n); undefined — otherwise.</t>
        </is>
      </c>
      <c r="I504" s="3" t="inlineStr">
        <is>
          <t>PARTLY READ — some of the code is still showing through; needs a hand pass</t>
        </is>
      </c>
      <c r="J504" s="3" t="inlineStr">
        <is>
          <t>v: unknown</t>
        </is>
      </c>
      <c r="K504" s="3" t="inlineStr">
        <is>
          <t>number | undefined</t>
        </is>
      </c>
      <c r="L504" s="3" t="inlineStr">
        <is>
          <t>—</t>
        </is>
      </c>
      <c r="M504" s="3" t="inlineStr">
        <is>
          <t>None found in this function — anything it assumes comes from the functions it depends on.</t>
        </is>
      </c>
      <c r="N504" s="3" t="inlineStr">
        <is>
          <t>No</t>
        </is>
      </c>
      <c r="O504" s="3" t="inlineStr">
        <is>
          <t>MK-XS-F-122 n</t>
        </is>
      </c>
      <c r="P504" s="3" t="n">
        <v>1</v>
      </c>
      <c r="Q504" s="3" t="inlineStr">
        <is>
          <t>MK-XS-F-122 n</t>
        </is>
      </c>
      <c r="R504" s="3" t="inlineStr">
        <is>
          <t>MK-XS-F-122 n → MK-ST-F-058 numberOrUndefined</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MK-ST-F-059</t>
        </is>
      </c>
      <c r="B505" s="3" t="inlineStr">
        <is>
          <t>round8</t>
        </is>
      </c>
      <c r="C505" s="3" t="inlineStr">
        <is>
          <t>Calculation Module code/engines/ledger.ts</t>
        </is>
      </c>
      <c r="D505" s="3" t="n">
        <v>403</v>
      </c>
      <c r="E505" s="3" t="inlineStr">
        <is>
          <t>1 · ACTION</t>
        </is>
      </c>
      <c r="F505" s="3" t="inlineStr">
        <is>
          <t>NOT DETERMINED — the code carries no note saying what this is for, and it has no row in the old inventory. Needs reading.</t>
        </is>
      </c>
      <c r="G505" s="11" t="inlineStr">
        <is>
          <t>round(n × 1e8) ÷ 1e8</t>
        </is>
      </c>
      <c r="H505" s="3" t="inlineStr">
        <is>
          <t>n times 1e8, to a whole number divided by 1e8</t>
        </is>
      </c>
      <c r="I505" s="3" t="inlineStr">
        <is>
          <t>READ FROM THE CODE — rendered from the expressions the function runs</t>
        </is>
      </c>
      <c r="J505" s="3" t="inlineStr">
        <is>
          <t>n: number</t>
        </is>
      </c>
      <c r="K505" s="3" t="inlineStr">
        <is>
          <t>NOT DECLARED — the code does not say what it gives back</t>
        </is>
      </c>
      <c r="L505" s="3" t="inlineStr">
        <is>
          <t>—</t>
        </is>
      </c>
      <c r="M505" s="3" t="inlineStr">
        <is>
          <t>· Rounds the answer to 8 decimal places.</t>
        </is>
      </c>
      <c r="N505" s="3" t="inlineStr">
        <is>
          <t>No</t>
        </is>
      </c>
      <c r="O505" s="3" t="inlineStr">
        <is>
          <t>—</t>
        </is>
      </c>
      <c r="P505" s="3" t="n">
        <v>0</v>
      </c>
      <c r="Q505" s="3" t="inlineStr">
        <is>
          <t>None — no dependent function stands behind it</t>
        </is>
      </c>
      <c r="R505" s="3" t="inlineStr">
        <is>
          <t>No dependent function — it reads its inputs and answers</t>
        </is>
      </c>
      <c r="S505" s="3" t="inlineStr">
        <is>
          <t>—</t>
        </is>
      </c>
      <c r="T505" s="3" t="inlineStr">
        <is>
          <t>—</t>
        </is>
      </c>
      <c r="U505" s="3" t="inlineStr">
        <is>
          <t>ACTIVE</t>
        </is>
      </c>
      <c r="V505" s="3" t="inlineStr">
        <is>
          <t>2026-08-27</t>
        </is>
      </c>
      <c r="W505" s="3" t="n"/>
      <c r="X505" s="3" t="n"/>
      <c r="Y505" s="3" t="inlineStr">
        <is>
          <t>NOTHING OPEN</t>
        </is>
      </c>
    </row>
    <row r="506" ht="60" customHeight="1">
      <c r="A506" s="3" t="inlineStr">
        <is>
          <t>MK-ST-F-060</t>
        </is>
      </c>
      <c r="B506" s="3" t="inlineStr">
        <is>
          <t>verdict</t>
        </is>
      </c>
      <c r="C506" s="3" t="inlineStr">
        <is>
          <t>Calculation Module code/engines/reconcile.ts</t>
        </is>
      </c>
      <c r="D506" s="3" t="n">
        <v>47</v>
      </c>
      <c r="E506" s="3" t="inlineStr">
        <is>
          <t>2 · DISPLAYED</t>
        </is>
      </c>
      <c r="F506" s="3" t="inlineStr">
        <is>
          <t>NOT DETERMINED — the code carries no note saying what this is for, and it has no row in the old inventory. Needs reading.</t>
        </is>
      </c>
      <c r="G506" s="11" t="inlineStr">
        <is>
          <t>difference = computed.sub(stated)</t>
        </is>
      </c>
      <c r="H506" s="3" t="inlineStr">
        <is>
          <t>Difference is computed.sub(stated).</t>
        </is>
      </c>
      <c r="I506" s="3" t="inlineStr">
        <is>
          <t>PARTLY READ — some of the code is still showing through; needs a hand pass</t>
        </is>
      </c>
      <c r="J506" s="3" t="inlineStr">
        <is>
          <t>1. computed: Dec
2. stated: Dec
3. what: string</t>
        </is>
      </c>
      <c r="K506" s="3" t="inlineStr">
        <is>
          <t>Reconciliation</t>
        </is>
      </c>
      <c r="L506" s="3" t="inlineStr">
        <is>
          <t>NOT FOUND — a screen calls it, but the words printed beside its answer could not be traced automatically. Needs reading.</t>
        </is>
      </c>
      <c r="M506" s="3" t="inlineStr">
        <is>
          <t>None found in this function — anything it assumes comes from the functions it depends on.</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MK-ST-F-061</t>
        </is>
      </c>
      <c r="B507" s="3" t="inlineStr">
        <is>
          <t>isMonthEnd</t>
        </is>
      </c>
      <c r="C507" s="3" t="inlineStr">
        <is>
          <t>Calculation Module code/engines/snapshots.ts</t>
        </is>
      </c>
      <c r="D507" s="3" t="n">
        <v>251</v>
      </c>
      <c r="E507" s="3" t="inlineStr">
        <is>
          <t>3 · DEPENDENT (feeds an action only)</t>
        </is>
      </c>
      <c r="F507" s="3" t="inlineStr">
        <is>
          <t>NOT DETERMINED — the code carries no note saying what this is for, and it has no row in the old inventory. Needs reading.</t>
        </is>
      </c>
      <c r="G507" s="11" t="inlineStr">
        <is>
          <t>last = the date y, m, 0).get date(
false   when the first 7)}-${string(d).pad start(2, '0')}` of all dates.has(`${date
the answer = true</t>
        </is>
      </c>
      <c r="H507" s="3" t="inlineStr">
        <is>
          <t>Last: the date y, m, 0).get date(. When the first 7)}-${string(d).pad start(2, '0')}` of all dates.has(`${date, it answers false. The answer is true.</t>
        </is>
      </c>
      <c r="I507" s="3" t="inlineStr">
        <is>
          <t>PARTLY READ — some of the code is still showing through; needs a hand pass</t>
        </is>
      </c>
      <c r="J507" s="3" t="inlineStr">
        <is>
          <t>1. date: string
2. allDates: Set&lt;string&gt;</t>
        </is>
      </c>
      <c r="K507" s="3" t="inlineStr">
        <is>
          <t>boolean</t>
        </is>
      </c>
      <c r="L507" s="3" t="inlineStr">
        <is>
          <t>—</t>
        </is>
      </c>
      <c r="M507" s="3" t="inlineStr">
        <is>
          <t>None found in this function — anything it assumes comes from the functions it depends on.</t>
        </is>
      </c>
      <c r="N507" s="3" t="inlineStr">
        <is>
          <t>No</t>
        </is>
      </c>
      <c r="O507" s="3" t="inlineStr">
        <is>
          <t>1. MK-ST-F-056 has
2. MK-CF-F-132 map</t>
        </is>
      </c>
      <c r="P507" s="3" t="n">
        <v>2</v>
      </c>
      <c r="Q507" s="3" t="inlineStr">
        <is>
          <t>1. MK-ST-F-056 has
2. MK-CF-F-132 map</t>
        </is>
      </c>
      <c r="R507" s="3" t="inlineStr">
        <is>
          <t>1. MK-ST-F-056 has → MK-ST-F-061 isMonthEnd
2. MK-CF-F-132 map → MK-ST-F-061 isMonthEnd</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MK-ST-F-062</t>
        </is>
      </c>
      <c r="B508" s="3" t="inlineStr">
        <is>
          <t>toUtc</t>
        </is>
      </c>
      <c r="C508" s="3" t="inlineStr">
        <is>
          <t>Calculation Module code/engines/window-return.ts</t>
        </is>
      </c>
      <c r="D508" s="3" t="n">
        <v>54</v>
      </c>
      <c r="E508" s="3" t="inlineStr">
        <is>
          <t>1 · ACTION</t>
        </is>
      </c>
      <c r="F508" s="3" t="inlineStr">
        <is>
          <t>NOT DETERMINED — the code carries no note saying what this is for, and it has no row in the old inventory. Needs reading.</t>
        </is>
      </c>
      <c r="G508" s="11" t="inlineStr">
        <is>
          <t>the answer = the milliseconds since 1970 of the date at midnight UTC</t>
        </is>
      </c>
      <c r="H508" s="3" t="inlineStr">
        <is>
          <t>A 'YYYY-MM-DD' text as a moment in time at midnight UTC, so day arithmetic is unaffected by the device's timezone.</t>
        </is>
      </c>
      <c r="I508" s="3" t="inlineStr">
        <is>
          <t>READ BY HAND 2026-08-26 — checked line by line against the code</t>
        </is>
      </c>
      <c r="J508" s="3" t="inlineStr">
        <is>
          <t>d: string</t>
        </is>
      </c>
      <c r="K508" s="3" t="inlineStr">
        <is>
          <t>00:00Z`);</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2026-09-12</t>
        </is>
      </c>
      <c r="W508" s="3" t="n"/>
      <c r="X508" s="3" t="n"/>
      <c r="Y508" s="3" t="inlineStr">
        <is>
          <t>NOTHING OPEN</t>
        </is>
      </c>
    </row>
    <row r="509" ht="60" customHeight="1">
      <c r="A509" s="3" t="inlineStr">
        <is>
          <t>MK-ST-F-063</t>
        </is>
      </c>
      <c r="B509" s="3" t="inlineStr">
        <is>
          <t>shiftDay</t>
        </is>
      </c>
      <c r="C509" s="3" t="inlineStr">
        <is>
          <t>Calculation Module code/engines/window-return.ts</t>
        </is>
      </c>
      <c r="D509" s="3" t="n">
        <v>76</v>
      </c>
      <c r="E509" s="3" t="inlineStr">
        <is>
          <t>1 · ACTION</t>
        </is>
      </c>
      <c r="F509" s="3" t="inlineStr">
        <is>
          <t>NOT DETERMINED — the code carries no note saying what this is for, and it has no row in the old inventory. Needs reading.</t>
        </is>
      </c>
      <c r="G509" s="11" t="inlineStr">
        <is>
          <t>the first 10 of the date to utc(d) + by × day ms).to isostring(</t>
        </is>
      </c>
      <c r="H509" s="3" t="inlineStr">
        <is>
          <t>the first 10 of the date to utc(d) plus by times day ms).to isostring(</t>
        </is>
      </c>
      <c r="I509" s="3" t="inlineStr">
        <is>
          <t>PARTLY READ — some of the code is still showing through; needs a hand pass</t>
        </is>
      </c>
      <c r="J509" s="3" t="inlineStr">
        <is>
          <t>1. d: string
2. by: number</t>
        </is>
      </c>
      <c r="K509" s="3" t="inlineStr">
        <is>
          <t>NOT DECLARED — the code does not say what it gives back</t>
        </is>
      </c>
      <c r="L509" s="3" t="inlineStr">
        <is>
          <t>—</t>
        </is>
      </c>
      <c r="M509" s="3" t="inlineStr">
        <is>
          <t>None found in this function — anything it assumes comes from the functions it depends on.</t>
        </is>
      </c>
      <c r="N509" s="3" t="inlineStr">
        <is>
          <t>Yes</t>
        </is>
      </c>
      <c r="O509" s="3" t="inlineStr">
        <is>
          <t>MK-ST-F-062 toUtc</t>
        </is>
      </c>
      <c r="P509" s="3" t="n">
        <v>1</v>
      </c>
      <c r="Q509" s="3" t="inlineStr">
        <is>
          <t>MK-ST-F-062 toUtc</t>
        </is>
      </c>
      <c r="R509" s="3" t="inlineStr">
        <is>
          <t>MK-ST-F-062 toUtc → MK-ST-F-063 shiftDay</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MK-ST-F-064</t>
        </is>
      </c>
      <c r="B510" s="3" t="inlineStr">
        <is>
          <t>modifiedDietzOverWindow</t>
        </is>
      </c>
      <c r="C510" s="3" t="inlineStr">
        <is>
          <t>Calculation Module code/engines/window-return.ts</t>
        </is>
      </c>
      <c r="D510" s="3" t="n">
        <v>170</v>
      </c>
      <c r="E510" s="3" t="inlineStr">
        <is>
          <t>3 · DEPENDENT</t>
        </is>
      </c>
      <c r="F510" s="3" t="inlineStr">
        <is>
          <t>NOT DETERMINED — the code carries no note saying what this is for, and it has no row in the old inventory. Needs reading.</t>
        </is>
      </c>
      <c r="G510" s="11" t="inlineStr">
        <is>
          <t>w = window bounds(start, end)
flows = flows (or none when missing)
net flows = dec.sum(flows.map((f) =&gt; amount))
gain = ending.sub(beginning).sub(net flows)
t = min(max(round((to utc(date) − to utc(start)) ÷ day ms), 0), days − 1)
the answer = (days − t) ÷ days
denom = Σ over flows of (amount.to number(8) × weight(each))  starting from beginning.to number(8)
dateless = flows.some((f) =&gt; !date)
limit = beginning.abs().to number(8) × DATELESS_FLOW_LIMIT
r = rate with(() =&gt; 0.5)
rate = rate with((f) =&gt; weight of(date!))
… the first steps only — the rest of the body needs reading by hand.</t>
        </is>
      </c>
      <c r="H510" s="3" t="inlineStr">
        <is>
          <t>W is window bounds(start, end). Flows is flows (or none — when missing). Net flows is dec.sum(flows.map((f) =&gt; amount)). Gain is ending.sub(beginning).sub(net flows). T: the smaller of the larger of (to utc(date and to a whole number minus to utc(start) divided by day ms) and 0, days minus 1). The answer is (days minus t) divided by days. Denom: the amount.to number(8) times weight(each)) starting from beginning.to number(8 added up across flows. Dateless is flows.some((f) =&gt; !date). Limit is beginning.abs().to number(8) times DATELESS_FLOW_LIMIT. R is rate with(() =&gt; 0.5). Rate is rate with((f) =&gt; weight of(date!)). Only the first steps are shown; the rest of the body needs reading by hand.</t>
        </is>
      </c>
      <c r="I510" s="3" t="inlineStr">
        <is>
          <t>PARTLY READ — some of the code is still showing through; needs a hand pass</t>
        </is>
      </c>
      <c r="J510" s="3" t="inlineStr">
        <is>
          <t>Nothing is handed to it</t>
        </is>
      </c>
      <c r="K510" s="3" t="inlineStr">
        <is>
          <t>NOT DECLARED — the code does not say what it gives back</t>
        </is>
      </c>
      <c r="L510" s="3" t="inlineStr">
        <is>
          <t>—</t>
        </is>
      </c>
      <c r="M510" s="3" t="inlineStr">
        <is>
          <t>· Rounds the answer to a whole number.</t>
        </is>
      </c>
      <c r="N510" s="3" t="inlineStr">
        <is>
          <t>Yes</t>
        </is>
      </c>
      <c r="O510" s="3" t="inlineStr">
        <is>
          <t>1. MK-CF-F-132 map
2. MK-ST-F-053 money
3. MK-ST-F-021 toNumber
4. MK-ST-F-062 toUtc
5. MK-ST-F-038 windowBounds</t>
        </is>
      </c>
      <c r="P510" s="3" t="n">
        <v>11</v>
      </c>
      <c r="Q510" s="3" t="inlineStr">
        <is>
          <t>1. MK-CF-F-132 map
2. MK-ST-F-053 money
3. MK-ST-F-021 toNumber
4. MK-ST-F-062 toUtc
5. MK-ST-F-038 windowBounds
6. MK-ST-F-049 formatMoney
7. MK-XS-F-122 n
8. MK-ST-F-063 shiftDay
9. MK-ST-F-048 currencySymbol
10. MK-ST-F-039 on
11. MK-ST-F-047 activeCurrency</t>
        </is>
      </c>
      <c r="R510" s="3" t="inlineStr">
        <is>
          <t>1. MK-CF-F-132 map → MK-ST-F-064 modifiedDietzOverWindow
2. MK-ST-F-047 activeCurrency → MK-ST-F-048 currencySymbol → MK-ST-F-049 formatMoney → MK-ST-F-053 money → MK-ST-F-064 modifiedDietzOverWindow
3. MK-XS-F-122 n → MK-ST-F-049 formatMoney → MK-ST-F-053 money → MK-ST-F-064 modifiedDietzOverWindow
4. MK-ST-F-039 on → MK-ST-F-049 formatMoney → MK-ST-F-053 money → MK-ST-F-064 modifiedDietzOverWindow
5. MK-XS-F-122 n → MK-ST-F-053 money → MK-ST-F-064 modifiedDietzOverWindow
6. MK-XS-F-122 n → MK-ST-F-021 toNumber → MK-ST-F-064 modifiedDietzOverWindow
7. MK-ST-F-062 toUtc → MK-ST-F-064 modifiedDietzOverWindow
8. MK-ST-F-062 toUtc → MK-ST-F-063 shiftDay → MK-ST-F-038 windowBounds → MK-ST-F-064 modifiedDietzOverWindow
9. … and 1 more paths</t>
        </is>
      </c>
      <c r="S510" s="3" t="inlineStr">
        <is>
          <t>—</t>
        </is>
      </c>
      <c r="T510" s="3" t="inlineStr">
        <is>
          <t>—</t>
        </is>
      </c>
      <c r="U510" s="3" t="inlineStr">
        <is>
          <t>ACTIVE</t>
        </is>
      </c>
      <c r="V510" s="3" t="inlineStr">
        <is>
          <t>2026-10-01</t>
        </is>
      </c>
      <c r="W510" s="3" t="n"/>
      <c r="X510" s="3" t="n"/>
      <c r="Y510" s="3" t="inlineStr">
        <is>
          <t>NOTHING OPEN</t>
        </is>
      </c>
    </row>
    <row r="511" ht="45" customHeight="1">
      <c r="A511" s="3" t="inlineStr">
        <is>
          <t>MK-ST-F-065</t>
        </is>
      </c>
      <c r="B511" s="3" t="inlineStr">
        <is>
          <t>isoLocalDate</t>
        </is>
      </c>
      <c r="C511" s="3" t="inlineStr">
        <is>
          <t>src/domain/_shared/dates.ts</t>
        </is>
      </c>
      <c r="D511" s="3" t="n">
        <v>36</v>
      </c>
      <c r="E511" s="3" t="inlineStr">
        <is>
          <t>2 · DISPLAYED</t>
        </is>
      </c>
      <c r="F511" s="3" t="inlineStr">
        <is>
          <t>THE DATE A PERSON IS LIVING IN, not the one UTC is.</t>
        </is>
      </c>
      <c r="G511" s="11" t="inlineStr">
        <is>
          <t>`${get full year()}-${string(get month() + 1).pad start(2, '0')}-${string(get date()).pad start(2, '0')}`</t>
        </is>
      </c>
      <c r="H511" s="3" t="inlineStr">
        <is>
          <t>`${get full year()}-${string(get month() plus 1).pad start(2, '0')}-${string(get date()).pad start(2, '0')}`.</t>
        </is>
      </c>
      <c r="I511" s="3" t="inlineStr">
        <is>
          <t>PARTLY READ — some of the code is still showing through; needs a hand pass</t>
        </is>
      </c>
      <c r="J511" s="3" t="inlineStr">
        <is>
          <t>d: Date</t>
        </is>
      </c>
      <c r="K511" s="3" t="inlineStr">
        <is>
          <t>string</t>
        </is>
      </c>
      <c r="L511" s="3" t="inlineStr">
        <is>
          <t>1. "Date (opt)" — on the Performance screen
2. "Nothing needs you today — nice." — on the Home screen, under "CHIEF OF STAFF — WHAT NEEDS YOU $"</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MK-ST-F-066</t>
        </is>
      </c>
      <c r="B512" s="3" t="inlineStr">
        <is>
          <t>isDayKey</t>
        </is>
      </c>
      <c r="C512" s="3" t="inlineStr">
        <is>
          <t>Calculation Module code/engines/rebuild-history.ts</t>
        </is>
      </c>
      <c r="D512" s="3" t="n">
        <v>70</v>
      </c>
      <c r="E512" s="3" t="inlineStr">
        <is>
          <t>1 · ACTION</t>
        </is>
      </c>
      <c r="F512" s="3" t="inlineStr">
        <is>
          <t>NOT DETERMINED — the code carries no note saying what this is for, and it has no row in the old inventory. Needs reading.</t>
        </is>
      </c>
      <c r="G512" s="11" t="inlineStr">
        <is>
          <t>NOT READ YET — the body is not a shape this can render faithfully, so nothing is claimed rather than something being guessed. It needs reading by hand.</t>
        </is>
      </c>
      <c r="H512" s="3" t="inlineStr">
        <is>
          <t>NOT READ YET — the body is not a shape this can render faithfully, so nothing is claimed rather than something being guessed. It needs reading by hand.</t>
        </is>
      </c>
      <c r="I512" s="3" t="inlineStr">
        <is>
          <t>NOT READ — nothing is claimed rather than something guessed</t>
        </is>
      </c>
      <c r="J512" s="3" t="inlineStr">
        <is>
          <t>d: unknown</t>
        </is>
      </c>
      <c r="K512" s="3" t="inlineStr">
        <is>
          <t>d is string</t>
        </is>
      </c>
      <c r="L512" s="3" t="inlineStr">
        <is>
          <t>—</t>
        </is>
      </c>
      <c r="M512" s="3" t="inlineStr">
        <is>
          <t>None found in this function — anything it assumes comes from the functions it depends on.</t>
        </is>
      </c>
      <c r="N512" s="3" t="inlineStr">
        <is>
          <t>Yes</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2026-09-25</t>
        </is>
      </c>
      <c r="W512" s="3" t="n"/>
      <c r="X512" s="3" t="n"/>
      <c r="Y512" s="3" t="inlineStr">
        <is>
          <t>NOTHING OPEN</t>
        </is>
      </c>
    </row>
    <row r="513" ht="60" customHeight="1">
      <c r="A513" s="3" t="inlineStr">
        <is>
          <t>MK-ST-F-067</t>
        </is>
      </c>
      <c r="B513" s="3" t="inlineStr">
        <is>
          <t>utcOfDay</t>
        </is>
      </c>
      <c r="C513" s="3" t="inlineStr">
        <is>
          <t>Calculation Module code/engines/rebuild-history.ts</t>
        </is>
      </c>
      <c r="D513" s="3" t="n">
        <v>98</v>
      </c>
      <c r="E513" s="3" t="inlineStr">
        <is>
          <t>1 · ACTION</t>
        </is>
      </c>
      <c r="F513" s="3" t="inlineStr">
        <is>
          <t>NOT DETERMINED — the code carries no note saying what this is for, and it has no row in the old inventory. Needs reading.</t>
        </is>
      </c>
      <c r="G513" s="11" t="inlineStr">
        <is>
          <t>the first 4), +slice(5, 7) − 1, +slice(8, 10) of date.UTC(+d</t>
        </is>
      </c>
      <c r="H513" s="3" t="inlineStr">
        <is>
          <t>the first 4), +slice(5, 7) minus 1, +slice(8, 10) of date.UTC(+d</t>
        </is>
      </c>
      <c r="I513" s="3" t="inlineStr">
        <is>
          <t>PARTLY READ — some of the code is still showing through; needs a hand pass</t>
        </is>
      </c>
      <c r="J513" s="3" t="inlineStr">
        <is>
          <t>d: string</t>
        </is>
      </c>
      <c r="K513" s="3" t="inlineStr">
        <is>
          <t>NOT DECLARED — the code does not say what it gives back</t>
        </is>
      </c>
      <c r="L513" s="3" t="inlineStr">
        <is>
          <t>—</t>
        </is>
      </c>
      <c r="M513" s="3" t="inlineStr">
        <is>
          <t>None found in this function — anything it assumes comes from the functions it depends on.</t>
        </is>
      </c>
      <c r="N513" s="3" t="inlineStr">
        <is>
          <t>Yes</t>
        </is>
      </c>
      <c r="O513" s="3" t="inlineStr">
        <is>
          <t>—</t>
        </is>
      </c>
      <c r="P513" s="3" t="n">
        <v>0</v>
      </c>
      <c r="Q513" s="3" t="inlineStr">
        <is>
          <t>None — no dependent function stands behind it</t>
        </is>
      </c>
      <c r="R513" s="3" t="inlineStr">
        <is>
          <t>No dependent function — it reads its inputs and answers</t>
        </is>
      </c>
      <c r="S513" s="3" t="inlineStr">
        <is>
          <t>—</t>
        </is>
      </c>
      <c r="T513" s="3" t="inlineStr">
        <is>
          <t>—</t>
        </is>
      </c>
      <c r="U513" s="3" t="inlineStr">
        <is>
          <t>ACTIVE</t>
        </is>
      </c>
      <c r="V513" s="3" t="inlineStr">
        <is>
          <t>2026-09-25</t>
        </is>
      </c>
      <c r="W513" s="3" t="n"/>
      <c r="X513" s="3" t="n"/>
      <c r="Y513" s="3" t="inlineStr">
        <is>
          <t>NOTHING OPEN</t>
        </is>
      </c>
    </row>
    <row r="514" ht="60" customHeight="1">
      <c r="A514" s="3" t="inlineStr">
        <is>
          <t>MK-ST-F-068</t>
        </is>
      </c>
      <c r="B514" s="3" t="inlineStr">
        <is>
          <t>stepDay</t>
        </is>
      </c>
      <c r="C514" s="3" t="inlineStr">
        <is>
          <t>Calculation Module code/engines/rebuild-history.ts</t>
        </is>
      </c>
      <c r="D514" s="3" t="n">
        <v>126</v>
      </c>
      <c r="E514" s="3" t="inlineStr">
        <is>
          <t>1 · ACTION</t>
        </is>
      </c>
      <c r="F514" s="3" t="inlineStr">
        <is>
          <t>NOT DETERMINED — the code carries no note saying what this is for, and it has no row in the old inventory. Needs reading.</t>
        </is>
      </c>
      <c r="G514" s="11" t="inlineStr">
        <is>
          <t>the first 10 of the date utc of day(d) + days × DAY).to isostring(</t>
        </is>
      </c>
      <c r="H514" s="3" t="inlineStr">
        <is>
          <t>the first 10 of the date utc of day(d) plus days times DAY).to isostring(</t>
        </is>
      </c>
      <c r="I514" s="3" t="inlineStr">
        <is>
          <t>PARTLY READ — some of the code is still showing through; needs a hand pass</t>
        </is>
      </c>
      <c r="J514" s="3" t="inlineStr">
        <is>
          <t>1. d: string
2. days: number</t>
        </is>
      </c>
      <c r="K514" s="3" t="inlineStr">
        <is>
          <t>NOT DECLARED — the code does not say what it gives back</t>
        </is>
      </c>
      <c r="L514" s="3" t="inlineStr">
        <is>
          <t>—</t>
        </is>
      </c>
      <c r="M514" s="3" t="inlineStr">
        <is>
          <t>None found in this function — anything it assumes comes from the functions it depends on.</t>
        </is>
      </c>
      <c r="N514" s="3" t="inlineStr">
        <is>
          <t>Yes</t>
        </is>
      </c>
      <c r="O514" s="3" t="inlineStr">
        <is>
          <t>MK-ST-F-067 utcOfDay</t>
        </is>
      </c>
      <c r="P514" s="3" t="n">
        <v>1</v>
      </c>
      <c r="Q514" s="3" t="inlineStr">
        <is>
          <t>MK-ST-F-067 utcOfDay</t>
        </is>
      </c>
      <c r="R514" s="3" t="inlineStr">
        <is>
          <t>MK-ST-F-067 utcOfDay → MK-ST-F-068 stepDay</t>
        </is>
      </c>
      <c r="S514" s="3" t="inlineStr">
        <is>
          <t>—</t>
        </is>
      </c>
      <c r="T514" s="3" t="inlineStr">
        <is>
          <t>—</t>
        </is>
      </c>
      <c r="U514" s="3" t="inlineStr">
        <is>
          <t>ACTIVE</t>
        </is>
      </c>
      <c r="V514" s="3" t="inlineStr">
        <is>
          <t>2026-09-25</t>
        </is>
      </c>
      <c r="W514" s="3" t="n"/>
      <c r="X514" s="3" t="n"/>
      <c r="Y514" s="3" t="inlineStr">
        <is>
          <t>NOTHING OPEN</t>
        </is>
      </c>
    </row>
    <row r="515" ht="60" customHeight="1">
      <c r="A515" s="3" t="inlineStr">
        <is>
          <t>MK-ST-F-069</t>
        </is>
      </c>
      <c r="B515" s="3" t="inlineStr">
        <is>
          <t>amountOf</t>
        </is>
      </c>
      <c r="C515" s="3" t="inlineStr">
        <is>
          <t>Calculation Module code/engines/rebuild-history.ts</t>
        </is>
      </c>
      <c r="D515" s="3" t="n">
        <v>155</v>
      </c>
      <c r="E515" s="3" t="inlineStr">
        <is>
          <t>1 · ACTION</t>
        </is>
      </c>
      <c r="F515" s="3" t="inlineStr">
        <is>
          <t>NOT DETERMINED — the code carries no note saying what this is for, and it has no row in the old inventory. Needs reading.</t>
        </is>
      </c>
      <c r="G515" s="11" t="inlineStr">
        <is>
          <t>v   if typeof v = 'number' and number.is finite(v)
0   otherwise</t>
        </is>
      </c>
      <c r="H515" s="3" t="inlineStr">
        <is>
          <t>v — when typeof v = 'number' and number.is finite(v); 0 — otherwise</t>
        </is>
      </c>
      <c r="I515" s="3" t="inlineStr">
        <is>
          <t>PARTLY READ — some of the code is still showing through; needs a hand pass</t>
        </is>
      </c>
      <c r="J515" s="3" t="inlineStr">
        <is>
          <t>v: unknown</t>
        </is>
      </c>
      <c r="K515" s="3" t="inlineStr">
        <is>
          <t>0);</t>
        </is>
      </c>
      <c r="L515"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2026-09-28</t>
        </is>
      </c>
      <c r="W515" s="3" t="n"/>
      <c r="X515" s="3" t="n"/>
      <c r="Y515" s="3" t="inlineStr">
        <is>
          <t>NOTHING OPEN</t>
        </is>
      </c>
    </row>
    <row r="516" ht="45" customHeight="1">
      <c r="A516" s="3" t="inlineStr">
        <is>
          <t>MK-ST-F-070</t>
        </is>
      </c>
      <c r="B516" s="3" t="inlineStr">
        <is>
          <t>isOpening</t>
        </is>
      </c>
      <c r="C516" s="3" t="inlineStr">
        <is>
          <t>Calculation Module code/engines/rebuild-history.ts</t>
        </is>
      </c>
      <c r="D516" s="3" t="n">
        <v>186</v>
      </c>
      <c r="E516" s="3" t="inlineStr">
        <is>
          <t>1 · ACTION</t>
        </is>
      </c>
      <c r="F516" s="3" t="inlineStr">
        <is>
          <t>An opening row is the first capture of something that already existed — proof that the records do NOT reach behind it.</t>
        </is>
      </c>
      <c r="G516" s="11" t="inlineStr">
        <is>
          <t>type = 'OPENING_POSITION' (or type = 'OPENING_CASH' when missing or zero)</t>
        </is>
      </c>
      <c r="H516" s="3" t="inlineStr">
        <is>
          <t>type = 'OPENING_POSITION' (or type = 'OPENING_CASH' — when missing or zero)</t>
        </is>
      </c>
      <c r="I516" s="3" t="inlineStr">
        <is>
          <t>READ FROM THE CODE — rendered from the expressions the function runs</t>
        </is>
      </c>
      <c r="J516" s="3" t="inlineStr">
        <is>
          <t>t: RebuildTxn</t>
        </is>
      </c>
      <c r="K516" s="3" t="inlineStr">
        <is>
          <t>NOT DECLARED — the code does not say what it gives back</t>
        </is>
      </c>
      <c r="L516" s="3" t="inlineStr">
        <is>
          <t>—</t>
        </is>
      </c>
      <c r="M516" s="3" t="inlineStr">
        <is>
          <t>None found in this function — anything it assumes comes from the functions it depends on.</t>
        </is>
      </c>
      <c r="N516" s="3" t="inlineStr">
        <is>
          <t>Yes</t>
        </is>
      </c>
      <c r="O516" s="3" t="inlineStr">
        <is>
          <t>—</t>
        </is>
      </c>
      <c r="P516" s="3" t="n">
        <v>0</v>
      </c>
      <c r="Q516" s="3" t="inlineStr">
        <is>
          <t>None — no dependent function stands behind it</t>
        </is>
      </c>
      <c r="R516" s="3" t="inlineStr">
        <is>
          <t>No dependent function — it reads its inputs and answers</t>
        </is>
      </c>
      <c r="S516" s="3" t="inlineStr">
        <is>
          <t>—</t>
        </is>
      </c>
      <c r="T516" s="3" t="inlineStr">
        <is>
          <t>—</t>
        </is>
      </c>
      <c r="U516" s="3" t="inlineStr">
        <is>
          <t>ACTIVE</t>
        </is>
      </c>
      <c r="V516" s="3" t="inlineStr">
        <is>
          <t>2026-09-25</t>
        </is>
      </c>
      <c r="W516" s="3" t="n"/>
      <c r="X516" s="3" t="n"/>
      <c r="Y516" s="3" t="inlineStr">
        <is>
          <t>NOTHING OPEN</t>
        </is>
      </c>
    </row>
    <row r="517" ht="60" customHeight="1">
      <c r="A517" s="3" t="inlineStr">
        <is>
          <t>MK-ST-F-071</t>
        </is>
      </c>
      <c r="B517" s="3" t="inlineStr">
        <is>
          <t>rebuildableFrom</t>
        </is>
      </c>
      <c r="C517" s="3" t="inlineStr">
        <is>
          <t>Calculation Module code/engines/rebuild-history.ts</t>
        </is>
      </c>
      <c r="D517" s="3" t="n">
        <v>227</v>
      </c>
      <c r="E517" s="3" t="inlineStr">
        <is>
          <t>3 · DEPENDENT</t>
        </is>
      </c>
      <c r="F517" s="3" t="inlineStr">
        <is>
          <t>The earliest day this account's past can honestly be rebuilt to: the first record it gave us, but never behind an opening capture, because nothing explains what sat there before it.</t>
        </is>
      </c>
      <c r="G517" s="11" t="inlineStr">
        <is>
          <t>first = nothing
last opening = nothing
nothing   when first = nothing
the answer:
last opening   if last opening ≠ nothing and last opening &gt; first
first   otherwise</t>
        </is>
      </c>
      <c r="H517" s="3" t="inlineStr">
        <is>
          <t>First is no answer. Last opening is no answer. When first is missing, it answers no answer. The answer is last opening — when last opening is not no answer and last opening &gt; first; first — otherwise.</t>
        </is>
      </c>
      <c r="I517" s="3" t="inlineStr">
        <is>
          <t>READ FROM THE CODE — rendered from the expressions the function runs</t>
        </is>
      </c>
      <c r="J517" s="3" t="inlineStr">
        <is>
          <t>1. txns: RebuildTxn[]
2. accountId: string</t>
        </is>
      </c>
      <c r="K517" s="3" t="inlineStr">
        <is>
          <t>string | null</t>
        </is>
      </c>
      <c r="L517" s="3" t="inlineStr">
        <is>
          <t>—</t>
        </is>
      </c>
      <c r="M517" s="3" t="inlineStr">
        <is>
          <t>None found in this function — anything it assumes comes from the functions it depends on.</t>
        </is>
      </c>
      <c r="N517" s="3" t="inlineStr">
        <is>
          <t>Yes</t>
        </is>
      </c>
      <c r="O517" s="3" t="inlineStr">
        <is>
          <t>1. MK-ST-F-066 isDayKey
2. MK-ST-F-070 isOpening</t>
        </is>
      </c>
      <c r="P517" s="3" t="n">
        <v>2</v>
      </c>
      <c r="Q517" s="3" t="inlineStr">
        <is>
          <t>1. MK-ST-F-066 isDayKey
2. MK-ST-F-070 isOpening</t>
        </is>
      </c>
      <c r="R517" s="3" t="inlineStr">
        <is>
          <t>1. MK-ST-F-066 isDayKey → MK-ST-F-071 rebuildableFrom
2. MK-ST-F-070 isOpening → MK-ST-F-071 rebuildableFrom</t>
        </is>
      </c>
      <c r="S517" s="3" t="inlineStr">
        <is>
          <t>—</t>
        </is>
      </c>
      <c r="T517" s="3" t="inlineStr">
        <is>
          <t>—</t>
        </is>
      </c>
      <c r="U517" s="3" t="inlineStr">
        <is>
          <t>ACTIVE</t>
        </is>
      </c>
      <c r="V517" s="3" t="inlineStr">
        <is>
          <t>2026-09-25</t>
        </is>
      </c>
      <c r="W517" s="3" t="n"/>
      <c r="X517" s="3" t="n"/>
      <c r="Y517" s="3" t="inlineStr">
        <is>
          <t>NOTHING OPEN</t>
        </is>
      </c>
    </row>
    <row r="518" ht="60" customHeight="1">
      <c r="A518" s="3" t="inlineStr">
        <is>
          <t>MK-ST-F-072</t>
        </is>
      </c>
      <c r="B518" s="3" t="inlineStr">
        <is>
          <t>undo</t>
        </is>
      </c>
      <c r="C518" s="3" t="inlineStr">
        <is>
          <t>Calculation Module code/engines/rebuild-history.ts</t>
        </is>
      </c>
      <c r="D518" s="3" t="n">
        <v>275</v>
      </c>
      <c r="E518" s="3" t="inlineStr">
        <is>
          <t>1 · ACTION</t>
        </is>
      </c>
      <c r="F518" s="3" t="inlineStr">
        <is>
          <t>Undo one record: take the state on the day AFTER it back to the state before it happened.</t>
        </is>
      </c>
      <c r="G518" s="11" t="inlineStr">
        <is>
          <t>acc = account id
key = (ticker ?? '').trim().to upper case()
cash = (id: string, by: number) =&gt; cash of.set(id, (cash of.get(id) ?? 0) + by)
m = `${id}|${k}`
cur = held.get(m) (or units = 0 when missing)</t>
        </is>
      </c>
      <c r="H518" s="3" t="inlineStr">
        <is>
          <t>Acc is account id. Key is (ticker ?? '').trim().to upper case(). Cash is (id: string, by: number) =&gt; cash of.set(id, (cash of.get(id) ?? 0) plus by). M is `${id}|${k}`. Cur is held.get(m) (or units = 0 — when missing).</t>
        </is>
      </c>
      <c r="I518" s="3" t="inlineStr">
        <is>
          <t>PARTLY READ — some of the code is still showing through; needs a hand pass</t>
        </is>
      </c>
      <c r="J518" s="3" t="inlineStr">
        <is>
          <t>1. t: RebuildTxn
2. held: Map&lt;string, Held&gt;
3. cashOf: Map&lt;string, number&gt;</t>
        </is>
      </c>
      <c r="K518" s="3" t="inlineStr">
        <is>
          <t>void</t>
        </is>
      </c>
      <c r="L518" s="3" t="inlineStr">
        <is>
          <t>—</t>
        </is>
      </c>
      <c r="M518" s="3" t="inlineStr">
        <is>
          <t>None found in this function — anything it assumes comes from the functions it depends on.</t>
        </is>
      </c>
      <c r="N518" s="3" t="inlineStr">
        <is>
          <t>Yes</t>
        </is>
      </c>
      <c r="O518" s="3" t="inlineStr">
        <is>
          <t>1. MK-ST-F-069 amountOf
2. MK-CF-F-155 cash
3. MK-ST-F-035 covers</t>
        </is>
      </c>
      <c r="P518" s="3" t="n">
        <v>5</v>
      </c>
      <c r="Q518" s="3" t="inlineStr">
        <is>
          <t>1. MK-ST-F-069 amountOf
2. MK-CF-F-155 cash
3. MK-ST-F-035 covers
4. MK-XS-F-122 n
5. MK-ST-F-034 firstDate</t>
        </is>
      </c>
      <c r="R518" s="3" t="inlineStr">
        <is>
          <t>1. MK-ST-F-069 amountOf → MK-ST-F-072 undo
2. MK-XS-F-122 n → MK-CF-F-155 cash → MK-ST-F-072 undo
3. MK-ST-F-034 firstDate → MK-ST-F-035 covers → MK-ST-F-072 undo</t>
        </is>
      </c>
      <c r="S518" s="3" t="inlineStr">
        <is>
          <t>—</t>
        </is>
      </c>
      <c r="T518" s="3" t="inlineStr">
        <is>
          <t>—</t>
        </is>
      </c>
      <c r="U518" s="3" t="inlineStr">
        <is>
          <t>ACTIVE</t>
        </is>
      </c>
      <c r="V518" s="3" t="inlineStr">
        <is>
          <t>2026-09-25</t>
        </is>
      </c>
      <c r="W518" s="3" t="n"/>
      <c r="X518" s="3" t="n"/>
      <c r="Y518" s="3" t="inlineStr">
        <is>
          <t>NOTHING OPEN</t>
        </is>
      </c>
    </row>
    <row r="519" ht="60" customHeight="1">
      <c r="A519" s="3" t="inlineStr">
        <is>
          <t>MK-ST-F-073</t>
        </is>
      </c>
      <c r="B519" s="3" t="inlineStr">
        <is>
          <t>rebuildDays</t>
        </is>
      </c>
      <c r="C519" s="3" t="inlineStr">
        <is>
          <t>Calculation Module code/engines/rebuild-history.ts</t>
        </is>
      </c>
      <c r="D519" s="3" t="n">
        <v>407</v>
      </c>
      <c r="E519" s="3" t="inlineStr">
        <is>
          <t>3 · DEPENDENT</t>
        </is>
      </c>
      <c r="F519" s="3" t="inlineStr">
        <is>
          <t>Rebuild the daily record backwards from today, for the accounts whose records can explain it.</t>
        </is>
      </c>
      <c r="G519"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19"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19" s="3" t="inlineStr">
        <is>
          <t>PARTLY READ — some of the code is still showing through; needs a hand pass</t>
        </is>
      </c>
      <c r="J519" s="3" t="inlineStr">
        <is>
          <t>input: RebuildInput</t>
        </is>
      </c>
      <c r="K519" s="3" t="inlineStr">
        <is>
          <t>RebuildResult</t>
        </is>
      </c>
      <c r="L519" s="3" t="inlineStr">
        <is>
          <t>—</t>
        </is>
      </c>
      <c r="M519" s="3" t="inlineStr">
        <is>
          <t>· Uses a built-in cursor of 0.</t>
        </is>
      </c>
      <c r="N519" s="3" t="inlineStr">
        <is>
          <t>Yes</t>
        </is>
      </c>
      <c r="O519" s="3" t="inlineStr">
        <is>
          <t>1. MK-ST-F-069 amountOf
2. MK-CF-F-133 cashOf
3. MK-ST-F-056 has
4. MK-ST-F-066 isDayKey
5. MK-ST-F-070 isOpening
6. MK-CF-F-132 map
7. MK-ST-F-071 rebuildableFrom
8. MK-ST-F-068 stepDay
9. MK-ST-F-072 undo</t>
        </is>
      </c>
      <c r="P519" s="3" t="n">
        <v>14</v>
      </c>
      <c r="Q519" s="3" t="inlineStr">
        <is>
          <t>1. MK-ST-F-069 amountOf
2. MK-CF-F-133 cashOf
3. MK-ST-F-056 has
4. MK-ST-F-066 isDayKey
5. MK-ST-F-070 isOpening
6. MK-CF-F-132 map
7. MK-ST-F-071 rebuildableFrom
8. MK-ST-F-068 stepDay
9. MK-ST-F-072 undo
10. MK-ST-F-067 utcOfDay
11. MK-CF-F-155 cash
12. MK-ST-F-035 covers
13. MK-XS-F-122 n
14. MK-ST-F-034 firstDate</t>
        </is>
      </c>
      <c r="R519" s="3" t="inlineStr">
        <is>
          <t>1. MK-ST-F-069 amountOf → MK-ST-F-073 rebuildDays
2. MK-CF-F-133 cashOf → MK-ST-F-073 rebuildDays
3. MK-ST-F-056 has → MK-ST-F-073 rebuildDays
4. MK-ST-F-066 isDayKey → MK-ST-F-073 rebuildDays
5. MK-ST-F-070 isOpening → MK-ST-F-073 rebuildDays
6. MK-CF-F-132 map → MK-ST-F-073 rebuildDays
7. MK-ST-F-066 isDayKey → MK-ST-F-071 rebuildableFrom → MK-ST-F-073 rebuildDays
8. MK-ST-F-070 isOpening → MK-ST-F-071 rebuildableFrom → MK-ST-F-073 rebuildDays
9. … and 4 more paths</t>
        </is>
      </c>
      <c r="S519" s="3" t="inlineStr">
        <is>
          <t>—</t>
        </is>
      </c>
      <c r="T519" s="3" t="inlineStr">
        <is>
          <t>—</t>
        </is>
      </c>
      <c r="U519" s="3" t="inlineStr">
        <is>
          <t>ACTIVE</t>
        </is>
      </c>
      <c r="V519" s="3" t="inlineStr">
        <is>
          <t>2026-09-25</t>
        </is>
      </c>
      <c r="W519" s="3" t="n"/>
      <c r="X519" s="3" t="n"/>
      <c r="Y519" s="3" t="inlineStr">
        <is>
          <t>NOTHING OPEN</t>
        </is>
      </c>
    </row>
    <row r="520" ht="60" customHeight="1">
      <c r="A520" s="3" t="inlineStr">
        <is>
          <t>MK-ST-F-074</t>
        </is>
      </c>
      <c r="B520" s="3" t="inlineStr">
        <is>
          <t>rebuiltSentence</t>
        </is>
      </c>
      <c r="C520" s="3" t="inlineStr">
        <is>
          <t>Calculation Module code/engines/rebuild-history.ts</t>
        </is>
      </c>
      <c r="D520" s="3" t="n">
        <v>518</v>
      </c>
      <c r="E520" s="3" t="inlineStr">
        <is>
          <t>2 · DISPLAYED</t>
        </is>
      </c>
      <c r="F520" s="3" t="inlineStr">
        <is>
          <t>The one sentence the screen says about a rebuilt line: where it came from and where it starts.</t>
        </is>
      </c>
      <c r="G520" s="11" t="inlineStr">
        <is>
          <t>''   when from is missing
who = (institution ?? '').trim()
day = the date `${from}T12:00:00`).to locale date string('en − US', { month: 'short', day: 'numeric', year: 'numeric' }</t>
        </is>
      </c>
      <c r="H520" s="3" t="inlineStr">
        <is>
          <t>When from is missing, it answers ''. Who is (institution ?? '').trim(). Day: the date `${from}T12:00:00`).to locale date string('en minus US', { month: 'short', day: 'numeric', year: 'numeric' }.</t>
        </is>
      </c>
      <c r="I520" s="3" t="inlineStr">
        <is>
          <t>PARTLY READ — some of the code is still showing through; needs a hand pass</t>
        </is>
      </c>
      <c r="J520" s="3" t="inlineStr">
        <is>
          <t>1. institution: string | null | undefined
2. from: string | null</t>
        </is>
      </c>
      <c r="K520" s="3" t="inlineStr">
        <is>
          <t>string</t>
        </is>
      </c>
      <c r="L520" s="3" t="inlineStr">
        <is>
          <t>NOT FOUND — a screen calls it, but the words printed beside its answer could not be traced automatically. Needs reading.</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MK-ST-F-075</t>
        </is>
      </c>
      <c r="B521" s="3" t="inlineStr">
        <is>
          <t>agoLabel</t>
        </is>
      </c>
      <c r="C521" s="3" t="inlineStr">
        <is>
          <t>src/domain/_shared/freshness.ts</t>
        </is>
      </c>
      <c r="D521" s="3" t="n">
        <v>83</v>
      </c>
      <c r="E521" s="3" t="inlineStr">
        <is>
          <t>3 · DEPENDENT</t>
        </is>
      </c>
      <c r="F521" s="3" t="inlineStr">
        <is>
          <t>How long ago, in words a person reads — never a raw date.</t>
        </is>
      </c>
      <c r="G521" s="11" t="inlineStr">
        <is>
          <t>days = days since(when, now)
nothing   when days = nothing
`${days} day${days &gt; 1 ? 's' : ''} ago`   when days ≥ 1
hours = round down((now − (typeof when = 'number' ? when : date.parse(string(when)))) ÷ 3600000)
the answer:
`${hours}h ago`   if hours ≥ 1
'just now'   otherwise</t>
        </is>
      </c>
      <c r="H521"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1" s="3" t="inlineStr">
        <is>
          <t>PARTLY READ — some of the code is still showing through; needs a hand pass</t>
        </is>
      </c>
      <c r="J521" s="3" t="inlineStr">
        <is>
          <t>1. when: string | number | null | undefined
2. now: number</t>
        </is>
      </c>
      <c r="K521" s="3" t="inlineStr">
        <is>
          <t>string | null</t>
        </is>
      </c>
      <c r="L521" s="3" t="inlineStr">
        <is>
          <t>—</t>
        </is>
      </c>
      <c r="M521" s="3" t="inlineStr">
        <is>
          <t>None found in this function — anything it assumes comes from the functions it depends on.</t>
        </is>
      </c>
      <c r="N521" s="3" t="inlineStr">
        <is>
          <t>Yes</t>
        </is>
      </c>
      <c r="O521" s="3" t="inlineStr">
        <is>
          <t>MK-XS-F-170 daysSince</t>
        </is>
      </c>
      <c r="P521" s="3" t="n">
        <v>1</v>
      </c>
      <c r="Q521" s="3" t="inlineStr">
        <is>
          <t>MK-XS-F-170 daysSince</t>
        </is>
      </c>
      <c r="R521" s="3" t="inlineStr">
        <is>
          <t>MK-XS-F-170 daysSince → MK-ST-F-075 agoLabel</t>
        </is>
      </c>
      <c r="S521" s="3" t="inlineStr">
        <is>
          <t>—</t>
        </is>
      </c>
      <c r="T521" s="3" t="inlineStr">
        <is>
          <t>—</t>
        </is>
      </c>
      <c r="U521" s="3" t="inlineStr">
        <is>
          <t>ACTIVE</t>
        </is>
      </c>
      <c r="V521" s="3" t="inlineStr">
        <is>
          <t>2026-10-01</t>
        </is>
      </c>
      <c r="W521" s="3" t="n"/>
      <c r="X521" s="3" t="n"/>
      <c r="Y521" s="3" t="inlineStr">
        <is>
          <t>NOTHING OPEN</t>
        </is>
      </c>
    </row>
    <row r="522" ht="60" customHeight="1">
      <c r="A522" s="3" t="inlineStr">
        <is>
          <t>MK-ST-F-076</t>
        </is>
      </c>
      <c r="B522" s="3" t="inlineStr">
        <is>
          <t>ageLabel</t>
        </is>
      </c>
      <c r="C522" s="3" t="inlineStr">
        <is>
          <t>src/domain/_shared/freshness.ts</t>
        </is>
      </c>
      <c r="D522" s="3" t="n">
        <v>123</v>
      </c>
      <c r="E522" s="3" t="inlineStr">
        <is>
          <t>3 · DEPENDENT</t>
        </is>
      </c>
      <c r="F522" s="3" t="inlineStr">
        <is>
          <t>HOW OLD, IN DAYS, IN THE WORDS HE APPROVED — 'today', 'yesterday', '3 days old'.</t>
        </is>
      </c>
      <c r="G522" s="11" t="inlineStr">
        <is>
          <t>days = days since(when, now)
nothing   when days = nothing
'today'   when days = 0
'yesterday'   when days = 1
the answer = `${days} days old`</t>
        </is>
      </c>
      <c r="H522" s="3" t="inlineStr">
        <is>
          <t>Days is days since(when, now). When days is missing, it answers no answer. When days = 0, it answers 'today'. When days = 1, it answers 'yesterday'. The answer is `${days} days old`.</t>
        </is>
      </c>
      <c r="I522" s="3" t="inlineStr">
        <is>
          <t>PARTLY READ — some of the code is still showing through; needs a hand pass</t>
        </is>
      </c>
      <c r="J522" s="3" t="inlineStr">
        <is>
          <t>1. when: string | number | null | undefined
2. now: number</t>
        </is>
      </c>
      <c r="K522" s="3" t="inlineStr">
        <is>
          <t>string | null</t>
        </is>
      </c>
      <c r="L522" s="3" t="inlineStr">
        <is>
          <t>—</t>
        </is>
      </c>
      <c r="M522" s="3" t="inlineStr">
        <is>
          <t>None found in this function — anything it assumes comes from the functions it depends on.</t>
        </is>
      </c>
      <c r="N522" s="3" t="inlineStr">
        <is>
          <t>Yes</t>
        </is>
      </c>
      <c r="O522" s="3" t="inlineStr">
        <is>
          <t>MK-XS-F-170 daysSince</t>
        </is>
      </c>
      <c r="P522" s="3" t="n">
        <v>1</v>
      </c>
      <c r="Q522" s="3" t="inlineStr">
        <is>
          <t>MK-XS-F-170 daysSince</t>
        </is>
      </c>
      <c r="R522" s="3" t="inlineStr">
        <is>
          <t>MK-XS-F-170 daysSince → MK-ST-F-076 ageLabel</t>
        </is>
      </c>
      <c r="S522" s="3" t="inlineStr">
        <is>
          <t>—</t>
        </is>
      </c>
      <c r="T522" s="3" t="inlineStr">
        <is>
          <t>—</t>
        </is>
      </c>
      <c r="U522" s="3" t="inlineStr">
        <is>
          <t>ACTIVE</t>
        </is>
      </c>
      <c r="V522" s="3" t="inlineStr">
        <is>
          <t>2026-10-01</t>
        </is>
      </c>
      <c r="W522" s="3" t="n"/>
      <c r="X522" s="3" t="n"/>
      <c r="Y522" s="3" t="inlineStr">
        <is>
          <t>NOTHING OPEN</t>
        </is>
      </c>
    </row>
    <row r="523" ht="45" customHeight="1">
      <c r="A523" s="3" t="inlineStr">
        <is>
          <t>MK-ST-F-077</t>
        </is>
      </c>
      <c r="B523" s="3" t="inlineStr">
        <is>
          <t>isStale</t>
        </is>
      </c>
      <c r="C523" s="3" t="inlineStr">
        <is>
          <t>src/domain/_shared/freshness.ts</t>
        </is>
      </c>
      <c r="D523" s="3" t="n">
        <v>154</v>
      </c>
      <c r="E523" s="3" t="inlineStr">
        <is>
          <t>3 · DEPENDENT</t>
        </is>
      </c>
      <c r="F523" s="3" t="inlineStr">
        <is>
          <t>Stale, by the one threshold.</t>
        </is>
      </c>
      <c r="G523" s="11" t="inlineStr">
        <is>
          <t>days = days since(when, now)
the answer = days = nothing (or days ≥ STALE_AFTER_DAYS when missing or zero)</t>
        </is>
      </c>
      <c r="H523" s="3" t="inlineStr">
        <is>
          <t>Days is days since(when, now). The answer is days is missing (or days is at least STALE_AFTER_DAYS — when missing or zero).</t>
        </is>
      </c>
      <c r="I523" s="3" t="inlineStr">
        <is>
          <t>READ FROM THE CODE — rendered from the expressions the function runs</t>
        </is>
      </c>
      <c r="J523" s="3" t="inlineStr">
        <is>
          <t>1. when: string | number | null | undefined
2. now: number</t>
        </is>
      </c>
      <c r="K523" s="3" t="inlineStr">
        <is>
          <t>boolean</t>
        </is>
      </c>
      <c r="L523" s="3" t="inlineStr">
        <is>
          <t>—</t>
        </is>
      </c>
      <c r="M523" s="3" t="inlineStr">
        <is>
          <t>None found in this function — anything it assumes comes from the functions it depends on.</t>
        </is>
      </c>
      <c r="N523" s="3" t="inlineStr">
        <is>
          <t>Yes</t>
        </is>
      </c>
      <c r="O523" s="3" t="inlineStr">
        <is>
          <t>MK-XS-F-170 daysSince</t>
        </is>
      </c>
      <c r="P523" s="3" t="n">
        <v>1</v>
      </c>
      <c r="Q523" s="3" t="inlineStr">
        <is>
          <t>MK-XS-F-170 daysSince</t>
        </is>
      </c>
      <c r="R523" s="3" t="inlineStr">
        <is>
          <t>MK-XS-F-170 daysSince → MK-ST-F-077 isStale</t>
        </is>
      </c>
      <c r="S523" s="3" t="inlineStr">
        <is>
          <t>—</t>
        </is>
      </c>
      <c r="T523" s="3" t="inlineStr">
        <is>
          <t>—</t>
        </is>
      </c>
      <c r="U523" s="3" t="inlineStr">
        <is>
          <t>ACTIVE</t>
        </is>
      </c>
      <c r="V523" s="3" t="inlineStr">
        <is>
          <t>2026-10-01</t>
        </is>
      </c>
      <c r="W523" s="3" t="n"/>
      <c r="X523" s="3" t="n"/>
      <c r="Y523" s="3" t="inlineStr">
        <is>
          <t>NOTHING OPEN</t>
        </is>
      </c>
    </row>
    <row r="524" ht="60" customHeight="1">
      <c r="A524" s="3" t="inlineStr">
        <is>
          <t>MK-ST-F-078</t>
        </is>
      </c>
      <c r="B524" s="3" t="inlineStr">
        <is>
          <t>dateShown</t>
        </is>
      </c>
      <c r="C524" s="3" t="inlineStr">
        <is>
          <t>src/domain/_shared/dates.ts</t>
        </is>
      </c>
      <c r="D524" s="3" t="n">
        <v>64</v>
      </c>
      <c r="E524" s="3" t="inlineStr">
        <is>
          <t>2 · DISPLAYED</t>
        </is>
      </c>
      <c r="F524" s="3" t="inlineStr">
        <is>
          <t>NOT DETERMINED — the code carries no note saying what this is for, and it has no row in the old inventory. Needs reading.</t>
        </is>
      </c>
      <c r="G524" s="11" t="inlineStr">
        <is>
          <t>''   when iso is missing
`${MONTH_SHORT[(m or 1) − 1]} ${d}, ${y}`   if y
''   otherwise</t>
        </is>
      </c>
      <c r="H524" s="3" t="inlineStr">
        <is>
          <t>When iso is missing, it answers ''. `${MONTH_SHORT[(m or 1) minus 1]} ${d}, ${y}` — when y; '' — otherwise.</t>
        </is>
      </c>
      <c r="I524" s="3" t="inlineStr">
        <is>
          <t>PARTLY READ — some of the code is still showing through; needs a hand pass</t>
        </is>
      </c>
      <c r="J524" s="3" t="inlineStr">
        <is>
          <t>iso: string | null | undefined</t>
        </is>
      </c>
      <c r="K524" s="3" t="inlineStr">
        <is>
          <t>string</t>
        </is>
      </c>
      <c r="L524" s="3" t="inlineStr">
        <is>
          <t>NOT FOUND — a screen calls it, but the words printed beside its answer could not be traced automatically. Needs reading.</t>
        </is>
      </c>
      <c r="M524" s="3" t="inlineStr">
        <is>
          <t>None found in this function — anything it assumes comes from the functions it depends on.</t>
        </is>
      </c>
      <c r="N524" s="3" t="inlineStr">
        <is>
          <t>Yes</t>
        </is>
      </c>
      <c r="O524" s="3" t="inlineStr">
        <is>
          <t>MK-CF-F-132 map</t>
        </is>
      </c>
      <c r="P524" s="3" t="n">
        <v>1</v>
      </c>
      <c r="Q524" s="3" t="inlineStr">
        <is>
          <t>MK-CF-F-132 map</t>
        </is>
      </c>
      <c r="R524" s="3" t="inlineStr">
        <is>
          <t>MK-CF-F-132 map → MK-ST-F-078 dateShown</t>
        </is>
      </c>
      <c r="S524" s="3" t="inlineStr">
        <is>
          <t>—</t>
        </is>
      </c>
      <c r="T524" s="3" t="inlineStr">
        <is>
          <t>—</t>
        </is>
      </c>
      <c r="U524" s="3" t="inlineStr">
        <is>
          <t>ACTIVE</t>
        </is>
      </c>
      <c r="V524" s="3" t="inlineStr">
        <is>
          <t>2026-10-01</t>
        </is>
      </c>
      <c r="W524" s="3" t="n"/>
      <c r="X524" s="3" t="n"/>
      <c r="Y524" s="3" t="inlineStr">
        <is>
          <t>NOTHING OPEN</t>
        </is>
      </c>
    </row>
    <row r="525" ht="60" customHeight="1">
      <c r="A525" s="3" t="inlineStr">
        <is>
          <t>MK-XS-F-001</t>
        </is>
      </c>
      <c r="B525" s="3" t="inlineStr">
        <is>
          <t>planCompleteness</t>
        </is>
      </c>
      <c r="C525" s="3" t="inlineStr">
        <is>
          <t>src/domain/completeness/index.ts</t>
        </is>
      </c>
      <c r="D525" s="3" t="n">
        <v>40</v>
      </c>
      <c r="E525" s="3" t="inlineStr">
        <is>
          <t>2 · DISPLAYED</t>
        </is>
      </c>
      <c r="F525" s="3" t="inlineStr">
        <is>
          <t>NOT DETERMINED — the code carries no note saying what this is for, and it has no row in the old inventory. Needs reading.</t>
        </is>
      </c>
      <c r="G525" s="11" t="inlineStr">
        <is>
          <t>done count = checks where donecount of 
total = count of checks
the answer:
checks = checks
done count = done count
total = total
pct = round((done count ÷ total) × 100)</t>
        </is>
      </c>
      <c r="H525" s="3" t="inlineStr">
        <is>
          <t>Done count is checks where donecount of. Total: how many checks there are. The answer is checks = checks; done count = done count; total = total; pct = (done count divided by total, to a whole number times 100).</t>
        </is>
      </c>
      <c r="I525" s="3" t="inlineStr">
        <is>
          <t>READ FROM THE CODE — rendered from the expressions the function runs</t>
        </is>
      </c>
      <c r="J525" s="3" t="inlineStr">
        <is>
          <t>i: CompletenessInput</t>
        </is>
      </c>
      <c r="K525" s="3" t="inlineStr">
        <is>
          <t>NOT DECLARED — the code does not say what it gives back</t>
        </is>
      </c>
      <c r="L525" s="3" t="inlineStr">
        <is>
          <t>NOT FOUND — a screen calls it, but the words printed beside its answer could not be traced automatically. Needs reading.</t>
        </is>
      </c>
      <c r="M525" s="3" t="inlineStr">
        <is>
          <t>· Rounds the answer to a whole number.</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2026-08-27</t>
        </is>
      </c>
      <c r="W525" s="3" t="n"/>
      <c r="X525" s="3" t="n"/>
      <c r="Y525" s="3" t="inlineStr">
        <is>
          <t>NOTHING OPEN</t>
        </is>
      </c>
    </row>
    <row r="526" ht="60" customHeight="1">
      <c r="A526" s="3" t="inlineStr">
        <is>
          <t>MK-XS-F-002</t>
        </is>
      </c>
      <c r="B526" s="3" t="inlineStr">
        <is>
          <t>dataGaps</t>
        </is>
      </c>
      <c r="C526" s="3" t="inlineStr">
        <is>
          <t>src/domain/gaps/index.ts</t>
        </is>
      </c>
      <c r="D526" s="3" t="n">
        <v>149</v>
      </c>
      <c r="E526" s="3" t="inlineStr">
        <is>
          <t>2 · DISPLAYED</t>
        </is>
      </c>
      <c r="F526" s="3" t="inlineStr">
        <is>
          <t>Every incomplete promise across the given accounts.</t>
        </is>
      </c>
      <c r="G526"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26"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26" s="3" t="inlineStr">
        <is>
          <t>PARTLY READ — some of the code is still showing through; needs a hand pass</t>
        </is>
      </c>
      <c r="J526" s="3" t="inlineStr">
        <is>
          <t>Nothing is handed to it</t>
        </is>
      </c>
      <c r="K526" s="3" t="inlineStr">
        <is>
          <t>NOT DECLARED — the code does not say what it gives back</t>
        </is>
      </c>
      <c r="L526" s="3" t="inlineStr">
        <is>
          <t>NOT FOUND — a screen calls it, but the words printed beside its answer could not be traced automatically. Needs reading.</t>
        </is>
      </c>
      <c r="M526" s="3" t="inlineStr">
        <is>
          <t>1. If shares is missing it uses 0.
2. Treats a year as 365 days.
3. Uses today's date from the device clock, so the answer changes by itself overnight.</t>
        </is>
      </c>
      <c r="N526" s="3" t="inlineStr">
        <is>
          <t>Yes</t>
        </is>
      </c>
      <c r="O526" s="3" t="inlineStr">
        <is>
          <t>1. MK-XS-F-170 daysSince
2. MK-NW-F-046 historyCoverage
3. MK-CF-F-204 line
4. MK-XS-F-120 nameOf
5. MK-XS-F-119 namesFor
6. MK-XS-F-118 prettyDate</t>
        </is>
      </c>
      <c r="P526" s="3" t="n">
        <v>114</v>
      </c>
      <c r="Q526"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MK-CF-F-155 cash
15. MK-XS-F-122 n
16. MK-CF-O-002 expenses
17. MK-CF-O-003 thisMonth
18. MK-NW-F-024 accountLastFour
19. MK-NW-F-012 taxTreatmentOf
20. MK-NW-F-023 wrapperWord
21. MK-CF-F-151 actualSpending
22. MK-CF-F-150 debtPaymentsCountedAsExpenses
23. MK-CF-F-153 radar
24. MK-CF-F-149 recurringDebtPayments
25. MK-CF-F-005 actualMonthFlow
26. MK-CF-F-156 plannedMonthFlow
27. MK-CF-F-148 inMonth
28. MK-ST-F-052 toNum
29. MK-CF-F-191 ym
30. MK-ST-F-056 has
31. MK-CF-F-022 paymentShape
32. MK-CF-F-152 isRadarItem
33. MK-CF-F-023 requiredPayment
34. MK-NW-F-078 ONE
35. MK-CF-F-157 debtPaymentsByDebt
36. MK-CF-F-192 inflowLabel
37. MK-XS-F-027 takeHomeMonthly
38. MK-CF-F-021 defaultPaymentType
39. MK-NW-F-077 ALL
40. MK-NW-F-059 currentYield
41. MK-ST-F-049 formatMoney
42. MK-ST-F-053 money
43. MK-NW-O-001 theBonds
44. MK-CF-F-193 inflowSourceWord
45. MK-CF-F-092 incomeMonthlyGrid
46. MK-CF-F-011 savingsByMonth
47. MK-NW-F-057 annualCoupon
48. MK-ST-F-048 currencySymbol
49. MK-ST-F-039 on
50. MK-ST-F-027 accountId
51. MK-NW-F-056 bondInfo
52. MK-NW-F-064 bondRateSensitivity
53. MK-NW-F-061 bondSummary
54. MK-NW-F-055 isBond
55. MK-NW-F-072 rowOf
56. MK-CF-F-069 benefitActiveMonths
57. MK-CF-F-072 currentRetirementIncomeMonthly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MK-CF-F-062 equityRowValue
80. MK-CF-F-070 benefitAnnual
81. MK-CF-F-176 sumMonthsOverEarners
82. MK-CF-F-177 wageGrossByMonth
83. MK-CF-F-090 effectiveRate
84. MK-CF-F-085 filingStatusOf
85. MK-CF-F-089 over65CountOf
86. MK-CF-F-098 progressiveMonthlyTax
87. MK-CF-F-086 stateRateOf
88. MK-CF-F-173 earnerWages
89. MK-CF-F-102 effectiveRateOnGrossFor
90. MK-CF-F-180 enteredLandsAnnual
91. MK-CF-F-082 salaryAnnual
92. MK-CF-F-084 taxableAnnual
93. MK-CF-F-067 rentalList
94. MK-CF-F-063 rowVestYear
95. MK-CF-F-120 pctBaseMonthly
96. MK-CF-F-004 spendBuckets
97. MK-NW-F-008 incomeBearingClassOf
98. MK-CF-F-130 enteredMonthlyRaw
99. MK-CF-F-166 hasMonthlySalaryTable
100. MK-ST-F-036 reconcile
101. MK-CF-F-167 salaryCalendarYear
102. MK-CF-F-101 taxOwedFor
103. MK-CF-F-100 taxableIncomeFor
104. MK-CF-F-172 hasWage
105. MK-CF-F-074 tipsAnnual
106. MK-CF-F-003 categoryMonthly
107. MK-ST-F-010 nameEvidence
108. MK-CF-F-165 salaryMonths
109. MK-CF-F-099 deductionFor
110. MK-CF-F-081 salaryActiveMonths
111. MK-XS-F-147 call
112. MK-CF-F-187 seniorDeductionFor
113. MK-XS-F-064 currentIdToken
114. MK-XS-F-112 relayUrl</t>
        </is>
      </c>
      <c r="R526"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26" s="3" t="inlineStr">
        <is>
          <t>—</t>
        </is>
      </c>
      <c r="T526" s="3" t="inlineStr">
        <is>
          <t>WHAT_IS_MISSING</t>
        </is>
      </c>
      <c r="U526" s="3" t="inlineStr">
        <is>
          <t>ACTIVE</t>
        </is>
      </c>
      <c r="V526" s="3" t="inlineStr">
        <is>
          <t>2026-08-27</t>
        </is>
      </c>
      <c r="W526" s="3" t="n"/>
      <c r="X526" s="3" t="n"/>
      <c r="Y526" s="3" t="inlineStr">
        <is>
          <t>NOTHING OPEN</t>
        </is>
      </c>
    </row>
    <row r="527" ht="60" customHeight="1">
      <c r="A527" s="3" t="inlineStr">
        <is>
          <t>MK-XS-F-003</t>
        </is>
      </c>
      <c r="B527" s="3" t="inlineStr">
        <is>
          <t>gapsHeadline</t>
        </is>
      </c>
      <c r="C527" s="3" t="inlineStr">
        <is>
          <t>src/domain/gaps/index.ts</t>
        </is>
      </c>
      <c r="D527" s="3" t="n">
        <v>262</v>
      </c>
      <c r="E527" s="3" t="inlineStr">
        <is>
          <t>2 · DISPLAYED (presentation only)</t>
        </is>
      </c>
      <c r="F527" s="3" t="inlineStr">
        <is>
          <t>The banner sentence — plural-correct, and absent (null) when nothing is missing.</t>
        </is>
      </c>
      <c r="G527" s="11" t="inlineStr">
        <is>
          <t>nothing   when count of gaps is missing
'1 number needs more information'   if gaps.length = 1
`${gaps.length} numbers need more information`   otherwise</t>
        </is>
      </c>
      <c r="H527" s="3" t="inlineStr">
        <is>
          <t>When how many gaps is missing there are, it answers no answer. '1 number needs more information' — when gaps.length = 1; `${gaps.length} numbers need more information` — otherwise.</t>
        </is>
      </c>
      <c r="I527" s="3" t="inlineStr">
        <is>
          <t>PARTLY READ — some of the code is still showing through; needs a hand pass</t>
        </is>
      </c>
      <c r="J527" s="3" t="inlineStr">
        <is>
          <t>gaps: DataGap[]</t>
        </is>
      </c>
      <c r="K527" s="3" t="inlineStr">
        <is>
          <t>string | null</t>
        </is>
      </c>
      <c r="L527" s="3" t="inlineStr">
        <is>
          <t>NOT FOUND — a screen calls it, but the words printed beside its answer could not be traced automatically. Needs reading.</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MK-XS-F-004</t>
        </is>
      </c>
      <c r="B528" s="3" t="inlineStr">
        <is>
          <t>buildDatedGrid</t>
        </is>
      </c>
      <c r="C528" s="3" t="inlineStr">
        <is>
          <t>src/domain/grid/index.ts</t>
        </is>
      </c>
      <c r="D528" s="3" t="n">
        <v>113</v>
      </c>
      <c r="E528" s="3" t="inlineStr">
        <is>
          <t>2 · DISPLAYED</t>
        </is>
      </c>
      <c r="F528" s="3" t="inlineStr">
        <is>
          <t>Build the dated 12-month grid.</t>
        </is>
      </c>
      <c r="G528"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28"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28" s="3" t="inlineStr">
        <is>
          <t>PARTLY READ — the body has a loop the extractor cannot render; the steps shown are the ones before it. Needs a hand pass (G23).</t>
        </is>
      </c>
      <c r="J528" s="3" t="inlineStr">
        <is>
          <t>1. op: OnboardingProfile | null
2. opts: GridOptions = {}</t>
        </is>
      </c>
      <c r="K528" s="3" t="inlineStr">
        <is>
          <t>DatedGrid</t>
        </is>
      </c>
      <c r="L528" s="3" t="inlineStr">
        <is>
          <t>NOT FOUND — a screen calls it, but the words printed beside its answer could not be traced automatically. Needs reading.</t>
        </is>
      </c>
      <c r="M528"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28" s="3" t="inlineStr">
        <is>
          <t>Yes</t>
        </is>
      </c>
      <c r="O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28" s="3" t="n">
        <v>105</v>
      </c>
      <c r="Q528"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MK-CF-F-085 filingStatusOf
31. MK-CF-F-089 over65CountOf
32. MK-CF-F-098 progressiveMonthlyTax
33. MK-CF-F-181 rateInForce
34. MK-CF-F-086 stateRateOf
35. MK-CF-F-088 taxableByCalendarMonth
36. MK-CF-F-021 defaultPaymentType
37. MK-CF-F-067 rentalList
38. MK-CF-F-176 sumMonthsOverEarners
39. MK-CF-F-177 wageGrossByMonth
40. MK-CF-F-120 pctBaseMonthly
41. MK-CF-F-004 spendBuckets
42. MK-CF-F-063 rowVestYear
43. MK-CF-F-148 inMonth
44. MK-CF-F-191 ym
45. MK-CF-F-152 isRadarItem
46. MK-CF-O-010 theMonth
47. MK-ST-F-048 currencySymbol
48. MK-ST-F-039 on
49. MK-CF-F-101 taxOwedFor
50. MK-CF-F-100 taxableIncomeFor
51. MK-CF-F-173 earnerWages
52. MK-CF-F-102 effectiveRateOnGrossFor
53. MK-CF-F-180 enteredLandsAnnual
54. MK-CF-F-082 salaryAnnual
55. MK-CF-F-084 taxableAnnual
56. MK-CF-F-065 equityVestWeights
57. MK-CF-F-071 extraIncome
58. MK-CF-F-206 householdK401ByMonth
59. MK-CF-F-130 enteredMonthlyRaw
60. MK-CF-F-166 hasMonthlySalaryTable
61. MK-ST-F-036 reconcile
62. MK-CF-F-167 salaryCalendarYear
63. MK-CF-F-092 incomeMonthlyGrid
64. MK-CF-F-003 categoryMonthly
65. MK-CF-F-155 cash
66. MK-CF-O-003 thisMonth
67. MK-ST-F-047 activeCurrency
68. MK-CF-F-099 deductionFor
69. MK-CF-F-172 hasWage
70. MK-CF-F-074 tipsAnnual
71. MK-CF-F-070 benefitAnnual
72. MK-CF-F-165 salaryMonths
73. MK-CF-F-077 scholarshipByCalendarMonth
74. MK-PL-F-012 waterfall
75. MK-XS-F-027 takeHomeMonthly
76. MK-CF-F-005 actualMonthFlow
77. MK-CF-F-156 plannedMonthFlow
78. MK-CF-F-187 seniorDeductionFor
79. MK-CF-F-081 salaryActiveMonths
80. MK-CF-F-011 savingsByMonth
81. MK-NW-F-078 ONE
82. MK-CF-F-157 debtPaymentsByDebt
83. MK-CF-F-192 inflowLabel
84. MK-NW-F-077 ALL
85. MK-NW-F-059 currentYield
86. MK-NW-O-001 theBonds
87. MK-CF-F-193 inflowSourceWord
88. MK-NW-F-057 annualCoupon
89. MK-ST-F-027 accountId
90. MK-NW-F-056 bondInfo
91. MK-NW-F-064 bondRateSensitivity
92. MK-NW-F-061 bondSummary
93. MK-NW-F-055 isBond
94. MK-NW-F-072 rowOf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28"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28" s="3" t="inlineStr">
        <is>
          <t>—</t>
        </is>
      </c>
      <c r="T528" s="3" t="inlineStr">
        <is>
          <t>—</t>
        </is>
      </c>
      <c r="U528" s="3" t="inlineStr">
        <is>
          <t>ACTIVE</t>
        </is>
      </c>
      <c r="V528" s="3" t="inlineStr">
        <is>
          <t>2026-09-08</t>
        </is>
      </c>
      <c r="W528" s="3" t="n"/>
      <c r="X528" s="3" t="n"/>
      <c r="Y528" s="3" t="inlineStr">
        <is>
          <t>NOTHING OPEN</t>
        </is>
      </c>
    </row>
    <row r="529" ht="60" customHeight="1">
      <c r="A529" s="3" t="inlineStr">
        <is>
          <t>MK-XS-F-005</t>
        </is>
      </c>
      <c r="B529" s="3" t="inlineStr">
        <is>
          <t>trendPoints</t>
        </is>
      </c>
      <c r="C529" s="3" t="inlineStr">
        <is>
          <t>src/domain/history.ts</t>
        </is>
      </c>
      <c r="D529" s="3" t="n">
        <v>64</v>
      </c>
      <c r="E529" s="3" t="inlineStr">
        <is>
          <t>2 · DISPLAYED</t>
        </is>
      </c>
      <c r="F529" s="3" t="inlineStr">
        <is>
          <t>Chart series = monthly snapshots + daily points, chronological ('YYYY-MM' sorts before its days).</t>
        </is>
      </c>
      <c r="G529" s="11" t="inlineStr">
        <is>
          <t>pts = for each of read history(monthly): key = month
nw = net worth
the answer = pts.sort((a, b) =&gt; key.locale compare(key))</t>
        </is>
      </c>
      <c r="H529" s="3" t="inlineStr">
        <is>
          <t>Pts is for each of read history(monthly): key = month; nw = net worth. The answer is pts.sort((a, b) =&gt; key.locale compare(key)).</t>
        </is>
      </c>
      <c r="I529" s="3" t="inlineStr">
        <is>
          <t>PARTLY READ — some of the code is still showing through; needs a hand pass</t>
        </is>
      </c>
      <c r="J529" s="3" t="inlineStr">
        <is>
          <t>Nothing is handed to it</t>
        </is>
      </c>
      <c r="K529" s="3" t="inlineStr">
        <is>
          <t>NOT DECLARED — the code does not say what it gives back</t>
        </is>
      </c>
      <c r="L529" s="3" t="inlineStr">
        <is>
          <t>NOT FOUND — a screen calls it, but the words printed beside its answer could not be traced automatically. Needs reading.</t>
        </is>
      </c>
      <c r="M529" s="3" t="inlineStr">
        <is>
          <t>None found in this function — anything it assumes comes from the functions it depends on.</t>
        </is>
      </c>
      <c r="N529" s="3" t="inlineStr">
        <is>
          <t>Yes</t>
        </is>
      </c>
      <c r="O529" s="3" t="inlineStr">
        <is>
          <t>1. MK-CF-F-132 map
2. MK-XS-F-009 readHistory</t>
        </is>
      </c>
      <c r="P529" s="3" t="n">
        <v>6</v>
      </c>
      <c r="Q529" s="3" t="inlineStr">
        <is>
          <t>1. MK-CF-F-132 map
2. MK-XS-F-009 readHistory
3. MK-XS-F-008 normalizeSnapshot
4. MK-CF-F-191 ym
5. MK-XS-F-121 isYm
6. MK-XS-F-122 n</t>
        </is>
      </c>
      <c r="R529"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MK-CF-F-191 ym → MK-XS-F-009 readHistory → MK-XS-F-005 trendPoints</t>
        </is>
      </c>
      <c r="S529" s="3" t="inlineStr">
        <is>
          <t>—</t>
        </is>
      </c>
      <c r="T529" s="3" t="inlineStr">
        <is>
          <t>TREND_SERIES</t>
        </is>
      </c>
      <c r="U529" s="3" t="inlineStr">
        <is>
          <t>ACTIVE</t>
        </is>
      </c>
      <c r="V529" s="3" t="inlineStr">
        <is>
          <t>2026-08-27</t>
        </is>
      </c>
      <c r="W529" s="3" t="n"/>
      <c r="X529" s="3" t="n"/>
      <c r="Y529" s="3" t="inlineStr">
        <is>
          <t>NOTHING OPEN</t>
        </is>
      </c>
    </row>
    <row r="530" ht="60" customHeight="1">
      <c r="A530" s="3" t="inlineStr">
        <is>
          <t>MK-XS-F-006</t>
        </is>
      </c>
      <c r="B530" s="3" t="inlineStr">
        <is>
          <t>pruneDaily</t>
        </is>
      </c>
      <c r="C530" s="3" t="inlineStr">
        <is>
          <t>src/domain/history.ts</t>
        </is>
      </c>
      <c r="D530" s="3" t="n">
        <v>106</v>
      </c>
      <c r="E530" s="3" t="inlineStr">
        <is>
          <t>3 · DEPENDENT</t>
        </is>
      </c>
      <c r="F530" s="3" t="inlineStr">
        <is>
          <t>Prune helper for the store writer: newest DAILY_KEEP days survive.</t>
        </is>
      </c>
      <c r="G530" s="11" t="inlineStr">
        <is>
          <t>keys = the names in daily, in order
daily   when keys.length ≤ DAILY_KEEP
keep = a list with no repeats of keys.slice(-DAILY_KEEP)
the answer = object.from entries(object.entries(daily).filter(([k]) =&gt; keep.has(k)))</t>
        </is>
      </c>
      <c r="H530" s="3" t="inlineStr">
        <is>
          <t>Keys: the names in daily, in order. When keys.length is at most DAILY_KEEP, it answers daily. Keep is a list with no repeats of keys.slice(-DAILY_KEEP). The answer is object.from entries(object.entries(daily).filter(([k]) =&gt; keep.has(k))).</t>
        </is>
      </c>
      <c r="I530" s="3" t="inlineStr">
        <is>
          <t>PARTLY READ — some of the code is still showing through; needs a hand pass</t>
        </is>
      </c>
      <c r="J530" s="3" t="inlineStr">
        <is>
          <t>daily: Record&lt;string, number&gt;</t>
        </is>
      </c>
      <c r="K530" s="3" t="inlineStr">
        <is>
          <t>Record&lt;string, number&gt;</t>
        </is>
      </c>
      <c r="L530" s="3" t="inlineStr">
        <is>
          <t>—</t>
        </is>
      </c>
      <c r="M530" s="3" t="inlineStr">
        <is>
          <t>None found in this function — anything it assumes comes from the functions it depends on.</t>
        </is>
      </c>
      <c r="N530" s="3" t="inlineStr">
        <is>
          <t>Yes</t>
        </is>
      </c>
      <c r="O530" s="3" t="inlineStr">
        <is>
          <t>MK-ST-F-056 has</t>
        </is>
      </c>
      <c r="P530" s="3" t="n">
        <v>1</v>
      </c>
      <c r="Q530" s="3" t="inlineStr">
        <is>
          <t>MK-ST-F-056 has</t>
        </is>
      </c>
      <c r="R530" s="3" t="inlineStr">
        <is>
          <t>MK-ST-F-056 has → MK-XS-F-006 pruneDaily</t>
        </is>
      </c>
      <c r="S530" s="3" t="inlineStr">
        <is>
          <t>—</t>
        </is>
      </c>
      <c r="T530" s="3" t="inlineStr">
        <is>
          <t>—</t>
        </is>
      </c>
      <c r="U530" s="3" t="inlineStr">
        <is>
          <t>ACTIVE</t>
        </is>
      </c>
      <c r="V530" s="3" t="inlineStr">
        <is>
          <t>2026-09-12</t>
        </is>
      </c>
      <c r="W530" s="3" t="n"/>
      <c r="X530" s="3" t="n"/>
      <c r="Y530" s="3" t="inlineStr">
        <is>
          <t>NOTHING OPEN</t>
        </is>
      </c>
    </row>
    <row r="531" ht="60" customHeight="1">
      <c r="A531" s="3" t="inlineStr">
        <is>
          <t>MK-XS-F-007</t>
        </is>
      </c>
      <c r="B531" s="3" t="inlineStr">
        <is>
          <t>makeMonthlySnapshot</t>
        </is>
      </c>
      <c r="C531" s="3" t="inlineStr">
        <is>
          <t>src/domain/history.ts</t>
        </is>
      </c>
      <c r="D531" s="3" t="n">
        <v>194</v>
      </c>
      <c r="E531" s="3" t="inlineStr">
        <is>
          <t>2 · DISPLAYED</t>
        </is>
      </c>
      <c r="F531" s="3" t="inlineStr">
        <is>
          <t>The ONE writer — stamps the version and keeps the arithmetic identity by construction.</t>
        </is>
      </c>
      <c r="G531" s="11" t="inlineStr">
        <is>
          <t>net worth = gross assets − gross debt
v = the snapshot version</t>
        </is>
      </c>
      <c r="H531" s="3" t="inlineStr">
        <is>
          <t>Builds a month-end snapshot: net worth is assets minus debts, computed here and never stored as a third figure that could disagree with its own halves.</t>
        </is>
      </c>
      <c r="I531" s="3" t="inlineStr">
        <is>
          <t>READ BY HAND 2026-08-26 — checked line by line against the code</t>
        </is>
      </c>
      <c r="J531" s="3" t="inlineStr">
        <is>
          <t>i: Omit&lt;MonthlySnapshot, 'v' | 'net_worth'&gt; &amp; { net_worth?: number }</t>
        </is>
      </c>
      <c r="K531" s="3" t="inlineStr">
        <is>
          <t>MonthlySnapshot</t>
        </is>
      </c>
      <c r="L531" s="3" t="inlineStr">
        <is>
          <t>NOT FOUND — a screen calls it, but the words printed beside its answer could not be traced automatically. Needs reading.</t>
        </is>
      </c>
      <c r="M531" s="3" t="inlineStr">
        <is>
          <t>None found in this function — anything it assumes comes from the functions it depends on.</t>
        </is>
      </c>
      <c r="N531" s="3" t="inlineStr">
        <is>
          <t>Yes</t>
        </is>
      </c>
      <c r="O531" s="3" t="inlineStr">
        <is>
          <t>MK-XS-F-122 n</t>
        </is>
      </c>
      <c r="P531" s="3" t="n">
        <v>1</v>
      </c>
      <c r="Q531" s="3" t="inlineStr">
        <is>
          <t>MK-XS-F-122 n</t>
        </is>
      </c>
      <c r="R531" s="3" t="inlineStr">
        <is>
          <t>MK-XS-F-122 n → MK-XS-F-007 makeMonthlySnapshot</t>
        </is>
      </c>
      <c r="S531" s="3" t="inlineStr">
        <is>
          <t>—</t>
        </is>
      </c>
      <c r="T531" s="3" t="inlineStr">
        <is>
          <t>—</t>
        </is>
      </c>
      <c r="U531" s="3" t="inlineStr">
        <is>
          <t>ACTIVE</t>
        </is>
      </c>
      <c r="V531" s="3" t="inlineStr">
        <is>
          <t>2026-09-12</t>
        </is>
      </c>
      <c r="W531" s="3" t="n"/>
      <c r="X531" s="3" t="n"/>
      <c r="Y531" s="3" t="inlineStr">
        <is>
          <t>NOTHING OPEN</t>
        </is>
      </c>
    </row>
    <row r="532" ht="60" customHeight="1">
      <c r="A532" s="3" t="inlineStr">
        <is>
          <t>MK-XS-F-008</t>
        </is>
      </c>
      <c r="B532" s="3" t="inlineStr">
        <is>
          <t>normalizeSnapshot</t>
        </is>
      </c>
      <c r="C532" s="3" t="inlineStr">
        <is>
          <t>src/domain/history.ts</t>
        </is>
      </c>
      <c r="D532" s="3" t="n">
        <v>234</v>
      </c>
      <c r="E532" s="3" t="inlineStr">
        <is>
          <t>3 · DEPENDENT</t>
        </is>
      </c>
      <c r="F532" s="3" t="inlineStr">
        <is>
          <t>Normalize ONE stored entry: v1 passes validated; a legacy blob (no `v`) maps best-effort; anything without a real month + net worth is dropped (null), never charted.</t>
        </is>
      </c>
      <c r="G532"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32"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32" s="3" t="inlineStr">
        <is>
          <t>PARTLY READ — some of the code is still showing through; needs a hand pass</t>
        </is>
      </c>
      <c r="J532" s="3" t="inlineStr">
        <is>
          <t>1. ym: string
2. raw: unknown</t>
        </is>
      </c>
      <c r="K532" s="3" t="inlineStr">
        <is>
          <t>MonthlySnapshot | null</t>
        </is>
      </c>
      <c r="L532" s="3" t="inlineStr">
        <is>
          <t>—</t>
        </is>
      </c>
      <c r="M532" s="3" t="inlineStr">
        <is>
          <t>None found in this function — anything it assumes comes from the functions it depends on.</t>
        </is>
      </c>
      <c r="N532" s="3" t="inlineStr">
        <is>
          <t>Yes</t>
        </is>
      </c>
      <c r="O532" s="3" t="inlineStr">
        <is>
          <t>1. MK-XS-F-121 isYm
2. MK-XS-F-122 n
3. MK-CF-F-191 ym</t>
        </is>
      </c>
      <c r="P532" s="3" t="n">
        <v>3</v>
      </c>
      <c r="Q532" s="3" t="inlineStr">
        <is>
          <t>1. MK-XS-F-121 isYm
2. MK-XS-F-122 n
3. MK-CF-F-191 ym</t>
        </is>
      </c>
      <c r="R532" s="3" t="inlineStr">
        <is>
          <t>1. MK-XS-F-121 isYm → MK-XS-F-008 normalizeSnapshot
2. MK-XS-F-122 n → MK-XS-F-008 normalizeSnapshot
3. MK-CF-F-191 ym → MK-XS-F-008 normalizeSnapshot</t>
        </is>
      </c>
      <c r="S532" s="3" t="inlineStr">
        <is>
          <t>—</t>
        </is>
      </c>
      <c r="T532" s="3" t="inlineStr">
        <is>
          <t>SNAPSHOT_READ_ONE</t>
        </is>
      </c>
      <c r="U532" s="3" t="inlineStr">
        <is>
          <t>ACTIVE</t>
        </is>
      </c>
      <c r="V532" s="3" t="inlineStr">
        <is>
          <t>2026-09-09</t>
        </is>
      </c>
      <c r="W532" s="3" t="n"/>
      <c r="X532" s="3" t="n"/>
      <c r="Y532" s="3" t="inlineStr">
        <is>
          <t>NOTHING OPEN</t>
        </is>
      </c>
    </row>
    <row r="533" ht="60" customHeight="1">
      <c r="A533" s="3" t="inlineStr">
        <is>
          <t>MK-XS-F-009</t>
        </is>
      </c>
      <c r="B533" s="3" t="inlineStr">
        <is>
          <t>readHistory</t>
        </is>
      </c>
      <c r="C533" s="3" t="inlineStr">
        <is>
          <t>src/domain/history.ts</t>
        </is>
      </c>
      <c r="D533" s="3" t="n">
        <v>285</v>
      </c>
      <c r="E533" s="3" t="inlineStr">
        <is>
          <t>2 · DISPLAYED</t>
        </is>
      </c>
      <c r="F533" s="3" t="inlineStr">
        <is>
          <t>The ONE reader every history surface uses: normalized, garbage-free, sorted by month.</t>
        </is>
      </c>
      <c r="G533" s="11" t="inlineStr">
        <is>
          <t>for each stored month: normalize snapshot(month, value); drop the unreadable ones; sort by month, oldest first</t>
        </is>
      </c>
      <c r="H533" s="3" t="inlineStr">
        <is>
          <t>Reads the stored monthly snapshots, drops any that cannot be read, and sorts them oldest first. No arithmetic beyond the ordering.</t>
        </is>
      </c>
      <c r="I533" s="3" t="inlineStr">
        <is>
          <t>READ BY HAND 2026-08-26 — checked line by line against the code</t>
        </is>
      </c>
      <c r="J533" s="3" t="inlineStr">
        <is>
          <t>raw: Record&lt;string, unknown&gt; | null | undefined</t>
        </is>
      </c>
      <c r="K533" s="3" t="inlineStr">
        <is>
          <t>MonthlySnapshot[]</t>
        </is>
      </c>
      <c r="L533" s="3" t="inlineStr">
        <is>
          <t>NOT FOUND — a screen calls it, but the words printed beside its answer could not be traced automatically. Needs reading.</t>
        </is>
      </c>
      <c r="M533" s="3" t="inlineStr">
        <is>
          <t>None found in this function — anything it assumes comes from the functions it depends on.</t>
        </is>
      </c>
      <c r="N533" s="3" t="inlineStr">
        <is>
          <t>Yes</t>
        </is>
      </c>
      <c r="O533" s="3" t="inlineStr">
        <is>
          <t>1. MK-CF-F-132 map
2. MK-XS-F-008 normalizeSnapshot
3. MK-CF-F-191 ym</t>
        </is>
      </c>
      <c r="P533" s="3" t="n">
        <v>5</v>
      </c>
      <c r="Q533" s="3" t="inlineStr">
        <is>
          <t>1. MK-CF-F-132 map
2. MK-XS-F-008 normalizeSnapshot
3. MK-CF-F-191 ym
4. MK-XS-F-121 isYm
5. MK-XS-F-122 n</t>
        </is>
      </c>
      <c r="R533" s="3" t="inlineStr">
        <is>
          <t>1. MK-CF-F-132 map → MK-XS-F-009 readHistory
2. MK-XS-F-121 isYm → MK-XS-F-008 normalizeSnapshot → MK-XS-F-009 readHistory
3. MK-XS-F-122 n → MK-XS-F-008 normalizeSnapshot → MK-XS-F-009 readHistory
4. MK-CF-F-191 ym → MK-XS-F-008 normalizeSnapshot → MK-XS-F-009 readHistory
5. MK-CF-F-191 ym → MK-XS-F-009 readHistory</t>
        </is>
      </c>
      <c r="S533" s="3" t="inlineStr">
        <is>
          <t>—</t>
        </is>
      </c>
      <c r="T533" s="3" t="inlineStr">
        <is>
          <t>SNAPSHOT_READ_ALL</t>
        </is>
      </c>
      <c r="U533" s="3" t="inlineStr">
        <is>
          <t>ACTIVE</t>
        </is>
      </c>
      <c r="V533" s="3" t="inlineStr">
        <is>
          <t>2026-09-12</t>
        </is>
      </c>
      <c r="W533" s="3" t="n"/>
      <c r="X533" s="3" t="n"/>
      <c r="Y533" s="3" t="inlineStr">
        <is>
          <t>NOTHING OPEN</t>
        </is>
      </c>
    </row>
    <row r="534" ht="60" customHeight="1">
      <c r="A534" s="3" t="inlineStr">
        <is>
          <t>MK-XS-F-010</t>
        </is>
      </c>
      <c r="B534" s="3" t="inlineStr">
        <is>
          <t>investableChangePct</t>
        </is>
      </c>
      <c r="C534" s="3" t="inlineStr">
        <is>
          <t>src/domain/history.ts</t>
        </is>
      </c>
      <c r="D534" s="3" t="n">
        <v>319</v>
      </c>
      <c r="E534" s="3" t="inlineStr">
        <is>
          <t>3 · DEPENDENT</t>
        </is>
      </c>
      <c r="F534" s="3" t="inlineStr">
        <is>
          <t>FOUNDER RULE 2026-08-04: the NW change PERCENT is measured on cash + investments only — property values move only when someone retypes them, so a total-net-worth percent is noise.</t>
        </is>
      </c>
      <c r="G534" s="11" t="inlineStr">
        <is>
          <t>nothing   when since key is missing (or not (current investable &gt; 0) when missing or zero)
base = (inv daily as any)[base key]   if base key ≠ nothing
nothing   otherwise
nothing   when base is not a number (or not (base &gt; 0) when missing or zero)
the answer = ((current investable − base) ÷ base) × 100</t>
        </is>
      </c>
      <c r="H534" s="3" t="inlineStr">
        <is>
          <t>When since key is missing (or not (current investable &gt; 0) — when missing or zero), it answers no answer. Base is (inv daily as any)[base key] — when base key is not no answer; no answer — otherwise. When base is a is missing number (or not (base &gt; 0) — when missing or zero), it answers no answer. The answer is ((current investable minus base) divided by base) times 100.</t>
        </is>
      </c>
      <c r="I534" s="3" t="inlineStr">
        <is>
          <t>READ FROM THE CODE — rendered from the expressions the function runs</t>
        </is>
      </c>
      <c r="J534" s="3" t="inlineStr">
        <is>
          <t>Nothing is handed to it</t>
        </is>
      </c>
      <c r="K534" s="3" t="inlineStr">
        <is>
          <t>NOT DECLARED — the code does not say what it gives back</t>
        </is>
      </c>
      <c r="L534" s="3" t="inlineStr">
        <is>
          <t>—</t>
        </is>
      </c>
      <c r="M534" s="3" t="inlineStr">
        <is>
          <t>None found in this function — anything it assumes comes from the functions it depends on.</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NW_CHANGE_PCT</t>
        </is>
      </c>
      <c r="U534" s="3" t="inlineStr">
        <is>
          <t>ACTIVE</t>
        </is>
      </c>
      <c r="V534" s="3" t="inlineStr">
        <is>
          <t>2026-09-27</t>
        </is>
      </c>
      <c r="W534" s="3" t="n"/>
      <c r="X534" s="3" t="n"/>
      <c r="Y534" s="3" t="inlineStr">
        <is>
          <t>NOTHING OPEN</t>
        </is>
      </c>
    </row>
    <row r="535" ht="60" customHeight="1">
      <c r="A535" s="3" t="inlineStr">
        <is>
          <t>MK-XS-F-011</t>
        </is>
      </c>
      <c r="B535" s="3" t="inlineStr">
        <is>
          <t>buildChangeWalk</t>
        </is>
      </c>
      <c r="C535" s="3" t="inlineStr">
        <is>
          <t>src/domain/history.ts</t>
        </is>
      </c>
      <c r="D535" s="3" t="n">
        <v>381</v>
      </c>
      <c r="E535" s="3" t="inlineStr">
        <is>
          <t>2 · DISPLAYED</t>
        </is>
      </c>
      <c r="F535" s="3" t="inlineStr">
        <is>
          <t>My net worth changed since last time — what actually caused it?</t>
        </is>
      </c>
      <c r="G535"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35"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35" s="3" t="inlineStr">
        <is>
          <t>PARTLY READ — some of the code is still showing through; needs a hand pass</t>
        </is>
      </c>
      <c r="J535" s="3" t="inlineStr">
        <is>
          <t>Nothing is handed to it</t>
        </is>
      </c>
      <c r="K535" s="3" t="inlineStr">
        <is>
          <t>NOT DECLARED — the code does not say what it gives back</t>
        </is>
      </c>
      <c r="L535" s="3" t="inlineStr">
        <is>
          <t>NOT FOUND — a screen calls it, but the words printed beside its answer could not be traced automatically. Needs reading.</t>
        </is>
      </c>
      <c r="M535" s="3" t="inlineStr">
        <is>
          <t>1. If contributions is missing it uses 0.
2. If withdrawals is missing it uses 0.
3. If dividends is missing it uses 0.
4. If interest is missing it uses 0.
5. If debt principal is missing it uses 0.</t>
        </is>
      </c>
      <c r="N535" s="3" t="inlineStr">
        <is>
          <t>Yes</t>
        </is>
      </c>
      <c r="O535" s="3" t="inlineStr">
        <is>
          <t>—</t>
        </is>
      </c>
      <c r="P535" s="3" t="n">
        <v>0</v>
      </c>
      <c r="Q535" s="3" t="inlineStr">
        <is>
          <t>None — no dependent function stands behind it</t>
        </is>
      </c>
      <c r="R535" s="3" t="inlineStr">
        <is>
          <t>No dependent function — it reads its inputs and answers</t>
        </is>
      </c>
      <c r="S535" s="3" t="inlineStr">
        <is>
          <t>—</t>
        </is>
      </c>
      <c r="T535" s="3" t="inlineStr">
        <is>
          <t>NW_CHANGE_WALK</t>
        </is>
      </c>
      <c r="U535" s="3" t="inlineStr">
        <is>
          <t>ACTIVE</t>
        </is>
      </c>
      <c r="V535" s="3" t="inlineStr">
        <is>
          <t>2026-09-09</t>
        </is>
      </c>
      <c r="W535" s="3" t="n"/>
      <c r="X535" s="3" t="n"/>
      <c r="Y535" s="3" t="inlineStr">
        <is>
          <t>NOTHING OPEN</t>
        </is>
      </c>
    </row>
    <row r="536" ht="60" customHeight="1">
      <c r="A536" s="3" t="inlineStr">
        <is>
          <t>MK-XS-F-012</t>
        </is>
      </c>
      <c r="B536" s="3" t="inlineStr">
        <is>
          <t>decodeCsvBase64</t>
        </is>
      </c>
      <c r="C536" s="3" t="inlineStr">
        <is>
          <t>src/domain/import/holdingsImport.ts</t>
        </is>
      </c>
      <c r="D536" s="3" t="n">
        <v>149</v>
      </c>
      <c r="E536" s="3" t="inlineStr">
        <is>
          <t>2 · DISPLAYED</t>
        </is>
      </c>
      <c r="F536" s="3" t="inlineStr">
        <is>
          <t>What is the text of the file that was picked?</t>
        </is>
      </c>
      <c r="G536"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36"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36" s="3" t="inlineStr">
        <is>
          <t>PARTLY READ — the body has a loop the extractor cannot render; the steps shown are the ones before it. Needs a hand pass (G23).</t>
        </is>
      </c>
      <c r="J536" s="3" t="inlineStr">
        <is>
          <t>b64: string</t>
        </is>
      </c>
      <c r="K536" s="3" t="inlineStr">
        <is>
          <t>string</t>
        </is>
      </c>
      <c r="L536" s="3" t="inlineStr">
        <is>
          <t>NOT FOUND — a screen calls it, but the words printed beside its answer could not be traced automatically. Needs reading.</t>
        </is>
      </c>
      <c r="M536" s="3" t="inlineStr">
        <is>
          <t>1. Uses a built-in start of 0.
2. Uses a built-in nul of 0.
3. Caps length at 400.</t>
        </is>
      </c>
      <c r="N536" s="3" t="inlineStr">
        <is>
          <t>Yes</t>
        </is>
      </c>
      <c r="O536" s="3" t="inlineStr">
        <is>
          <t>1. MK-XS-F-123 base64ToBytes
2. MK-XS-F-125 decodeUtf16
3. MK-XS-F-124 decodeUtf8</t>
        </is>
      </c>
      <c r="P536" s="3" t="n">
        <v>3</v>
      </c>
      <c r="Q536" s="3" t="inlineStr">
        <is>
          <t>1. MK-XS-F-123 base64ToBytes
2. MK-XS-F-125 decodeUtf16
3. MK-XS-F-124 decodeUtf8</t>
        </is>
      </c>
      <c r="R536" s="3" t="inlineStr">
        <is>
          <t>1. MK-XS-F-123 base64ToBytes → MK-XS-F-012 decodeCsvBase64
2. MK-XS-F-125 decodeUtf16 → MK-XS-F-012 decodeCsvBase64
3. MK-XS-F-124 decodeUtf8 → MK-XS-F-012 decodeCsvBase64</t>
        </is>
      </c>
      <c r="S536" s="3" t="inlineStr">
        <is>
          <t>—</t>
        </is>
      </c>
      <c r="T536" s="3" t="inlineStr">
        <is>
          <t>FILE_DECODE</t>
        </is>
      </c>
      <c r="U536" s="3" t="inlineStr">
        <is>
          <t>ACTIVE</t>
        </is>
      </c>
      <c r="V536" s="3" t="inlineStr">
        <is>
          <t>2026-09-08</t>
        </is>
      </c>
      <c r="W536" s="3" t="n"/>
      <c r="X536" s="3" t="n"/>
      <c r="Y536" s="3" t="inlineStr">
        <is>
          <t>NOTHING OPEN</t>
        </is>
      </c>
    </row>
    <row r="537" ht="60" customHeight="1">
      <c r="A537" s="3" t="inlineStr">
        <is>
          <t>MK-XS-F-013</t>
        </is>
      </c>
      <c r="B537" s="3" t="inlineStr">
        <is>
          <t>parseCsv</t>
        </is>
      </c>
      <c r="C537" s="3" t="inlineStr">
        <is>
          <t>src/domain/import/holdingsImport.ts</t>
        </is>
      </c>
      <c r="D537" s="3" t="n">
        <v>186</v>
      </c>
      <c r="E537" s="3" t="inlineStr">
        <is>
          <t>3 · DEPENDENT</t>
        </is>
      </c>
      <c r="F537" s="3" t="inlineStr">
        <is>
          <t>Minimal RFC-4180-ish CSV parser: handles quoted fields, embedded commas, "" escapes, CR/LF, BOM.</t>
        </is>
      </c>
      <c r="G537" s="11" t="inlineStr">
        <is>
          <t>rows = []
row = []
field = ''
in quotes = false
s = (text.char code at(0) = 0xFEFF ? text.slice(1) : text).replace( ÷ \r\n ÷ g, "\n").replace( ÷ \r ÷ g, "\n")
c = s[i]
the answer = rows where some((cell) =&gt; cell.trim() ! = '')</t>
        </is>
      </c>
      <c r="H537" s="3" t="inlineStr">
        <is>
          <t>Rows is []. Row is []. Field is ''. In quotes is false. S is (text.char code at(0) = 0xFEFF ? text.slice(1) : text).replace( divided by \r\n divided by g, "\n").replace( divided by \r divided by g, "\n"). C is s[i]. The answer is rows where some((cell) =&gt; cell.trim() ! = '').</t>
        </is>
      </c>
      <c r="I537" s="3" t="inlineStr">
        <is>
          <t>PARTLY READ — some of the code is still showing through; needs a hand pass</t>
        </is>
      </c>
      <c r="J537" s="3" t="inlineStr">
        <is>
          <t>text: string</t>
        </is>
      </c>
      <c r="K537" s="3" t="inlineStr">
        <is>
          <t>string[][]</t>
        </is>
      </c>
      <c r="L537" s="3" t="inlineStr">
        <is>
          <t>—</t>
        </is>
      </c>
      <c r="M537" s="3" t="inlineStr">
        <is>
          <t>None found in this function — anything it assumes comes from the functions it depends on.</t>
        </is>
      </c>
      <c r="N537" s="3" t="inlineStr">
        <is>
          <t>Yes</t>
        </is>
      </c>
      <c r="O537" s="3" t="inlineStr">
        <is>
          <t>—</t>
        </is>
      </c>
      <c r="P537" s="3" t="n">
        <v>0</v>
      </c>
      <c r="Q537" s="3" t="inlineStr">
        <is>
          <t>None — no dependent function stands behind it</t>
        </is>
      </c>
      <c r="R537" s="3" t="inlineStr">
        <is>
          <t>No dependent function — it reads its inputs and answers</t>
        </is>
      </c>
      <c r="S537" s="3" t="inlineStr">
        <is>
          <t>—</t>
        </is>
      </c>
      <c r="T537" s="3" t="inlineStr">
        <is>
          <t>FILE_PARSE</t>
        </is>
      </c>
      <c r="U537" s="3" t="inlineStr">
        <is>
          <t>ACTIVE</t>
        </is>
      </c>
      <c r="V537" s="3" t="inlineStr">
        <is>
          <t>2026-08-27</t>
        </is>
      </c>
      <c r="W537" s="3" t="n"/>
      <c r="X537" s="3" t="n"/>
      <c r="Y537" s="3" t="inlineStr">
        <is>
          <t>NOTHING OPEN</t>
        </is>
      </c>
    </row>
    <row r="538" ht="60" customHeight="1">
      <c r="A538" s="3" t="inlineStr">
        <is>
          <t>MK-XS-F-014</t>
        </is>
      </c>
      <c r="B538" s="3" t="inlineStr">
        <is>
          <t>classifyHolding</t>
        </is>
      </c>
      <c r="C538" s="3" t="inlineStr">
        <is>
          <t>Calculation Module code/engines/classify.ts</t>
        </is>
      </c>
      <c r="D538" s="3" t="n">
        <v>151</v>
      </c>
      <c r="E538" s="3" t="inlineStr">
        <is>
          <t>3 · DEPENDENT (feeds an action only)</t>
        </is>
      </c>
      <c r="F538" s="3" t="inlineStr">
        <is>
          <t>For a line in a FILE you upload: which class is it?</t>
        </is>
      </c>
      <c r="G538"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38"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38" s="3" t="inlineStr">
        <is>
          <t>PARTLY READ — some of the code is still showing through; needs a hand pass</t>
        </is>
      </c>
      <c r="J538" s="3" t="inlineStr">
        <is>
          <t>input: ClassifyInput</t>
        </is>
      </c>
      <c r="K538" s="3" t="inlineStr">
        <is>
          <t>Classified</t>
        </is>
      </c>
      <c r="L538" s="3" t="inlineStr">
        <is>
          <t>—</t>
        </is>
      </c>
      <c r="M538" s="3" t="inlineStr">
        <is>
          <t>None found in this function — anything it assumes comes from the functions it depends on.</t>
        </is>
      </c>
      <c r="N538" s="3" t="inlineStr">
        <is>
          <t>No</t>
        </is>
      </c>
      <c r="O538" s="3" t="inlineStr">
        <is>
          <t>1. MK-XS-F-147 call
2. MK-ST-F-056 has
3. MK-ST-F-001 looksFixedIncome</t>
        </is>
      </c>
      <c r="P538" s="3" t="n">
        <v>6</v>
      </c>
      <c r="Q538" s="3" t="inlineStr">
        <is>
          <t>1. MK-XS-F-147 call
2. MK-ST-F-056 has
3. MK-ST-F-001 looksFixedIncome
4. MK-ST-F-027 accountId
5. MK-XS-F-064 currentIdToken
6. MK-XS-F-112 relayUrl</t>
        </is>
      </c>
      <c r="R538"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38" s="3" t="inlineStr">
        <is>
          <t>—</t>
        </is>
      </c>
      <c r="T538" s="3" t="inlineStr">
        <is>
          <t>CLASS_FROM_FILE</t>
        </is>
      </c>
      <c r="U538" s="3" t="inlineStr">
        <is>
          <t>ACTIVE</t>
        </is>
      </c>
      <c r="V538" s="3" t="inlineStr">
        <is>
          <t>2026-08-27</t>
        </is>
      </c>
      <c r="W538" s="3" t="n"/>
      <c r="X538" s="3" t="n"/>
      <c r="Y538" s="3" t="inlineStr">
        <is>
          <t>NOTHING OPEN</t>
        </is>
      </c>
    </row>
    <row r="539" ht="60" customHeight="1">
      <c r="A539" s="3" t="inlineStr">
        <is>
          <t>MK-XS-F-015</t>
        </is>
      </c>
      <c r="B539" s="3" t="inlineStr">
        <is>
          <t>importHoldings</t>
        </is>
      </c>
      <c r="C539" s="3" t="inlineStr">
        <is>
          <t>src/domain/import/holdingsImport.ts</t>
        </is>
      </c>
      <c r="D539" s="3" t="n">
        <v>426</v>
      </c>
      <c r="E539" s="3" t="inlineStr">
        <is>
          <t>2 · DISPLAYED</t>
        </is>
      </c>
      <c r="F539" s="3" t="inlineStr">
        <is>
          <t>What holdings are in this file?</t>
        </is>
      </c>
      <c r="G539"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39"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39" s="3" t="inlineStr">
        <is>
          <t>PARTLY READ — some of the code is still showing through; needs a hand pass</t>
        </is>
      </c>
      <c r="J539" s="3" t="inlineStr">
        <is>
          <t>text: string</t>
        </is>
      </c>
      <c r="K539" s="3" t="inlineStr">
        <is>
          <t>ImportResult</t>
        </is>
      </c>
      <c r="L539" s="3" t="inlineStr">
        <is>
          <t>NOT FOUND — a screen calls it, but the words printed beside its answer could not be traced automatically. Needs reading.</t>
        </is>
      </c>
      <c r="M539" s="3" t="inlineStr">
        <is>
          <t>· Uses a built-in skipped of 0.</t>
        </is>
      </c>
      <c r="N539" s="3" t="inlineStr">
        <is>
          <t>Yes</t>
        </is>
      </c>
      <c r="O539" s="3" t="inlineStr">
        <is>
          <t>1. MK-XS-F-172 assetClassForSymbol
2. MK-XS-F-128 cleanTicker
3. MK-XS-F-126 findCol
4. MK-XS-F-129 findHeaderRow
5. MK-CF-F-132 map
6. MK-XS-F-171 numOrNaN
7. MK-XS-F-013 parseCsv
8. MK-XS-F-127 toIsoDate</t>
        </is>
      </c>
      <c r="P539" s="3" t="n">
        <v>16</v>
      </c>
      <c r="Q539"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39"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39" s="3" t="inlineStr">
        <is>
          <t>—</t>
        </is>
      </c>
      <c r="T539" s="3" t="inlineStr">
        <is>
          <t>FILE_IMPORT</t>
        </is>
      </c>
      <c r="U539" s="3" t="inlineStr">
        <is>
          <t>ACTIVE</t>
        </is>
      </c>
      <c r="V539" s="3" t="inlineStr">
        <is>
          <t>2026-08-27</t>
        </is>
      </c>
      <c r="W539" s="3" t="n"/>
      <c r="X539" s="3" t="n"/>
      <c r="Y539" s="3" t="inlineStr">
        <is>
          <t>NOTHING OPEN</t>
        </is>
      </c>
    </row>
    <row r="540" ht="45" customHeight="1">
      <c r="A540" s="3" t="inlineStr">
        <is>
          <t>MK-XS-F-016</t>
        </is>
      </c>
      <c r="B540" s="3" t="inlineStr">
        <is>
          <t>matchImportAccount</t>
        </is>
      </c>
      <c r="C540" s="3" t="inlineStr">
        <is>
          <t>src/domain/import/holdingsImport.ts</t>
        </is>
      </c>
      <c r="D540" s="3" t="n">
        <v>538</v>
      </c>
      <c r="E540" s="3" t="inlineStr">
        <is>
          <t>2 · DISPLAYED</t>
        </is>
      </c>
      <c r="F540" s="3" t="inlineStr">
        <is>
          <t>The existing account a fresh import from `institution` should offer to update (or null).</t>
        </is>
      </c>
      <c r="G540" s="11" t="inlineStr">
        <is>
          <t>target = norm inst(institution)
nothing   when target is missing
nothing   when count of candidates is missing</t>
        </is>
      </c>
      <c r="H540" s="3" t="inlineStr">
        <is>
          <t>Target is norm inst(institution). When target is missing, it answers no answer. When how many candidates is missing there are, it answers no answer.</t>
        </is>
      </c>
      <c r="I540" s="3" t="inlineStr">
        <is>
          <t>READ FROM THE CODE — rendered from the expressions the function runs</t>
        </is>
      </c>
      <c r="J540" s="3" t="inlineStr">
        <is>
          <t>1. accounts: AssetAccount[]
2. institution: string</t>
        </is>
      </c>
      <c r="K540" s="3" t="inlineStr">
        <is>
          <t>AssetAccount | null</t>
        </is>
      </c>
      <c r="L540" s="3" t="inlineStr">
        <is>
          <t>"Account name" — on the Import holdings screen, under "REVIEW YOUR HOLDINGS"</t>
        </is>
      </c>
      <c r="M540" s="3" t="inlineStr">
        <is>
          <t>· If balance is missing it counts as zero, so nothing recorded and a real zero look the same.</t>
        </is>
      </c>
      <c r="N540" s="3" t="inlineStr">
        <is>
          <t>Yes</t>
        </is>
      </c>
      <c r="O540" s="3" t="inlineStr">
        <is>
          <t>MK-XS-F-130 normInst</t>
        </is>
      </c>
      <c r="P540" s="3" t="n">
        <v>1</v>
      </c>
      <c r="Q540" s="3" t="inlineStr">
        <is>
          <t>MK-XS-F-130 normInst</t>
        </is>
      </c>
      <c r="R540" s="3" t="inlineStr">
        <is>
          <t>MK-XS-F-130 normInst → MK-XS-F-016 matchImportAccount</t>
        </is>
      </c>
      <c r="S540" s="3" t="inlineStr">
        <is>
          <t>—</t>
        </is>
      </c>
      <c r="T540" s="3" t="inlineStr">
        <is>
          <t>IMPORT_ACCOUNT_MATCH</t>
        </is>
      </c>
      <c r="U540" s="3" t="inlineStr">
        <is>
          <t>ACTIVE</t>
        </is>
      </c>
      <c r="V540" s="3" t="inlineStr">
        <is>
          <t>2026-08-27</t>
        </is>
      </c>
      <c r="W540" s="3" t="n"/>
      <c r="X540" s="3" t="n"/>
      <c r="Y540" s="3" t="inlineStr">
        <is>
          <t>NOTHING OPEN</t>
        </is>
      </c>
    </row>
    <row r="541" ht="60" customHeight="1">
      <c r="A541" s="3" t="inlineStr">
        <is>
          <t>MK-XS-F-017</t>
        </is>
      </c>
      <c r="B541" s="3" t="inlineStr">
        <is>
          <t>currentAge</t>
        </is>
      </c>
      <c r="C541" s="3" t="inlineStr">
        <is>
          <t>src/domain/profile/calc.ts</t>
        </is>
      </c>
      <c r="D541" s="3" t="n">
        <v>35</v>
      </c>
      <c r="E541" s="3" t="inlineStr">
        <is>
          <t>3 · DEPENDENT</t>
        </is>
      </c>
      <c r="F541" s="3" t="inlineStr">
        <is>
          <t>Age in whole years from birth month/year, as of `asOf` (defaults to now).</t>
        </is>
      </c>
      <c r="G541" s="11" t="inlineStr">
        <is>
          <t>nothing   when birth year is missing (or birth month is missing when missing or zero)
age = as of.get full year() − birth year
month idx = birth month − 1
the answer:
age   if age ≥ 0
nothing   otherwise</t>
        </is>
      </c>
      <c r="H541" s="3" t="inlineStr">
        <is>
          <t>When birth year is missing (or birth month is missing — when missing or zero), it answers no answer. Age is as of.get full year() minus birth year. Month idx is birth month minus 1. The answer is age — when age is at least 0; no answer — otherwise.</t>
        </is>
      </c>
      <c r="I541" s="3" t="inlineStr">
        <is>
          <t>PARTLY READ — some of the code is still showing through; needs a hand pass</t>
        </is>
      </c>
      <c r="J541" s="3" t="inlineStr">
        <is>
          <t>Nothing is handed to it</t>
        </is>
      </c>
      <c r="K541" s="3" t="inlineStr">
        <is>
          <t>NOT DECLARED — the code does not say what it gives back</t>
        </is>
      </c>
      <c r="L541" s="3" t="inlineStr">
        <is>
          <t>—</t>
        </is>
      </c>
      <c r="M541" s="3" t="inlineStr">
        <is>
          <t>· Uses today's date from the device clock, so the answer changes by itself overnight.</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6" t="inlineStr">
        <is>
          <t>TESTED, NOT VERIFIED (G9)</t>
        </is>
      </c>
    </row>
    <row r="542" ht="60" customHeight="1">
      <c r="A542" s="3" t="inlineStr">
        <is>
          <t>MK-XS-F-018</t>
        </is>
      </c>
      <c r="B542" s="3" t="inlineStr">
        <is>
          <t>yearsToRetirement</t>
        </is>
      </c>
      <c r="C542" s="3" t="inlineStr">
        <is>
          <t>src/domain/profile/calc.ts</t>
        </is>
      </c>
      <c r="D542" s="3" t="n">
        <v>107</v>
      </c>
      <c r="E542" s="3" t="inlineStr">
        <is>
          <t>3 · DEPENDENT</t>
        </is>
      </c>
      <c r="F542" s="3" t="inlineStr">
        <is>
          <t>Years until the target retirement age (never negative).</t>
        </is>
      </c>
      <c r="G542" s="11" t="inlineStr">
        <is>
          <t>nothing   when age = nothing (or target retirement age is missing when missing or zero)
max(0, target retirement age − age)</t>
        </is>
      </c>
      <c r="H542" s="3" t="inlineStr">
        <is>
          <t>When age is missing (or target retirement age is missing — when missing or zero), it answers no answer. target retirement age minus age, never below zero.</t>
        </is>
      </c>
      <c r="I542" s="3" t="inlineStr">
        <is>
          <t>READ FROM THE CODE — rendered from the expressions the function runs</t>
        </is>
      </c>
      <c r="J542" s="3" t="inlineStr">
        <is>
          <t>1. age: number | null
2. targetRetirementAge: number | null</t>
        </is>
      </c>
      <c r="K542" s="3" t="inlineStr">
        <is>
          <t>number | null</t>
        </is>
      </c>
      <c r="L542" s="3" t="inlineStr">
        <is>
          <t>—</t>
        </is>
      </c>
      <c r="M542" s="3" t="inlineStr">
        <is>
          <t>None found in this function — anything it assumes comes from the functions it depends on.</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2026-08-27</t>
        </is>
      </c>
      <c r="W542" s="3" t="n"/>
      <c r="X542" s="3" t="n"/>
      <c r="Y542" s="3" t="inlineStr">
        <is>
          <t>NOTHING OPEN</t>
        </is>
      </c>
    </row>
    <row r="543" ht="60" customHeight="1">
      <c r="A543" s="3" t="inlineStr">
        <is>
          <t>MK-XS-F-019</t>
        </is>
      </c>
      <c r="B543" s="3" t="inlineStr">
        <is>
          <t>retirementHorizonYears</t>
        </is>
      </c>
      <c r="C543" s="3" t="inlineStr">
        <is>
          <t>src/domain/profile/calc.ts</t>
        </is>
      </c>
      <c r="D543" s="3" t="n">
        <v>137</v>
      </c>
      <c r="E543" s="3" t="inlineStr">
        <is>
          <t>3 · DEPENDENT</t>
        </is>
      </c>
      <c r="F543" s="3" t="inlineStr">
        <is>
          <t>Years the money must last: retirement → plan-to age (default horizon if unset).</t>
        </is>
      </c>
      <c r="G543" s="11" t="inlineStr">
        <is>
          <t>nothing   when target retirement age is missing
horizon = (plan to age ?? DEFAULT_PLAN_TO_AGE) − target retirement age
the answer:
horizon   if horizon &gt; 0
nothing   otherwise</t>
        </is>
      </c>
      <c r="H543" s="3" t="inlineStr">
        <is>
          <t>When target retirement age is missing, it answers no answer. Horizon is (plan to age ?? DEFAULT_PLAN_TO_AGE) minus target retirement age. The answer is horizon — when horizon &gt; 0; no answer — otherwise.</t>
        </is>
      </c>
      <c r="I543" s="3" t="inlineStr">
        <is>
          <t>PARTLY READ — some of the code is still showing through; needs a hand pass</t>
        </is>
      </c>
      <c r="J543" s="3" t="inlineStr">
        <is>
          <t>1. targetRetirementAge: number | null
2. planToAge: number | null</t>
        </is>
      </c>
      <c r="K543" s="3" t="inlineStr">
        <is>
          <t>number | null</t>
        </is>
      </c>
      <c r="L543" s="3" t="inlineStr">
        <is>
          <t>—</t>
        </is>
      </c>
      <c r="M543" s="3" t="inlineStr">
        <is>
          <t>None found in this function — anything it assumes comes from the functions it depends on.</t>
        </is>
      </c>
      <c r="N543" s="3" t="inlineStr">
        <is>
          <t>Yes</t>
        </is>
      </c>
      <c r="O543" s="3" t="inlineStr">
        <is>
          <t>—</t>
        </is>
      </c>
      <c r="P543" s="3" t="n">
        <v>0</v>
      </c>
      <c r="Q543" s="3" t="inlineStr">
        <is>
          <t>None — no dependent function stands behind it</t>
        </is>
      </c>
      <c r="R543" s="3" t="inlineStr">
        <is>
          <t>No dependent function — it reads its inputs and answers</t>
        </is>
      </c>
      <c r="S543" s="3" t="inlineStr">
        <is>
          <t>—</t>
        </is>
      </c>
      <c r="T543" s="3" t="inlineStr">
        <is>
          <t>—</t>
        </is>
      </c>
      <c r="U543" s="3" t="inlineStr">
        <is>
          <t>ACTIVE</t>
        </is>
      </c>
      <c r="V543" s="3" t="inlineStr">
        <is>
          <t>2026-08-27</t>
        </is>
      </c>
      <c r="W543" s="3" t="n"/>
      <c r="X543" s="3" t="n"/>
      <c r="Y543" s="3" t="inlineStr">
        <is>
          <t>NOTHING OPEN</t>
        </is>
      </c>
    </row>
    <row r="544" ht="60" customHeight="1">
      <c r="A544" s="3" t="inlineStr">
        <is>
          <t>MK-XS-F-020</t>
        </is>
      </c>
      <c r="B544" s="3" t="inlineStr">
        <is>
          <t>toReadModel</t>
        </is>
      </c>
      <c r="C544" s="3" t="inlineStr">
        <is>
          <t>src/domain/profile/calc.ts</t>
        </is>
      </c>
      <c r="D544" s="3" t="n">
        <v>167</v>
      </c>
      <c r="E544" s="3" t="inlineStr">
        <is>
          <t>3 · DEPENDENT</t>
        </is>
      </c>
      <c r="F544" s="3" t="inlineStr">
        <is>
          <t>Build the public read-model (profile + derived planning values).</t>
        </is>
      </c>
      <c r="G544" s="11" t="inlineStr">
        <is>
          <t>age = current age(birth year, birth month, as of)</t>
        </is>
      </c>
      <c r="H544" s="3" t="inlineStr">
        <is>
          <t>Age is current age(birth year, birth month, as of).</t>
        </is>
      </c>
      <c r="I544" s="3" t="inlineStr">
        <is>
          <t>READ FROM THE CODE — rendered from the expressions the function runs</t>
        </is>
      </c>
      <c r="J544" s="3" t="inlineStr">
        <is>
          <t>1. p: Profile
2. asOf: Date = new Date()</t>
        </is>
      </c>
      <c r="K544" s="3" t="inlineStr">
        <is>
          <t>ProfileReadModel</t>
        </is>
      </c>
      <c r="L544" s="3" t="inlineStr">
        <is>
          <t>—</t>
        </is>
      </c>
      <c r="M544" s="3" t="inlineStr">
        <is>
          <t>· Uses today's date from the device clock, so the answer changes by itself overnight.</t>
        </is>
      </c>
      <c r="N544" s="3" t="inlineStr">
        <is>
          <t>Yes</t>
        </is>
      </c>
      <c r="O544" s="3" t="inlineStr">
        <is>
          <t>1. MK-XS-F-017 currentAge
2. MK-XS-F-019 retirementHorizonYears
3. MK-XS-F-018 yearsToRetirement</t>
        </is>
      </c>
      <c r="P544" s="3" t="n">
        <v>3</v>
      </c>
      <c r="Q544" s="3" t="inlineStr">
        <is>
          <t>1. MK-XS-F-017 currentAge
2. MK-XS-F-019 retirementHorizonYears
3. MK-XS-F-018 yearsToRetirement</t>
        </is>
      </c>
      <c r="R544" s="3" t="inlineStr">
        <is>
          <t>1. MK-XS-F-017 currentAge → MK-XS-F-020 toReadModel
2. MK-XS-F-019 retirementHorizonYears → MK-XS-F-020 toReadModel
3. MK-XS-F-018 yearsToRetirement → MK-XS-F-020 toReadModel</t>
        </is>
      </c>
      <c r="S544" s="3" t="inlineStr">
        <is>
          <t>—</t>
        </is>
      </c>
      <c r="T544" s="3" t="inlineStr">
        <is>
          <t>—</t>
        </is>
      </c>
      <c r="U544" s="3" t="inlineStr">
        <is>
          <t>ACTIVE</t>
        </is>
      </c>
      <c r="V544" s="3" t="inlineStr">
        <is>
          <t>2026-08-27</t>
        </is>
      </c>
      <c r="W544" s="3" t="n"/>
      <c r="X544" s="3" t="n"/>
      <c r="Y544" s="3" t="inlineStr">
        <is>
          <t>NOTHING OPEN</t>
        </is>
      </c>
    </row>
    <row r="545" ht="60" customHeight="1">
      <c r="A545" s="3" t="inlineStr">
        <is>
          <t>MK-XS-F-021</t>
        </is>
      </c>
      <c r="B545" s="3" t="inlineStr">
        <is>
          <t>loadProfile</t>
        </is>
      </c>
      <c r="C545" s="3" t="inlineStr">
        <is>
          <t>src/domain/profile/index.ts</t>
        </is>
      </c>
      <c r="D545" s="3" t="n">
        <v>35</v>
      </c>
      <c r="E545" s="3" t="inlineStr">
        <is>
          <t>3 · DEPENDENT (feeds an action only)</t>
        </is>
      </c>
      <c r="F545" s="3" t="inlineStr">
        <is>
          <t>NOT DETERMINED — the code carries no note saying what this is for, and it has no row in the old inventory. Needs reading.</t>
        </is>
      </c>
      <c r="G545" s="11" t="inlineStr">
        <is>
          <t>get user doc&lt;profile&gt;(COLLECTION, uid)</t>
        </is>
      </c>
      <c r="H545" s="3" t="inlineStr">
        <is>
          <t>get user doc&lt;profile&gt;(COLLECTION, uid).</t>
        </is>
      </c>
      <c r="I545" s="3" t="inlineStr">
        <is>
          <t>READ FROM THE CODE — rendered from the expressions the function runs</t>
        </is>
      </c>
      <c r="J545" s="3" t="inlineStr">
        <is>
          <t>uid: UserId</t>
        </is>
      </c>
      <c r="K545" s="3" t="inlineStr">
        <is>
          <t>Promise&lt;Profile | null&gt;</t>
        </is>
      </c>
      <c r="L545" s="3" t="inlineStr">
        <is>
          <t>—</t>
        </is>
      </c>
      <c r="M545" s="3" t="inlineStr">
        <is>
          <t>None found in this function — anything it assumes comes from the functions it depends on.</t>
        </is>
      </c>
      <c r="N545" s="3" t="inlineStr">
        <is>
          <t>No</t>
        </is>
      </c>
      <c r="O545" s="3" t="inlineStr">
        <is>
          <t>MK-XS-F-175 uid</t>
        </is>
      </c>
      <c r="P545" s="3" t="n">
        <v>80</v>
      </c>
      <c r="Q545"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45"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45" s="3" t="inlineStr">
        <is>
          <t>—</t>
        </is>
      </c>
      <c r="T545" s="3" t="inlineStr">
        <is>
          <t>—</t>
        </is>
      </c>
      <c r="U545" s="3" t="inlineStr">
        <is>
          <t>ACTIVE</t>
        </is>
      </c>
      <c r="V545" s="3" t="inlineStr">
        <is>
          <t>2026-08-27</t>
        </is>
      </c>
      <c r="W545" s="3" t="n"/>
      <c r="X545" s="3" t="n"/>
      <c r="Y545" s="3" t="inlineStr">
        <is>
          <t>NOTHING OPEN</t>
        </is>
      </c>
    </row>
    <row r="546" ht="60" customHeight="1">
      <c r="A546" s="3" t="inlineStr">
        <is>
          <t>MK-XS-F-022</t>
        </is>
      </c>
      <c r="B546" s="3" t="inlineStr">
        <is>
          <t>saveProfile</t>
        </is>
      </c>
      <c r="C546" s="3" t="inlineStr">
        <is>
          <t>src/domain/profile/index.ts</t>
        </is>
      </c>
      <c r="D546" s="3" t="n">
        <v>54</v>
      </c>
      <c r="E546" s="3" t="inlineStr">
        <is>
          <t>1 · ACTION</t>
        </is>
      </c>
      <c r="F546" s="3" t="inlineStr">
        <is>
          <t>NOT DETERMINED — the code carries no note saying what this is for, and it has no row in the old inventory. Needs reading.</t>
        </is>
      </c>
      <c r="G546" s="11" t="inlineStr">
        <is>
          <t>It records or announces something and returns no figure — no arithmetic of its own.</t>
        </is>
      </c>
      <c r="H546" s="3" t="inlineStr">
        <is>
          <t>It records or announces something and returns no figure — no arithmetic of its own.</t>
        </is>
      </c>
      <c r="I546" s="3" t="inlineStr">
        <is>
          <t>NO ARITHMETIC — there is no formula to state</t>
        </is>
      </c>
      <c r="J546" s="3" t="inlineStr">
        <is>
          <t>profile: Profile</t>
        </is>
      </c>
      <c r="K546" s="3" t="inlineStr">
        <is>
          <t>Promise&lt;void&gt;</t>
        </is>
      </c>
      <c r="L546" s="3" t="inlineStr">
        <is>
          <t>—</t>
        </is>
      </c>
      <c r="M546" s="3" t="inlineStr">
        <is>
          <t>None found in this function — anything it assumes comes from the functions it depends on.</t>
        </is>
      </c>
      <c r="N546" s="3" t="inlineStr">
        <is>
          <t>Yes</t>
        </is>
      </c>
      <c r="O546" s="3" t="inlineStr">
        <is>
          <t>1. MK-ST-F-040 emit
2. MK-ST-F-042 setUserDoc</t>
        </is>
      </c>
      <c r="P546" s="3" t="n">
        <v>82</v>
      </c>
      <c r="Q546" s="3" t="inlineStr">
        <is>
          <t>1. MK-ST-F-040 emit
2. MK-ST-F-042 setUserDoc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546"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46" s="3" t="inlineStr">
        <is>
          <t>—</t>
        </is>
      </c>
      <c r="T546" s="3" t="inlineStr">
        <is>
          <t>—</t>
        </is>
      </c>
      <c r="U546" s="3" t="inlineStr">
        <is>
          <t>ACTIVE</t>
        </is>
      </c>
      <c r="V546" s="3" t="inlineStr">
        <is>
          <t>2026-08-27</t>
        </is>
      </c>
      <c r="W546" s="3" t="n"/>
      <c r="X546" s="3" t="n"/>
      <c r="Y546" s="3" t="inlineStr">
        <is>
          <t>NOTHING OPEN</t>
        </is>
      </c>
    </row>
    <row r="547" ht="60" customHeight="1">
      <c r="A547" s="3" t="inlineStr">
        <is>
          <t>MK-XS-F-023</t>
        </is>
      </c>
      <c r="B547" s="3" t="inlineStr">
        <is>
          <t>getProfileReadModel</t>
        </is>
      </c>
      <c r="C547" s="3" t="inlineStr">
        <is>
          <t>src/domain/profile/index.ts</t>
        </is>
      </c>
      <c r="D547" s="3" t="n">
        <v>78</v>
      </c>
      <c r="E547" s="3" t="inlineStr">
        <is>
          <t>3 · DEPENDENT (feeds an action only)</t>
        </is>
      </c>
      <c r="F547" s="3" t="inlineStr">
        <is>
          <t>Profile + derived planning values (current age, years to retirement, horizon).</t>
        </is>
      </c>
      <c r="G547" s="11" t="inlineStr">
        <is>
          <t>p = await load profile(uid)
the answer:
to read model(p)   if p
nothing   otherwise</t>
        </is>
      </c>
      <c r="H547" s="3" t="inlineStr">
        <is>
          <t>P is await load profile(uid). The answer is to read model(p) — when p; no answer — otherwise.</t>
        </is>
      </c>
      <c r="I547" s="3" t="inlineStr">
        <is>
          <t>READ FROM THE CODE — rendered from the expressions the function runs</t>
        </is>
      </c>
      <c r="J547" s="3" t="inlineStr">
        <is>
          <t>uid: UserId</t>
        </is>
      </c>
      <c r="K547" s="3" t="inlineStr">
        <is>
          <t>Promise&lt;ProfileReadModel | null&gt;</t>
        </is>
      </c>
      <c r="L547" s="3" t="inlineStr">
        <is>
          <t>—</t>
        </is>
      </c>
      <c r="M547" s="3" t="inlineStr">
        <is>
          <t>None found in this function — anything it assumes comes from the functions it depends on.</t>
        </is>
      </c>
      <c r="N547" s="3" t="inlineStr">
        <is>
          <t>No</t>
        </is>
      </c>
      <c r="O547" s="3" t="inlineStr">
        <is>
          <t>1. MK-XS-F-021 loadProfile
2. MK-XS-F-020 toReadModel
3. MK-XS-F-175 uid</t>
        </is>
      </c>
      <c r="P547" s="3" t="n">
        <v>85</v>
      </c>
      <c r="Q547"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47"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MK-XS-F-024</t>
        </is>
      </c>
      <c r="B548" s="3" t="inlineStr">
        <is>
          <t>resolveLens</t>
        </is>
      </c>
      <c r="C548" s="3" t="inlineStr">
        <is>
          <t>src/domain/profile/lens.ts</t>
        </is>
      </c>
      <c r="D548" s="3" t="n">
        <v>48</v>
      </c>
      <c r="E548" s="3" t="inlineStr">
        <is>
          <t>2 · DISPLAYED</t>
        </is>
      </c>
      <c r="F548" s="3" t="inlineStr">
        <is>
          <t>The person's explicit choice (first-run stage question / Settings → Your setup) wins.</t>
        </is>
      </c>
      <c r="G548" s="11" t="inlineStr">
        <is>
          <t>override   when override = 'working' (or override = 'retired' when missing or zero)
status = op.status
'retired'   when status = 'retired'
'retired'   when status = 'partial' and current retirement income monthly(op ?? {}) &gt; 0
the answer = 'working'</t>
        </is>
      </c>
      <c r="H548"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48" s="3" t="inlineStr">
        <is>
          <t>PARTLY READ — some of the code is still showing through; needs a hand pass</t>
        </is>
      </c>
      <c r="J548" s="3" t="inlineStr">
        <is>
          <t>1. op: Record&lt;string, any&gt; | null | undefined
2. override?: Lens | null</t>
        </is>
      </c>
      <c r="K548" s="3" t="inlineStr">
        <is>
          <t>Lens</t>
        </is>
      </c>
      <c r="L548" s="3" t="inlineStr">
        <is>
          <t>1. "Draw from savings" — on the Cash flow screen, under "YOUR FUTURE PAYCHECK"
2. "WILL MY MONEY LAST?" — on the Home screen, under "WILL MY MONEY LAST?"
3. "YOUR FIVE TABS — same order as the bar below" — on a card used on more than one screen (TopBar)</t>
        </is>
      </c>
      <c r="M548" s="3" t="inlineStr">
        <is>
          <t>None found in this function — anything it assumes comes from the functions it depends on.</t>
        </is>
      </c>
      <c r="N548" s="3" t="inlineStr">
        <is>
          <t>Yes</t>
        </is>
      </c>
      <c r="O548" s="3" t="inlineStr">
        <is>
          <t>MK-CF-F-072 currentRetirementIncomeMonthly</t>
        </is>
      </c>
      <c r="P548" s="3" t="n">
        <v>4</v>
      </c>
      <c r="Q548" s="3" t="inlineStr">
        <is>
          <t>1. MK-CF-F-072 currentRetirementIncomeMonthly
2. MK-CF-F-075 retirementIncomeMonthly
3. MK-ST-F-052 toNum
4. MK-XS-F-122 n</t>
        </is>
      </c>
      <c r="R548" s="3" t="inlineStr">
        <is>
          <t>MK-XS-F-122 n → MK-ST-F-052 toNum → MK-CF-F-075 retirementIncomeMonthly → MK-CF-F-072 currentRetirementIncomeMonthly → MK-XS-F-024 resolveLens</t>
        </is>
      </c>
      <c r="S548" s="3" t="inlineStr">
        <is>
          <t>—</t>
        </is>
      </c>
      <c r="T548" s="3" t="inlineStr">
        <is>
          <t>WHICH_VIEW</t>
        </is>
      </c>
      <c r="U548" s="3" t="inlineStr">
        <is>
          <t>ACTIVE</t>
        </is>
      </c>
      <c r="V548" s="3" t="inlineStr">
        <is>
          <t>2026-08-27</t>
        </is>
      </c>
      <c r="W548" s="3" t="n"/>
      <c r="X548" s="3" t="n"/>
      <c r="Y548" s="3" t="inlineStr">
        <is>
          <t>NOTHING OPEN</t>
        </is>
      </c>
    </row>
    <row r="549" ht="45" customHeight="1">
      <c r="A549" s="3" t="inlineStr">
        <is>
          <t>MK-XS-F-025</t>
        </is>
      </c>
      <c r="B549" s="3" t="inlineStr">
        <is>
          <t>tabOrder</t>
        </is>
      </c>
      <c r="C549" s="3" t="inlineStr">
        <is>
          <t>src/domain/profile/lens.ts</t>
        </is>
      </c>
      <c r="D549" s="3" t="n">
        <v>79</v>
      </c>
      <c r="E549" s="3" t="inlineStr">
        <is>
          <t>2 · DISPLAYED</t>
        </is>
      </c>
      <c r="F549" s="3" t="inlineStr">
        <is>
          <t>Bottom-bar order per lens (design pin: "Tab order is set once from stage; identical across sessions").</t>
        </is>
      </c>
      <c r="G549" s="11" t="inlineStr">
        <is>
          <t>retired → home, cashflow, analytics, plan, invest
otherwise → home, analytics, invest, cashflow, plan</t>
        </is>
      </c>
      <c r="H549" s="3" t="inlineStr">
        <is>
          <t>The order of the tabs for the person's lens — cash flow comes second for someone retired. No arithmetic.</t>
        </is>
      </c>
      <c r="I549" s="3" t="inlineStr">
        <is>
          <t>READ BY HAND 2026-08-26 — checked line by line against the code</t>
        </is>
      </c>
      <c r="J549" s="3" t="inlineStr">
        <is>
          <t>lens: Lens</t>
        </is>
      </c>
      <c r="K549" s="3" t="inlineStr">
        <is>
          <t>FccTab[]</t>
        </is>
      </c>
      <c r="L549" s="3" t="inlineStr">
        <is>
          <t>"YOUR FIVE TABS — same order as the bar below" — on a card used on more than one screen (TopBar)</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2026-09-12</t>
        </is>
      </c>
      <c r="W549" s="3" t="n"/>
      <c r="X549" s="3" t="n"/>
      <c r="Y549" s="3" t="inlineStr">
        <is>
          <t>NOTHING OPEN</t>
        </is>
      </c>
    </row>
    <row r="550" ht="60" customHeight="1">
      <c r="A550" s="3" t="inlineStr">
        <is>
          <t>MK-XS-F-026</t>
        </is>
      </c>
      <c r="B550" s="3" t="inlineStr">
        <is>
          <t>profileFromOnboarding</t>
        </is>
      </c>
      <c r="C550" s="3" t="inlineStr">
        <is>
          <t>src/domain/profile/onboarding.ts</t>
        </is>
      </c>
      <c r="D550" s="3" t="n">
        <v>55</v>
      </c>
      <c r="E550" s="3" t="inlineStr">
        <is>
          <t>2 · DISPLAYED</t>
        </is>
      </c>
      <c r="F550" s="3" t="inlineStr">
        <is>
          <t>`op` is the consolidated onboardingProfile: { status, name, ...answers }.</t>
        </is>
      </c>
      <c r="G550" s="11" t="inlineStr">
        <is>
          <t>a = op (or none when missing)</t>
        </is>
      </c>
      <c r="H550" s="3" t="inlineStr">
        <is>
          <t>A is op (or none — when missing).</t>
        </is>
      </c>
      <c r="I550" s="3" t="inlineStr">
        <is>
          <t>READ FROM THE CODE — rendered from the expressions the function runs</t>
        </is>
      </c>
      <c r="J550" s="3" t="inlineStr">
        <is>
          <t>1. uid: UserId
2. op: Record&lt;string, any&gt; | null</t>
        </is>
      </c>
      <c r="K550" s="3" t="inlineStr">
        <is>
          <t>Profile</t>
        </is>
      </c>
      <c r="L550" s="3" t="inlineStr">
        <is>
          <t>NOT FOUND — a screen calls it, but the words printed beside its answer could not be traced automatically. Needs reading.</t>
        </is>
      </c>
      <c r="M550" s="3" t="inlineStr">
        <is>
          <t>None found in this function — anything it assumes comes from the functions it depends on.</t>
        </is>
      </c>
      <c r="N550" s="3" t="inlineStr">
        <is>
          <t>Yes</t>
        </is>
      </c>
      <c r="O550" s="3" t="inlineStr">
        <is>
          <t>1. MK-XS-F-131 toInt
2. MK-XS-F-175 uid</t>
        </is>
      </c>
      <c r="P550" s="3" t="n">
        <v>81</v>
      </c>
      <c r="Q550" s="3" t="inlineStr">
        <is>
          <t>1. MK-XS-F-131 toInt
2. MK-XS-F-175 uid
3. MK-XS-F-122 n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MK-ST-F-071 rebuildableFrom
46. MK-ST-F-068 stepDay
47. MK-ST-F-072 undo
48. MK-NW-F-053 correctClassOf
49. MK-NW-F-008 incomeBearingClassOf
50. MK-PF-F-002 costBasis
51. MK-PF-F-009 latestClose
52. MK-PF-F-004 marketValue
53. MK-ST-F-030 record
54. MK-XS-F-024 resolveLens
55. MK-ST-F-055 round2
56. MK-CF-F-162 daysApart
57. MK-CF-F-108 isMoneyOut
58. MK-PL-F-074 median
59. MK-CF-F-131 normPayee
60. MK-CF-F-113 affectedAccountIds
61. MK-CF-F-134 usesSleeve
62. MK-ST-F-049 formatMoney
63. MK-CF-F-101 taxOwedFor
64. MK-ST-F-067 utcOfDay
65. MK-CF-F-155 cash
66. MK-ST-F-035 covers
67. MK-NW-F-009 maturityClass
68. MK-ST-F-010 nameEvidence
69. MK-PF-F-031 contractMultiplier
70. MK-CF-F-072 currentRetirementIncomeMonthly
71. MK-ST-F-048 currencySymbol
72. MK-ST-F-039 on
73. MK-CF-F-100 taxableIncomeFor
74. MK-ST-F-034 firstDate
75. MK-XS-F-147 call
76. MK-CF-F-075 retirementIncomeMonthly
77. MK-ST-F-047 activeCurrency
78. MK-CF-F-099 deductionFor
79. MK-XS-F-064 currentIdToken
80. MK-XS-F-112 relayUrl
81. MK-CF-F-187 seniorDeductionFor</t>
        </is>
      </c>
      <c r="R550"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50" s="3" t="inlineStr">
        <is>
          <t>—</t>
        </is>
      </c>
      <c r="T550" s="3" t="inlineStr">
        <is>
          <t>—</t>
        </is>
      </c>
      <c r="U550" s="3" t="inlineStr">
        <is>
          <t>ACTIVE</t>
        </is>
      </c>
      <c r="V550" s="3" t="inlineStr">
        <is>
          <t>2026-08-27</t>
        </is>
      </c>
      <c r="W550" s="3" t="n"/>
      <c r="X550" s="3" t="n"/>
      <c r="Y550" s="3" t="inlineStr">
        <is>
          <t>NOTHING OPEN</t>
        </is>
      </c>
    </row>
    <row r="551" ht="60" customHeight="1">
      <c r="A551" s="3" t="inlineStr">
        <is>
          <t>MK-XS-F-027</t>
        </is>
      </c>
      <c r="B551" s="3" t="inlineStr">
        <is>
          <t>takeHomeMonthly</t>
        </is>
      </c>
      <c r="C551" s="3" t="inlineStr">
        <is>
          <t>src/domain/savings/index.ts</t>
        </is>
      </c>
      <c r="D551" s="3" t="n">
        <v>42</v>
      </c>
      <c r="E551" s="3" t="inlineStr">
        <is>
          <t>2 · DISPLAYED</t>
        </is>
      </c>
      <c r="F551" s="3" t="inlineStr">
        <is>
          <t>True take-home per month: after tax AND after the 401(k) deduction (the cash that hits your account).</t>
        </is>
      </c>
      <c r="G551" s="11" t="inlineStr">
        <is>
          <t>grid = income monthly grid(op, 'available')
the answer = Σ over grid of (amount)÷ 12</t>
        </is>
      </c>
      <c r="H551" s="3" t="inlineStr">
        <is>
          <t>Grid is income monthly grid(op, 'available'). The answer: the amount added up across grid÷ 12.</t>
        </is>
      </c>
      <c r="I551" s="3" t="inlineStr">
        <is>
          <t>READ FROM THE CODE — rendered from the expressions the function runs</t>
        </is>
      </c>
      <c r="J551" s="3" t="inlineStr">
        <is>
          <t>op: OnboardingProfile | null</t>
        </is>
      </c>
      <c r="K551" s="3" t="inlineStr">
        <is>
          <t>number</t>
        </is>
      </c>
      <c r="L551" s="3" t="inlineStr">
        <is>
          <t>"Income (take-home)" — on the budget screen</t>
        </is>
      </c>
      <c r="M551" s="3" t="inlineStr">
        <is>
          <t>None found in this function — anything it assumes comes from the functions it depends on.</t>
        </is>
      </c>
      <c r="N551" s="3" t="inlineStr">
        <is>
          <t>Yes</t>
        </is>
      </c>
      <c r="O551" s="3" t="inlineStr">
        <is>
          <t>1. MK-CF-F-092 incomeMonthlyGrid
2. MK-CF-F-011 savingsByMonth</t>
        </is>
      </c>
      <c r="P551" s="3" t="n">
        <v>101</v>
      </c>
      <c r="Q551" s="3" t="inlineStr">
        <is>
          <t>1. MK-CF-F-092 incomeMonthlyGrid
2. MK-CF-F-011 savingsByMonth
3. MK-CF-F-069 benefitActiveMonths
4. MK-CF-F-072 currentRetirementIncomeMonthly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MK-PL-F-012 waterfall
20. MK-CF-F-008 spendByMonth
21. MK-CF-F-075 retirementIncomeMonthly
22. MK-CF-F-062 equityRowValue
23. MK-CF-F-070 benefitAnnual
24. MK-ST-F-039 on
25. MK-CF-F-176 sumMonthsOverEarners
26. MK-CF-F-177 wageGrossByMonth
27. MK-CF-F-203 MONTH
28. MK-CF-F-090 effectiveRate
29. MK-CF-F-085 filingStatusOf
30. MK-CF-F-089 over65CountOf
31. MK-CF-F-098 progressiveMonthlyTax
32. MK-CF-F-086 stateRateOf
33. MK-CF-F-173 earnerWages
34. MK-CF-F-102 effectiveRateOnGrossFor
35. MK-CF-F-180 enteredLandsAnnual
36. MK-CF-F-082 salaryAnnual
37. MK-CF-F-084 taxableAnnual
38. MK-CF-O-002 expenses
39. MK-CF-F-067 rentalList
40. MK-CF-F-063 rowVestYear
41. MK-XS-F-122 n
42. MK-CF-F-120 pctBaseMonthly
43. MK-CF-F-004 spendBuckets
44. MK-CF-F-130 enteredMonthlyRaw
45. MK-CF-F-166 hasMonthlySalaryTable
46. MK-ST-F-036 reconcile
47. MK-CF-F-167 salaryCalendarYear
48. MK-CF-O-010 theMonth
49. MK-CF-F-101 taxOwedFor
50. MK-CF-F-100 taxableIncomeFor
51. MK-CF-F-172 hasWage
52. MK-CF-F-074 tipsAnnual
53. MK-CF-F-151 actualSpending
54. MK-CF-F-150 debtPaymentsCountedAsExpenses
55. MK-CF-F-153 radar
56. MK-CF-F-149 recurringDebtPayments
57. MK-CF-F-003 categoryMonthly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551" s="3" t="inlineStr">
        <is>
          <t>1. MK-CF-F-069 benefitActiveMonths → MK-CF-F-092 incomeMonthlyGrid → MK-XS-F-027 takeHomeMonthly
2. MK-XS-F-122 n → MK-ST-F-052 toNum → MK-CF-F-075 retirementIncomeMonthly → MK-CF-F-072 currentRetirementIncomeMonthly → MK-CF-F-092 incomeMonthlyGrid → MK-XS-F-027 takeHomeMonthly
3. MK-XS-F-122 n → MK-ST-F-052 toNum → MK-CF-F-062 equityRowValue → MK-CF-F-065 equityVestWeights → MK-CF-F-092 incomeMonthlyGrid → MK-XS-F-027 takeHomeMonthly
4. MK-CF-F-132 map → MK-CF-F-065 equityVestWeights → MK-CF-F-092 incomeMonthlyGrid → MK-XS-F-027 takeHomeMonthly
5. MK-CF-F-069 benefitActiveMonths → MK-CF-F-070 benefitAnnual → MK-CF-F-071 extraIncome → MK-CF-F-092 incomeMonthlyGrid → MK-XS-F-027 takeHomeMonthly
6. MK-XS-F-122 n → MK-ST-F-052 toNum → MK-CF-F-070 benefitAnnual → MK-CF-F-071 extraIncome → MK-CF-F-092 incomeMonthlyGrid → MK-XS-F-027 takeHomeMonthly
7. MK-ST-F-039 on → MK-CF-F-071 extraIncome → MK-CF-F-092 incomeMonthlyGrid → MK-XS-F-027 takeHomeMonthly
8. MK-XS-F-122 n → MK-ST-F-052 toNum → MK-CF-F-071 extraIncome → MK-CF-F-092 incomeMonthlyGrid → MK-XS-F-027 takeHomeMonthly
9. … and 5 more paths</t>
        </is>
      </c>
      <c r="S551" s="3" t="inlineStr">
        <is>
          <t>—</t>
        </is>
      </c>
      <c r="T551" s="3" t="inlineStr">
        <is>
          <t>—</t>
        </is>
      </c>
      <c r="U551" s="3" t="inlineStr">
        <is>
          <t>ACTIVE</t>
        </is>
      </c>
      <c r="V551" s="3" t="inlineStr">
        <is>
          <t>2026-09-09</t>
        </is>
      </c>
      <c r="W551" s="3" t="n"/>
      <c r="X551" s="3" t="n"/>
      <c r="Y551" s="3" t="inlineStr">
        <is>
          <t>NOTHING OPEN</t>
        </is>
      </c>
    </row>
    <row r="552" ht="60" customHeight="1">
      <c r="A552" s="3" t="inlineStr">
        <is>
          <t>MK-XS-F-028</t>
        </is>
      </c>
      <c r="B552" s="3" t="inlineStr">
        <is>
          <t>surplusByMonth</t>
        </is>
      </c>
      <c r="C552" s="3" t="inlineStr">
        <is>
          <t>src/domain/savings/index.ts</t>
        </is>
      </c>
      <c r="D552" s="3" t="n">
        <v>71</v>
      </c>
      <c r="E552" s="3" t="inlineStr">
        <is>
          <t>2 · DISPLAYED</t>
        </is>
      </c>
      <c r="F552" s="3" t="inlineStr">
        <is>
          <t>Planned SURPLUS, month by month, AFTER debt (the canonical word, per the 2026-06-23 decision).</t>
        </is>
      </c>
      <c r="G552" s="11" t="inlineStr">
        <is>
          <t>debt = actual debt payment(debts)
the answer:
for each of savings by month(op): label = label
amount = amount − debt</t>
        </is>
      </c>
      <c r="H552" s="3" t="inlineStr">
        <is>
          <t>Debt is actual debt payment(debts). The answer is for each of savings by month(op): label = label; amount = amount minus debt.</t>
        </is>
      </c>
      <c r="I552" s="3" t="inlineStr">
        <is>
          <t>READ FROM THE CODE — rendered from the expressions the function runs</t>
        </is>
      </c>
      <c r="J552" s="3" t="inlineStr">
        <is>
          <t>1. op: OnboardingProfile | null
2. debts: Debt[] = []</t>
        </is>
      </c>
      <c r="K552" s="3" t="inlineStr">
        <is>
          <t>NOT DECLARED — the code does not say what it gives back</t>
        </is>
      </c>
      <c r="L552" s="3" t="inlineStr">
        <is>
          <t>"Plan" — on the Goals screen</t>
        </is>
      </c>
      <c r="M552" s="3" t="inlineStr">
        <is>
          <t>None found in this function — anything it assumes comes from the functions it depends on.</t>
        </is>
      </c>
      <c r="N552" s="3" t="inlineStr">
        <is>
          <t>Yes</t>
        </is>
      </c>
      <c r="O552" s="3" t="inlineStr">
        <is>
          <t>1. MK-CF-F-026 actualDebtPayment
2. MK-CF-F-132 map
3. MK-ST-F-036 reconcile
4. MK-CF-F-011 savingsByMonth</t>
        </is>
      </c>
      <c r="P552" s="3" t="n">
        <v>124</v>
      </c>
      <c r="Q552"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MK-CF-F-065 equityVestWeights
13. MK-CF-F-071 extraIncome
14. MK-ST-F-056 has
15. MK-CF-F-206 householdK401ByMonth
16. MK-CF-F-087 monthlyTaxRates
17. MK-CF-F-073 otherIncomeMonth
18. MK-CF-F-181 rateInForce
19. MK-CF-F-068 rentalNetAnnual
20. MK-CF-F-066 rsuAnnual
21. MK-CF-F-060 salaryGrossByMonth
22. MK-CF-F-077 scholarshipByCalendarMonth
23. MK-CF-F-088 taxableByCalendarMonth
24. MK-ST-F-052 toNum
25. MK-PL-F-012 waterfall
26. MK-CF-F-120 pctBaseMonthly
27. MK-CF-F-004 spendBuckets
28. MK-XS-F-180 declareFigures
29. MK-CF-O-004 incomeSummary
30. MK-CF-F-022 paymentShape
31. MK-CF-F-075 retirementIncomeMonthly
32. MK-CF-F-062 equityRowValue
33. MK-CF-F-070 benefitAnnual
34. MK-ST-F-039 on
35. MK-CF-F-176 sumMonthsOverEarners
36. MK-CF-F-177 wageGrossByMonth
37. MK-CF-F-203 MONTH
38. MK-CF-F-090 effectiveRate
39. MK-CF-F-085 filingStatusOf
40. MK-CF-F-089 over65CountOf
41. MK-CF-F-098 progressiveMonthlyTax
42. MK-CF-F-086 stateRateOf
43. MK-CF-F-173 earnerWages
44. MK-CF-F-102 effectiveRateOnGrossFor
45. MK-CF-F-180 enteredLandsAnnual
46. MK-CF-F-082 salaryAnnual
47. MK-CF-F-084 taxableAnnual
48. MK-CF-O-002 expenses
49. MK-CF-F-067 rentalList
50. MK-CF-F-063 rowVestYear
51. MK-XS-F-122 n
52. MK-CF-F-003 categoryMonthly
53. MK-CF-O-001 basePay
54. MK-CF-F-179 entryFromWage
55. MK-CF-F-103 marginalBracketFor
56. MK-CF-F-021 defaultPaymentType
57. MK-CF-F-130 enteredMonthlyRaw
58. MK-CF-F-166 hasMonthlySalaryTable
59. MK-CF-F-167 salaryCalendarYear
60. MK-CF-O-010 theMonth
61. MK-CF-F-101 taxOwedFor
62. MK-CF-F-100 taxableIncomeFor
63. MK-CF-F-172 hasWage
64. MK-CF-F-074 tipsAnnual
65. MK-CF-F-151 actualSpending
66. MK-CF-F-150 debtPaymentsCountedAsExpenses
67. MK-CF-F-153 radar
68. MK-CF-F-149 recurringDebtPayments
69. MK-XS-F-027 takeHomeMonthly
70. MK-ST-F-035 covers
71. MK-CF-F-171 earnerPay
72. MK-CF-F-204 line
73. MK-ST-F-053 money
74. MK-HM-F-006 money0
75. MK-CF-F-198 payrollTaxWithheld
76. MK-CF-F-165 salaryMonths
77. MK-CF-F-155 cash
78. MK-CF-O-003 thisMonth
79. MK-CF-F-099 deductionFor
80. MK-CF-F-081 salaryActiveMonths
81. MK-CF-F-148 inMonth
82. MK-CF-F-191 ym
83. MK-CF-F-152 isRadarItem
84. MK-ST-F-034 firstDate
85. MK-CF-F-143 annualisedGross
86. MK-CF-F-145 deductionsFromPay
87. MK-CF-F-128 grossByMonth
88. MK-CF-F-146 payFiguresAgree
89. MK-CF-F-144 takeHomeAsEntered
90. MK-ST-F-049 formatMoney
91. MK-HM-F-005 pctTxt
92. MK-CF-F-005 actualMonthFlow
93. MK-CF-F-156 plannedMonthFlow
94. MK-CF-F-187 seniorDeductionFor
95. MK-CF-F-142 monthsOf
96. MK-CF-F-141 perMonth
97. MK-ST-F-048 currencySymbol
98. MK-NW-F-078 ONE
99. MK-CF-F-157 debtPaymentsByDebt
100. MK-CF-F-192 inflowLabel
101. MK-CF-F-140 periodsAYear
102. MK-ST-F-047 activeCurrency
103. MK-NW-F-077 ALL
104. MK-NW-F-059 currentYield
105. MK-NW-O-001 theBonds
106. MK-CF-F-193 inflowSourceWord
107. MK-NW-F-057 annualCoupon
108. MK-ST-F-027 accountId
109. MK-NW-F-056 bondInfo
110. MK-NW-F-064 bondRateSensitivity
111. MK-NW-F-061 bondSummary
112. MK-NW-F-055 isBond
113. MK-NW-F-072 rowOf
114. MK-NW-F-060 approxYTM
115. MK-NW-F-069 priceAtYield
116. MK-NW-F-011 assetClassOf
117. MK-NW-F-070 accruedInterestCaveat
118. MK-NW-F-071 isCertificateOfDeposit
119. MK-NW-F-058 yearsToMaturity
120. MK-NW-F-008 incomeBearingClassOf
121. MK-ST-F-010 nameEvidence
122. MK-XS-F-147 call
123. MK-XS-F-064 currentIdToken
124. MK-XS-F-112 relayUrl</t>
        </is>
      </c>
      <c r="R552" s="3" t="inlineStr">
        <is>
          <t>1. MK-XS-F-180 declareFigures → MK-CF-F-201 INCOME → MK-CF-F-024 totalDebtMonthly → MK-CF-F-026 actualDebtPayment → MK-XS-F-028 surplusByMonth
2. MK-CF-O-001 basePay → MK-CF-O-004 incomeSummary → MK-CF-F-201 INCOME → MK-CF-F-024 totalDebtMonthly → MK-CF-F-026 actualDebtPayment → MK-XS-F-028 surplusByMonth
3. MK-CF-F-173 earnerWages → MK-CF-O-004 incomeSummary → MK-CF-F-201 INCOME → MK-CF-F-024 totalDebtMonthly → MK-CF-F-026 actualDebtPayment → MK-XS-F-028 surplusByMonth
4. MK-CF-F-179 entryFromWage → MK-CF-O-004 incomeSummary → MK-CF-F-201 INCOME → MK-CF-F-024 totalDebtMonthly → MK-CF-F-026 actualDebtPayment → MK-XS-F-028 surplusByMonth
5. MK-CF-F-071 extraIncome → MK-CF-O-004 incomeSummary → MK-CF-F-201 INCOME → MK-CF-F-024 totalDebtMonthly → MK-CF-F-026 actualDebtPayment → MK-XS-F-028 surplusByMonth
6. MK-CF-F-085 filingStatusOf → MK-CF-O-004 incomeSummary → MK-CF-F-201 INCOME → MK-CF-F-024 totalDebtMonthly → MK-CF-F-026 actualDebtPayment → MK-XS-F-028 surplusByMonth
7. MK-CF-F-092 incomeMonthlyGrid → MK-CF-O-004 incomeSummary → MK-CF-F-201 INCOME → MK-CF-F-024 totalDebtMonthly → MK-CF-F-026 actualDebtPayment → MK-XS-F-028 surplusByMonth
8. MK-CF-F-132 map → MK-CF-O-004 incomeSummary → MK-CF-F-201 INCOME → MK-CF-F-024 totalDebtMonthly → MK-CF-F-026 actualDebtPayment → MK-XS-F-028 surplusByMonth
9. … and 5 more paths</t>
        </is>
      </c>
      <c r="S552" s="3" t="inlineStr">
        <is>
          <t>—</t>
        </is>
      </c>
      <c r="T552" s="3" t="inlineStr">
        <is>
          <t>—</t>
        </is>
      </c>
      <c r="U552" s="3" t="inlineStr">
        <is>
          <t>ACTIVE</t>
        </is>
      </c>
      <c r="V552" s="3" t="inlineStr">
        <is>
          <t>2026-09-09</t>
        </is>
      </c>
      <c r="W552" s="3" t="n"/>
      <c r="X552" s="3" t="n"/>
      <c r="Y552" s="3" t="inlineStr">
        <is>
          <t>NOTHING OPEN</t>
        </is>
      </c>
    </row>
    <row r="553" ht="60" customHeight="1">
      <c r="A553" s="3" t="inlineStr">
        <is>
          <t>MK-XS-F-029</t>
        </is>
      </c>
      <c r="B553" s="3" t="inlineStr">
        <is>
          <t>monthlySavings</t>
        </is>
      </c>
      <c r="C553" s="3" t="inlineStr">
        <is>
          <t>src/domain/savings/index.ts</t>
        </is>
      </c>
      <c r="D553" s="3" t="n">
        <v>95</v>
      </c>
      <c r="E553" s="3" t="inlineStr">
        <is>
          <t>2 · DISPLAYED</t>
        </is>
      </c>
      <c r="F553" s="3" t="inlineStr">
        <is>
          <t>Monthly savings (the FLOW) — Build-47 walk row 7: DERIVED as the 12-month average of surplusByMonth, so the flat figure and the by-month figures can never drift apart (they used to be two parallel formulas that merely CLAIMED to reconcile).</t>
        </is>
      </c>
      <c r="G553" s="11" t="inlineStr">
        <is>
          <t>months = surplus by month(op, debts)
the answer = Σ over months of (amount)÷ 12</t>
        </is>
      </c>
      <c r="H553" s="3" t="inlineStr">
        <is>
          <t>Months is surplus by month(op, debts). The answer: the amount added up across months÷ 12.</t>
        </is>
      </c>
      <c r="I553" s="3" t="inlineStr">
        <is>
          <t>READ FROM THE CODE — rendered from the expressions the function runs</t>
        </is>
      </c>
      <c r="J553" s="3" t="inlineStr">
        <is>
          <t>1. op: OnboardingProfile | null
2. debts: Debt[] = []</t>
        </is>
      </c>
      <c r="K553" s="3" t="inlineStr">
        <is>
          <t>number</t>
        </is>
      </c>
      <c r="L553" s="3" t="inlineStr">
        <is>
          <t>"Free to put to work each month" — on the Goals together screen, under "CAN YOU DO IT ALL?"</t>
        </is>
      </c>
      <c r="M553" s="3" t="inlineStr">
        <is>
          <t>None found in this function — anything it assumes comes from the functions it depends on.</t>
        </is>
      </c>
      <c r="N553" s="3" t="inlineStr">
        <is>
          <t>Yes</t>
        </is>
      </c>
      <c r="O553" s="3" t="inlineStr">
        <is>
          <t>MK-XS-F-028 surplusByMonth</t>
        </is>
      </c>
      <c r="P553" s="3" t="n">
        <v>125</v>
      </c>
      <c r="Q553"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MK-PL-F-012 waterfall
27. MK-CF-F-120 pctBaseMonthly
28. MK-CF-F-004 spendBuckets
29. MK-XS-F-180 declareFigures
30. MK-CF-O-004 incomeSummary
31. MK-CF-F-022 paymentShape
32. MK-CF-F-075 retirementIncomeMonthly
33. MK-CF-F-062 equityRowValue
34. MK-CF-F-070 benefitAnnual
35. MK-ST-F-039 on
36. MK-CF-F-176 sumMonthsOverEarners
37. MK-CF-F-177 wageGrossByMonth
38. MK-CF-F-203 MONTH
39. MK-CF-F-090 effectiveRate
40. MK-CF-F-085 filingStatusOf
41. MK-CF-F-089 over65CountOf
42. MK-CF-F-098 progressiveMonthlyTax
43. MK-CF-F-086 stateRateOf
44. MK-CF-F-173 earnerWages
45. MK-CF-F-102 effectiveRateOnGrossFor
46. MK-CF-F-180 enteredLandsAnnual
47. MK-CF-F-082 salaryAnnual
48. MK-CF-F-084 taxableAnnual
49. MK-CF-O-002 expenses
50. MK-CF-F-067 rentalList
51. MK-CF-F-063 rowVestYear
52. MK-XS-F-122 n
53. MK-CF-F-003 categoryMonthly
54. MK-CF-O-001 basePay
55. MK-CF-F-179 entryFromWage
56. MK-CF-F-103 marginalBracketFor
57. MK-CF-F-021 defaultPaymentType
58. MK-CF-F-130 enteredMonthlyRaw
59. MK-CF-F-166 hasMonthlySalaryTable
60. MK-CF-F-167 salaryCalendarYear
61. MK-CF-O-010 theMonth
62. MK-CF-F-101 taxOwedFor
63. MK-CF-F-100 taxableIncomeFor
64. MK-CF-F-172 hasWage
65. MK-CF-F-074 tipsAnnual
66. MK-CF-F-151 actualSpending
67. MK-CF-F-150 debtPaymentsCountedAsExpenses
68. MK-CF-F-153 radar
69. MK-CF-F-149 recurringDebtPayments
70. MK-XS-F-027 takeHomeMonthly
71. MK-ST-F-035 covers
72. MK-CF-F-171 earnerPay
73. MK-CF-F-204 line
74. MK-ST-F-053 money
75. MK-HM-F-006 money0
76. MK-CF-F-198 payrollTaxWithheld
77. MK-CF-F-165 salaryMonths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MK-ST-F-049 formatMoney
92. MK-HM-F-005 pctTxt
93. MK-CF-F-005 actualMonthFlow
94. MK-CF-F-156 plannedMonthFlow
95. MK-CF-F-187 seniorDeductionFor
96. MK-CF-F-142 monthsOf
97. MK-CF-F-141 perMonth
98. MK-ST-F-048 currencySymbol
99. MK-NW-F-078 ONE
100. MK-CF-F-157 debtPaymentsByDebt
101. MK-CF-F-192 inflowLabel
102. MK-CF-F-140 periodsAYear
103. MK-ST-F-047 activeCurrency
104. MK-NW-F-077 ALL
105. MK-NW-F-059 currentYield
106. MK-NW-O-001 theBonds
107. MK-CF-F-193 inflowSourceWord
108. MK-NW-F-057 annualCoupon
109. MK-ST-F-027 accountId
110. MK-NW-F-056 bondInfo
111. MK-NW-F-064 bondRateSensitivity
112. MK-NW-F-061 bondSummary
113. MK-NW-F-055 isBond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53" s="3" t="inlineStr">
        <is>
          <t>1. MK-XS-F-180 declareFigures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MK-CF-F-062 equityRowValue → MK-CF-F-065 equityVestWeights → MK-CF-F-092 incomeMonthlyGrid → MK-CF-F-011 savingsByMonth → MK-XS-F-028 surplusByMonth → MK-XS-F-029 monthlySavings
9. … and 4 more paths</t>
        </is>
      </c>
      <c r="S553" s="3" t="inlineStr">
        <is>
          <t>—</t>
        </is>
      </c>
      <c r="T553" s="3" t="inlineStr">
        <is>
          <t>—</t>
        </is>
      </c>
      <c r="U553" s="3" t="inlineStr">
        <is>
          <t>ACTIVE</t>
        </is>
      </c>
      <c r="V553" s="3" t="inlineStr">
        <is>
          <t>2026-09-09</t>
        </is>
      </c>
      <c r="W553" s="3" t="n"/>
      <c r="X553" s="3" t="n"/>
      <c r="Y553" s="3" t="inlineStr">
        <is>
          <t>NOTHING OPEN</t>
        </is>
      </c>
    </row>
    <row r="554" ht="60" customHeight="1">
      <c r="A554" s="3" t="inlineStr">
        <is>
          <t>MK-XS-F-030</t>
        </is>
      </c>
      <c r="B554" s="3" t="inlineStr">
        <is>
          <t>effectiveAnnualContribution</t>
        </is>
      </c>
      <c r="C554" s="3" t="inlineStr">
        <is>
          <t>src/domain/snapshot.ts</t>
        </is>
      </c>
      <c r="D554" s="3" t="n">
        <v>65</v>
      </c>
      <c r="E554" s="3" t="inlineStr">
        <is>
          <t>3 · DEPENDENT</t>
        </is>
      </c>
      <c r="F554" s="3" t="inlineStr">
        <is>
          <t>NEGATIVE CASH FLOW DRAINS WEALTH — committed contributions don't create money.</t>
        </is>
      </c>
      <c r="G554"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54"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54" s="3" t="inlineStr">
        <is>
          <t>PARTLY READ — some of the code is still showing through; needs a hand pass</t>
        </is>
      </c>
      <c r="J554" s="3" t="inlineStr">
        <is>
          <t>op: Record&lt;string, any&gt; | null</t>
        </is>
      </c>
      <c r="K554" s="3" t="inlineStr">
        <is>
          <t>number</t>
        </is>
      </c>
      <c r="L554" s="3" t="inlineStr">
        <is>
          <t>—</t>
        </is>
      </c>
      <c r="M554" s="3" t="inlineStr">
        <is>
          <t>· Turns a monthly figure into a year by multiplying by twelve.</t>
        </is>
      </c>
      <c r="N554" s="3" t="inlineStr">
        <is>
          <t>Yes</t>
        </is>
      </c>
      <c r="O554" s="3" t="inlineStr">
        <is>
          <t>1. MK-NW-F-041 monthlyContributionsFromOnboarding
2. MK-CF-F-011 savingsByMonth
3. MK-ST-F-052 toNum</t>
        </is>
      </c>
      <c r="P554" s="3" t="n">
        <v>106</v>
      </c>
      <c r="Q554"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MK-PL-F-012 waterfall
26. MK-CF-F-120 pctBaseMonthly
27. MK-CF-F-004 spendBuckets
28. MK-CF-F-173 earnerWages
29. MK-CF-F-075 retirementIncomeMonthly
30. MK-CF-F-062 equityRowValue
31. MK-CF-F-070 benefitAnnual
32. MK-ST-F-039 on
33. MK-CF-F-176 sumMonthsOverEarners
34. MK-CF-F-177 wageGrossByMonth
35. MK-CF-F-203 MONTH
36. MK-CF-F-090 effectiveRate
37. MK-CF-F-085 filingStatusOf
38. MK-CF-F-089 over65CountOf
39. MK-CF-F-098 progressiveMonthlyTax
40. MK-CF-F-086 stateRateOf
41. MK-CF-F-102 effectiveRateOnGrossFor
42. MK-CF-F-180 enteredLandsAnnual
43. MK-CF-F-082 salaryAnnual
44. MK-CF-F-084 taxableAnnual
45. MK-CF-O-002 expenses
46. MK-CF-F-067 rentalList
47. MK-CF-F-063 rowVestYear
48. MK-CF-F-003 categoryMonthly
49. MK-CF-F-172 hasWage
50. MK-CF-F-130 enteredMonthlyRaw
51. MK-CF-F-166 hasMonthlySalaryTable
52. MK-ST-F-036 reconcile
53. MK-CF-F-167 salaryCalendarYear
54. MK-CF-O-010 theMonth
55. MK-CF-F-101 taxOwedFor
56. MK-CF-F-100 taxableIncomeFor
57. MK-CF-F-074 tipsAnnual
58. MK-CF-F-151 actualSpending
59. MK-CF-F-150 debtPaymentsCountedAsExpenses
60. MK-CF-F-153 radar
61. MK-CF-F-149 recurringDebtPayments
62. MK-XS-F-027 takeHomeMonthly
63. MK-CF-F-165 salaryMonths
64. MK-CF-F-155 cash
65. MK-CF-O-003 thisMonth
66. MK-CF-F-099 deductionFor
67. MK-CF-F-081 salaryActiveMonths
68. MK-CF-F-148 inMonth
69. MK-CF-F-191 ym
70. MK-CF-F-022 paymentShape
71. MK-CF-F-152 isRadarItem
72. MK-CF-F-023 requiredPayment
73. MK-CF-F-005 actualMonthFlow
74. MK-CF-F-156 plannedMonthFlow
75. MK-CF-F-187 seniorDeductionFor
76. MK-CF-F-021 defaultPaymentType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554"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MK-ST-F-052 toNum → MK-CF-F-062 equityRowValue → MK-CF-F-065 equityVestWeights → MK-CF-F-092 incomeMonthlyGrid → MK-CF-F-011 savingsByMonth → MK-XS-F-030 effectiveAnnualContribution
7. MK-CF-F-132 map → MK-CF-F-065 equityVestWeights → MK-CF-F-092 incomeMonthlyGrid → MK-CF-F-011 savingsByMonth → MK-XS-F-030 effectiveAnnualContribution
8. MK-CF-F-069 benefitActiveMonths → MK-CF-F-070 benefitAnnual → MK-CF-F-071 extraIncome → MK-CF-F-092 incomeMonthlyGrid → MK-CF-F-011 savingsByMonth → MK-XS-F-030 effectiveAnnualContribution
9. … and 5 more paths</t>
        </is>
      </c>
      <c r="S554" s="3" t="inlineStr">
        <is>
          <t>—</t>
        </is>
      </c>
      <c r="T554" s="3" t="inlineStr">
        <is>
          <t>—</t>
        </is>
      </c>
      <c r="U554" s="3" t="inlineStr">
        <is>
          <t>ACTIVE</t>
        </is>
      </c>
      <c r="V554" s="3" t="inlineStr">
        <is>
          <t>2026-09-12</t>
        </is>
      </c>
      <c r="W554" s="3" t="n"/>
      <c r="X554" s="3" t="n"/>
      <c r="Y554" s="3" t="inlineStr">
        <is>
          <t>NOTHING OPEN</t>
        </is>
      </c>
    </row>
    <row r="555" ht="60" customHeight="1">
      <c r="A555" s="3" t="inlineStr">
        <is>
          <t>MK-XS-F-031</t>
        </is>
      </c>
      <c r="B555" s="3" t="inlineStr">
        <is>
          <t>buildSnapshot</t>
        </is>
      </c>
      <c r="C555" s="3" t="inlineStr">
        <is>
          <t>src/domain/snapshot.ts</t>
        </is>
      </c>
      <c r="D555" s="3" t="n">
        <v>124</v>
      </c>
      <c r="E555" s="3" t="inlineStr">
        <is>
          <t>2 · DISPLAYED</t>
        </is>
      </c>
      <c r="F555" s="3" t="inlineStr">
        <is>
          <t>Build a snapshot from EXPLICIT net-worth rows.</t>
        </is>
      </c>
      <c r="G555"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55"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55" s="3" t="inlineStr">
        <is>
          <t>READ FROM THE CODE — rendered from the expressions the function runs</t>
        </is>
      </c>
      <c r="J555" s="3" t="inlineStr">
        <is>
          <t>Nothing is handed to it</t>
        </is>
      </c>
      <c r="K555" s="3" t="inlineStr">
        <is>
          <t>NOT DECLARED — the code does not say what it gives back</t>
        </is>
      </c>
      <c r="L555" s="3" t="inlineStr">
        <is>
          <t>NOT FOUND — a screen calls it, but the words printed beside its answer could not be traced automatically. Needs reading.</t>
        </is>
      </c>
      <c r="M555" s="3" t="inlineStr">
        <is>
          <t>1. If current age is missing it uses 35.
2. If target retirement age is missing it uses 65.
3. If plan to age is missing it uses 90.</t>
        </is>
      </c>
      <c r="N555" s="3" t="inlineStr">
        <is>
          <t>Yes</t>
        </is>
      </c>
      <c r="O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55" s="3" t="n">
        <v>225</v>
      </c>
      <c r="Q555"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MK-CF-F-025 minimumDebtService
30. MK-PL-F-012 waterfall
31. MK-CF-F-048 effectiveTaxRate
32. MK-CF-F-046 employerMatchAnnual
33. MK-CF-F-045 grossAnnualBaseline
34. MK-CF-F-161 monthlyGrossOfSource
35. MK-CF-F-098 progressiveMonthlyTax
36. MK-CF-F-129 round4
37. MK-PL-F-050 simulate
38. MK-XS-F-122 n
39. MK-NW-F-041 monthlyContributionsFromOnboarding
40. MK-CF-F-011 savingsByMonth
41. MK-ST-F-043 newEntityId
42. MK-CF-F-070 benefitAnnual
43. MK-CF-F-072 currentRetirementIncomeMonthly
44. MK-CF-F-078 employerMatchMonthly
45. MK-CF-F-065 equityVestWeights
46. MK-CF-O-002 expenses
47. MK-CF-F-067 rentalList
48. MK-CF-F-066 rsuAnnual
49. MK-CF-F-082 salaryAnnual
50. MK-CF-F-074 tipsAnnual
51. MK-XS-F-131 toInt
52. MK-PL-F-047 colFactor
53. MK-PL-F-001 taxBucketSplit
54. MK-XS-F-017 currentAge
55. MK-XS-F-019 retirementHorizonYears
56. MK-XS-F-018 yearsToRetirement
57. MK-ST-F-027 accountId
58. MK-CF-F-111 applyTransaction
59. MK-NW-F-040 assetsFromOnboarding
60. MK-PF-F-013 benchmarkTicker
61. MK-ST-F-028 buildDayFromAccounts
62. MK-PF-F-034 closeOnOrBefore
63. MK-CF-F-186 convertTakeHomeMode
64. MK-CF-F-038 debtsFromOnboarding
65. MK-XS-F-083 fetchPriceSeries
66. MK-ST-F-056 has
67. MK-CF-F-116 inverseOf
68. MK-ST-F-065 isoLocalDate
69. MK-CF-F-112 makeTransaction
70. MK-XS-F-006 pruneDaily
71. MK-ST-F-073 rebuildDays
72. MK-NW-F-054 reclassifyAccounts
73. MK-XS-F-174 recomputeBalances
74. MK-CF-F-115 restoreUndo
75. MK-CF-F-109 reviewTransactions
76. MK-ST-F-044 setMoneyFormat
77. MK-CF-F-114 undoSnapshot
78. MK-CF-F-191 ym
79. MK-NW-F-007 assetKind
80. MK-NW-F-030 earmarkDefault
81. MK-NW-F-011 assetClassOf
82. MK-CF-F-092 incomeMonthlyGrid
83. MK-XS-F-027 takeHomeMonthly
84. MK-CF-F-003 categoryMonthly
85. MK-CF-F-024 totalDebtMonthly
86. MK-CF-F-022 paymentShape
87. MK-CF-F-102 effectiveRateOnGrossFor
88. MK-CF-F-044 annualNet
89. MK-CF-F-127 isRental
90. MK-CF-F-101 taxOwedFor
91. MK-CF-F-100 taxableIncomeFor
92. MK-PL-F-074 median
93. MK-PL-F-072 mulberry32
94. MK-PL-F-073 normal
95. MK-PL-F-075 pctOfSorted
96. MK-ST-F-025 rmdStartAgeFromAge
97. MK-CF-F-008 spendByMonth
98. MK-CF-F-069 benefitActiveMonths
99. MK-CF-F-075 retirementIncomeMonthly
100. MK-CF-F-175 sumOverEarners
101. MK-CF-F-178 wageMatchMonthly
102. MK-CF-F-062 equityRowValue
103. MK-CF-F-151 actualSpending
104. MK-CF-F-150 debtPaymentsCountedAsExpenses
105. MK-CF-F-153 radar
106. MK-CF-F-149 recurringDebtPayments
107. MK-CF-F-063 rowVestYear
108. MK-CF-F-060 salaryGrossByMonth
109. MK-CF-F-081 salaryActiveMonths
110. MK-CF-F-138 addLot
111. MK-CF-F-136 bumpCash
112. MK-CF-F-137 findPos
113. MK-CF-F-139 removeShares
114. MK-PF-F-001 totalShares
115. MK-ST-F-053 money
116. MK-CF-F-085 filingStatusOf
117. MK-CF-F-097 grossFromNet
118. MK-CF-F-185 needsTakeHomeConversion
119. MK-CF-F-089 over65CountOf
120. MK-CF-F-037 inferDebtType
121. MK-ST-F-069 amountOf
122. MK-CF-F-133 cashOf
123. MK-ST-F-066 isDayKey
124. MK-ST-F-070 isOpening
125. MK-ST-F-071 rebuildableFrom
126. MK-ST-F-068 stepDay
127. MK-ST-F-072 undo
128. MK-NW-F-053 correctClassOf
129. MK-NW-F-008 incomeBearingClassOf
130. MK-PF-F-002 costBasis
131. MK-PF-F-009 latestClose
132. MK-PF-F-004 marketValue
133. MK-ST-F-030 record
134. MK-XS-F-024 resolveLens
135. MK-ST-F-055 round2
136. MK-CF-F-162 daysApart
137. MK-CF-F-108 isMoneyOut
138. MK-CF-F-131 normPayee
139. MK-CF-F-113 affectedAccountIds
140. MK-NW-F-013 realEstateUseOf
141. MK-CF-F-071 extraIncome
142. MK-CF-F-206 householdK401ByMonth
143. MK-CF-F-087 monthlyTaxRates
144. MK-CF-F-073 otherIncomeMonth
145. MK-CF-F-181 rateInForce
146. MK-CF-F-068 rentalNetAnnual
147. MK-CF-F-077 scholarshipByCalendarMonth
148. MK-CF-F-088 taxableByCalendarMonth
149. MK-CF-F-120 pctBaseMonthly
150. MK-CF-F-201 INCOME
151. MK-CF-F-023 requiredPayment
152. MK-CF-F-021 defaultPaymentType
153. MK-CF-F-099 deductionFor
154. MK-ST-F-024 rmdStartAge
155. MK-CF-F-173 earnerWages
156. MK-CF-F-148 inMonth
157. MK-CF-F-152 isRadarItem
158. MK-CF-F-176 sumMonthsOverEarners
159. MK-CF-F-177 wageGrossByMonth
160. MK-CF-F-134 usesSleeve
161. MK-ST-F-049 formatMoney
162. MK-ST-F-067 utcOfDay
163. MK-ST-F-035 covers
164. MK-NW-F-009 maturityClass
165. MK-ST-F-010 nameEvidence
166. MK-PF-F-031 contractMultiplier
167. MK-ST-F-039 on
168. MK-CF-F-203 MONTH
169. MK-CF-F-090 effectiveRate
170. MK-CF-F-086 stateRateOf
171. MK-CF-F-180 enteredLandsAnnual
172. MK-CF-F-084 taxableAnnual
173. MK-XS-F-180 declareFigures
174. MK-CF-O-004 incomeSummary
175. MK-CF-F-187 seniorDeductionFor
176. MK-CF-F-172 hasWage
177. MK-CF-F-130 enteredMonthlyRaw
178. MK-CF-F-166 hasMonthlySalaryTable
179. MK-ST-F-036 reconcile
180. MK-CF-F-167 salaryCalendarYear
181. MK-ST-F-048 currencySymbol
182. MK-ST-F-034 firstDate
183. MK-XS-F-147 call
184. MK-CF-O-010 theMonth
185. MK-CF-O-001 basePay
186. MK-CF-F-179 entryFromWage
187. MK-CF-F-103 marginalBracketFor
188. MK-CF-F-165 salaryMonths
189. MK-ST-F-047 activeCurrency
190. MK-XS-F-064 currentIdToken
191. MK-XS-F-112 relayUrl
192. MK-CF-O-003 thisMonth
193. MK-CF-F-171 earnerPay
194. MK-CF-F-204 line
195. MK-HM-F-006 money0
196. MK-CF-F-198 payrollTaxWithheld
197. MK-CF-F-005 actualMonthFlow
198. MK-CF-F-156 plannedMonthFlow
199. MK-CF-F-143 annualisedGross
200. MK-CF-F-145 deductionsFromPay
201. MK-CF-F-128 grossByMonth
202. MK-CF-F-146 payFiguresAgree
203. MK-CF-F-144 takeHomeAsEntered
204. MK-HM-F-005 pctTxt
205. MK-NW-F-078 ONE
206. MK-CF-F-157 debtPaymentsByDebt
207. MK-CF-F-192 inflowLabel
208. MK-CF-F-142 monthsOf
209. MK-CF-F-141 perMonth
210. MK-NW-F-077 ALL
211. MK-NW-F-059 currentYield
212. MK-NW-O-001 theBonds
213. MK-CF-F-193 inflowSourceWord
214. MK-CF-F-140 periodsAYear
215. MK-NW-F-057 annualCoupon
216. MK-NW-F-056 bondInfo
217. MK-NW-F-064 bondRateSensitivity
218. MK-NW-F-061 bondSummary
219. MK-NW-F-055 isBond
220. MK-NW-F-072 rowOf
221. MK-NW-F-060 approxYTM
222. MK-NW-F-069 priceAtYield
223. MK-NW-F-070 accruedInterestCaveat
224. MK-NW-F-071 isCertificateOfDeposit
225. MK-NW-F-058 yearsToMaturity</t>
        </is>
      </c>
      <c r="R555"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MK-XS-F-032</t>
        </is>
      </c>
      <c r="B556" s="3" t="inlineStr">
        <is>
          <t>snapshotFromOnboarding</t>
        </is>
      </c>
      <c r="C556" s="3" t="inlineStr">
        <is>
          <t>src/domain/snapshot.ts</t>
        </is>
      </c>
      <c r="D556" s="3" t="n">
        <v>198</v>
      </c>
      <c r="E556" s="3" t="inlineStr">
        <is>
          <t>3 · DEPENDENT (feeds an action only)</t>
        </is>
      </c>
      <c r="F556" s="3" t="inlineStr">
        <is>
          <t>Snapshot from onboarding answers alone — for headless/test callers (and any surface that runs before Net Worth is set up).</t>
        </is>
      </c>
      <c r="G556" s="11" t="inlineStr">
        <is>
          <t>build snapshot(uid, op, econ, assets from onboarding(uid, op).accounts, debts from onboarding(uid, op).debts)</t>
        </is>
      </c>
      <c r="H556" s="3" t="inlineStr">
        <is>
          <t>build snapshot(uid, op, econ, assets from onboarding(uid, op).accounts, debts from onboarding(uid, op).debts).</t>
        </is>
      </c>
      <c r="I556" s="3" t="inlineStr">
        <is>
          <t>PARTLY READ — some of the code is still showing through; needs a hand pass</t>
        </is>
      </c>
      <c r="J556" s="3" t="inlineStr">
        <is>
          <t>1. uid: UserId
2. op: Record&lt;string, any&gt; | null
3. econ: EconomicData</t>
        </is>
      </c>
      <c r="K556" s="3" t="inlineStr">
        <is>
          <t>FinancialSnapshot</t>
        </is>
      </c>
      <c r="L556" s="3" t="inlineStr">
        <is>
          <t>—</t>
        </is>
      </c>
      <c r="M556" s="3" t="inlineStr">
        <is>
          <t>None found in this function — anything it assumes comes from the functions it depends on.</t>
        </is>
      </c>
      <c r="N556" s="3" t="inlineStr">
        <is>
          <t>No</t>
        </is>
      </c>
      <c r="O556" s="3" t="inlineStr">
        <is>
          <t>1. MK-NW-F-040 assetsFromOnboarding
2. MK-XS-F-031 buildSnapshot
3. MK-CF-F-038 debtsFromOnboarding
4. MK-XS-F-175 uid</t>
        </is>
      </c>
      <c r="P556" s="3" t="n">
        <v>226</v>
      </c>
      <c r="Q556"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MK-XS-F-083 fetchPriceSeries
35. MK-ST-F-056 has
36. MK-CF-F-116 inverseOf
37. MK-ST-F-065 isoLocalDate
38. MK-CF-F-112 makeTransaction
39. MK-XS-F-122 n
40. MK-XS-F-006 pruneDaily
41. MK-ST-F-073 rebuildDays
42. MK-NW-F-054 reclassifyAccounts
43. MK-XS-F-174 recomputeBalances
44. MK-CF-F-115 restoreUndo
45. MK-CF-F-109 reviewTransactions
46. MK-ST-F-044 setMoneyFormat
47. MK-CF-F-114 undoSnapshot
48. MK-CF-F-191 ym
49. MK-NW-F-034 benchmarkReturn
50. MK-NW-F-032 earmarkedAmount
51. MK-NW-F-031 primaryCarIdOf
52. MK-CF-F-002 plannedMonthlySpend
53. MK-CF-F-004 spendBuckets
54. MK-CF-F-026 actualDebtPayment
55. MK-CF-F-025 minimumDebtService
56. MK-PL-F-012 waterfall
57. MK-CF-F-048 effectiveTaxRate
58. MK-CF-F-046 employerMatchAnnual
59. MK-CF-F-045 grossAnnualBaseline
60. MK-CF-F-161 monthlyGrossOfSource
61. MK-CF-F-098 progressiveMonthlyTax
62. MK-CF-F-129 round4
63. MK-PL-F-050 simulate
64. MK-NW-F-041 monthlyContributionsFromOnboarding
65. MK-CF-F-011 savingsByMonth
66. MK-CF-F-070 benefitAnnual
67. MK-CF-F-072 currentRetirementIncomeMonthly
68. MK-CF-F-078 employerMatchMonthly
69. MK-CF-F-065 equityVestWeights
70. MK-CF-O-002 expenses
71. MK-CF-F-067 rentalList
72. MK-CF-F-066 rsuAnnual
73. MK-CF-F-082 salaryAnnual
74. MK-CF-F-074 tipsAnnual
75. MK-XS-F-131 toInt
76. MK-PL-F-047 colFactor
77. MK-PL-F-001 taxBucketSplit
78. MK-XS-F-017 currentAge
79. MK-XS-F-019 retirementHorizonYears
80. MK-XS-F-018 yearsToRetirement
81. MK-CF-F-138 addLot
82. MK-CF-F-136 bumpCash
83. MK-CF-F-137 findPos
84. MK-CF-F-139 removeShares
85. MK-PF-F-001 totalShares
86. MK-ST-F-053 money
87. MK-CF-F-085 filingStatusOf
88. MK-CF-F-097 grossFromNet
89. MK-CF-F-185 needsTakeHomeConversion
90. MK-CF-F-089 over65CountOf
91. MK-ST-F-069 amountOf
92. MK-CF-F-133 cashOf
93. MK-ST-F-066 isDayKey
94. MK-ST-F-070 isOpening
95. MK-ST-F-071 rebuildableFrom
96. MK-ST-F-068 stepDay
97. MK-ST-F-072 undo
98. MK-NW-F-053 correctClassOf
99. MK-NW-F-008 incomeBearingClassOf
100. MK-PF-F-002 costBasis
101. MK-PF-F-009 latestClose
102. MK-PF-F-004 marketValue
103. MK-ST-F-030 record
104. MK-XS-F-024 resolveLens
105. MK-ST-F-055 round2
106. MK-CF-F-162 daysApart
107. MK-CF-F-108 isMoneyOut
108. MK-PL-F-074 median
109. MK-CF-F-131 normPayee
110. MK-CF-F-113 affectedAccountIds
111. MK-NW-F-007 assetKind
112. MK-NW-F-030 earmarkDefault
113. MK-NW-F-011 assetClassOf
114. MK-CF-F-092 incomeMonthlyGrid
115. MK-XS-F-027 takeHomeMonthly
116. MK-CF-F-003 categoryMonthly
117. MK-CF-F-024 totalDebtMonthly
118. MK-CF-F-022 paymentShape
119. MK-CF-F-102 effectiveRateOnGrossFor
120. MK-CF-F-044 annualNet
121. MK-CF-F-127 isRental
122. MK-CF-F-101 taxOwedFor
123. MK-CF-F-100 taxableIncomeFor
124. MK-PL-F-072 mulberry32
125. MK-PL-F-073 normal
126. MK-PL-F-075 pctOfSorted
127. MK-ST-F-025 rmdStartAgeFromAge
128. MK-CF-F-008 spendByMonth
129. MK-CF-F-069 benefitActiveMonths
130. MK-CF-F-075 retirementIncomeMonthly
131. MK-CF-F-175 sumOverEarners
132. MK-CF-F-178 wageMatchMonthly
133. MK-CF-F-062 equityRowValue
134. MK-CF-F-151 actualSpending
135. MK-CF-F-150 debtPaymentsCountedAsExpenses
136. MK-CF-F-153 radar
137. MK-CF-F-149 recurringDebtPayments
138. MK-CF-F-063 rowVestYear
139. MK-CF-F-060 salaryGrossByMonth
140. MK-CF-F-081 salaryActiveMonths
141. MK-CF-F-134 usesSleeve
142. MK-ST-F-049 formatMoney
143. MK-ST-F-067 utcOfDay
144. MK-ST-F-035 covers
145. MK-NW-F-009 maturityClass
146. MK-ST-F-010 nameEvidence
147. MK-PF-F-031 contractMultiplier
148. MK-NW-F-013 realEstateUseOf
149. MK-CF-F-071 extraIncome
150. MK-CF-F-206 householdK401ByMonth
151. MK-CF-F-087 monthlyTaxRates
152. MK-CF-F-073 otherIncomeMonth
153. MK-CF-F-181 rateInForce
154. MK-CF-F-068 rentalNetAnnual
155. MK-CF-F-077 scholarshipByCalendarMonth
156. MK-CF-F-088 taxableByCalendarMonth
157. MK-CF-F-120 pctBaseMonthly
158. MK-CF-F-201 INCOME
159. MK-CF-F-023 requiredPayment
160. MK-CF-F-021 defaultPaymentType
161. MK-CF-F-099 deductionFor
162. MK-ST-F-024 rmdStartAge
163. MK-CF-F-173 earnerWages
164. MK-CF-F-148 inMonth
165. MK-CF-F-152 isRadarItem
166. MK-CF-F-176 sumMonthsOverEarners
167. MK-CF-F-177 wageGrossByMonth
168. MK-ST-F-048 currencySymbol
169. MK-ST-F-039 on
170. MK-ST-F-034 firstDate
171. MK-XS-F-147 call
172. MK-CF-F-203 MONTH
173. MK-CF-F-090 effectiveRate
174. MK-CF-F-086 stateRateOf
175. MK-CF-F-180 enteredLandsAnnual
176. MK-CF-F-084 taxableAnnual
177. MK-XS-F-180 declareFigures
178. MK-CF-O-004 incomeSummary
179. MK-CF-F-187 seniorDeductionFor
180. MK-CF-F-172 hasWage
181. MK-CF-F-130 enteredMonthlyRaw
182. MK-CF-F-166 hasMonthlySalaryTable
183. MK-ST-F-036 reconcile
184. MK-CF-F-167 salaryCalendarYear
185. MK-ST-F-047 activeCurrency
186. MK-XS-F-064 currentIdToken
187. MK-XS-F-112 relayUrl
188. MK-CF-O-010 theMonth
189. MK-CF-O-001 basePay
190. MK-CF-F-179 entryFromWage
191. MK-CF-F-103 marginalBracketFor
192. MK-CF-F-165 salaryMonths
193. MK-CF-O-003 thisMonth
194. MK-CF-F-171 earnerPay
195. MK-CF-F-204 line
196. MK-HM-F-006 money0
197. MK-CF-F-198 payrollTaxWithheld
198. MK-CF-F-005 actualMonthFlow
199. MK-CF-F-156 plannedMonthFlow
200. MK-CF-F-143 annualisedGross
201. MK-CF-F-145 deductionsFromPay
202. MK-CF-F-128 grossByMonth
203. MK-CF-F-146 payFiguresAgree
204. MK-CF-F-144 takeHomeAsEntered
205. MK-HM-F-005 pctTxt
206. MK-NW-F-078 ONE
207. MK-CF-F-157 debtPaymentsByDebt
208. MK-CF-F-192 inflowLabel
209. MK-CF-F-142 monthsOf
210. MK-CF-F-141 perMonth
211. MK-NW-F-077 ALL
212. MK-NW-F-059 currentYield
213. MK-NW-O-001 theBonds
214. MK-CF-F-193 inflowSourceWord
215. MK-CF-F-140 periodsAYear
216. MK-NW-F-057 annualCoupon
217. MK-NW-F-056 bondInfo
218. MK-NW-F-064 bondRateSensitivity
219. MK-NW-F-061 bondSummary
220. MK-NW-F-055 isBond
221. MK-NW-F-072 rowOf
222. MK-NW-F-060 approxYTM
223. MK-NW-F-069 priceAtYield
224. MK-NW-F-070 accruedInterestCaveat
225. MK-NW-F-071 isCertificateOfDeposit
226. MK-NW-F-058 yearsToMaturity</t>
        </is>
      </c>
      <c r="R556"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MK-XS-F-033</t>
        </is>
      </c>
      <c r="B557" s="3" t="inlineStr">
        <is>
          <t>resolveNetWorthRows</t>
        </is>
      </c>
      <c r="C557" s="3" t="inlineStr">
        <is>
          <t>src/domain/snapshot.ts</t>
        </is>
      </c>
      <c r="D557" s="3" t="n">
        <v>226</v>
      </c>
      <c r="E557" s="3" t="inlineStr">
        <is>
          <t>2 · DISPLAYED</t>
        </is>
      </c>
      <c r="F557" s="3" t="inlineStr">
        <is>
          <t>The single rule for which net-worth rows a live UI surface should use, so Home + TopBar + the Net Worth screen never disagree (B-49).</t>
        </is>
      </c>
      <c r="G557" s="11" t="inlineStr">
        <is>
          <t>use live = nw seeded (or live accounts.length &gt; 0 (or live liabilities.length &gt; 0 when missing or zero) when missing or zero)</t>
        </is>
      </c>
      <c r="H557" s="3" t="inlineStr">
        <is>
          <t>Use live is nw seeded (or live accounts.length &gt; 0 (or live liabilities.length &gt; 0 — when missing or zero) — when missing or zero).</t>
        </is>
      </c>
      <c r="I557" s="3" t="inlineStr">
        <is>
          <t>READ FROM THE CODE — rendered from the expressions the function runs</t>
        </is>
      </c>
      <c r="J557" s="3" t="inlineStr">
        <is>
          <t>Nothing is handed to it</t>
        </is>
      </c>
      <c r="K557" s="3" t="inlineStr">
        <is>
          <t>NOT DECLARED — the code does not say what it gives back</t>
        </is>
      </c>
      <c r="L557" s="3" t="inlineStr">
        <is>
          <t>NOT FOUND — a screen calls it, but the words printed beside its answer could not be traced automatically. Needs reading.</t>
        </is>
      </c>
      <c r="M557" s="3" t="inlineStr">
        <is>
          <t>None found in this function — anything it assumes comes from the functions it depends on.</t>
        </is>
      </c>
      <c r="N557" s="3" t="inlineStr">
        <is>
          <t>Yes</t>
        </is>
      </c>
      <c r="O557" s="3" t="inlineStr">
        <is>
          <t>1. MK-NW-F-040 assetsFromOnboarding
2. MK-CF-F-038 debtsFromOnboarding
3. MK-XS-F-175 uid</t>
        </is>
      </c>
      <c r="P557" s="3" t="n">
        <v>80</v>
      </c>
      <c r="Q557"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MK-XS-F-083 fetchPriceSeries
14. MK-PL-F-013 goalsFromOnboarding
15. MK-ST-F-056 has
16. MK-CF-F-116 inverseOf
17. MK-ST-F-065 isoLocalDate
18. MK-CF-F-112 makeTransaction
19. MK-CF-F-132 map
20. MK-XS-F-122 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557"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57" s="3" t="inlineStr">
        <is>
          <t>—</t>
        </is>
      </c>
      <c r="T557" s="3" t="inlineStr">
        <is>
          <t>NET_WORTH_ROWS</t>
        </is>
      </c>
      <c r="U557" s="3" t="inlineStr">
        <is>
          <t>ACTIVE</t>
        </is>
      </c>
      <c r="V557" s="3" t="inlineStr">
        <is>
          <t>2026-08-27</t>
        </is>
      </c>
      <c r="W557" s="3" t="n"/>
      <c r="X557" s="3" t="n"/>
      <c r="Y557" s="3" t="inlineStr">
        <is>
          <t>NOTHING OPEN</t>
        </is>
      </c>
    </row>
    <row r="558" ht="45" customHeight="1">
      <c r="A558" s="3" t="inlineStr">
        <is>
          <t>MK-XS-F-034</t>
        </is>
      </c>
      <c r="B558" s="3" t="inlineStr">
        <is>
          <t>isLockAvailable</t>
        </is>
      </c>
      <c r="C558" s="3" t="inlineStr">
        <is>
          <t>src/services/appLock.ts</t>
        </is>
      </c>
      <c r="D558" s="3" t="n">
        <v>54</v>
      </c>
      <c r="E558" s="3" t="inlineStr">
        <is>
          <t>2 · DISPLAYED</t>
        </is>
      </c>
      <c r="F558" s="3" t="inlineStr">
        <is>
          <t>True only when the device has biometric hardware AND the user has enrolled a biometric/passcode.</t>
        </is>
      </c>
      <c r="G558" s="11" t="inlineStr">
        <is>
          <t>m = load()
false   when has hardware async is missing
the answer = !!has hw and !!enrolled</t>
        </is>
      </c>
      <c r="H558" s="3" t="inlineStr">
        <is>
          <t>M is load(). When has hardware async is missing, it answers false. The answer is !!has hw and !!enrolled.</t>
        </is>
      </c>
      <c r="I558" s="3" t="inlineStr">
        <is>
          <t>READ FROM THE CODE — rendered from the expressions the function runs</t>
        </is>
      </c>
      <c r="J558" s="3" t="inlineStr">
        <is>
          <t>Nothing is handed to it</t>
        </is>
      </c>
      <c r="K558" s="3" t="inlineStr">
        <is>
          <t>Promise&lt;boolean&gt;</t>
        </is>
      </c>
      <c r="L558" s="3" t="inlineStr">
        <is>
          <t>NOT FOUND — a screen calls it, but the words printed beside its answer could not be traced automatically. Needs reading.</t>
        </is>
      </c>
      <c r="M558" s="3" t="inlineStr">
        <is>
          <t>None found in this function — anything it assumes comes from the functions it depends on.</t>
        </is>
      </c>
      <c r="N558" s="3" t="inlineStr">
        <is>
          <t>Yes</t>
        </is>
      </c>
      <c r="O558" s="3" t="inlineStr">
        <is>
          <t>MK-XS-F-132 load</t>
        </is>
      </c>
      <c r="P558" s="3" t="n">
        <v>1</v>
      </c>
      <c r="Q558" s="3" t="inlineStr">
        <is>
          <t>MK-XS-F-132 load</t>
        </is>
      </c>
      <c r="R558" s="3" t="inlineStr">
        <is>
          <t>MK-XS-F-132 load → MK-XS-F-034 isLockAvailable</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MK-XS-F-035</t>
        </is>
      </c>
      <c r="B559" s="3" t="inlineStr">
        <is>
          <t>authenticate</t>
        </is>
      </c>
      <c r="C559" s="3" t="inlineStr">
        <is>
          <t>src/services/appLock.ts</t>
        </is>
      </c>
      <c r="D559" s="3" t="n">
        <v>87</v>
      </c>
      <c r="E559" s="3" t="inlineStr">
        <is>
          <t>2 · DISPLAYED</t>
        </is>
      </c>
      <c r="F559" s="3" t="inlineStr">
        <is>
          <t>Prompt for Face ID / Touch ID / device passcode.</t>
        </is>
      </c>
      <c r="G559" s="11" t="inlineStr">
        <is>
          <t>m = load()
false   when authenticate async is missing
res = await authenticate async({ prompt message: reason, disable device fallback: false })
the answer = !!res.success</t>
        </is>
      </c>
      <c r="H559" s="3" t="inlineStr">
        <is>
          <t>M is load(). When authenticate async is missing, it answers false. Res is await authenticate async({ prompt message: reason, disable device fallback: false }). The answer is !!res.success.</t>
        </is>
      </c>
      <c r="I559" s="3" t="inlineStr">
        <is>
          <t>READ FROM THE CODE — rendered from the expressions the function runs</t>
        </is>
      </c>
      <c r="J559" s="3" t="inlineStr">
        <is>
          <t>reason = 'Unlock MoneyKeel'</t>
        </is>
      </c>
      <c r="K559" s="3" t="inlineStr">
        <is>
          <t>Promise&lt;boolean&gt;</t>
        </is>
      </c>
      <c r="L559" s="3" t="inlineStr">
        <is>
          <t>NOT FOUND — a screen calls it, but the words printed beside its answer could not be traced automatically. Needs reading.</t>
        </is>
      </c>
      <c r="M559" s="3" t="inlineStr">
        <is>
          <t>None found in this function — anything it assumes comes from the functions it depends on.</t>
        </is>
      </c>
      <c r="N559" s="3" t="inlineStr">
        <is>
          <t>Yes</t>
        </is>
      </c>
      <c r="O559" s="3" t="inlineStr">
        <is>
          <t>MK-XS-F-132 load</t>
        </is>
      </c>
      <c r="P559" s="3" t="n">
        <v>1</v>
      </c>
      <c r="Q559" s="3" t="inlineStr">
        <is>
          <t>MK-XS-F-132 load</t>
        </is>
      </c>
      <c r="R559" s="3" t="inlineStr">
        <is>
          <t>MK-XS-F-132 load → MK-XS-F-035 authenticate</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MK-XS-F-036</t>
        </is>
      </c>
      <c r="B560" s="3" t="inlineStr">
        <is>
          <t>initCrashReporting</t>
        </is>
      </c>
      <c r="C560" s="3" t="inlineStr">
        <is>
          <t>src/services/crashReporter.ts</t>
        </is>
      </c>
      <c r="D560" s="3" t="n">
        <v>57</v>
      </c>
      <c r="E560" s="3" t="inlineStr">
        <is>
          <t>1 · ACTION</t>
        </is>
      </c>
      <c r="F560" s="3" t="inlineStr">
        <is>
          <t>Initialise crash reporting once, at app start.</t>
        </is>
      </c>
      <c r="G560" s="11" t="inlineStr">
        <is>
          <t>dsn = (constants.expo config.extra as any).SENTRY_DSN (or process.env.SENTRY_DSN (or '' when missing or zero) when missing or zero)
s = load sentry()</t>
        </is>
      </c>
      <c r="H560" s="3" t="inlineStr">
        <is>
          <t>Dsn is (constants.expo config.extra as any).SENTRY_DSN (or process.env.SENTRY_DSN (or '' — when missing or zero) — when missing or zero). S is load sentry().</t>
        </is>
      </c>
      <c r="I560" s="3" t="inlineStr">
        <is>
          <t>PARTLY READ — some of the code is still showing through; needs a hand pass</t>
        </is>
      </c>
      <c r="J560" s="3" t="inlineStr">
        <is>
          <t>Nothing is handed to it</t>
        </is>
      </c>
      <c r="K560" s="3" t="inlineStr">
        <is>
          <t>void</t>
        </is>
      </c>
      <c r="L560" s="3" t="inlineStr">
        <is>
          <t>—</t>
        </is>
      </c>
      <c r="M560" s="3" t="inlineStr">
        <is>
          <t>None found in this function — anything it assumes comes from the functions it depends on.</t>
        </is>
      </c>
      <c r="N560" s="3" t="inlineStr">
        <is>
          <t>Yes</t>
        </is>
      </c>
      <c r="O560" s="3" t="inlineStr">
        <is>
          <t>1. MK-XS-F-037 captureException
2. MK-XS-F-134 installGlobalHandler
3. MK-XS-F-133 loadSentry</t>
        </is>
      </c>
      <c r="P560" s="3" t="n">
        <v>3</v>
      </c>
      <c r="Q560" s="3" t="inlineStr">
        <is>
          <t>1. MK-XS-F-037 captureException
2. MK-XS-F-134 installGlobalHandler
3. MK-XS-F-133 loadSentry</t>
        </is>
      </c>
      <c r="R560" s="3" t="inlineStr">
        <is>
          <t>1. MK-XS-F-037 captureException → MK-XS-F-036 initCrashReporting
2. MK-XS-F-037 captureException → MK-XS-F-134 installGlobalHandler → MK-XS-F-036 initCrashReporting
3. MK-XS-F-133 loadSentry → MK-XS-F-036 initCrashReporting</t>
        </is>
      </c>
      <c r="S560" s="3" t="inlineStr">
        <is>
          <t>—</t>
        </is>
      </c>
      <c r="T560" s="3" t="inlineStr">
        <is>
          <t>—</t>
        </is>
      </c>
      <c r="U560" s="3" t="inlineStr">
        <is>
          <t>ACTIVE</t>
        </is>
      </c>
      <c r="V560" s="3" t="inlineStr">
        <is>
          <t>2026-08-27</t>
        </is>
      </c>
      <c r="W560" s="3" t="n"/>
      <c r="X560" s="3" t="n"/>
      <c r="Y560" s="3" t="inlineStr">
        <is>
          <t>NOTHING OPEN</t>
        </is>
      </c>
    </row>
    <row r="561" ht="30" customHeight="1">
      <c r="A561" s="3" t="inlineStr">
        <is>
          <t>MK-XS-F-037</t>
        </is>
      </c>
      <c r="B561" s="3" t="inlineStr">
        <is>
          <t>captureException</t>
        </is>
      </c>
      <c r="C561" s="3" t="inlineStr">
        <is>
          <t>src/services/crashReporter.ts</t>
        </is>
      </c>
      <c r="D561" s="3" t="n">
        <v>126</v>
      </c>
      <c r="E561" s="3" t="inlineStr">
        <is>
          <t>1 · ACTION</t>
        </is>
      </c>
      <c r="F561" s="3" t="inlineStr">
        <is>
          <t>Report a caught error.</t>
        </is>
      </c>
      <c r="G561" s="11" t="inlineStr">
        <is>
          <t>It records or announces something and returns no figure — no arithmetic of its own.</t>
        </is>
      </c>
      <c r="H561" s="3" t="inlineStr">
        <is>
          <t>It records or announces something and returns no figure — no arithmetic of its own.</t>
        </is>
      </c>
      <c r="I561" s="3" t="inlineStr">
        <is>
          <t>NO ARITHMETIC — there is no formula to state</t>
        </is>
      </c>
      <c r="J561" s="3" t="inlineStr">
        <is>
          <t>1. error: unknown
2. extra?: Extra</t>
        </is>
      </c>
      <c r="K561" s="3" t="inlineStr">
        <is>
          <t>void</t>
        </is>
      </c>
      <c r="L561" s="3" t="inlineStr">
        <is>
          <t>—</t>
        </is>
      </c>
      <c r="M561" s="3" t="inlineStr">
        <is>
          <t>None found in this function — anything it assumes comes from the functions it depends on.</t>
        </is>
      </c>
      <c r="N561" s="3" t="inlineStr">
        <is>
          <t>Yes</t>
        </is>
      </c>
      <c r="O561" s="3" t="inlineStr">
        <is>
          <t>—</t>
        </is>
      </c>
      <c r="P561" s="3" t="n">
        <v>0</v>
      </c>
      <c r="Q561" s="3" t="inlineStr">
        <is>
          <t>None — no dependent function stands behind it</t>
        </is>
      </c>
      <c r="R561" s="3" t="inlineStr">
        <is>
          <t>No dependent function — it reads its inputs and answers</t>
        </is>
      </c>
      <c r="S561" s="3" t="inlineStr">
        <is>
          <t>—</t>
        </is>
      </c>
      <c r="T561" s="3" t="inlineStr">
        <is>
          <t>—</t>
        </is>
      </c>
      <c r="U561" s="3" t="inlineStr">
        <is>
          <t>ACTIVE</t>
        </is>
      </c>
      <c r="V561" s="3" t="inlineStr">
        <is>
          <t>2026-08-27</t>
        </is>
      </c>
      <c r="W561" s="3" t="n"/>
      <c r="X561" s="3" t="n"/>
      <c r="Y561" s="3" t="inlineStr">
        <is>
          <t>NOTHING OPEN</t>
        </is>
      </c>
    </row>
    <row r="562" ht="30" customHeight="1">
      <c r="A562" s="3" t="inlineStr">
        <is>
          <t>MK-XS-F-038</t>
        </is>
      </c>
      <c r="B562" s="3" t="inlineStr">
        <is>
          <t>setUserScope</t>
        </is>
      </c>
      <c r="C562" s="3" t="inlineStr">
        <is>
          <t>src/services/crashReporter.ts</t>
        </is>
      </c>
      <c r="D562" s="3" t="n">
        <v>154</v>
      </c>
      <c r="E562" s="3" t="inlineStr">
        <is>
          <t>1 · ACTION</t>
        </is>
      </c>
      <c r="F562" s="3" t="inlineStr">
        <is>
          <t>Tag the current user on reports (call after login; pass null on logout).</t>
        </is>
      </c>
      <c r="G562" s="11" t="inlineStr">
        <is>
          <t>It records or announces something and returns no figure — no arithmetic of its own.</t>
        </is>
      </c>
      <c r="H562" s="3" t="inlineStr">
        <is>
          <t>It records or announces something and returns no figure — no arithmetic of its own.</t>
        </is>
      </c>
      <c r="I562" s="3" t="inlineStr">
        <is>
          <t>NO ARITHMETIC — there is no formula to state</t>
        </is>
      </c>
      <c r="J562" s="3" t="inlineStr">
        <is>
          <t>uid: string | null</t>
        </is>
      </c>
      <c r="K562" s="3" t="inlineStr">
        <is>
          <t>void</t>
        </is>
      </c>
      <c r="L562" s="3" t="inlineStr">
        <is>
          <t>—</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3" t="inlineStr">
        <is>
          <t>NOTHING OPEN</t>
        </is>
      </c>
    </row>
    <row r="563" ht="45" customHeight="1">
      <c r="A563" s="3" t="inlineStr">
        <is>
          <t>MK-XS-F-039</t>
        </is>
      </c>
      <c r="B563" s="3" t="inlineStr">
        <is>
          <t>crashReportingEnabled</t>
        </is>
      </c>
      <c r="C563" s="3" t="inlineStr">
        <is>
          <t>src/services/crashReporter.ts</t>
        </is>
      </c>
      <c r="D563" s="3" t="n">
        <v>180</v>
      </c>
      <c r="E563" s="3" t="inlineStr">
        <is>
          <t>3 · DEPENDENT (feeds an action only)</t>
        </is>
      </c>
      <c r="F563" s="3" t="inlineStr">
        <is>
          <t>Whether reports are actually shipping to Sentry (DSN + SDK present).</t>
        </is>
      </c>
      <c r="G563" s="11" t="inlineStr">
        <is>
          <t>enabled</t>
        </is>
      </c>
      <c r="H563" s="3" t="inlineStr">
        <is>
          <t>enabled.</t>
        </is>
      </c>
      <c r="I563" s="3" t="inlineStr">
        <is>
          <t>READ FROM THE CODE — rendered from the expressions the function runs</t>
        </is>
      </c>
      <c r="J563" s="3" t="inlineStr">
        <is>
          <t>Nothing is handed to it</t>
        </is>
      </c>
      <c r="K563" s="3" t="inlineStr">
        <is>
          <t>boolean</t>
        </is>
      </c>
      <c r="L563" s="3" t="inlineStr">
        <is>
          <t>—</t>
        </is>
      </c>
      <c r="M563" s="3" t="inlineStr">
        <is>
          <t>None found in this function — anything it assumes comes from the functions it depends on.</t>
        </is>
      </c>
      <c r="N563" s="3" t="inlineStr">
        <is>
          <t>No</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MK-XS-F-040</t>
        </is>
      </c>
      <c r="B564" s="3" t="inlineStr">
        <is>
          <t>sendTestReport</t>
        </is>
      </c>
      <c r="C564" s="3" t="inlineStr">
        <is>
          <t>src/services/crashReporter.ts</t>
        </is>
      </c>
      <c r="D564" s="3" t="n">
        <v>202</v>
      </c>
      <c r="E564" s="3" t="inlineStr">
        <is>
          <t>2 · DISPLAYED</t>
        </is>
      </c>
      <c r="F564" s="3" t="inlineStr">
        <is>
          <t>B-L2 verification: send a harmless test event so you can confirm wiring in the Sentry dashboard (works on the production/TestFlight build).</t>
        </is>
      </c>
      <c r="G564" s="11" t="inlineStr">
        <is>
          <t>enabled</t>
        </is>
      </c>
      <c r="H564" s="3" t="inlineStr">
        <is>
          <t>enabled.</t>
        </is>
      </c>
      <c r="I564" s="3" t="inlineStr">
        <is>
          <t>READ FROM THE CODE — rendered from the expressions the function runs</t>
        </is>
      </c>
      <c r="J564" s="3" t="inlineStr">
        <is>
          <t>Nothing is handed to it</t>
        </is>
      </c>
      <c r="K564" s="3" t="inlineStr">
        <is>
          <t>boolean</t>
        </is>
      </c>
      <c r="L564" s="3" t="inlineStr">
        <is>
          <t>"Hide balances" — on the Settings screen, under "Security"</t>
        </is>
      </c>
      <c r="M564" s="3" t="inlineStr">
        <is>
          <t>None found in this function — anything it assumes comes from the functions it depends on.</t>
        </is>
      </c>
      <c r="N564" s="3" t="inlineStr">
        <is>
          <t>Yes</t>
        </is>
      </c>
      <c r="O564" s="3" t="inlineStr">
        <is>
          <t>MK-XS-F-037 captureException</t>
        </is>
      </c>
      <c r="P564" s="3" t="n">
        <v>1</v>
      </c>
      <c r="Q564" s="3" t="inlineStr">
        <is>
          <t>MK-XS-F-037 captureException</t>
        </is>
      </c>
      <c r="R564" s="3" t="inlineStr">
        <is>
          <t>MK-XS-F-037 captureException → MK-XS-F-040 sendTestReport</t>
        </is>
      </c>
      <c r="S564" s="3" t="inlineStr">
        <is>
          <t>—</t>
        </is>
      </c>
      <c r="T564" s="3" t="inlineStr">
        <is>
          <t>—</t>
        </is>
      </c>
      <c r="U564" s="3" t="inlineStr">
        <is>
          <t>ACTIVE</t>
        </is>
      </c>
      <c r="V564" s="3" t="inlineStr">
        <is>
          <t>2026-08-27</t>
        </is>
      </c>
      <c r="W564" s="3" t="n"/>
      <c r="X564" s="3" t="n"/>
      <c r="Y564" s="3" t="inlineStr">
        <is>
          <t>NOTHING OPEN</t>
        </is>
      </c>
    </row>
    <row r="565" ht="45" customHeight="1">
      <c r="A565" s="3" t="inlineStr">
        <is>
          <t>MK-XS-F-041</t>
        </is>
      </c>
      <c r="B565" s="3" t="inlineStr">
        <is>
          <t>cacheDataKey</t>
        </is>
      </c>
      <c r="C565" s="3" t="inlineStr">
        <is>
          <t>src/services/dataCrypto.ts</t>
        </is>
      </c>
      <c r="D565" s="3" t="n">
        <v>122</v>
      </c>
      <c r="E565" s="3" t="inlineStr">
        <is>
          <t>1 · ACTION</t>
        </is>
      </c>
      <c r="F565" s="3" t="inlineStr">
        <is>
          <t>── DEK lifecycle (the cached, unwrapped key the sync layer uses) ───── Cache the unwrapped DEK (memory + keychain).</t>
        </is>
      </c>
      <c r="G565" s="11" t="inlineStr">
        <is>
          <t>keeps the data-encryption key in memory and in the device's secure store</t>
        </is>
      </c>
      <c r="H565" s="3" t="inlineStr">
        <is>
          <t>Stores the data-encryption key in memory and in the secure keychain. Not a calculation.</t>
        </is>
      </c>
      <c r="I565" s="3" t="inlineStr">
        <is>
          <t>READ BY HAND 2026-08-26 — checked line by line against the code</t>
        </is>
      </c>
      <c r="J565" s="3" t="inlineStr">
        <is>
          <t>dek: string</t>
        </is>
      </c>
      <c r="K565" s="3" t="inlineStr">
        <is>
          <t>Promise&lt;void&gt;</t>
        </is>
      </c>
      <c r="L565" s="3" t="inlineStr">
        <is>
          <t>—</t>
        </is>
      </c>
      <c r="M565" s="3" t="inlineStr">
        <is>
          <t>None found in this function — anything it assumes comes from the functions it depends on.</t>
        </is>
      </c>
      <c r="N565" s="3" t="inlineStr">
        <is>
          <t>Yes</t>
        </is>
      </c>
      <c r="O565" s="3" t="inlineStr">
        <is>
          <t>MK-XS-F-136 secureSet</t>
        </is>
      </c>
      <c r="P565" s="3" t="n">
        <v>1</v>
      </c>
      <c r="Q565" s="3" t="inlineStr">
        <is>
          <t>MK-XS-F-136 secureSet</t>
        </is>
      </c>
      <c r="R565" s="3" t="inlineStr">
        <is>
          <t>MK-XS-F-136 secureSet → MK-XS-F-041 cacheDataKey</t>
        </is>
      </c>
      <c r="S565" s="3" t="inlineStr">
        <is>
          <t>—</t>
        </is>
      </c>
      <c r="T565" s="3" t="inlineStr">
        <is>
          <t>—</t>
        </is>
      </c>
      <c r="U565" s="3" t="inlineStr">
        <is>
          <t>ACTIVE</t>
        </is>
      </c>
      <c r="V565" s="3" t="inlineStr">
        <is>
          <t>2026-09-12</t>
        </is>
      </c>
      <c r="W565" s="3" t="n"/>
      <c r="X565" s="3" t="n"/>
      <c r="Y565" s="3" t="inlineStr">
        <is>
          <t>NOTHING OPEN</t>
        </is>
      </c>
    </row>
    <row r="566" ht="45" customHeight="1">
      <c r="A566" s="3" t="inlineStr">
        <is>
          <t>MK-XS-F-042</t>
        </is>
      </c>
      <c r="B566" s="3" t="inlineStr">
        <is>
          <t>getDataKey</t>
        </is>
      </c>
      <c r="C566" s="3" t="inlineStr">
        <is>
          <t>src/services/dataCrypto.ts</t>
        </is>
      </c>
      <c r="D566" s="3" t="n">
        <v>150</v>
      </c>
      <c r="E566" s="3" t="inlineStr">
        <is>
          <t>3 · DEPENDENT</t>
        </is>
      </c>
      <c r="F566" s="3" t="inlineStr">
        <is>
          <t>The cached DEK (memory → keychain), or null if it hasn't been unwrapped on this install yet.</t>
        </is>
      </c>
      <c r="G566" s="11" t="inlineStr">
        <is>
          <t>cached key   when cached key
cached key</t>
        </is>
      </c>
      <c r="H566" s="3" t="inlineStr">
        <is>
          <t>When cached key, it answers cached key. cached key.</t>
        </is>
      </c>
      <c r="I566" s="3" t="inlineStr">
        <is>
          <t>READ FROM THE CODE — rendered from the expressions the function runs</t>
        </is>
      </c>
      <c r="J566" s="3" t="inlineStr">
        <is>
          <t>Nothing is handed to it</t>
        </is>
      </c>
      <c r="K566" s="3" t="inlineStr">
        <is>
          <t>Promise&lt;string | null&gt;</t>
        </is>
      </c>
      <c r="L566" s="3" t="inlineStr">
        <is>
          <t>—</t>
        </is>
      </c>
      <c r="M566" s="3" t="inlineStr">
        <is>
          <t>None found in this function — anything it assumes comes from the functions it depends on.</t>
        </is>
      </c>
      <c r="N566" s="3" t="inlineStr">
        <is>
          <t>Yes</t>
        </is>
      </c>
      <c r="O566" s="3" t="inlineStr">
        <is>
          <t>MK-XS-F-135 secureGet</t>
        </is>
      </c>
      <c r="P566" s="3" t="n">
        <v>1</v>
      </c>
      <c r="Q566" s="3" t="inlineStr">
        <is>
          <t>MK-XS-F-135 secureGet</t>
        </is>
      </c>
      <c r="R566" s="3" t="inlineStr">
        <is>
          <t>MK-XS-F-135 secureGet → MK-XS-F-042 getDataKey</t>
        </is>
      </c>
      <c r="S566" s="3" t="inlineStr">
        <is>
          <t>—</t>
        </is>
      </c>
      <c r="T566" s="3" t="inlineStr">
        <is>
          <t>—</t>
        </is>
      </c>
      <c r="U566" s="3" t="inlineStr">
        <is>
          <t>ACTIVE</t>
        </is>
      </c>
      <c r="V566" s="3" t="inlineStr">
        <is>
          <t>2026-08-27</t>
        </is>
      </c>
      <c r="W566" s="3" t="n"/>
      <c r="X566" s="3" t="n"/>
      <c r="Y566" s="3" t="inlineStr">
        <is>
          <t>NOTHING OPEN</t>
        </is>
      </c>
    </row>
    <row r="567" ht="45" customHeight="1">
      <c r="A567" s="3" t="inlineStr">
        <is>
          <t>MK-XS-F-043</t>
        </is>
      </c>
      <c r="B567" s="3" t="inlineStr">
        <is>
          <t>clearDataKey</t>
        </is>
      </c>
      <c r="C567" s="3" t="inlineStr">
        <is>
          <t>src/services/dataCrypto.ts</t>
        </is>
      </c>
      <c r="D567" s="3" t="n">
        <v>174</v>
      </c>
      <c r="E567" s="3" t="inlineStr">
        <is>
          <t>1 · ACTION</t>
        </is>
      </c>
      <c r="F567" s="3" t="inlineStr">
        <is>
          <t>Forget the DEK (on logout / account deletion).</t>
        </is>
      </c>
      <c r="G567" s="11" t="inlineStr">
        <is>
          <t>forgets the data-encryption key in memory and in the secure store</t>
        </is>
      </c>
      <c r="H567" s="3" t="inlineStr">
        <is>
          <t>Removes the data-encryption key from memory and the secure keychain — done at sign-out. Not a calculation.</t>
        </is>
      </c>
      <c r="I567" s="3" t="inlineStr">
        <is>
          <t>READ BY HAND 2026-08-26 — checked line by line against the code</t>
        </is>
      </c>
      <c r="J567" s="3" t="inlineStr">
        <is>
          <t>Nothing is handed to it</t>
        </is>
      </c>
      <c r="K567" s="3" t="inlineStr">
        <is>
          <t>Promise&lt;void&gt;</t>
        </is>
      </c>
      <c r="L567" s="3" t="inlineStr">
        <is>
          <t>—</t>
        </is>
      </c>
      <c r="M567" s="3" t="inlineStr">
        <is>
          <t>None found in this function — anything it assumes comes from the functions it depends on.</t>
        </is>
      </c>
      <c r="N567" s="3" t="inlineStr">
        <is>
          <t>Yes</t>
        </is>
      </c>
      <c r="O567" s="3" t="inlineStr">
        <is>
          <t>MK-XS-F-137 secureDelete</t>
        </is>
      </c>
      <c r="P567" s="3" t="n">
        <v>1</v>
      </c>
      <c r="Q567" s="3" t="inlineStr">
        <is>
          <t>MK-XS-F-137 secureDelete</t>
        </is>
      </c>
      <c r="R567" s="3" t="inlineStr">
        <is>
          <t>MK-XS-F-137 secureDelete → MK-XS-F-043 clearDataKey</t>
        </is>
      </c>
      <c r="S567" s="3" t="inlineStr">
        <is>
          <t>—</t>
        </is>
      </c>
      <c r="T567" s="3" t="inlineStr">
        <is>
          <t>—</t>
        </is>
      </c>
      <c r="U567" s="3" t="inlineStr">
        <is>
          <t>ACTIVE</t>
        </is>
      </c>
      <c r="V567" s="3" t="inlineStr">
        <is>
          <t>2026-09-12</t>
        </is>
      </c>
      <c r="W567" s="3" t="n"/>
      <c r="X567" s="3" t="n"/>
      <c r="Y567" s="3" t="inlineStr">
        <is>
          <t>NOTHING OPEN</t>
        </is>
      </c>
    </row>
    <row r="568" ht="45" customHeight="1">
      <c r="A568" s="3" t="inlineStr">
        <is>
          <t>MK-XS-F-044</t>
        </is>
      </c>
      <c r="B568" s="3" t="inlineStr">
        <is>
          <t>generateDataKey</t>
        </is>
      </c>
      <c r="C568" s="3" t="inlineStr">
        <is>
          <t>src/services/dataCrypto.ts</t>
        </is>
      </c>
      <c r="D568" s="3" t="n">
        <v>199</v>
      </c>
      <c r="E568" s="3" t="inlineStr">
        <is>
          <t>3 · DEPENDENT</t>
        </is>
      </c>
      <c r="F568" s="3" t="inlineStr">
        <is>
          <t>── Key generation ─────────────────────────────────────────────────── A fresh random 256-bit data key (hex).</t>
        </is>
      </c>
      <c r="G568" s="11" t="inlineStr">
        <is>
          <t>crypto js.lib.word array.random(32).to string(crypto js.enc.hex)</t>
        </is>
      </c>
      <c r="H568" s="3" t="inlineStr">
        <is>
          <t>crypto js.lib.word array.random(32).to string(crypto js.enc.hex).</t>
        </is>
      </c>
      <c r="I568" s="3" t="inlineStr">
        <is>
          <t>PARTLY READ — some of the code is still showing through; needs a hand pass</t>
        </is>
      </c>
      <c r="J568" s="3" t="inlineStr">
        <is>
          <t>Nothing is handed to it</t>
        </is>
      </c>
      <c r="K568" s="3" t="inlineStr">
        <is>
          <t>string</t>
        </is>
      </c>
      <c r="L568" s="3" t="inlineStr">
        <is>
          <t>—</t>
        </is>
      </c>
      <c r="M568" s="3" t="inlineStr">
        <is>
          <t>None found in this function — anything it assumes comes from the functions it depends on.</t>
        </is>
      </c>
      <c r="N568" s="3" t="inlineStr">
        <is>
          <t>Yes</t>
        </is>
      </c>
      <c r="O568" s="3" t="inlineStr">
        <is>
          <t>—</t>
        </is>
      </c>
      <c r="P568" s="3" t="n">
        <v>0</v>
      </c>
      <c r="Q568" s="3" t="inlineStr">
        <is>
          <t>None — no dependent function stands behind it</t>
        </is>
      </c>
      <c r="R568" s="3" t="inlineStr">
        <is>
          <t>No dependent function — it reads its inputs and answers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MK-XS-F-045</t>
        </is>
      </c>
      <c r="B569" s="3" t="inlineStr">
        <is>
          <t>generateRecoveryCode</t>
        </is>
      </c>
      <c r="C569" s="3" t="inlineStr">
        <is>
          <t>src/services/dataCrypto.ts</t>
        </is>
      </c>
      <c r="D569" s="3" t="n">
        <v>227</v>
      </c>
      <c r="E569" s="3" t="inlineStr">
        <is>
          <t>3 · DEPENDENT</t>
        </is>
      </c>
      <c r="F569" s="3" t="inlineStr">
        <is>
          <t>A human-friendly recovery code, e.g.</t>
        </is>
      </c>
      <c r="G569" s="11" t="inlineStr">
        <is>
          <t>bytes = crypto js.lib.word array.random(20)
words = bytes.words
out = ''
byte = (words[i &gt;&gt;&gt; 2] &gt;&gt;&gt; (24 − (i % 4) × 8)) &amp; 0xff
the answer = (out.match( ÷ .{1,4} ÷ g) as string[]).join('-')</t>
        </is>
      </c>
      <c r="H569" s="3" t="inlineStr">
        <is>
          <t>Bytes is crypto js.lib.word array.random(20). Words is bytes.words. Out is ''. Byte is (words[i &gt;&gt;&gt; 2] &gt;&gt;&gt; (24 minus (i % 4) times 8)) &amp; 0xff. The answer is (out.match( divided by .{1,4} divided by g) as string[]).join('-').</t>
        </is>
      </c>
      <c r="I569" s="3" t="inlineStr">
        <is>
          <t>PARTLY READ — some of the code is still showing through; needs a hand pass</t>
        </is>
      </c>
      <c r="J569" s="3" t="inlineStr">
        <is>
          <t>Nothing is handed to it</t>
        </is>
      </c>
      <c r="K569" s="3" t="inlineStr">
        <is>
          <t>string</t>
        </is>
      </c>
      <c r="L569" s="3" t="inlineStr">
        <is>
          <t>—</t>
        </is>
      </c>
      <c r="M569" s="3" t="inlineStr">
        <is>
          <t>None found in this function — anything it assumes comes from the functions it depends on.</t>
        </is>
      </c>
      <c r="N569" s="3" t="inlineStr">
        <is>
          <t>Yes</t>
        </is>
      </c>
      <c r="O569" s="3" t="inlineStr">
        <is>
          <t>—</t>
        </is>
      </c>
      <c r="P569" s="3" t="n">
        <v>0</v>
      </c>
      <c r="Q569" s="3" t="inlineStr">
        <is>
          <t>None — no dependent function stands behind it</t>
        </is>
      </c>
      <c r="R569" s="3" t="inlineStr">
        <is>
          <t>No dependent function — it reads its inputs and answers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MK-XS-F-046</t>
        </is>
      </c>
      <c r="B570" s="3" t="inlineStr">
        <is>
          <t>makeEnvelope</t>
        </is>
      </c>
      <c r="C570" s="3" t="inlineStr">
        <is>
          <t>src/services/dataCrypto.ts</t>
        </is>
      </c>
      <c r="D570" s="3" t="n">
        <v>310</v>
      </c>
      <c r="E570" s="3" t="inlineStr">
        <is>
          <t>3 · DEPENDENT</t>
        </is>
      </c>
      <c r="F570" s="3" t="inlineStr">
        <is>
          <t>Build the stored envelope: the DEK locked by both the password and the recovery code.</t>
        </is>
      </c>
      <c r="G570" s="11" t="inlineStr">
        <is>
          <t>p = wrap with secret(dek, uid, password)
r = wrap with secret(dek, uid, recovery code)</t>
        </is>
      </c>
      <c r="H570" s="3" t="inlineStr">
        <is>
          <t>p = wrap with secret(dek, uid, password); r = wrap with secret(dek, uid, recovery code).</t>
        </is>
      </c>
      <c r="I570" s="3" t="inlineStr">
        <is>
          <t>READ FROM THE CODE — rendered from the expressions the function runs</t>
        </is>
      </c>
      <c r="J570" s="3" t="inlineStr">
        <is>
          <t>1. dek: string
2. uid: string
3. password: string
4. recoveryCode: string</t>
        </is>
      </c>
      <c r="K570" s="3" t="inlineStr">
        <is>
          <t>KeyEnvelope</t>
        </is>
      </c>
      <c r="L570" s="3" t="inlineStr">
        <is>
          <t>—</t>
        </is>
      </c>
      <c r="M570" s="3" t="inlineStr">
        <is>
          <t>None found in this function — anything it assumes comes from the functions it depends on.</t>
        </is>
      </c>
      <c r="N570" s="3" t="inlineStr">
        <is>
          <t>Yes</t>
        </is>
      </c>
      <c r="O570" s="3" t="inlineStr">
        <is>
          <t>1. MK-XS-F-175 uid
2. MK-XS-F-139 wrapWithSecret</t>
        </is>
      </c>
      <c r="P570" s="3" t="n">
        <v>83</v>
      </c>
      <c r="Q570"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0"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70" s="3" t="inlineStr">
        <is>
          <t>—</t>
        </is>
      </c>
      <c r="T570" s="3" t="inlineStr">
        <is>
          <t>—</t>
        </is>
      </c>
      <c r="U570" s="3" t="inlineStr">
        <is>
          <t>ACTIVE</t>
        </is>
      </c>
      <c r="V570" s="3" t="inlineStr">
        <is>
          <t>2026-08-27</t>
        </is>
      </c>
      <c r="W570" s="3" t="n"/>
      <c r="X570" s="3" t="n"/>
      <c r="Y570" s="3" t="inlineStr">
        <is>
          <t>NOTHING OPEN</t>
        </is>
      </c>
    </row>
    <row r="571" ht="60" customHeight="1">
      <c r="A571" s="3" t="inlineStr">
        <is>
          <t>MK-XS-F-047</t>
        </is>
      </c>
      <c r="B571" s="3" t="inlineStr">
        <is>
          <t>unwrapWithPassword</t>
        </is>
      </c>
      <c r="C571" s="3" t="inlineStr">
        <is>
          <t>src/services/dataCrypto.ts</t>
        </is>
      </c>
      <c r="D571" s="3" t="n">
        <v>333</v>
      </c>
      <c r="E571" s="3" t="inlineStr">
        <is>
          <t>3 · DEPENDENT</t>
        </is>
      </c>
      <c r="F571" s="3" t="inlineStr">
        <is>
          <t>Unlock the DEK with the password (null if the password is wrong / was reset).</t>
        </is>
      </c>
      <c r="G571" s="11" t="inlineStr">
        <is>
          <t>decrypt with key(env.p, derive key from secret(password, uid))   if env.p
nothing   otherwise</t>
        </is>
      </c>
      <c r="H571" s="3" t="inlineStr">
        <is>
          <t>decrypt with key(env.p, derive key from secret(password, uid)) — when env.p; no answer — otherwise.</t>
        </is>
      </c>
      <c r="I571" s="3" t="inlineStr">
        <is>
          <t>READ FROM THE CODE — rendered from the expressions the function runs</t>
        </is>
      </c>
      <c r="J571" s="3" t="inlineStr">
        <is>
          <t>1. env: KeyEnvelope
2. uid: string
3. password: string</t>
        </is>
      </c>
      <c r="K571" s="3" t="inlineStr">
        <is>
          <t>string | null</t>
        </is>
      </c>
      <c r="L571" s="3" t="inlineStr">
        <is>
          <t>—</t>
        </is>
      </c>
      <c r="M571" s="3" t="inlineStr">
        <is>
          <t>None found in this function — anything it assumes comes from the functions it depends on.</t>
        </is>
      </c>
      <c r="N571" s="3" t="inlineStr">
        <is>
          <t>Yes</t>
        </is>
      </c>
      <c r="O571" s="3" t="inlineStr">
        <is>
          <t>1. MK-XS-F-053 decryptWithKey
2. MK-XS-F-138 deriveKeyFromSecret
3. MK-XS-F-175 uid</t>
        </is>
      </c>
      <c r="P571" s="3" t="n">
        <v>83</v>
      </c>
      <c r="Q571"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1"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MK-XS-F-048</t>
        </is>
      </c>
      <c r="B572" s="3" t="inlineStr">
        <is>
          <t>unwrapWithRecovery</t>
        </is>
      </c>
      <c r="C572" s="3" t="inlineStr">
        <is>
          <t>src/services/dataCrypto.ts</t>
        </is>
      </c>
      <c r="D572" s="3" t="n">
        <v>356</v>
      </c>
      <c r="E572" s="3" t="inlineStr">
        <is>
          <t>3 · DEPENDENT</t>
        </is>
      </c>
      <c r="F572" s="3" t="inlineStr">
        <is>
          <t>Unlock the DEK with the recovery code (null if the code is wrong).</t>
        </is>
      </c>
      <c r="G572" s="11" t="inlineStr">
        <is>
          <t>decrypt with key(env.r, derive key from secret(recovery code, uid))   if env.r
nothing   otherwise</t>
        </is>
      </c>
      <c r="H572" s="3" t="inlineStr">
        <is>
          <t>decrypt with key(env.r, derive key from secret(recovery code, uid)) — when env.r; no answer — otherwise.</t>
        </is>
      </c>
      <c r="I572" s="3" t="inlineStr">
        <is>
          <t>READ FROM THE CODE — rendered from the expressions the function runs</t>
        </is>
      </c>
      <c r="J572" s="3" t="inlineStr">
        <is>
          <t>1. env: KeyEnvelope
2. uid: string
3. recoveryCode: string</t>
        </is>
      </c>
      <c r="K572" s="3" t="inlineStr">
        <is>
          <t>string | null</t>
        </is>
      </c>
      <c r="L572" s="3" t="inlineStr">
        <is>
          <t>—</t>
        </is>
      </c>
      <c r="M572" s="3" t="inlineStr">
        <is>
          <t>None found in this function — anything it assumes comes from the functions it depends on.</t>
        </is>
      </c>
      <c r="N572" s="3" t="inlineStr">
        <is>
          <t>Yes</t>
        </is>
      </c>
      <c r="O572" s="3" t="inlineStr">
        <is>
          <t>1. MK-XS-F-053 decryptWithKey
2. MK-XS-F-138 deriveKeyFromSecret
3. MK-XS-F-175 uid</t>
        </is>
      </c>
      <c r="P572" s="3" t="n">
        <v>83</v>
      </c>
      <c r="Q57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2"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MK-XS-F-049</t>
        </is>
      </c>
      <c r="B573" s="3" t="inlineStr">
        <is>
          <t>rewrapPassword</t>
        </is>
      </c>
      <c r="C573" s="3" t="inlineStr">
        <is>
          <t>src/services/dataCrypto.ts</t>
        </is>
      </c>
      <c r="D573" s="3" t="n">
        <v>379</v>
      </c>
      <c r="E573" s="3" t="inlineStr">
        <is>
          <t>3 · DEPENDENT</t>
        </is>
      </c>
      <c r="F573" s="3" t="inlineStr">
        <is>
          <t>Re-lock an existing envelope's password copy under a new password (after a recovery-code restore).</t>
        </is>
      </c>
      <c r="G573" s="11" t="inlineStr">
        <is>
          <t>...env = ...env
p = wrap with secret(dek, uid, new password)</t>
        </is>
      </c>
      <c r="H573" s="3" t="inlineStr">
        <is>
          <t>...env = ...env; p = wrap with secret(dek, uid, new password).</t>
        </is>
      </c>
      <c r="I573" s="3" t="inlineStr">
        <is>
          <t>PARTLY READ — some of the code is still showing through; needs a hand pass</t>
        </is>
      </c>
      <c r="J573" s="3" t="inlineStr">
        <is>
          <t>1. env: KeyEnvelope
2. dek: string
3. uid: string
4. newPassword: string</t>
        </is>
      </c>
      <c r="K573" s="3" t="inlineStr">
        <is>
          <t>KeyEnvelope</t>
        </is>
      </c>
      <c r="L573" s="3" t="inlineStr">
        <is>
          <t>—</t>
        </is>
      </c>
      <c r="M573" s="3" t="inlineStr">
        <is>
          <t>None found in this function — anything it assumes comes from the functions it depends on.</t>
        </is>
      </c>
      <c r="N573" s="3" t="inlineStr">
        <is>
          <t>Yes</t>
        </is>
      </c>
      <c r="O573" s="3" t="inlineStr">
        <is>
          <t>1. MK-XS-F-175 uid
2. MK-XS-F-139 wrapWithSecret</t>
        </is>
      </c>
      <c r="P573" s="3" t="n">
        <v>83</v>
      </c>
      <c r="Q573"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3"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73" s="3" t="inlineStr">
        <is>
          <t>—</t>
        </is>
      </c>
      <c r="T573" s="3" t="inlineStr">
        <is>
          <t>—</t>
        </is>
      </c>
      <c r="U573" s="3" t="inlineStr">
        <is>
          <t>ACTIVE</t>
        </is>
      </c>
      <c r="V573" s="3" t="inlineStr">
        <is>
          <t>2026-08-27</t>
        </is>
      </c>
      <c r="W573" s="3" t="n"/>
      <c r="X573" s="3" t="n"/>
      <c r="Y573" s="3" t="inlineStr">
        <is>
          <t>NOTHING OPEN</t>
        </is>
      </c>
    </row>
    <row r="574" ht="60" customHeight="1">
      <c r="A574" s="3" t="inlineStr">
        <is>
          <t>MK-XS-F-050</t>
        </is>
      </c>
      <c r="B574" s="3" t="inlineStr">
        <is>
          <t>rewrapRecovery</t>
        </is>
      </c>
      <c r="C574" s="3" t="inlineStr">
        <is>
          <t>src/services/dataCrypto.ts</t>
        </is>
      </c>
      <c r="D574" s="3" t="n">
        <v>402</v>
      </c>
      <c r="E574" s="3" t="inlineStr">
        <is>
          <t>3 · DEPENDENT</t>
        </is>
      </c>
      <c r="F574" s="3" t="inlineStr">
        <is>
          <t>Replace an envelope's recovery copy with a new recovery code (rotate the code).</t>
        </is>
      </c>
      <c r="G574" s="11" t="inlineStr">
        <is>
          <t>...env = ...env
r = wrap with secret(dek, uid, recovery code)</t>
        </is>
      </c>
      <c r="H574" s="3" t="inlineStr">
        <is>
          <t>...env = ...env; r = wrap with secret(dek, uid, recovery code).</t>
        </is>
      </c>
      <c r="I574" s="3" t="inlineStr">
        <is>
          <t>READ FROM THE CODE — rendered from the expressions the function runs</t>
        </is>
      </c>
      <c r="J574" s="3" t="inlineStr">
        <is>
          <t>1. env: KeyEnvelope
2. dek: string
3. uid: string
4. recoveryCode: string</t>
        </is>
      </c>
      <c r="K574" s="3" t="inlineStr">
        <is>
          <t>KeyEnvelope</t>
        </is>
      </c>
      <c r="L574" s="3" t="inlineStr">
        <is>
          <t>—</t>
        </is>
      </c>
      <c r="M574" s="3" t="inlineStr">
        <is>
          <t>None found in this function — anything it assumes comes from the functions it depends on.</t>
        </is>
      </c>
      <c r="N574" s="3" t="inlineStr">
        <is>
          <t>Yes</t>
        </is>
      </c>
      <c r="O574" s="3" t="inlineStr">
        <is>
          <t>1. MK-XS-F-175 uid
2. MK-XS-F-139 wrapWithSecret</t>
        </is>
      </c>
      <c r="P574" s="3" t="n">
        <v>83</v>
      </c>
      <c r="Q574" s="3" t="inlineStr">
        <is>
          <t>1. MK-XS-F-175 uid
2. MK-XS-F-139 wrapWithSecret
3. MK-ST-F-027 accountId
4. MK-CF-F-111 applyTransaction
5. MK-NW-F-040 assetsFromOnboarding
6. MK-PF-F-013 benchmarkTicker
7. MK-ST-F-028 buildDayFromAccounts
8. MK-PF-F-034 closeOnOrBefore
9. MK-CF-F-186 convertTakeHomeMode
10. MK-CF-F-038 debtsFromOnboarding
11. MK-XS-F-083 fetchPriceSeries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MK-XS-F-138 deriveKeyFromSecret
30. MK-XS-F-052 encryptWithKey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MK-ST-F-039 on
75. MK-CF-F-100 taxableIncomeFor
76. MK-ST-F-034 firstDate
77. MK-XS-F-147 call
78. MK-CF-F-075 retirementIncomeMonthly
79. MK-ST-F-047 activeCurrency
80. MK-CF-F-099 deductionFor
81. MK-XS-F-064 currentIdToken
82. MK-XS-F-112 relayUrl
83. MK-CF-F-187 seniorDeductionFor</t>
        </is>
      </c>
      <c r="R574"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74" s="3" t="inlineStr">
        <is>
          <t>—</t>
        </is>
      </c>
      <c r="T574" s="3" t="inlineStr">
        <is>
          <t>—</t>
        </is>
      </c>
      <c r="U574" s="3" t="inlineStr">
        <is>
          <t>ACTIVE</t>
        </is>
      </c>
      <c r="V574" s="3" t="inlineStr">
        <is>
          <t>2026-08-27</t>
        </is>
      </c>
      <c r="W574" s="3" t="n"/>
      <c r="X574" s="3" t="n"/>
      <c r="Y574" s="3" t="inlineStr">
        <is>
          <t>NOTHING OPEN</t>
        </is>
      </c>
    </row>
    <row r="575" ht="45" customHeight="1">
      <c r="A575" s="3" t="inlineStr">
        <is>
          <t>MK-XS-F-051</t>
        </is>
      </c>
      <c r="B575" s="3" t="inlineStr">
        <is>
          <t>isEncrypted</t>
        </is>
      </c>
      <c r="C575" s="3" t="inlineStr">
        <is>
          <t>src/services/dataCrypto.ts</t>
        </is>
      </c>
      <c r="D575" s="3" t="n">
        <v>429</v>
      </c>
      <c r="E575" s="3" t="inlineStr">
        <is>
          <t>3 · DEPENDENT</t>
        </is>
      </c>
      <c r="F575" s="3" t="inlineStr">
        <is>
          <t>── Low-level AES helpers (also used to wrap the DEK) ─────────────────</t>
        </is>
      </c>
      <c r="G575" s="11" t="inlineStr">
        <is>
          <t>typeof v = 'string' and (v as string).starts with(PREFIX)</t>
        </is>
      </c>
      <c r="H575" s="3" t="inlineStr">
        <is>
          <t>typeof v = 'string' and (v as string).starts with(PREFIX).</t>
        </is>
      </c>
      <c r="I575" s="3" t="inlineStr">
        <is>
          <t>PARTLY READ — some of the code is still showing through; needs a hand pass</t>
        </is>
      </c>
      <c r="J575" s="3" t="inlineStr">
        <is>
          <t>v: unknown</t>
        </is>
      </c>
      <c r="K575" s="3" t="inlineStr">
        <is>
          <t>boolean</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60" customHeight="1">
      <c r="A576" s="3" t="inlineStr">
        <is>
          <t>MK-XS-F-052</t>
        </is>
      </c>
      <c r="B576" s="3" t="inlineStr">
        <is>
          <t>encryptWithKey</t>
        </is>
      </c>
      <c r="C576" s="3" t="inlineStr">
        <is>
          <t>src/services/dataCrypto.ts</t>
        </is>
      </c>
      <c r="D576" s="3" t="n">
        <v>454</v>
      </c>
      <c r="E576" s="3" t="inlineStr">
        <is>
          <t>3 · DEPENDENT</t>
        </is>
      </c>
      <c r="F576" s="3" t="inlineStr">
        <is>
          <t>NOT DETERMINED — the code carries no note saying what this is for, and it has no row in the old inventory. Needs reading.</t>
        </is>
      </c>
      <c r="G576" s="11" t="inlineStr">
        <is>
          <t>PREFIX + crypto js.AES.encrypt(JSON.stringify(obj), key hex).to string()</t>
        </is>
      </c>
      <c r="H576" s="3" t="inlineStr">
        <is>
          <t>PREFIX plus crypto js.AES.encrypt(JSON.stringify(obj), key hex).to string().</t>
        </is>
      </c>
      <c r="I576" s="3" t="inlineStr">
        <is>
          <t>PARTLY READ — some of the code is still showing through; needs a hand pass</t>
        </is>
      </c>
      <c r="J576" s="3" t="inlineStr">
        <is>
          <t>1. obj: unknown
2. keyHex: string</t>
        </is>
      </c>
      <c r="K576" s="3" t="inlineStr">
        <is>
          <t>string</t>
        </is>
      </c>
      <c r="L576" s="3" t="inlineStr">
        <is>
          <t>—</t>
        </is>
      </c>
      <c r="M576" s="3" t="inlineStr">
        <is>
          <t>None found in this function — anything it assumes comes from the functions it depends on.</t>
        </is>
      </c>
      <c r="N576" s="3" t="inlineStr">
        <is>
          <t>Yes</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MK-XS-F-053</t>
        </is>
      </c>
      <c r="B577" s="3" t="inlineStr">
        <is>
          <t>decryptWithKey</t>
        </is>
      </c>
      <c r="C577" s="3" t="inlineStr">
        <is>
          <t>src/services/dataCrypto.ts</t>
        </is>
      </c>
      <c r="D577" s="3" t="n">
        <v>485</v>
      </c>
      <c r="E577" s="3" t="inlineStr">
        <is>
          <t>3 · DEPENDENT</t>
        </is>
      </c>
      <c r="F577" s="3" t="inlineStr">
        <is>
          <t>Decrypt an 'enc:'-tagged blob.</t>
        </is>
      </c>
      <c r="G577" s="11" t="inlineStr">
        <is>
          <t>nothing   when !is encrypted(blob)
plain = crypto js.AES.decrypt(blob.slice(PREFIX.length), key hex).to string(crypto js.enc.utf8)
the answer:
JSON.parse(plain)   if plain
nothing   otherwise</t>
        </is>
      </c>
      <c r="H577" s="3" t="inlineStr">
        <is>
          <t>When !is encrypted(blob), it answers no answer. Plain is crypto js.AES.decrypt(blob.slice(PREFIX.length), key hex).to string(crypto js.enc.utf8). The answer is JSON.parse(plain) — when plain; no answer — otherwise.</t>
        </is>
      </c>
      <c r="I577" s="3" t="inlineStr">
        <is>
          <t>PARTLY READ — some of the code is still showing through; needs a hand pass</t>
        </is>
      </c>
      <c r="J577" s="3" t="inlineStr">
        <is>
          <t>1. blob: string
2. keyHex: string</t>
        </is>
      </c>
      <c r="K577" s="3" t="inlineStr">
        <is>
          <t>any | null</t>
        </is>
      </c>
      <c r="L577" s="3" t="inlineStr">
        <is>
          <t>—</t>
        </is>
      </c>
      <c r="M577" s="3" t="inlineStr">
        <is>
          <t>None found in this function — anything it assumes comes from the functions it depends on.</t>
        </is>
      </c>
      <c r="N577" s="3" t="inlineStr">
        <is>
          <t>Yes</t>
        </is>
      </c>
      <c r="O577" s="3" t="inlineStr">
        <is>
          <t>MK-XS-F-051 isEncrypted</t>
        </is>
      </c>
      <c r="P577" s="3" t="n">
        <v>1</v>
      </c>
      <c r="Q577" s="3" t="inlineStr">
        <is>
          <t>MK-XS-F-051 isEncrypted</t>
        </is>
      </c>
      <c r="R577" s="3" t="inlineStr">
        <is>
          <t>MK-XS-F-051 isEncrypted → MK-XS-F-053 decryptWithKey</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MK-XS-F-054</t>
        </is>
      </c>
      <c r="B578" s="3" t="inlineStr">
        <is>
          <t>encryptForSync</t>
        </is>
      </c>
      <c r="C578" s="3" t="inlineStr">
        <is>
          <t>src/services/dataCrypto.ts</t>
        </is>
      </c>
      <c r="D578" s="3" t="n">
        <v>519</v>
      </c>
      <c r="E578" s="3" t="inlineStr">
        <is>
          <t>3 · DEPENDENT</t>
        </is>
      </c>
      <c r="F578" s="3" t="inlineStr">
        <is>
          <t>── The sync layer's interface (operates on the cached DEK) ─────────── Encrypt a payload with the cached DEK.</t>
        </is>
      </c>
      <c r="G578" s="11" t="inlineStr">
        <is>
          <t>key = await get data key()
the answer:
encrypt with key(obj, key)   if key
nothing   otherwise</t>
        </is>
      </c>
      <c r="H578" s="3" t="inlineStr">
        <is>
          <t>Key is await get data key(). The answer is encrypt with key(obj, key) — when key; no answer — otherwise.</t>
        </is>
      </c>
      <c r="I578" s="3" t="inlineStr">
        <is>
          <t>READ FROM THE CODE — rendered from the expressions the function runs</t>
        </is>
      </c>
      <c r="J578" s="3" t="inlineStr">
        <is>
          <t>obj: unknown</t>
        </is>
      </c>
      <c r="K578" s="3" t="inlineStr">
        <is>
          <t>Promise&lt;string | null&gt;</t>
        </is>
      </c>
      <c r="L578" s="3" t="inlineStr">
        <is>
          <t>—</t>
        </is>
      </c>
      <c r="M578" s="3" t="inlineStr">
        <is>
          <t>None found in this function — anything it assumes comes from the functions it depends on.</t>
        </is>
      </c>
      <c r="N578" s="3" t="inlineStr">
        <is>
          <t>Yes</t>
        </is>
      </c>
      <c r="O578" s="3" t="inlineStr">
        <is>
          <t>1. MK-XS-F-052 encryptWithKey
2. MK-XS-F-042 getDataKey</t>
        </is>
      </c>
      <c r="P578" s="3" t="n">
        <v>3</v>
      </c>
      <c r="Q578" s="3" t="inlineStr">
        <is>
          <t>1. MK-XS-F-052 encryptWithKey
2. MK-XS-F-042 getDataKey
3. MK-XS-F-135 secureGet</t>
        </is>
      </c>
      <c r="R578" s="3" t="inlineStr">
        <is>
          <t>1. MK-XS-F-052 encryptWithKey → MK-XS-F-054 encryptForSync
2. MK-XS-F-135 secureGet → MK-XS-F-042 getDataKey → MK-XS-F-054 encryptForSync</t>
        </is>
      </c>
      <c r="S578" s="3" t="inlineStr">
        <is>
          <t>—</t>
        </is>
      </c>
      <c r="T578" s="3" t="inlineStr">
        <is>
          <t>—</t>
        </is>
      </c>
      <c r="U578" s="3" t="inlineStr">
        <is>
          <t>ACTIVE</t>
        </is>
      </c>
      <c r="V578" s="3" t="inlineStr">
        <is>
          <t>2026-08-27</t>
        </is>
      </c>
      <c r="W578" s="3" t="n"/>
      <c r="X578" s="3" t="n"/>
      <c r="Y578" s="3" t="inlineStr">
        <is>
          <t>NOTHING OPEN</t>
        </is>
      </c>
    </row>
    <row r="579" ht="60" customHeight="1">
      <c r="A579" s="3" t="inlineStr">
        <is>
          <t>MK-XS-F-055</t>
        </is>
      </c>
      <c r="B579" s="3" t="inlineStr">
        <is>
          <t>decryptFromSync</t>
        </is>
      </c>
      <c r="C579" s="3" t="inlineStr">
        <is>
          <t>src/services/dataCrypto.ts</t>
        </is>
      </c>
      <c r="D579" s="3" t="n">
        <v>549</v>
      </c>
      <c r="E579" s="3" t="inlineStr">
        <is>
          <t>3 · DEPENDENT</t>
        </is>
      </c>
      <c r="F579" s="3" t="inlineStr">
        <is>
          <t>Decrypt a synced value: ciphertext → object; legacy plaintext object → returned as-is; null if it's ciphertext we can't decrypt (no key).</t>
        </is>
      </c>
      <c r="G579" s="11" t="inlineStr">
        <is>
          <t>nothing   when value = nothing
value   when !is encrypted(value)
key = await get data key()
the answer:
decrypt with key(value as string, key)   if key
nothing   otherwise</t>
        </is>
      </c>
      <c r="H579" s="3" t="inlineStr">
        <is>
          <t>When value is missing, it answers no answer. When !is encrypted(value), it answers value. Key is await get data key(). The answer is decrypt with key(value as string, key) — when key; no answer — otherwise.</t>
        </is>
      </c>
      <c r="I579" s="3" t="inlineStr">
        <is>
          <t>READ FROM THE CODE — rendered from the expressions the function runs</t>
        </is>
      </c>
      <c r="J579" s="3" t="inlineStr">
        <is>
          <t>value: unknown</t>
        </is>
      </c>
      <c r="K579" s="3" t="inlineStr">
        <is>
          <t>Promise&lt;any | null&gt;</t>
        </is>
      </c>
      <c r="L579" s="3" t="inlineStr">
        <is>
          <t>—</t>
        </is>
      </c>
      <c r="M579" s="3" t="inlineStr">
        <is>
          <t>None found in this function — anything it assumes comes from the functions it depends on.</t>
        </is>
      </c>
      <c r="N579" s="3" t="inlineStr">
        <is>
          <t>Yes</t>
        </is>
      </c>
      <c r="O579" s="3" t="inlineStr">
        <is>
          <t>1. MK-XS-F-053 decryptWithKey
2. MK-XS-F-042 getDataKey
3. MK-XS-F-051 isEncrypted</t>
        </is>
      </c>
      <c r="P579" s="3" t="n">
        <v>4</v>
      </c>
      <c r="Q579" s="3" t="inlineStr">
        <is>
          <t>1. MK-XS-F-053 decryptWithKey
2. MK-XS-F-042 getDataKey
3. MK-XS-F-051 isEncrypted
4. MK-XS-F-135 secureGet</t>
        </is>
      </c>
      <c r="R579" s="3" t="inlineStr">
        <is>
          <t>1. MK-XS-F-051 isEncrypted → MK-XS-F-053 decryptWithKey → MK-XS-F-055 decryptFromSync
2. MK-XS-F-135 secureGet → MK-XS-F-042 getDataKey → MK-XS-F-055 decryptFromSync
3. MK-XS-F-051 isEncrypted → MK-XS-F-055 decryptFromSync</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MK-XS-F-056</t>
        </is>
      </c>
      <c r="B580" s="3" t="inlineStr">
        <is>
          <t>fetchEconomicData</t>
        </is>
      </c>
      <c r="C580" s="3" t="inlineStr">
        <is>
          <t>src/services/economicData.ts</t>
        </is>
      </c>
      <c r="D580" s="3" t="n">
        <v>69</v>
      </c>
      <c r="E580" s="3" t="inlineStr">
        <is>
          <t>3 · DEPENDENT (feeds an action only)</t>
        </is>
      </c>
      <c r="F580" s="3" t="inlineStr">
        <is>
          <t>What are inflation and the 10-year Treasury yield?</t>
        </is>
      </c>
      <c r="G580" s="11" t="inlineStr">
        <is>
          <t>inflation rate = the fetched figure, or the fallback when the fetch failed
treasury yield = the fetched figure, or the fallback when the fetch failed
fetched at = now; each fallback flagged</t>
        </is>
      </c>
      <c r="H580" s="3" t="inlineStr">
        <is>
          <t>Fetches the inflation rate and the ten-year Treasury yield; when either fetch fails its fallback is used and FLAGGED as a fallback, never passed off as live.</t>
        </is>
      </c>
      <c r="I580" s="3" t="inlineStr">
        <is>
          <t>READ BY HAND 2026-08-26 — checked line by line against the code</t>
        </is>
      </c>
      <c r="J580" s="3" t="inlineStr">
        <is>
          <t>Nothing is handed to it</t>
        </is>
      </c>
      <c r="K580" s="3" t="inlineStr">
        <is>
          <t>Promise&lt;EconomicData&gt;</t>
        </is>
      </c>
      <c r="L580" s="3" t="inlineStr">
        <is>
          <t>—</t>
        </is>
      </c>
      <c r="M580" s="3" t="inlineStr">
        <is>
          <t>· Uses today's date from the device clock, so the answer changes by itself overnight.</t>
        </is>
      </c>
      <c r="N580" s="3" t="inlineStr">
        <is>
          <t>No</t>
        </is>
      </c>
      <c r="O580" s="3" t="inlineStr">
        <is>
          <t>1. MK-XS-F-140 fetchInflation
2. MK-XS-F-141 fetchTreasuryYield</t>
        </is>
      </c>
      <c r="P580" s="3" t="n">
        <v>2</v>
      </c>
      <c r="Q580" s="3" t="inlineStr">
        <is>
          <t>1. MK-XS-F-140 fetchInflation
2. MK-XS-F-141 fetchTreasuryYield</t>
        </is>
      </c>
      <c r="R580" s="3" t="inlineStr">
        <is>
          <t>1. MK-XS-F-140 fetchInflation → MK-XS-F-056 fetchEconomicData
2. MK-XS-F-141 fetchTreasuryYield → MK-XS-F-056 fetchEconomicData</t>
        </is>
      </c>
      <c r="S580" s="3" t="inlineStr">
        <is>
          <t>—</t>
        </is>
      </c>
      <c r="T580" s="3" t="inlineStr">
        <is>
          <t>ECONOMIC_FIGURES</t>
        </is>
      </c>
      <c r="U580" s="3" t="inlineStr">
        <is>
          <t>ACTIVE</t>
        </is>
      </c>
      <c r="V580" s="3" t="inlineStr">
        <is>
          <t>2026-09-12</t>
        </is>
      </c>
      <c r="W580" s="3" t="n"/>
      <c r="X580" s="3" t="n"/>
      <c r="Y580" s="3" t="inlineStr">
        <is>
          <t>NOTHING OPEN</t>
        </is>
      </c>
    </row>
    <row r="581" ht="60" customHeight="1">
      <c r="A581" s="3" t="inlineStr">
        <is>
          <t>MK-XS-F-057</t>
        </is>
      </c>
      <c r="B581" s="3" t="inlineStr">
        <is>
          <t>analyzeExpenses</t>
        </is>
      </c>
      <c r="C581" s="3" t="inlineStr">
        <is>
          <t>src/services/economicData.ts</t>
        </is>
      </c>
      <c r="D581" s="3" t="n">
        <v>202</v>
      </c>
      <c r="E581" s="3" t="inlineStr">
        <is>
          <t>4 · BRINGS DATA IN</t>
        </is>
      </c>
      <c r="F581" s="3" t="inlineStr">
        <is>
          <t>What is worth saying about this expenses?</t>
        </is>
      </c>
      <c r="G581" s="11" t="inlineStr">
        <is>
          <t>data = await res.json()
the answer = data as expense analysis</t>
        </is>
      </c>
      <c r="H581" s="3" t="inlineStr">
        <is>
          <t>Data is await res.json(). The answer is data as expense analysis.</t>
        </is>
      </c>
      <c r="I581" s="3" t="inlineStr">
        <is>
          <t>PARTLY READ — some of the code is still showing through; needs a hand pass</t>
        </is>
      </c>
      <c r="J581" s="3" t="inlineStr">
        <is>
          <t>Nothing is handed to it</t>
        </is>
      </c>
      <c r="K581" s="3" t="inlineStr">
        <is>
          <t>NOT DECLARED — the code does not say what it gives back</t>
        </is>
      </c>
      <c r="L581" s="3" t="inlineStr">
        <is>
          <t>—</t>
        </is>
      </c>
      <c r="M581" s="3" t="inlineStr">
        <is>
          <t>None found in this function — anything it assumes comes from the functions it depends on.</t>
        </is>
      </c>
      <c r="N581" s="3" t="inlineStr">
        <is>
          <t>No</t>
        </is>
      </c>
      <c r="O581" s="3" t="inlineStr">
        <is>
          <t>MK-CF-O-002 expenses</t>
        </is>
      </c>
      <c r="P581" s="3" t="n">
        <v>15</v>
      </c>
      <c r="Q581"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81"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81" s="3" t="inlineStr">
        <is>
          <t>—</t>
        </is>
      </c>
      <c r="T581" s="3" t="inlineStr">
        <is>
          <t>EXPENSE_COMMENTARY</t>
        </is>
      </c>
      <c r="U581" s="3" t="inlineStr">
        <is>
          <t>ACTIVE</t>
        </is>
      </c>
      <c r="V581" s="3" t="inlineStr">
        <is>
          <t>2026-08-27</t>
        </is>
      </c>
      <c r="W581" s="3" t="n"/>
      <c r="X581" s="3" t="n"/>
      <c r="Y581" s="3" t="inlineStr">
        <is>
          <t>NOTHING OPEN</t>
        </is>
      </c>
    </row>
    <row r="582" ht="60" customHeight="1">
      <c r="A582" s="3" t="inlineStr">
        <is>
          <t>MK-XS-F-058</t>
        </is>
      </c>
      <c r="B582" s="3" t="inlineStr">
        <is>
          <t>parseReceipt</t>
        </is>
      </c>
      <c r="C582" s="3" t="inlineStr">
        <is>
          <t>src/services/receiptScan.ts</t>
        </is>
      </c>
      <c r="D582" s="3" t="n">
        <v>106</v>
      </c>
      <c r="E582" s="3" t="inlineStr">
        <is>
          <t>3 · DEPENDENT</t>
        </is>
      </c>
      <c r="F582" s="3" t="inlineStr">
        <is>
          <t>Heuristic parse of receipt text → total amount + merchant.</t>
        </is>
      </c>
      <c r="G582"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82"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82" s="3" t="inlineStr">
        <is>
          <t>PARTLY READ — some of the code is still showing through; needs a hand pass</t>
        </is>
      </c>
      <c r="J582" s="3" t="inlineStr">
        <is>
          <t>text: string</t>
        </is>
      </c>
      <c r="K582" s="3" t="inlineStr">
        <is>
          <t>NOT DECLARED — the code does not say what it gives back</t>
        </is>
      </c>
      <c r="L582" s="3" t="inlineStr">
        <is>
          <t>—</t>
        </is>
      </c>
      <c r="M582" s="3" t="inlineStr">
        <is>
          <t>None found in this function — anything it assumes comes from the functions it depends on.</t>
        </is>
      </c>
      <c r="N582" s="3" t="inlineStr">
        <is>
          <t>Yes</t>
        </is>
      </c>
      <c r="O582" s="3" t="inlineStr">
        <is>
          <t>1. MK-CF-F-204 line
2. MK-CF-F-132 map
3. MK-XS-F-093 stripNonMoney
4. MK-ST-F-052 toNum</t>
        </is>
      </c>
      <c r="P582" s="3" t="n">
        <v>104</v>
      </c>
      <c r="Q582"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MK-NW-F-072 rowOf
46. MK-CF-F-069 benefitActiveMonths
47. MK-CF-F-072 currentRetirementIncomeMonthly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MK-CF-F-062 equityRowValue
70. MK-CF-F-070 benefitAnnual
71. MK-CF-F-176 sumMonthsOverEarners
72. MK-CF-F-177 wageGrossByMonth
73. MK-CF-F-090 effectiveRate
74. MK-CF-F-085 filingStatusOf
75. MK-CF-F-089 over65CountOf
76. MK-CF-F-098 progressiveMonthlyTax
77. MK-CF-F-086 stateRateOf
78. MK-CF-F-173 earnerWages
79. MK-CF-F-102 effectiveRateOnGrossFor
80. MK-CF-F-180 enteredLandsAnnual
81. MK-CF-F-082 salaryAnnual
82. MK-CF-F-084 taxableAnnual
83. MK-CF-F-067 rentalList
84. MK-CF-F-063 rowVestYear
85. MK-CF-F-120 pctBaseMonthly
86. MK-CF-F-004 spendBuckets
87. MK-NW-F-008 incomeBearingClassOf
88. MK-CF-F-130 enteredMonthlyRaw
89. MK-CF-F-166 hasMonthlySalaryTable
90. MK-ST-F-036 reconcile
91. MK-CF-F-167 salaryCalendarYear
92. MK-CF-F-101 taxOwedFor
93. MK-CF-F-100 taxableIncomeFor
94. MK-CF-F-172 hasWage
95. MK-CF-F-074 tipsAnnual
96. MK-CF-F-003 categoryMonthly
97. MK-ST-F-010 nameEvidence
98. MK-CF-F-165 salaryMonths
99. MK-CF-F-099 deductionFor
100. MK-CF-F-081 salaryActiveMonths
101. MK-XS-F-147 call
102. MK-CF-F-187 seniorDeductionFor
103. MK-XS-F-064 currentIdToken
104. MK-XS-F-112 relayUrl</t>
        </is>
      </c>
      <c r="R582"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82" s="3" t="inlineStr">
        <is>
          <t>—</t>
        </is>
      </c>
      <c r="T582" s="3" t="inlineStr">
        <is>
          <t>READ_A_RECEIPT</t>
        </is>
      </c>
      <c r="U582" s="3" t="inlineStr">
        <is>
          <t>ACTIVE</t>
        </is>
      </c>
      <c r="V582" s="3" t="inlineStr">
        <is>
          <t>2026-08-27</t>
        </is>
      </c>
      <c r="W582" s="3" t="n"/>
      <c r="X582" s="3" t="n"/>
      <c r="Y582" s="3" t="inlineStr">
        <is>
          <t>NOTHING OPEN</t>
        </is>
      </c>
    </row>
    <row r="583" ht="60" customHeight="1">
      <c r="A583" s="3" t="inlineStr">
        <is>
          <t>MK-XS-F-059</t>
        </is>
      </c>
      <c r="B583" s="3" t="inlineStr">
        <is>
          <t>readFileString</t>
        </is>
      </c>
      <c r="C583" s="3" t="inlineStr">
        <is>
          <t>src/services/fileRead.ts</t>
        </is>
      </c>
      <c r="D583" s="3" t="n">
        <v>22</v>
      </c>
      <c r="E583" s="3" t="inlineStr">
        <is>
          <t>4 · BRINGS DATA IN</t>
        </is>
      </c>
      <c r="F583" s="3" t="inlineStr">
        <is>
          <t>NOT DETERMINED — the code carries no note saying what this is for, and it has no row in the old inventory. Needs reading.</t>
        </is>
      </c>
      <c r="G583" s="11" t="inlineStr">
        <is>
          <t>read as string async(uri, { encoding: encoding = 'base64' ? encoding type.base64 : encoding type.UTF8 })</t>
        </is>
      </c>
      <c r="H583" s="3" t="inlineStr">
        <is>
          <t>read as string async(uri, { encoding: encoding = 'base64' ? encoding type.base64 : encoding type.UTF8 }).</t>
        </is>
      </c>
      <c r="I583" s="3" t="inlineStr">
        <is>
          <t>READ FROM THE CODE — rendered from the expressions the function runs</t>
        </is>
      </c>
      <c r="J583" s="3" t="inlineStr">
        <is>
          <t>1. uri: string
2. encoding: 'utf8' | 'base64' = 'utf8'</t>
        </is>
      </c>
      <c r="K583" s="3" t="inlineStr">
        <is>
          <t>Promise&lt;string&gt;</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MK-XS-F-060</t>
        </is>
      </c>
      <c r="B584" s="3" t="inlineStr">
        <is>
          <t>registerUser</t>
        </is>
      </c>
      <c r="C584" s="3" t="inlineStr">
        <is>
          <t>src/services/firebase.ts</t>
        </is>
      </c>
      <c r="D584" s="3" t="n">
        <v>88</v>
      </c>
      <c r="E584" s="3" t="inlineStr">
        <is>
          <t>2 · DISPLAYED</t>
        </is>
      </c>
      <c r="F584" s="3" t="inlineStr">
        <is>
          <t>Returns the new user AND a one-time recovery code the caller MUST show the user to save.</t>
        </is>
      </c>
      <c r="G584"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84"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84" s="3" t="inlineStr">
        <is>
          <t>READ FROM THE CODE — rendered from the expressions the function runs</t>
        </is>
      </c>
      <c r="J584" s="3" t="inlineStr">
        <is>
          <t>1. email: string
2. password: string
3. name: string
4. onCodeReady?: (code: string) =&gt; void</t>
        </is>
      </c>
      <c r="K584" s="3" t="inlineStr">
        <is>
          <t>NOT DECLARED — the code does not say what it gives back</t>
        </is>
      </c>
      <c r="L584" s="3" t="inlineStr">
        <is>
          <t>NOT FOUND — a screen calls it, but the words printed beside its answer could not be traced automatically. Needs reading.</t>
        </is>
      </c>
      <c r="M584" s="3" t="inlineStr">
        <is>
          <t>None found in this function — anything it assumes comes from the functions it depends on.</t>
        </is>
      </c>
      <c r="N584" s="3" t="inlineStr">
        <is>
          <t>Yes</t>
        </is>
      </c>
      <c r="O584" s="3" t="inlineStr">
        <is>
          <t>1. MK-XS-F-041 cacheDataKey
2. MK-XS-F-044 generateDataKey
3. MK-XS-F-045 generateRecoveryCode
4. MK-XS-F-046 makeEnvelope
5. MK-XS-F-175 uid</t>
        </is>
      </c>
      <c r="P584" s="3" t="n">
        <v>88</v>
      </c>
      <c r="Q584"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MK-ST-F-039 on
80. MK-CF-F-100 taxableIncomeFor
81. MK-ST-F-034 firstDate
82. MK-XS-F-147 call
83. MK-CF-F-075 retirementIncomeMonthly
84. MK-ST-F-047 activeCurrency
85. MK-CF-F-099 deductionFor
86. MK-XS-F-064 currentIdToken
87. MK-XS-F-112 relayUrl
88. MK-CF-F-187 seniorDeductionFor</t>
        </is>
      </c>
      <c r="R584"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84" s="3" t="inlineStr">
        <is>
          <t>—</t>
        </is>
      </c>
      <c r="T584" s="3" t="inlineStr">
        <is>
          <t>—</t>
        </is>
      </c>
      <c r="U584" s="3" t="inlineStr">
        <is>
          <t>ACTIVE</t>
        </is>
      </c>
      <c r="V584" s="3" t="inlineStr">
        <is>
          <t>2026-08-27</t>
        </is>
      </c>
      <c r="W584" s="3" t="n"/>
      <c r="X584" s="3" t="n"/>
      <c r="Y584" s="3" t="inlineStr">
        <is>
          <t>NOTHING OPEN</t>
        </is>
      </c>
    </row>
    <row r="585" ht="30" customHeight="1">
      <c r="A585" s="3" t="inlineStr">
        <is>
          <t>MK-XS-F-061</t>
        </is>
      </c>
      <c r="B585" s="3" t="inlineStr">
        <is>
          <t>resendVerification</t>
        </is>
      </c>
      <c r="C585" s="3" t="inlineStr">
        <is>
          <t>src/services/firebase.ts</t>
        </is>
      </c>
      <c r="D585" s="3" t="n">
        <v>130</v>
      </c>
      <c r="E585" s="3" t="inlineStr">
        <is>
          <t>1 · ACTION</t>
        </is>
      </c>
      <c r="F585" s="3" t="inlineStr">
        <is>
          <t>Resend the verification email to the signed-in user.</t>
        </is>
      </c>
      <c r="G585" s="11" t="inlineStr">
        <is>
          <t>sends the verification e-mail again to the signed-in person</t>
        </is>
      </c>
      <c r="H585" s="3" t="inlineStr">
        <is>
          <t>Resends the e-mail-verification message. Not a calculation.</t>
        </is>
      </c>
      <c r="I585" s="3" t="inlineStr">
        <is>
          <t>READ BY HAND 2026-08-26 — checked line by line against the code</t>
        </is>
      </c>
      <c r="J585" s="3" t="inlineStr">
        <is>
          <t>Nothing is handed to it</t>
        </is>
      </c>
      <c r="K585" s="3" t="inlineStr">
        <is>
          <t>NOT DECLARED — the code does not say what it gives back</t>
        </is>
      </c>
      <c r="L585" s="3" t="inlineStr">
        <is>
          <t>—</t>
        </is>
      </c>
      <c r="M585" s="3" t="inlineStr">
        <is>
          <t>None found in this function — anything it assumes comes from the functions it depends on.</t>
        </is>
      </c>
      <c r="N585" s="3" t="inlineStr">
        <is>
          <t>Yes</t>
        </is>
      </c>
      <c r="O585" s="3" t="inlineStr">
        <is>
          <t>—</t>
        </is>
      </c>
      <c r="P585" s="3" t="n">
        <v>0</v>
      </c>
      <c r="Q585" s="3" t="inlineStr">
        <is>
          <t>None — no dependent function stands behind it</t>
        </is>
      </c>
      <c r="R585" s="3" t="inlineStr">
        <is>
          <t>No dependent function — it reads its inputs and answers</t>
        </is>
      </c>
      <c r="S585" s="3" t="inlineStr">
        <is>
          <t>—</t>
        </is>
      </c>
      <c r="T585" s="3" t="inlineStr">
        <is>
          <t>—</t>
        </is>
      </c>
      <c r="U585" s="3" t="inlineStr">
        <is>
          <t>ACTIVE</t>
        </is>
      </c>
      <c r="V585" s="3" t="inlineStr">
        <is>
          <t>2026-09-12</t>
        </is>
      </c>
      <c r="W585" s="3" t="n"/>
      <c r="X585" s="3" t="n"/>
      <c r="Y585" s="3" t="inlineStr">
        <is>
          <t>NOTHING OPEN</t>
        </is>
      </c>
    </row>
    <row r="586" ht="60" customHeight="1">
      <c r="A586" s="3" t="inlineStr">
        <is>
          <t>MK-XS-F-062</t>
        </is>
      </c>
      <c r="B586" s="3" t="inlineStr">
        <is>
          <t>refreshEmailVerified</t>
        </is>
      </c>
      <c r="C586" s="3" t="inlineStr">
        <is>
          <t>src/services/firebase.ts</t>
        </is>
      </c>
      <c r="D586" s="3" t="n">
        <v>150</v>
      </c>
      <c r="E586" s="3" t="inlineStr">
        <is>
          <t>2 · DISPLAYED</t>
        </is>
      </c>
      <c r="F586" s="3" t="inlineStr">
        <is>
          <t>Re-check verification status from the server (call after the user clicks the email link).</t>
        </is>
      </c>
      <c r="G586" s="11" t="inlineStr">
        <is>
          <t>false   when auth.current user is missing
!!auth.current user.email verified</t>
        </is>
      </c>
      <c r="H586" s="3" t="inlineStr">
        <is>
          <t>When auth.current user is missing, it answers false. !!auth.current user.email verified.</t>
        </is>
      </c>
      <c r="I586" s="3" t="inlineStr">
        <is>
          <t>READ FROM THE CODE — rendered from the expressions the function runs</t>
        </is>
      </c>
      <c r="J586" s="3" t="inlineStr">
        <is>
          <t>Nothing is handed to it</t>
        </is>
      </c>
      <c r="K586" s="3" t="inlineStr">
        <is>
          <t>Promise&lt;boolean&gt;</t>
        </is>
      </c>
      <c r="L586"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86" s="3" t="inlineStr">
        <is>
          <t>None found in this function — anything it assumes comes from the functions it depends on.</t>
        </is>
      </c>
      <c r="N586" s="3" t="inlineStr">
        <is>
          <t>Yes</t>
        </is>
      </c>
      <c r="O586" s="3" t="inlineStr">
        <is>
          <t>—</t>
        </is>
      </c>
      <c r="P586" s="3" t="n">
        <v>0</v>
      </c>
      <c r="Q586" s="3" t="inlineStr">
        <is>
          <t>None — no dependent function stands behind it</t>
        </is>
      </c>
      <c r="R586" s="3" t="inlineStr">
        <is>
          <t>No dependent function — it reads its inputs and answers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MK-XS-F-063</t>
        </is>
      </c>
      <c r="B587" s="3" t="inlineStr">
        <is>
          <t>isEmailVerified</t>
        </is>
      </c>
      <c r="C587" s="3" t="inlineStr">
        <is>
          <t>src/services/firebase.ts</t>
        </is>
      </c>
      <c r="D587" s="3" t="n">
        <v>170</v>
      </c>
      <c r="E587" s="3" t="inlineStr">
        <is>
          <t>2 · DISPLAYED</t>
        </is>
      </c>
      <c r="F587" s="3" t="inlineStr">
        <is>
          <t>NOT DETERMINED — the code carries no note saying what this is for, and it has no row in the old inventory. Needs reading.</t>
        </is>
      </c>
      <c r="G587" s="11" t="inlineStr">
        <is>
          <t>!!auth.current user.email verified</t>
        </is>
      </c>
      <c r="H587" s="3" t="inlineStr">
        <is>
          <t>!!auth.current user.email verified.</t>
        </is>
      </c>
      <c r="I587" s="3" t="inlineStr">
        <is>
          <t>READ FROM THE CODE — rendered from the expressions the function runs</t>
        </is>
      </c>
      <c r="J587" s="3" t="inlineStr">
        <is>
          <t>Nothing is handed to it</t>
        </is>
      </c>
      <c r="K587" s="3" t="inlineStr">
        <is>
          <t>boolean</t>
        </is>
      </c>
      <c r="L587" s="3" t="inlineStr">
        <is>
          <t>NOT FOUND — a screen calls it, but the words printed beside its answer could not be traced automatically. Needs reading.</t>
        </is>
      </c>
      <c r="M587" s="3" t="inlineStr">
        <is>
          <t>None found in this function — anything it assumes comes from the functions it depends on.</t>
        </is>
      </c>
      <c r="N587" s="3" t="inlineStr">
        <is>
          <t>Yes</t>
        </is>
      </c>
      <c r="O587" s="3" t="inlineStr">
        <is>
          <t>—</t>
        </is>
      </c>
      <c r="P587" s="3" t="n">
        <v>0</v>
      </c>
      <c r="Q587" s="3" t="inlineStr">
        <is>
          <t>None — no dependent function stands behind it</t>
        </is>
      </c>
      <c r="R587" s="3" t="inlineStr">
        <is>
          <t>No dependent function — it reads its inputs and answers</t>
        </is>
      </c>
      <c r="S587" s="3" t="inlineStr">
        <is>
          <t>—</t>
        </is>
      </c>
      <c r="T587" s="3" t="inlineStr">
        <is>
          <t>—</t>
        </is>
      </c>
      <c r="U587" s="3" t="inlineStr">
        <is>
          <t>ACTIVE</t>
        </is>
      </c>
      <c r="V587" s="3" t="inlineStr">
        <is>
          <t>2026-08-27</t>
        </is>
      </c>
      <c r="W587" s="3" t="n"/>
      <c r="X587" s="3" t="n"/>
      <c r="Y587" s="3" t="inlineStr">
        <is>
          <t>NOTHING OPEN</t>
        </is>
      </c>
    </row>
    <row r="588" ht="60" customHeight="1">
      <c r="A588" s="3" t="inlineStr">
        <is>
          <t>MK-XS-F-064</t>
        </is>
      </c>
      <c r="B588" s="3" t="inlineStr">
        <is>
          <t>currentIdToken</t>
        </is>
      </c>
      <c r="C588" s="3" t="inlineStr">
        <is>
          <t>src/services/firebase.ts</t>
        </is>
      </c>
      <c r="D588" s="3" t="n">
        <v>204</v>
      </c>
      <c r="E588" s="3" t="inlineStr">
        <is>
          <t>3 · DEPENDENT (feeds an action only)</t>
        </is>
      </c>
      <c r="F588" s="3" t="inlineStr">
        <is>
          <t>The email of the account currently signed in to Firebase — the authoritative identity that account-level actions (delete, reauth) operate on.</t>
        </is>
      </c>
      <c r="G588" s="11" t="inlineStr">
        <is>
          <t>the answer = the signed-in person's identity token, or nothing</t>
        </is>
      </c>
      <c r="H588" s="3" t="inlineStr">
        <is>
          <t>The signed-in person's identity token for the relay, or nothing when nobody is signed in. Not a calculation.</t>
        </is>
      </c>
      <c r="I588" s="3" t="inlineStr">
        <is>
          <t>READ BY HAND 2026-08-26 — checked line by line against the code</t>
        </is>
      </c>
      <c r="J588" s="3" t="inlineStr">
        <is>
          <t>Nothing is handed to it</t>
        </is>
      </c>
      <c r="K588" s="3" t="inlineStr">
        <is>
          <t>Promise&lt;string | null&gt;</t>
        </is>
      </c>
      <c r="L588" s="3" t="inlineStr">
        <is>
          <t>—</t>
        </is>
      </c>
      <c r="M588" s="3" t="inlineStr">
        <is>
          <t>None found in this function — anything it assumes comes from the functions it depends on.</t>
        </is>
      </c>
      <c r="N588" s="3" t="inlineStr">
        <is>
          <t>No</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2026-09-12</t>
        </is>
      </c>
      <c r="W588" s="3" t="n"/>
      <c r="X588" s="3" t="n"/>
      <c r="Y588" s="3" t="inlineStr">
        <is>
          <t>NOTHING OPEN</t>
        </is>
      </c>
    </row>
    <row r="589" ht="60" customHeight="1">
      <c r="A589" s="3" t="inlineStr">
        <is>
          <t>MK-XS-F-065</t>
        </is>
      </c>
      <c r="B589" s="3" t="inlineStr">
        <is>
          <t>currentUserEmail</t>
        </is>
      </c>
      <c r="C589" s="3" t="inlineStr">
        <is>
          <t>src/services/firebase.ts</t>
        </is>
      </c>
      <c r="D589" s="3" t="n">
        <v>223</v>
      </c>
      <c r="E589" s="3" t="inlineStr">
        <is>
          <t>2 · DISPLAYED</t>
        </is>
      </c>
      <c r="F589" s="3" t="inlineStr">
        <is>
          <t>NOT DETERMINED — the code carries no note saying what this is for, and it has no row in the old inventory. Needs reading.</t>
        </is>
      </c>
      <c r="G589" s="11" t="inlineStr">
        <is>
          <t>auth.current user.email (or nothing when missing)</t>
        </is>
      </c>
      <c r="H589" s="3" t="inlineStr">
        <is>
          <t>auth.current user.email (or no answer — when missing).</t>
        </is>
      </c>
      <c r="I589" s="3" t="inlineStr">
        <is>
          <t>PARTLY READ — some of the code is still showing through; needs a hand pass</t>
        </is>
      </c>
      <c r="J589" s="3" t="inlineStr">
        <is>
          <t>Nothing is handed to it</t>
        </is>
      </c>
      <c r="K589" s="3" t="inlineStr">
        <is>
          <t>string | null</t>
        </is>
      </c>
      <c r="L589" s="3" t="inlineStr">
        <is>
          <t>"Confirm account deletion" — on the Settings screen, under "Account"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MK-XS-F-066</t>
        </is>
      </c>
      <c r="B590" s="3" t="inlineStr">
        <is>
          <t>loginUser</t>
        </is>
      </c>
      <c r="C590" s="3" t="inlineStr">
        <is>
          <t>src/services/firebase.ts</t>
        </is>
      </c>
      <c r="D590" s="3" t="n">
        <v>255</v>
      </c>
      <c r="E590" s="3" t="inlineStr">
        <is>
          <t>4 · BRINGS DATA IN</t>
        </is>
      </c>
      <c r="F590" s="3" t="inlineStr">
        <is>
          <t>Returns the user plus the unlock status: • needsRecovery=true → the password can't open the data (it was reset); prompt for the recovery code.</t>
        </is>
      </c>
      <c r="G590"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590"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590" s="3" t="inlineStr">
        <is>
          <t>PARTLY READ — some of the code is still showing through; needs a hand pass</t>
        </is>
      </c>
      <c r="J590" s="3" t="inlineStr">
        <is>
          <t>1. email: string
2. password: string
3. onCodeReady?: (code: string) =&gt; void</t>
        </is>
      </c>
      <c r="K590" s="3" t="inlineStr">
        <is>
          <t>Promise&lt;</t>
        </is>
      </c>
      <c r="L590" s="3" t="inlineStr">
        <is>
          <t>—</t>
        </is>
      </c>
      <c r="M590" s="3" t="inlineStr">
        <is>
          <t>None found in this function — anything it assumes comes from the functions it depends on.</t>
        </is>
      </c>
      <c r="N590" s="3" t="inlineStr">
        <is>
          <t>Yes</t>
        </is>
      </c>
      <c r="O590" s="3" t="inlineStr">
        <is>
          <t>1. MK-XS-F-041 cacheDataKey
2. MK-XS-F-044 generateDataKey
3. MK-XS-F-045 generateRecoveryCode
4. MK-XS-F-046 makeEnvelope
5. MK-XS-F-060 registerUser
6. MK-XS-F-175 uid
7. MK-XS-F-047 unwrapWithPassword</t>
        </is>
      </c>
      <c r="P590" s="3" t="n">
        <v>92</v>
      </c>
      <c r="Q590"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MK-CF-F-038 debtsFromOnboarding
18. MK-XS-F-083 fetchPriceSeries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MK-XS-F-138 deriveKeyFromSecret
38. MK-XS-F-052 encryptWithKey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MK-ST-F-039 on
84. MK-CF-F-100 taxableIncomeFor
85. MK-ST-F-034 firstDate
86. MK-XS-F-147 call
87. MK-CF-F-075 retirementIncomeMonthly
88. MK-ST-F-047 activeCurrency
89. MK-CF-F-099 deductionFor
90. MK-XS-F-064 currentIdToken
91. MK-XS-F-112 relayUrl
92. MK-CF-F-187 seniorDeductionFor</t>
        </is>
      </c>
      <c r="R590"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MK-XS-F-067</t>
        </is>
      </c>
      <c r="B591" s="3" t="inlineStr">
        <is>
          <t>restoreWithRecoveryCode</t>
        </is>
      </c>
      <c r="C591" s="3" t="inlineStr">
        <is>
          <t>src/services/firebase.ts</t>
        </is>
      </c>
      <c r="D591" s="3" t="n">
        <v>303</v>
      </c>
      <c r="E591" s="3" t="inlineStr">
        <is>
          <t>4 · BRINGS DATA IN</t>
        </is>
      </c>
      <c r="F591" s="3" t="inlineStr">
        <is>
          <t>After a password reset, restore data access with the recovery code, then re-lock the data under the NEW password.</t>
        </is>
      </c>
      <c r="G591" s="11" t="inlineStr">
        <is>
          <t>u = auth.current user
snap = await get doc(doc(db, 'users', uid))
env = (snap.data() as any).key envelope   if snap.exists()
undefined   otherwise
dek = unwrap with recovery(env, uid, recovery code)</t>
        </is>
      </c>
      <c r="H591" s="3" t="inlineStr">
        <is>
          <t>U is auth.current user. Snap is await get doc(doc(db, 'users', uid)). Env is (snap.data() as any).key envelope — when snap.exists(); undefined — otherwise. Dek is unwrap with recovery(env, uid, recovery code).</t>
        </is>
      </c>
      <c r="I591" s="3" t="inlineStr">
        <is>
          <t>PARTLY READ — some of the code is still showing through; needs a hand pass</t>
        </is>
      </c>
      <c r="J591" s="3" t="inlineStr">
        <is>
          <t>1. recoveryCode: string
2. newPassword: string</t>
        </is>
      </c>
      <c r="K591" s="3" t="inlineStr">
        <is>
          <t>Promise&lt;void&gt;</t>
        </is>
      </c>
      <c r="L591" s="3" t="inlineStr">
        <is>
          <t>—</t>
        </is>
      </c>
      <c r="M591" s="3" t="inlineStr">
        <is>
          <t>None found in this function — anything it assumes comes from the functions it depends on.</t>
        </is>
      </c>
      <c r="N591" s="3" t="inlineStr">
        <is>
          <t>Yes</t>
        </is>
      </c>
      <c r="O591" s="3" t="inlineStr">
        <is>
          <t>1. MK-XS-F-041 cacheDataKey
2. MK-XS-F-049 rewrapPassword
3. MK-XS-F-175 uid
4. MK-XS-F-048 unwrapWithRecovery</t>
        </is>
      </c>
      <c r="P591" s="3" t="n">
        <v>89</v>
      </c>
      <c r="Q591"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MK-XS-F-053 decryptWithKey
34. MK-XS-F-138 deriveKeyFromSecret
35. MK-XS-F-052 encryptWithKey
36. MK-CF-F-138 addLot
37. MK-CF-F-136 bumpCash
38. MK-CF-F-137 findPos
39. MK-CF-F-139 removeShares
40. MK-PF-F-001 totalShares
41. MK-ST-F-052 toNum
42. MK-ST-F-053 money
43. MK-CF-F-085 filingStatusOf
44. MK-CF-F-097 grossFromNet
45. MK-CF-F-185 needsTakeHomeConversion
46. MK-CF-F-089 over65CountOf
47. MK-CF-F-037 inferDebtType
48. MK-ST-F-069 amountOf
49. MK-CF-F-133 cashOf
50. MK-ST-F-066 isDayKey
51. MK-ST-F-070 isOpening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MK-XS-F-051 isEncrypted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MK-ST-F-039 on
81. MK-CF-F-100 taxableIncomeFor
82. MK-ST-F-034 firstDate
83. MK-XS-F-147 call
84. MK-CF-F-075 retirementIncomeMonthly
85. MK-ST-F-047 activeCurrency
86. MK-CF-F-099 deductionFor
87. MK-XS-F-064 currentIdToken
88. MK-XS-F-112 relayUrl
89. MK-CF-F-187 seniorDeductionFor</t>
        </is>
      </c>
      <c r="R591"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MK-XS-F-068</t>
        </is>
      </c>
      <c r="B592" s="3" t="inlineStr">
        <is>
          <t>regenerateRecoveryCode</t>
        </is>
      </c>
      <c r="C592" s="3" t="inlineStr">
        <is>
          <t>src/services/firebase.ts</t>
        </is>
      </c>
      <c r="D592" s="3" t="n">
        <v>338</v>
      </c>
      <c r="E592" s="3" t="inlineStr">
        <is>
          <t>4 · BRINGS DATA IN</t>
        </is>
      </c>
      <c r="F592" s="3" t="inlineStr">
        <is>
          <t>Issue a NEW recovery code for the signed-in user (the old one stops working).</t>
        </is>
      </c>
      <c r="G592" s="11" t="inlineStr">
        <is>
          <t>u = auth.current user
dek = await get data key()
snap = await get doc(doc(db, 'users', uid))
env = snap.exists() and (snap.data() as any).key envelope (or p = ''
r = '' when missing or zero)
recovery code = generate recovery code()
the answer = recovery code</t>
        </is>
      </c>
      <c r="H592" s="3" t="inlineStr">
        <is>
          <t>U is auth.current user. Dek is await get data key(). Snap is await get doc(doc(db, 'users', uid)). Env is snap.exists() and (snap.data() as any).key envelope (or p = ''; r = '' — when missing or zero). Recovery code is generate recovery code(). The answer is recovery code.</t>
        </is>
      </c>
      <c r="I592" s="3" t="inlineStr">
        <is>
          <t>PARTLY READ — some of the code is still showing through; needs a hand pass</t>
        </is>
      </c>
      <c r="J592" s="3" t="inlineStr">
        <is>
          <t>Nothing is handed to it</t>
        </is>
      </c>
      <c r="K592" s="3" t="inlineStr">
        <is>
          <t>Promise&lt;string&gt;</t>
        </is>
      </c>
      <c r="L592" s="3" t="inlineStr">
        <is>
          <t>—</t>
        </is>
      </c>
      <c r="M592" s="3" t="inlineStr">
        <is>
          <t>None found in this function — anything it assumes comes from the functions it depends on.</t>
        </is>
      </c>
      <c r="N592" s="3" t="inlineStr">
        <is>
          <t>Yes</t>
        </is>
      </c>
      <c r="O592" s="3" t="inlineStr">
        <is>
          <t>1. MK-XS-F-045 generateRecoveryCode
2. MK-XS-F-042 getDataKey
3. MK-XS-F-050 rewrapRecovery
4. MK-XS-F-175 uid</t>
        </is>
      </c>
      <c r="P592" s="3" t="n">
        <v>87</v>
      </c>
      <c r="Q592"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MK-CF-F-038 debtsFromOnboarding
15. MK-XS-F-083 fetchPriceSeries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MK-XS-F-138 deriveKeyFromSecret
34. MK-XS-F-052 encryptWithKey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MK-ST-F-039 on
79. MK-CF-F-100 taxableIncomeFor
80. MK-ST-F-034 firstDate
81. MK-XS-F-147 call
82. MK-CF-F-075 retirementIncomeMonthly
83. MK-ST-F-047 activeCurrency
84. MK-CF-F-099 deductionFor
85. MK-XS-F-064 currentIdToken
86. MK-XS-F-112 relayUrl
87. MK-CF-F-187 seniorDeductionFor</t>
        </is>
      </c>
      <c r="R592"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MK-XS-F-069</t>
        </is>
      </c>
      <c r="B593" s="3" t="inlineStr">
        <is>
          <t>logoutUser</t>
        </is>
      </c>
      <c r="C593" s="3" t="inlineStr">
        <is>
          <t>src/services/firebase.ts</t>
        </is>
      </c>
      <c r="D593" s="3" t="n">
        <v>365</v>
      </c>
      <c r="E593" s="3" t="inlineStr">
        <is>
          <t>1 · ACTION</t>
        </is>
      </c>
      <c r="F593" s="3" t="inlineStr">
        <is>
          <t>NOT DETERMINED — the code carries no note saying what this is for, and it has no row in the old inventory. Needs reading.</t>
        </is>
      </c>
      <c r="G593" s="11" t="inlineStr">
        <is>
          <t>clears the data key, then signs out</t>
        </is>
      </c>
      <c r="H593" s="3" t="inlineStr">
        <is>
          <t>Forgets the decryption key and signs the person out. Not a calculation.</t>
        </is>
      </c>
      <c r="I593" s="3" t="inlineStr">
        <is>
          <t>READ BY HAND 2026-08-26 — checked line by line against the code</t>
        </is>
      </c>
      <c r="J593" s="3" t="inlineStr">
        <is>
          <t>Nothing is handed to it</t>
        </is>
      </c>
      <c r="K593" s="3" t="inlineStr">
        <is>
          <t>NOT DECLARED — the code does not say what it gives back</t>
        </is>
      </c>
      <c r="L593" s="3" t="inlineStr">
        <is>
          <t>—</t>
        </is>
      </c>
      <c r="M593" s="3" t="inlineStr">
        <is>
          <t>None found in this function — anything it assumes comes from the functions it depends on.</t>
        </is>
      </c>
      <c r="N593" s="3" t="inlineStr">
        <is>
          <t>Yes</t>
        </is>
      </c>
      <c r="O593" s="3" t="inlineStr">
        <is>
          <t>MK-XS-F-043 clearDataKey</t>
        </is>
      </c>
      <c r="P593" s="3" t="n">
        <v>2</v>
      </c>
      <c r="Q593" s="3" t="inlineStr">
        <is>
          <t>1. MK-XS-F-043 clearDataKey
2. MK-XS-F-137 secureDelete</t>
        </is>
      </c>
      <c r="R593" s="3" t="inlineStr">
        <is>
          <t>MK-XS-F-137 secureDelete → MK-XS-F-043 clearDataKey → MK-XS-F-069 logoutUser</t>
        </is>
      </c>
      <c r="S593" s="3" t="inlineStr">
        <is>
          <t>—</t>
        </is>
      </c>
      <c r="T593" s="3" t="inlineStr">
        <is>
          <t>—</t>
        </is>
      </c>
      <c r="U593" s="3" t="inlineStr">
        <is>
          <t>ACTIVE</t>
        </is>
      </c>
      <c r="V593" s="3" t="inlineStr">
        <is>
          <t>2026-09-12</t>
        </is>
      </c>
      <c r="W593" s="3" t="n"/>
      <c r="X593" s="3" t="n"/>
      <c r="Y593" s="3" t="inlineStr">
        <is>
          <t>NOTHING OPEN</t>
        </is>
      </c>
    </row>
    <row r="594" ht="60" customHeight="1">
      <c r="A594" s="3" t="inlineStr">
        <is>
          <t>MK-XS-F-070</t>
        </is>
      </c>
      <c r="B594" s="3" t="inlineStr">
        <is>
          <t>resetPassword</t>
        </is>
      </c>
      <c r="C594" s="3" t="inlineStr">
        <is>
          <t>src/services/firebase.ts</t>
        </is>
      </c>
      <c r="D594" s="3" t="n">
        <v>385</v>
      </c>
      <c r="E594" s="3" t="inlineStr">
        <is>
          <t>1 · ACTION</t>
        </is>
      </c>
      <c r="F594" s="3" t="inlineStr">
        <is>
          <t>NOT DETERMINED — the code carries no note saying what this is for, and it has no row in the old inventory. Needs reading.</t>
        </is>
      </c>
      <c r="G594" s="11" t="inlineStr">
        <is>
          <t>sends a password-reset e-mail to the address</t>
        </is>
      </c>
      <c r="H594" s="3" t="inlineStr">
        <is>
          <t>Sends the password-reset e-mail. Not a calculation.</t>
        </is>
      </c>
      <c r="I594" s="3" t="inlineStr">
        <is>
          <t>READ BY HAND 2026-08-26 — checked line by line against the code</t>
        </is>
      </c>
      <c r="J594" s="3" t="inlineStr">
        <is>
          <t>email: string</t>
        </is>
      </c>
      <c r="K594" s="3" t="inlineStr">
        <is>
          <t>NOT DECLARED — the code does not say what it gives back</t>
        </is>
      </c>
      <c r="L594" s="3" t="inlineStr">
        <is>
          <t>—</t>
        </is>
      </c>
      <c r="M594" s="3" t="inlineStr">
        <is>
          <t>None found in this function — anything it assumes comes from the functions it depends on.</t>
        </is>
      </c>
      <c r="N594" s="3" t="inlineStr">
        <is>
          <t>Yes</t>
        </is>
      </c>
      <c r="O594" s="3" t="inlineStr">
        <is>
          <t>—</t>
        </is>
      </c>
      <c r="P594" s="3" t="n">
        <v>0</v>
      </c>
      <c r="Q594" s="3" t="inlineStr">
        <is>
          <t>None — no dependent function stands behind it</t>
        </is>
      </c>
      <c r="R594" s="3" t="inlineStr">
        <is>
          <t>No dependent function — it reads its inputs and answers</t>
        </is>
      </c>
      <c r="S594" s="3" t="inlineStr">
        <is>
          <t>—</t>
        </is>
      </c>
      <c r="T594" s="3" t="inlineStr">
        <is>
          <t>—</t>
        </is>
      </c>
      <c r="U594" s="3" t="inlineStr">
        <is>
          <t>ACTIVE</t>
        </is>
      </c>
      <c r="V594" s="3" t="inlineStr">
        <is>
          <t>2026-09-12</t>
        </is>
      </c>
      <c r="W594" s="3" t="n"/>
      <c r="X594" s="3" t="n"/>
      <c r="Y594" s="3" t="inlineStr">
        <is>
          <t>NOTHING OPEN</t>
        </is>
      </c>
    </row>
    <row r="595" ht="60" customHeight="1">
      <c r="A595" s="3" t="inlineStr">
        <is>
          <t>MK-XS-F-071</t>
        </is>
      </c>
      <c r="B595" s="3" t="inlineStr">
        <is>
          <t>onAuthChange</t>
        </is>
      </c>
      <c r="C595" s="3" t="inlineStr">
        <is>
          <t>src/services/firebase.ts</t>
        </is>
      </c>
      <c r="D595" s="3" t="n">
        <v>404</v>
      </c>
      <c r="E595" s="3" t="inlineStr">
        <is>
          <t>2 · DISPLAYED</t>
        </is>
      </c>
      <c r="F595" s="3" t="inlineStr">
        <is>
          <t>NOT DETERMINED — the code carries no note saying what this is for, and it has no row in the old inventory. Needs reading.</t>
        </is>
      </c>
      <c r="G595" s="11" t="inlineStr">
        <is>
          <t>on auth state changed(auth, callback)</t>
        </is>
      </c>
      <c r="H595" s="3" t="inlineStr">
        <is>
          <t>on auth state changed(auth, callback).</t>
        </is>
      </c>
      <c r="I595" s="3" t="inlineStr">
        <is>
          <t>READ FROM THE CODE — rendered from the expressions the function runs</t>
        </is>
      </c>
      <c r="J595" s="3" t="inlineStr">
        <is>
          <t>callback: (user: any) =&gt; void</t>
        </is>
      </c>
      <c r="K595" s="3" t="inlineStr">
        <is>
          <t>NOT DECLARED — the code does not say what it gives back</t>
        </is>
      </c>
      <c r="L595" s="3" t="inlineStr">
        <is>
          <t>NOT FOUND — a screen calls it, but the words printed beside its answer could not be traced automatically. Needs reading.</t>
        </is>
      </c>
      <c r="M595" s="3" t="inlineStr">
        <is>
          <t>None found in this function — anything it assumes comes from the functions it depends on.</t>
        </is>
      </c>
      <c r="N595" s="3" t="inlineStr">
        <is>
          <t>Yes</t>
        </is>
      </c>
      <c r="O595" s="3" t="inlineStr">
        <is>
          <t>—</t>
        </is>
      </c>
      <c r="P595" s="3" t="n">
        <v>0</v>
      </c>
      <c r="Q595" s="3" t="inlineStr">
        <is>
          <t>None — no dependent function stands behind it</t>
        </is>
      </c>
      <c r="R595" s="3" t="inlineStr">
        <is>
          <t>No dependent function — it reads its inputs and answers</t>
        </is>
      </c>
      <c r="S595" s="3" t="inlineStr">
        <is>
          <t>—</t>
        </is>
      </c>
      <c r="T595" s="3" t="inlineStr">
        <is>
          <t>—</t>
        </is>
      </c>
      <c r="U595" s="3" t="inlineStr">
        <is>
          <t>ACTIVE</t>
        </is>
      </c>
      <c r="V595" s="3" t="inlineStr">
        <is>
          <t>2026-08-27</t>
        </is>
      </c>
      <c r="W595" s="3" t="n"/>
      <c r="X595" s="3" t="n"/>
      <c r="Y595" s="3" t="inlineStr">
        <is>
          <t>NOTHING OPEN</t>
        </is>
      </c>
    </row>
    <row r="596" ht="60" customHeight="1">
      <c r="A596" s="3" t="inlineStr">
        <is>
          <t>MK-XS-F-072</t>
        </is>
      </c>
      <c r="B596" s="3" t="inlineStr">
        <is>
          <t>deleteAccount</t>
        </is>
      </c>
      <c r="C596" s="3" t="inlineStr">
        <is>
          <t>src/services/firebase.ts</t>
        </is>
      </c>
      <c r="D596" s="3" t="n">
        <v>429</v>
      </c>
      <c r="E596" s="3" t="inlineStr">
        <is>
          <t>1 · ACTION</t>
        </is>
      </c>
      <c r="F596" s="3" t="inlineStr">
        <is>
          <t>Permanently delete the signed-in user's account (App Store Guideline 5.1.1(v)).</t>
        </is>
      </c>
      <c r="G596" s="11" t="inlineStr">
        <is>
          <t>u = auth.current user
cred = email auth provider.credential(email, password)
root = await load user root(uid)</t>
        </is>
      </c>
      <c r="H596" s="3" t="inlineStr">
        <is>
          <t>U is auth.current user. Cred is email auth provider.credential(email, password). Root is await load user root(uid).</t>
        </is>
      </c>
      <c r="I596" s="3" t="inlineStr">
        <is>
          <t>PARTLY READ — some of the code is still showing through; needs a hand pass</t>
        </is>
      </c>
      <c r="J596" s="3" t="inlineStr">
        <is>
          <t>password: string</t>
        </is>
      </c>
      <c r="K596" s="3" t="inlineStr">
        <is>
          <t>Promise&lt;void&gt;</t>
        </is>
      </c>
      <c r="L596" s="3" t="inlineStr">
        <is>
          <t>—</t>
        </is>
      </c>
      <c r="M596" s="3" t="inlineStr">
        <is>
          <t>None found in this function — anything it assumes comes from the functions it depends on.</t>
        </is>
      </c>
      <c r="N596" s="3" t="inlineStr">
        <is>
          <t>Yes</t>
        </is>
      </c>
      <c r="O596" s="3" t="inlineStr">
        <is>
          <t>1. MK-XS-F-035 authenticate
2. MK-XS-F-043 clearDataKey
3. MK-XS-F-079 loadUserRoot
4. MK-XS-F-175 uid</t>
        </is>
      </c>
      <c r="P596" s="3" t="n">
        <v>90</v>
      </c>
      <c r="Q596"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MK-CF-F-038 debtsFromOnboarding
16. MK-XS-F-083 fetchPriceSeries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MK-XS-F-053 decryptWithKey
35. MK-XS-F-042 getDataKey
36. MK-XS-F-051 isEncrypted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MK-ST-F-071 rebuildableFrom
54. MK-ST-F-068 stepDay
55. MK-ST-F-072 undo
56. MK-NW-F-053 correctClassOf
57. MK-NW-F-008 incomeBearingClassOf
58. MK-PF-F-002 costBasis
59. MK-PF-F-009 latestClose
60. MK-PF-F-004 marketValue
61. MK-ST-F-030 record
62. MK-XS-F-024 resolveLens
63. MK-ST-F-055 round2
64. MK-CF-F-162 daysApart
65. MK-CF-F-108 isMoneyOut
66. MK-PL-F-074 median
67. MK-CF-F-131 normPayee
68. MK-CF-F-113 affectedAccountIds
69. MK-XS-F-135 secureGet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MK-ST-F-039 on
82. MK-CF-F-100 taxableIncomeFor
83. MK-ST-F-034 firstDate
84. MK-XS-F-147 call
85. MK-CF-F-075 retirementIncomeMonthly
86. MK-ST-F-047 activeCurrency
87. MK-CF-F-099 deductionFor
88. MK-XS-F-064 currentIdToken
89. MK-XS-F-112 relayUrl
90. MK-CF-F-187 seniorDeductionFor</t>
        </is>
      </c>
      <c r="R596"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MK-XS-F-073</t>
        </is>
      </c>
      <c r="B597" s="3" t="inlineStr">
        <is>
          <t>saveUserData</t>
        </is>
      </c>
      <c r="C597" s="3" t="inlineStr">
        <is>
          <t>src/services/firebase.ts</t>
        </is>
      </c>
      <c r="D597" s="3" t="n">
        <v>471</v>
      </c>
      <c r="E597" s="3" t="inlineStr">
        <is>
          <t>1 · ACTION</t>
        </is>
      </c>
      <c r="F597" s="3" t="inlineStr">
        <is>
          <t>Sync fields stored ENCRYPTED under users/{uid}.appStateEnc (zero-knowledge — see dataCrypto.ts).</t>
        </is>
      </c>
      <c r="G597" s="11" t="inlineStr">
        <is>
          <t>clean = JSON.parse(JSON.stringify(data ?? {}))
enc = await encrypt for sync(clean)</t>
        </is>
      </c>
      <c r="H597" s="3" t="inlineStr">
        <is>
          <t>Clean is JSON.parse(JSON.stringify(data ?? {})). Enc is await encrypt for sync(clean).</t>
        </is>
      </c>
      <c r="I597" s="3" t="inlineStr">
        <is>
          <t>PARTLY READ — some of the code is still showing through; needs a hand pass</t>
        </is>
      </c>
      <c r="J597" s="3" t="inlineStr">
        <is>
          <t>1. uid: string
2. data: object</t>
        </is>
      </c>
      <c r="K597" s="3" t="inlineStr">
        <is>
          <t>NOT DECLARED — the code does not say what it gives back</t>
        </is>
      </c>
      <c r="L597" s="3" t="inlineStr">
        <is>
          <t>—</t>
        </is>
      </c>
      <c r="M597" s="3" t="inlineStr">
        <is>
          <t>None found in this function — anything it assumes comes from the functions it depends on.</t>
        </is>
      </c>
      <c r="N597" s="3" t="inlineStr">
        <is>
          <t>Yes</t>
        </is>
      </c>
      <c r="O597" s="3" t="inlineStr">
        <is>
          <t>1. MK-XS-F-054 encryptForSync
2. MK-XS-F-175 uid</t>
        </is>
      </c>
      <c r="P597" s="3" t="n">
        <v>84</v>
      </c>
      <c r="Q597"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MK-CF-F-038 debtsFromOnboarding
13. MK-XS-F-083 fetchPriceSeries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MK-XS-F-135 secureGet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MK-ST-F-039 on
76. MK-CF-F-100 taxableIncomeFor
77. MK-ST-F-034 firstDate
78. MK-XS-F-147 call
79. MK-CF-F-075 retirementIncomeMonthly
80. MK-ST-F-047 activeCurrency
81. MK-CF-F-099 deductionFor
82. MK-XS-F-064 currentIdToken
83. MK-XS-F-112 relayUrl
84. MK-CF-F-187 seniorDeductionFor</t>
        </is>
      </c>
      <c r="R597"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MK-XS-F-074</t>
        </is>
      </c>
      <c r="B598" s="3" t="inlineStr">
        <is>
          <t>loadUserData</t>
        </is>
      </c>
      <c r="C598" s="3" t="inlineStr">
        <is>
          <t>src/services/firebase.ts</t>
        </is>
      </c>
      <c r="D598" s="3" t="n">
        <v>501</v>
      </c>
      <c r="E598" s="3" t="inlineStr">
        <is>
          <t>4 · BRINGS DATA IN</t>
        </is>
      </c>
      <c r="F598" s="3" t="inlineStr">
        <is>
          <t>NOT DETERMINED — the code carries no note saying what this is for, and it has no row in the old inventory. Needs reading.</t>
        </is>
      </c>
      <c r="G598" s="11" t="inlineStr">
        <is>
          <t>snap = await get doc(doc(db, 'users', uid))
nothing   when !snap.exists()
d = snap.data()
await decrypt from sync(app state enc)   when app state enc ≠ nothing
the answer = app state (or nothing when missing)</t>
        </is>
      </c>
      <c r="H598" s="3" t="inlineStr">
        <is>
          <t>Snap is await get doc(doc(db, 'users', uid)). When !snap.exists(), it answers no answer. D is snap.data(). When app state enc is not no answer, it answers await decrypt from sync(app state enc). The answer is app state (or no answer — when missing).</t>
        </is>
      </c>
      <c r="I598" s="3" t="inlineStr">
        <is>
          <t>PARTLY READ — some of the code is still showing through; needs a hand pass</t>
        </is>
      </c>
      <c r="J598" s="3" t="inlineStr">
        <is>
          <t>uid: string</t>
        </is>
      </c>
      <c r="K598" s="3" t="inlineStr">
        <is>
          <t>Promise&lt;Record&lt;string, any&gt; | null&gt;</t>
        </is>
      </c>
      <c r="L598" s="3" t="inlineStr">
        <is>
          <t>"Restore your data" — on the auth screen</t>
        </is>
      </c>
      <c r="M598" s="3" t="inlineStr">
        <is>
          <t>None found in this function — anything it assumes comes from the functions it depends on.</t>
        </is>
      </c>
      <c r="N598" s="3" t="inlineStr">
        <is>
          <t>Yes</t>
        </is>
      </c>
      <c r="O598" s="3" t="inlineStr">
        <is>
          <t>1. MK-XS-F-055 decryptFromSync
2. MK-XS-F-175 uid</t>
        </is>
      </c>
      <c r="P598" s="3" t="n">
        <v>85</v>
      </c>
      <c r="Q598"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598"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598" s="3" t="inlineStr">
        <is>
          <t>—</t>
        </is>
      </c>
      <c r="T598" s="3" t="inlineStr">
        <is>
          <t>—</t>
        </is>
      </c>
      <c r="U598" s="3" t="inlineStr">
        <is>
          <t>ACTIVE</t>
        </is>
      </c>
      <c r="V598" s="3" t="inlineStr">
        <is>
          <t>2026-08-27</t>
        </is>
      </c>
      <c r="W598" s="3" t="n"/>
      <c r="X598" s="3" t="n"/>
      <c r="Y598" s="3" t="inlineStr">
        <is>
          <t>NOTHING OPEN</t>
        </is>
      </c>
    </row>
    <row r="599" ht="45" customHeight="1">
      <c r="A599" s="3" t="inlineStr">
        <is>
          <t>MK-XS-F-075</t>
        </is>
      </c>
      <c r="B599" s="3" t="inlineStr">
        <is>
          <t>createInvite</t>
        </is>
      </c>
      <c r="C599" s="3" t="inlineStr">
        <is>
          <t>src/services/firebase.ts</t>
        </is>
      </c>
      <c r="D599" s="3" t="n">
        <v>557</v>
      </c>
      <c r="E599" s="3" t="inlineStr">
        <is>
          <t>2 · DISPLAYED (presentation only)</t>
        </is>
      </c>
      <c r="F599" s="3" t="inlineStr">
        <is>
          <t>Create an invite code pointing at this household's shared data doc.</t>
        </is>
      </c>
      <c r="G599" s="11" t="inlineStr">
        <is>
          <t>code = make invite code()
the answer = code</t>
        </is>
      </c>
      <c r="H599" s="3" t="inlineStr">
        <is>
          <t>Code is make invite code(). The answer is code.</t>
        </is>
      </c>
      <c r="I599" s="3" t="inlineStr">
        <is>
          <t>READ FROM THE CODE — rendered from the expressions the function runs</t>
        </is>
      </c>
      <c r="J599" s="3" t="inlineStr">
        <is>
          <t>1. householdId: string
2. inviterName: string | null</t>
        </is>
      </c>
      <c r="K599" s="3" t="inlineStr">
        <is>
          <t>Promise&lt;string&gt;</t>
        </is>
      </c>
      <c r="L599" s="3" t="inlineStr">
        <is>
          <t>"Vesting schedule" — on the setup questions, which appear on more than one screen</t>
        </is>
      </c>
      <c r="M599" s="3" t="inlineStr">
        <is>
          <t>None found in this function — anything it assumes comes from the functions it depends on.</t>
        </is>
      </c>
      <c r="N599" s="3" t="inlineStr">
        <is>
          <t>Yes</t>
        </is>
      </c>
      <c r="O599" s="3" t="inlineStr">
        <is>
          <t>MK-XS-F-142 makeInviteCode</t>
        </is>
      </c>
      <c r="P599" s="3" t="n">
        <v>1</v>
      </c>
      <c r="Q599" s="3" t="inlineStr">
        <is>
          <t>MK-XS-F-142 makeInviteCode</t>
        </is>
      </c>
      <c r="R599" s="3" t="inlineStr">
        <is>
          <t>MK-XS-F-142 makeInviteCode → MK-XS-F-075 createInvite</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MK-XS-F-076</t>
        </is>
      </c>
      <c r="B600" s="3" t="inlineStr">
        <is>
          <t>lookupInvite</t>
        </is>
      </c>
      <c r="C600" s="3" t="inlineStr">
        <is>
          <t>src/services/firebase.ts</t>
        </is>
      </c>
      <c r="D600" s="3" t="n">
        <v>588</v>
      </c>
      <c r="E600" s="3" t="inlineStr">
        <is>
          <t>4 · BRINGS DATA IN</t>
        </is>
      </c>
      <c r="F600" s="3" t="inlineStr">
        <is>
          <t>NOT DETERMINED — the code carries no note saying what this is for, and it has no row in the old inventory. Needs reading.</t>
        </is>
      </c>
      <c r="G600" s="11" t="inlineStr">
        <is>
          <t>snap = await get doc(doc(db, 'invites', code.trim().to upper case()))
nothing   when !snap.exists()
d = snap.data() as any
the answer:
household id = household id
inviter name = inviter name (or nothing when missing)   if household id
nothing   otherwise</t>
        </is>
      </c>
      <c r="H600" s="3" t="inlineStr">
        <is>
          <t>Snap is await get doc(doc(db, 'invites', code.trim().to upper case())). When !snap.exists(), it answers no answer. D is snap.data() as any. The answer is household id = household id; inviter name = inviter name (or no answer when missing) — when household id; no answer — otherwise.</t>
        </is>
      </c>
      <c r="I600" s="3" t="inlineStr">
        <is>
          <t>PARTLY READ — some of the code is still showing through; needs a hand pass</t>
        </is>
      </c>
      <c r="J600" s="3" t="inlineStr">
        <is>
          <t>code: string</t>
        </is>
      </c>
      <c r="K600" s="3" t="inlineStr">
        <is>
          <t>Promise&lt;</t>
        </is>
      </c>
      <c r="L600" s="3" t="inlineStr">
        <is>
          <t>—</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MK-XS-F-077</t>
        </is>
      </c>
      <c r="B601" s="3" t="inlineStr">
        <is>
          <t>setUserHousehold</t>
        </is>
      </c>
      <c r="C601" s="3" t="inlineStr">
        <is>
          <t>src/services/firebase.ts</t>
        </is>
      </c>
      <c r="D601" s="3" t="n">
        <v>611</v>
      </c>
      <c r="E601" s="3" t="inlineStr">
        <is>
          <t>1 · ACTION</t>
        </is>
      </c>
      <c r="F601" s="3" t="inlineStr">
        <is>
          <t>Record household membership on the member's own user doc (survives reinstall/new device).</t>
        </is>
      </c>
      <c r="G601" s="11" t="inlineStr">
        <is>
          <t>It reaches outside the app for data and hands back what came back — no arithmetic of its own.</t>
        </is>
      </c>
      <c r="H601" s="3" t="inlineStr">
        <is>
          <t>It reaches outside the app for data and hands back what came back — no arithmetic of its own.</t>
        </is>
      </c>
      <c r="I601" s="3" t="inlineStr">
        <is>
          <t>NO ARITHMETIC — there is no formula to state</t>
        </is>
      </c>
      <c r="J601" s="3" t="inlineStr">
        <is>
          <t>1. uid: string
2. householdId: string</t>
        </is>
      </c>
      <c r="K601" s="3" t="inlineStr">
        <is>
          <t>Promise&lt;void&gt;</t>
        </is>
      </c>
      <c r="L601" s="3" t="inlineStr">
        <is>
          <t>—</t>
        </is>
      </c>
      <c r="M601" s="3" t="inlineStr">
        <is>
          <t>None found in this function — anything it assumes comes from the functions it depends on.</t>
        </is>
      </c>
      <c r="N601" s="3" t="inlineStr">
        <is>
          <t>Yes</t>
        </is>
      </c>
      <c r="O601" s="3" t="inlineStr">
        <is>
          <t>1. MK-XS-F-074 loadUserData
2. MK-XS-F-175 uid</t>
        </is>
      </c>
      <c r="P601" s="3" t="n">
        <v>86</v>
      </c>
      <c r="Q601"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MK-XS-F-053 decryptWithKey
31. MK-XS-F-042 getDataKey
32. MK-XS-F-051 isEncrypted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MK-XS-F-135 secureGet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MK-ST-F-039 on
78. MK-CF-F-100 taxableIncomeFor
79. MK-ST-F-034 firstDate
80. MK-XS-F-147 call
81. MK-CF-F-075 retirementIncomeMonthly
82. MK-ST-F-047 activeCurrency
83. MK-CF-F-099 deductionFor
84. MK-XS-F-064 currentIdToken
85. MK-XS-F-112 relayUrl
86. MK-CF-F-187 seniorDeductionFor</t>
        </is>
      </c>
      <c r="R601"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01" s="3" t="inlineStr">
        <is>
          <t>—</t>
        </is>
      </c>
      <c r="T601" s="3" t="inlineStr">
        <is>
          <t>—</t>
        </is>
      </c>
      <c r="U601" s="3" t="inlineStr">
        <is>
          <t>ACTIVE</t>
        </is>
      </c>
      <c r="V601" s="3" t="inlineStr">
        <is>
          <t>2026-08-27</t>
        </is>
      </c>
      <c r="W601" s="3" t="n"/>
      <c r="X601" s="3" t="n"/>
      <c r="Y601" s="3" t="inlineStr">
        <is>
          <t>NOTHING OPEN</t>
        </is>
      </c>
    </row>
    <row r="602" ht="60" customHeight="1">
      <c r="A602" s="3" t="inlineStr">
        <is>
          <t>MK-XS-F-078</t>
        </is>
      </c>
      <c r="B602" s="3" t="inlineStr">
        <is>
          <t>joinHouseholdMembership</t>
        </is>
      </c>
      <c r="C602" s="3" t="inlineStr">
        <is>
          <t>src/services/firebase.ts</t>
        </is>
      </c>
      <c r="D602" s="3" t="n">
        <v>636</v>
      </c>
      <c r="E602" s="3" t="inlineStr">
        <is>
          <t>1 · ACTION</t>
        </is>
      </c>
      <c r="F602" s="3" t="inlineStr">
        <is>
          <t>Claim membership in {householdId} by writing the member doc the security rules gate access on.</t>
        </is>
      </c>
      <c r="G602" s="11" t="inlineStr">
        <is>
          <t>It reaches outside the app for data and hands back what came back — no arithmetic of its own.</t>
        </is>
      </c>
      <c r="H602" s="3" t="inlineStr">
        <is>
          <t>It reaches outside the app for data and hands back what came back — no arithmetic of its own.</t>
        </is>
      </c>
      <c r="I602" s="3" t="inlineStr">
        <is>
          <t>NO ARITHMETIC — there is no formula to state</t>
        </is>
      </c>
      <c r="J602" s="3" t="inlineStr">
        <is>
          <t>1. uid: string
2. householdId: string
3. code: string</t>
        </is>
      </c>
      <c r="K602" s="3" t="inlineStr">
        <is>
          <t>Promise&lt;void&gt;</t>
        </is>
      </c>
      <c r="L602" s="3" t="inlineStr">
        <is>
          <t>—</t>
        </is>
      </c>
      <c r="M602" s="3" t="inlineStr">
        <is>
          <t>None found in this function — anything it assumes comes from the functions it depends on.</t>
        </is>
      </c>
      <c r="N602" s="3" t="inlineStr">
        <is>
          <t>Yes</t>
        </is>
      </c>
      <c r="O602" s="3" t="inlineStr">
        <is>
          <t>MK-XS-F-175 uid</t>
        </is>
      </c>
      <c r="P602" s="3" t="n">
        <v>80</v>
      </c>
      <c r="Q602"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02"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MK-XS-F-079</t>
        </is>
      </c>
      <c r="B603" s="3" t="inlineStr">
        <is>
          <t>loadUserRoot</t>
        </is>
      </c>
      <c r="C603" s="3" t="inlineStr">
        <is>
          <t>src/services/firebase.ts</t>
        </is>
      </c>
      <c r="D603" s="3" t="n">
        <v>670</v>
      </c>
      <c r="E603" s="3" t="inlineStr">
        <is>
          <t>4 · BRINGS DATA IN</t>
        </is>
      </c>
      <c r="F603" s="3" t="inlineStr">
        <is>
          <t>The member's own top-level doc fields (householdId + decrypted appState) in one read.</t>
        </is>
      </c>
      <c r="G603"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03"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03" s="3" t="inlineStr">
        <is>
          <t>PARTLY READ — some of the code is still showing through; needs a hand pass</t>
        </is>
      </c>
      <c r="J603" s="3" t="inlineStr">
        <is>
          <t>uid: string</t>
        </is>
      </c>
      <c r="K603" s="3" t="inlineStr">
        <is>
          <t>Promise&lt;</t>
        </is>
      </c>
      <c r="L603" s="3" t="inlineStr">
        <is>
          <t>—</t>
        </is>
      </c>
      <c r="M603" s="3" t="inlineStr">
        <is>
          <t>None found in this function — anything it assumes comes from the functions it depends on.</t>
        </is>
      </c>
      <c r="N603" s="3" t="inlineStr">
        <is>
          <t>Yes</t>
        </is>
      </c>
      <c r="O603" s="3" t="inlineStr">
        <is>
          <t>1. MK-XS-F-055 decryptFromSync
2. MK-XS-F-175 uid</t>
        </is>
      </c>
      <c r="P603" s="3" t="n">
        <v>85</v>
      </c>
      <c r="Q603"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MK-CF-F-038 debtsFromOnboarding
14. MK-XS-F-083 fetchPriceSeries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MK-XS-F-135 secureGet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MK-ST-F-039 on
77. MK-CF-F-100 taxableIncomeFor
78. MK-ST-F-034 firstDate
79. MK-XS-F-147 call
80. MK-CF-F-075 retirementIncomeMonthly
81. MK-ST-F-047 activeCurrency
82. MK-CF-F-099 deductionFor
83. MK-XS-F-064 currentIdToken
84. MK-XS-F-112 relayUrl
85. MK-CF-F-187 seniorDeductionFor</t>
        </is>
      </c>
      <c r="R603"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MK-XS-F-080</t>
        </is>
      </c>
      <c r="B604" s="3" t="inlineStr">
        <is>
          <t>submitFeedback</t>
        </is>
      </c>
      <c r="C604" s="3" t="inlineStr">
        <is>
          <t>src/services/firebase.ts</t>
        </is>
      </c>
      <c r="D604" s="3" t="n">
        <v>693</v>
      </c>
      <c r="E604" s="3" t="inlineStr">
        <is>
          <t>1 · ACTION</t>
        </is>
      </c>
      <c r="F604" s="3" t="inlineStr">
        <is>
          <t>NOT DETERMINED — the code carries no note saying what this is for, and it has no row in the old inventory. Needs reading.</t>
        </is>
      </c>
      <c r="G604" s="11" t="inlineStr">
        <is>
          <t>It reaches outside the app for data and hands back what came back — no arithmetic of its own.</t>
        </is>
      </c>
      <c r="H604" s="3" t="inlineStr">
        <is>
          <t>It reaches outside the app for data and hands back what came back — no arithmetic of its own.</t>
        </is>
      </c>
      <c r="I604" s="3" t="inlineStr">
        <is>
          <t>NO ARITHMETIC — there is no formula to state</t>
        </is>
      </c>
      <c r="J604" s="3" t="inlineStr">
        <is>
          <t>Nothing is handed to it</t>
        </is>
      </c>
      <c r="K604" s="3" t="inlineStr">
        <is>
          <t>NOT DECLARED — the code does not say what it gives back</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45" customHeight="1">
      <c r="A605" s="3" t="inlineStr">
        <is>
          <t>MK-XS-F-081</t>
        </is>
      </c>
      <c r="B605" s="3" t="inlineStr">
        <is>
          <t>isPlausibleTicker</t>
        </is>
      </c>
      <c r="C605" s="3" t="inlineStr">
        <is>
          <t>src/services/marketData.ts</t>
        </is>
      </c>
      <c r="D605" s="3" t="n">
        <v>96</v>
      </c>
      <c r="E605" s="3" t="inlineStr">
        <is>
          <t>2 · DISPLAYED</t>
        </is>
      </c>
      <c r="F605" s="3" t="inlineStr">
        <is>
          <t>Is a ticker plausibly valid before we spend a network call?</t>
        </is>
      </c>
      <c r="G605" s="11" t="inlineStr">
        <is>
          <t>÷ ^[A − za − z]{1,6}([.\-][A − za − z]{1,4})?$ ÷ .test((ticker ?? '').trim())</t>
        </is>
      </c>
      <c r="H605" s="3" t="inlineStr">
        <is>
          <t>÷ ^[A minus za minus z]{1,6}([.\-][A minus za minus z]{1,4})?$ divided by .test((ticker ?? '').trim()).</t>
        </is>
      </c>
      <c r="I605" s="3" t="inlineStr">
        <is>
          <t>PARTLY READ — some of the code is still showing through; needs a hand pass</t>
        </is>
      </c>
      <c r="J605" s="3" t="inlineStr">
        <is>
          <t>ticker: string</t>
        </is>
      </c>
      <c r="K605" s="3" t="inlineStr">
        <is>
          <t>boolean</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t>
        </is>
      </c>
      <c r="P605" s="3" t="n">
        <v>0</v>
      </c>
      <c r="Q605" s="3" t="inlineStr">
        <is>
          <t>None — no dependent function stands behind it</t>
        </is>
      </c>
      <c r="R605" s="3" t="inlineStr">
        <is>
          <t>No dependent function — it reads its inputs and answers</t>
        </is>
      </c>
      <c r="S605" s="3" t="inlineStr">
        <is>
          <t>—</t>
        </is>
      </c>
      <c r="T605" s="3" t="inlineStr">
        <is>
          <t>TICKER_PLAUSIBLE</t>
        </is>
      </c>
      <c r="U605" s="3" t="inlineStr">
        <is>
          <t>ACTIVE</t>
        </is>
      </c>
      <c r="V605" s="3" t="inlineStr">
        <is>
          <t>2026-08-27</t>
        </is>
      </c>
      <c r="W605" s="3" t="n"/>
      <c r="X605" s="3" t="n"/>
      <c r="Y605" s="3" t="inlineStr">
        <is>
          <t>NOTHING OPEN</t>
        </is>
      </c>
    </row>
    <row r="606" ht="60" customHeight="1">
      <c r="A606" s="3" t="inlineStr">
        <is>
          <t>MK-XS-F-082</t>
        </is>
      </c>
      <c r="B606" s="3" t="inlineStr">
        <is>
          <t>priceFreshness</t>
        </is>
      </c>
      <c r="C606" s="3" t="inlineStr">
        <is>
          <t>src/services/marketData.ts</t>
        </is>
      </c>
      <c r="D606" s="3" t="n">
        <v>120</v>
      </c>
      <c r="E606" s="3" t="inlineStr">
        <is>
          <t>2 · DISPLAYED</t>
        </is>
      </c>
      <c r="F606" s="3" t="inlineStr">
        <is>
          <t>Human freshness of the price cache + whether it's stale enough to warn (markets move daily, so anything older than ~4 days — a long weekend/holiday — is worth a "may be out of date" note).</t>
        </is>
      </c>
      <c r="G606" s="11" t="inlineStr">
        <is>
          <t>age   = now − the moment prices were last fetched
stale = age ≥ 4 days,  or nothing was ever fetched,  or the moment cannot be read</t>
        </is>
      </c>
      <c r="H606"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06" s="3" t="inlineStr">
        <is>
          <t>READ BY HAND 2026-08-26 — checked line by line against the code</t>
        </is>
      </c>
      <c r="J606" s="3" t="inlineStr">
        <is>
          <t>1. fetchedAt: string | null | undefined
2. now: number</t>
        </is>
      </c>
      <c r="K606" s="3" t="inlineStr">
        <is>
          <t>PriceFreshness</t>
        </is>
      </c>
      <c r="L606" s="3" t="inlineStr">
        <is>
          <t>NOT FOUND — a screen calls it, but the words printed beside its answer could not be traced automatically. Needs reading.</t>
        </is>
      </c>
      <c r="M606" s="3" t="inlineStr">
        <is>
          <t>None found in this function — anything it assumes comes from the functions it depends on.</t>
        </is>
      </c>
      <c r="N606" s="3" t="inlineStr">
        <is>
          <t>Yes</t>
        </is>
      </c>
      <c r="O606" s="3" t="inlineStr">
        <is>
          <t>1. MK-ST-F-075 agoLabel
2. MK-ST-F-077 isStale</t>
        </is>
      </c>
      <c r="P606" s="3" t="n">
        <v>3</v>
      </c>
      <c r="Q606" s="3" t="inlineStr">
        <is>
          <t>1. MK-ST-F-075 agoLabel
2. MK-ST-F-077 isStale
3. MK-XS-F-170 daysSince</t>
        </is>
      </c>
      <c r="R606" s="3" t="inlineStr">
        <is>
          <t>1. MK-XS-F-170 daysSince → MK-ST-F-075 agoLabel → MK-XS-F-082 priceFreshness
2. MK-XS-F-170 daysSince → MK-ST-F-077 isStale → MK-XS-F-082 priceFreshness</t>
        </is>
      </c>
      <c r="S606" s="3" t="inlineStr">
        <is>
          <t>MK-HM-M-001</t>
        </is>
      </c>
      <c r="T606" s="3" t="inlineStr">
        <is>
          <t>PRICE_FRESHNESS</t>
        </is>
      </c>
      <c r="U606" s="3" t="inlineStr">
        <is>
          <t>ACTIVE</t>
        </is>
      </c>
      <c r="V606" s="3" t="inlineStr">
        <is>
          <t>2026-08-27</t>
        </is>
      </c>
      <c r="W606" s="3" t="n"/>
      <c r="X606" s="3" t="n"/>
      <c r="Y606" s="3" t="inlineStr">
        <is>
          <t>NOTHING OPEN</t>
        </is>
      </c>
    </row>
    <row r="607" ht="60" customHeight="1">
      <c r="A607" s="3" t="inlineStr">
        <is>
          <t>MK-XS-F-083</t>
        </is>
      </c>
      <c r="B607" s="3" t="inlineStr">
        <is>
          <t>fetchPriceSeries</t>
        </is>
      </c>
      <c r="C607" s="3" t="inlineStr">
        <is>
          <t>src/services/marketData.ts</t>
        </is>
      </c>
      <c r="D607" s="3" t="n">
        <v>160</v>
      </c>
      <c r="E607" s="3" t="inlineStr">
        <is>
          <t>3 · DEPENDENT</t>
        </is>
      </c>
      <c r="F607" s="3" t="inlineStr">
        <is>
          <t>Fetch many tickers in parallel; returns only the ones that resolved.</t>
        </is>
      </c>
      <c r="G607" s="11" t="inlineStr">
        <is>
          <t>unique = array.from(new set(tickers.map((t) =&gt; trim().to upper case()).filter(boolean)))
results = await promise.all settled(unique.map((t) =&gt; provider.fetch series(t, range)))
out = {}
r = results[i]
the answer = out</t>
        </is>
      </c>
      <c r="H607" s="3" t="inlineStr">
        <is>
          <t>Unique is array.from(new set(tickers.map((t) =&gt; trim().to upper case()).filter(boolean))). Results is await promise.all settled(unique.map((t) =&gt; provider.fetch series(t, range))). Out is {}. R is results[i]. The answer is out.</t>
        </is>
      </c>
      <c r="I607" s="3" t="inlineStr">
        <is>
          <t>PARTLY READ — some of the code is still showing through; needs a hand pass</t>
        </is>
      </c>
      <c r="J607" s="3" t="inlineStr">
        <is>
          <t>Nothing is handed to it</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MK-CF-F-132 map</t>
        </is>
      </c>
      <c r="P607" s="3" t="n">
        <v>1</v>
      </c>
      <c r="Q607" s="3" t="inlineStr">
        <is>
          <t>MK-CF-F-132 map</t>
        </is>
      </c>
      <c r="R607" s="3" t="inlineStr">
        <is>
          <t>MK-CF-F-132 map → MK-XS-F-083 fetchPriceSeries</t>
        </is>
      </c>
      <c r="S607" s="3" t="inlineStr">
        <is>
          <t>—</t>
        </is>
      </c>
      <c r="T607" s="3" t="inlineStr">
        <is>
          <t>FETCH_PRICES</t>
        </is>
      </c>
      <c r="U607" s="3" t="inlineStr">
        <is>
          <t>ACTIVE</t>
        </is>
      </c>
      <c r="V607" s="3" t="inlineStr">
        <is>
          <t>2026-09-12</t>
        </is>
      </c>
      <c r="W607" s="3" t="n"/>
      <c r="X607" s="3" t="n"/>
      <c r="Y607" s="3" t="inlineStr">
        <is>
          <t>NOTHING OPEN</t>
        </is>
      </c>
    </row>
    <row r="608" ht="60" customHeight="1">
      <c r="A608" s="3" t="inlineStr">
        <is>
          <t>MK-XS-F-084</t>
        </is>
      </c>
      <c r="B608" s="3" t="inlineStr">
        <is>
          <t>requestNotificationPermission</t>
        </is>
      </c>
      <c r="C608" s="3" t="inlineStr">
        <is>
          <t>src/services/notifications.ts</t>
        </is>
      </c>
      <c r="D608" s="3" t="n">
        <v>34</v>
      </c>
      <c r="E608" s="3" t="inlineStr">
        <is>
          <t>2 · DISPLAYED</t>
        </is>
      </c>
      <c r="F608" s="3" t="inlineStr">
        <is>
          <t>NOT DETERMINED — the code carries no note saying what this is for, and it has no row in the old inventory. Needs reading.</t>
        </is>
      </c>
      <c r="G608" s="11" t="inlineStr">
        <is>
          <t>false   when device.is device is missing
true   when existing = 'granted'
status = 'granted'</t>
        </is>
      </c>
      <c r="H608" s="3" t="inlineStr">
        <is>
          <t>When device.is device is missing, it answers false. When existing = 'granted', it answers true. status = 'granted'.</t>
        </is>
      </c>
      <c r="I608" s="3" t="inlineStr">
        <is>
          <t>READ FROM THE CODE — rendered from the expressions the function runs</t>
        </is>
      </c>
      <c r="J608" s="3" t="inlineStr">
        <is>
          <t>Nothing is handed to it</t>
        </is>
      </c>
      <c r="K608" s="3" t="inlineStr">
        <is>
          <t>Promise&lt;boolean&gt;</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30" customHeight="1">
      <c r="A609" s="3" t="inlineStr">
        <is>
          <t>MK-XS-F-085</t>
        </is>
      </c>
      <c r="B609" s="3" t="inlineStr">
        <is>
          <t>scheduleStreakReminder</t>
        </is>
      </c>
      <c r="C609" s="3" t="inlineStr">
        <is>
          <t>src/services/notifications.ts</t>
        </is>
      </c>
      <c r="D609" s="3" t="n">
        <v>60</v>
      </c>
      <c r="E609" s="3" t="inlineStr">
        <is>
          <t>1 · ACTION</t>
        </is>
      </c>
      <c r="F609" s="3" t="inlineStr">
        <is>
          <t>── Schedule daily streak reminder ─────────────────────────────────</t>
        </is>
      </c>
      <c r="G609" s="11" t="inlineStr">
        <is>
          <t>cancels the existing reminder, then schedules a daily one at 20:00</t>
        </is>
      </c>
      <c r="H609" s="3" t="inlineStr">
        <is>
          <t>Schedules the daily 8 pm streak reminder, replacing any existing one. Not a calculation.</t>
        </is>
      </c>
      <c r="I609" s="3" t="inlineStr">
        <is>
          <t>READ BY HAND 2026-08-26 — checked line by line against the code</t>
        </is>
      </c>
      <c r="J609" s="3" t="inlineStr">
        <is>
          <t>Nothing is handed to it</t>
        </is>
      </c>
      <c r="K609" s="3" t="inlineStr">
        <is>
          <t>NOT DECLARED — the code does not say what it gives back</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30" customHeight="1">
      <c r="A610" s="3" t="inlineStr">
        <is>
          <t>MK-XS-F-086</t>
        </is>
      </c>
      <c r="B610" s="3" t="inlineStr">
        <is>
          <t>cancelStreakReminder</t>
        </is>
      </c>
      <c r="C610" s="3" t="inlineStr">
        <is>
          <t>src/services/notifications.ts</t>
        </is>
      </c>
      <c r="D610" s="3" t="n">
        <v>94</v>
      </c>
      <c r="E610" s="3" t="inlineStr">
        <is>
          <t>1 · ACTION</t>
        </is>
      </c>
      <c r="F610" s="3" t="inlineStr">
        <is>
          <t>── Cancel streak reminder (e.g.</t>
        </is>
      </c>
      <c r="G610" s="11" t="inlineStr">
        <is>
          <t>cancels the daily reminder</t>
        </is>
      </c>
      <c r="H610" s="3" t="inlineStr">
        <is>
          <t>Cancels the daily streak reminder. Not a calculation.</t>
        </is>
      </c>
      <c r="I610" s="3" t="inlineStr">
        <is>
          <t>READ BY HAND 2026-08-26 — checked line by line against the code</t>
        </is>
      </c>
      <c r="J610" s="3" t="inlineStr">
        <is>
          <t>Nothing is handed to it</t>
        </is>
      </c>
      <c r="K610" s="3" t="inlineStr">
        <is>
          <t>NOT DECLARED — the code does not say what it gives back</t>
        </is>
      </c>
      <c r="L610" s="3" t="inlineStr">
        <is>
          <t>—</t>
        </is>
      </c>
      <c r="M610" s="3" t="inlineStr">
        <is>
          <t>None found in this function — anything it assumes comes from the functions it depends on.</t>
        </is>
      </c>
      <c r="N610" s="3" t="inlineStr">
        <is>
          <t>No</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2026-09-12</t>
        </is>
      </c>
      <c r="W610" s="3" t="n"/>
      <c r="X610" s="3" t="n"/>
      <c r="Y610" s="3" t="inlineStr">
        <is>
          <t>NOTHING OPEN</t>
        </is>
      </c>
    </row>
    <row r="611" ht="60" customHeight="1">
      <c r="A611" s="3" t="inlineStr">
        <is>
          <t>MK-XS-F-087</t>
        </is>
      </c>
      <c r="B611" s="3" t="inlineStr">
        <is>
          <t>scheduleRmdReminder</t>
        </is>
      </c>
      <c r="C611" s="3" t="inlineStr">
        <is>
          <t>src/services/notifications.ts</t>
        </is>
      </c>
      <c r="D611" s="3" t="n">
        <v>121</v>
      </c>
      <c r="E611" s="3" t="inlineStr">
        <is>
          <t>2 · DISPLAYED</t>
        </is>
      </c>
      <c r="F611" s="3" t="inlineStr">
        <is>
          <t>── Required-withdrawal reminders (FCC Plan r48/r51 — logistics only, no timing advice) ── November 1 nudge ahead of the Dec 31 deadline (this year or a future start year).</t>
        </is>
      </c>
      <c r="G611" s="11" t="inlineStr">
        <is>
          <t>id = `rmd − reminder-${year}`
fire at = the date year, 10, 1, 10, 0, 0
false   when fire at.get time() ≤ date.now()
the answer = true</t>
        </is>
      </c>
      <c r="H611" s="3" t="inlineStr">
        <is>
          <t>Id is `rmd minus reminder-${year}`. Fire at: the date year, 10, 1, 10, 0, 0. When fire at.get time() is at most date.now(), it answers false. The answer is true.</t>
        </is>
      </c>
      <c r="I611" s="3" t="inlineStr">
        <is>
          <t>PARTLY READ — some of the code is still showing through; needs a hand pass</t>
        </is>
      </c>
      <c r="J611" s="3" t="inlineStr">
        <is>
          <t>year: number</t>
        </is>
      </c>
      <c r="K611" s="3" t="inlineStr">
        <is>
          <t>NOT DECLARED — the code does not say what it gives back</t>
        </is>
      </c>
      <c r="L611" s="3" t="inlineStr">
        <is>
          <t>NOT FOUND — a screen calls it, but the words printed beside its answer could not be traced automatically. Needs reading.</t>
        </is>
      </c>
      <c r="M611" s="3" t="inlineStr">
        <is>
          <t>· Uses today's date from the device clock, so the answer changes by itself overnight.</t>
        </is>
      </c>
      <c r="N611" s="3" t="inlineStr">
        <is>
          <t>Yes</t>
        </is>
      </c>
      <c r="O611" s="3" t="inlineStr">
        <is>
          <t>—</t>
        </is>
      </c>
      <c r="P611" s="3" t="n">
        <v>0</v>
      </c>
      <c r="Q611" s="3" t="inlineStr">
        <is>
          <t>None — no dependent function stands behind it</t>
        </is>
      </c>
      <c r="R611" s="3" t="inlineStr">
        <is>
          <t>No dependent function — it reads its inputs and answers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MK-XS-F-088</t>
        </is>
      </c>
      <c r="B612" s="3" t="inlineStr">
        <is>
          <t>sendBudgetAlert</t>
        </is>
      </c>
      <c r="C612" s="3" t="inlineStr">
        <is>
          <t>src/services/notifications.ts</t>
        </is>
      </c>
      <c r="D612" s="3" t="n">
        <v>158</v>
      </c>
      <c r="E612" s="3" t="inlineStr">
        <is>
          <t>1 · ACTION</t>
        </is>
      </c>
      <c r="F612" s="3" t="inlineStr">
        <is>
          <t>── Budget alert (fire immediately) ────────────────────────────────</t>
        </is>
      </c>
      <c r="G612" s="11" t="inlineStr">
        <is>
          <t>sends one alert now: '&lt;category&gt; budget at &lt;round(pct)&gt;%'</t>
        </is>
      </c>
      <c r="H612" s="3" t="inlineStr">
        <is>
          <t>Sends an immediate alert naming the category and how much of its budget is used, to the whole percent. Display only.</t>
        </is>
      </c>
      <c r="I612" s="3" t="inlineStr">
        <is>
          <t>READ BY HAND 2026-08-26 — checked line by line against the code</t>
        </is>
      </c>
      <c r="J612" s="3" t="inlineStr">
        <is>
          <t>1. category: string
2. pct: number</t>
        </is>
      </c>
      <c r="K612" s="3" t="inlineStr">
        <is>
          <t>NOT DECLARED — the code does not say what it gives back</t>
        </is>
      </c>
      <c r="L612" s="3" t="inlineStr">
        <is>
          <t>—</t>
        </is>
      </c>
      <c r="M612" s="3" t="inlineStr">
        <is>
          <t>· Rounds the answer to a whole number.</t>
        </is>
      </c>
      <c r="N612" s="3" t="inlineStr">
        <is>
          <t>No</t>
        </is>
      </c>
      <c r="O612" s="3" t="inlineStr">
        <is>
          <t>—</t>
        </is>
      </c>
      <c r="P612" s="3" t="n">
        <v>0</v>
      </c>
      <c r="Q612" s="3" t="inlineStr">
        <is>
          <t>None — no dependent function stands behind it</t>
        </is>
      </c>
      <c r="R612" s="3" t="inlineStr">
        <is>
          <t>No dependent function — it reads its inputs and answers</t>
        </is>
      </c>
      <c r="S612" s="3" t="inlineStr">
        <is>
          <t>—</t>
        </is>
      </c>
      <c r="T612" s="3" t="inlineStr">
        <is>
          <t>—</t>
        </is>
      </c>
      <c r="U612" s="3" t="inlineStr">
        <is>
          <t>ACTIVE</t>
        </is>
      </c>
      <c r="V612" s="3" t="inlineStr">
        <is>
          <t>2026-09-12</t>
        </is>
      </c>
      <c r="W612" s="3" t="n"/>
      <c r="X612" s="3" t="n"/>
      <c r="Y612" s="3" t="inlineStr">
        <is>
          <t>NOTHING OPEN</t>
        </is>
      </c>
    </row>
    <row r="613" ht="30" customHeight="1">
      <c r="A613" s="3" t="inlineStr">
        <is>
          <t>MK-XS-F-089</t>
        </is>
      </c>
      <c r="B613" s="3" t="inlineStr">
        <is>
          <t>scheduleWeeklySummary</t>
        </is>
      </c>
      <c r="C613" s="3" t="inlineStr">
        <is>
          <t>src/services/notifications.ts</t>
        </is>
      </c>
      <c r="D613" s="3" t="n">
        <v>186</v>
      </c>
      <c r="E613" s="3" t="inlineStr">
        <is>
          <t>1 · ACTION</t>
        </is>
      </c>
      <c r="F613" s="3" t="inlineStr">
        <is>
          <t>── Weekly summary notification ────────────────────────────────────</t>
        </is>
      </c>
      <c r="G613" s="11" t="inlineStr">
        <is>
          <t>cancels the existing summary, then schedules a weekly one on Monday at 09:00</t>
        </is>
      </c>
      <c r="H613" s="3" t="inlineStr">
        <is>
          <t>Schedules the Monday 9 am weekly summary, replacing any existing one. Not a calculation.</t>
        </is>
      </c>
      <c r="I613" s="3" t="inlineStr">
        <is>
          <t>READ BY HAND 2026-08-26 — checked line by line against the code</t>
        </is>
      </c>
      <c r="J613" s="3" t="inlineStr">
        <is>
          <t>Nothing is handed to it</t>
        </is>
      </c>
      <c r="K613" s="3" t="inlineStr">
        <is>
          <t>NOT DECLARED — the code does not say what it gives back</t>
        </is>
      </c>
      <c r="L613" s="3" t="inlineStr">
        <is>
          <t>—</t>
        </is>
      </c>
      <c r="M613" s="3" t="inlineStr">
        <is>
          <t>None found in this function — anything it assumes comes from the functions it depends on.</t>
        </is>
      </c>
      <c r="N613" s="3" t="inlineStr">
        <is>
          <t>No</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2026-09-12</t>
        </is>
      </c>
      <c r="W613" s="3" t="n"/>
      <c r="X613" s="3" t="n"/>
      <c r="Y613" s="3" t="inlineStr">
        <is>
          <t>NOTHING OPEN</t>
        </is>
      </c>
    </row>
    <row r="614" ht="45" customHeight="1">
      <c r="A614" s="3" t="inlineStr">
        <is>
          <t>MK-XS-F-090</t>
        </is>
      </c>
      <c r="B614" s="3" t="inlineStr">
        <is>
          <t>addNotificationResponseListener</t>
        </is>
      </c>
      <c r="C614" s="3" t="inlineStr">
        <is>
          <t>src/services/notifications.ts</t>
        </is>
      </c>
      <c r="D614" s="3" t="n">
        <v>221</v>
      </c>
      <c r="E614" s="3" t="inlineStr">
        <is>
          <t>3 · DEPENDENT (feeds an action only)</t>
        </is>
      </c>
      <c r="F614" s="3" t="inlineStr">
        <is>
          <t>── Listen for notification taps ───────────────────────────────────</t>
        </is>
      </c>
      <c r="G614" s="11" t="inlineStr">
        <is>
          <t>screen = response.notification.request.content.data.screen as string</t>
        </is>
      </c>
      <c r="H614" s="3" t="inlineStr">
        <is>
          <t>Screen is response.notification.request.content.data.screen as string.</t>
        </is>
      </c>
      <c r="I614" s="3" t="inlineStr">
        <is>
          <t>READ FROM THE CODE — rendered from the expressions the function runs</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No</t>
        </is>
      </c>
      <c r="O614" s="3" t="inlineStr">
        <is>
          <t>—</t>
        </is>
      </c>
      <c r="P614" s="3" t="n">
        <v>0</v>
      </c>
      <c r="Q614" s="3" t="inlineStr">
        <is>
          <t>None — no dependent function stands behind it</t>
        </is>
      </c>
      <c r="R614" s="3" t="inlineStr">
        <is>
          <t>No dependent function — it reads its inputs and answers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MK-XS-F-091</t>
        </is>
      </c>
      <c r="B615" s="3" t="inlineStr">
        <is>
          <t>scheduleSsWindowReminder</t>
        </is>
      </c>
      <c r="C615" s="3" t="inlineStr">
        <is>
          <t>src/services/notifications.ts</t>
        </is>
      </c>
      <c r="D615" s="3" t="n">
        <v>253</v>
      </c>
      <c r="E615" s="3" t="inlineStr">
        <is>
          <t>2 · DISPLAYED</t>
        </is>
      </c>
      <c r="F615" s="3" t="inlineStr">
        <is>
          <t>── Social Security claim-window reminder (design r18, built pre-48 per founder decision) ── Fires the month the claim window opens (their 62nd-birthday month), 10:00 on the 1st.</t>
        </is>
      </c>
      <c r="G615" s="11" t="inlineStr">
        <is>
          <t>id = 'ss − window − reminder'
fire at = the date opens year, opens month1 − 1, 1, 10, 0, 0
false   when fire at.get time() ≤ date.now()
the answer = true</t>
        </is>
      </c>
      <c r="H615" s="3" t="inlineStr">
        <is>
          <t>Id is 'ss minus window minus reminder'. Fire at: the date opens year, opens month1 minus 1, 1, 10, 0, 0. When fire at.get time() is at most date.now(), it answers false. The answer is true.</t>
        </is>
      </c>
      <c r="I615" s="3" t="inlineStr">
        <is>
          <t>PARTLY READ — some of the code is still showing through; needs a hand pass</t>
        </is>
      </c>
      <c r="J615" s="3" t="inlineStr">
        <is>
          <t>1. opensYear: number
2. opensMonth1: number</t>
        </is>
      </c>
      <c r="K615" s="3" t="inlineStr">
        <is>
          <t>NOT DECLARED — the code does not say what it gives back</t>
        </is>
      </c>
      <c r="L615" s="3" t="inlineStr">
        <is>
          <t>NOT FOUND — a screen calls it, but the words printed beside its answer could not be traced automatically. Needs reading.</t>
        </is>
      </c>
      <c r="M615" s="3" t="inlineStr">
        <is>
          <t>· Uses today's date from the device clock, so the answer changes by itself overnight.</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MK-XS-F-092</t>
        </is>
      </c>
      <c r="B616" s="3" t="inlineStr">
        <is>
          <t>parseReceiptWithOCR</t>
        </is>
      </c>
      <c r="C616" s="3" t="inlineStr">
        <is>
          <t>src/services/receiptOCR.ts</t>
        </is>
      </c>
      <c r="D616" s="3" t="n">
        <v>40</v>
      </c>
      <c r="E616" s="3" t="inlineStr">
        <is>
          <t>4 · BRINGS DATA IN</t>
        </is>
      </c>
      <c r="F616" s="3" t="inlineStr">
        <is>
          <t>Sends a receipt image to Google Cloud Vision API for OCR, then parses the raw text to extract store, total, date, category.</t>
        </is>
      </c>
      <c r="G616" s="11" t="inlineStr">
        <is>
          <t>the answer = nothing
json = await response.json()
raw text = json.responses.[0].full text annotation.text (or '' when missing or zero)
nothing   when raw text is missing</t>
        </is>
      </c>
      <c r="H616" s="3" t="inlineStr">
        <is>
          <t>The answer is no answer. Json is await response.json(). Raw text is json.responses.[0].full text annotation.text (or '' — when missing or zero). When raw text is missing, it answers no answer.</t>
        </is>
      </c>
      <c r="I616" s="3" t="inlineStr">
        <is>
          <t>PARTLY READ — some of the code is still showing through; needs a hand pass</t>
        </is>
      </c>
      <c r="J616" s="3" t="inlineStr">
        <is>
          <t>imageUri: string</t>
        </is>
      </c>
      <c r="K616" s="3" t="inlineStr">
        <is>
          <t>Promise&lt;ParsedReceipt | null&gt;</t>
        </is>
      </c>
      <c r="L616" s="3" t="inlineStr">
        <is>
          <t>—</t>
        </is>
      </c>
      <c r="M616" s="3" t="inlineStr">
        <is>
          <t>None found in this function — anything it assumes comes from the functions it depends on.</t>
        </is>
      </c>
      <c r="N616" s="3" t="inlineStr">
        <is>
          <t>No</t>
        </is>
      </c>
      <c r="O616" s="3" t="inlineStr">
        <is>
          <t>MK-XS-F-094 parseReceiptText</t>
        </is>
      </c>
      <c r="P616" s="3" t="n">
        <v>107</v>
      </c>
      <c r="Q616"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MK-NW-F-072 rowOf
49. MK-CF-F-069 benefitActiveMonths
50. MK-CF-F-072 currentRetirementIncomeMonthly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MK-CF-F-062 equityRowValue
73. MK-CF-F-070 benefitAnnual
74. MK-CF-F-176 sumMonthsOverEarners
75. MK-CF-F-177 wageGrossByMonth
76. MK-CF-F-090 effectiveRate
77. MK-CF-F-085 filingStatusOf
78. MK-CF-F-089 over65CountOf
79. MK-CF-F-098 progressiveMonthlyTax
80. MK-CF-F-086 stateRateOf
81. MK-CF-F-173 earnerWages
82. MK-CF-F-102 effectiveRateOnGrossFor
83. MK-CF-F-180 enteredLandsAnnual
84. MK-CF-F-082 salaryAnnual
85. MK-CF-F-084 taxableAnnual
86. MK-CF-F-067 rentalList
87. MK-CF-F-063 rowVestYear
88. MK-CF-F-120 pctBaseMonthly
89. MK-CF-F-004 spendBuckets
90. MK-NW-F-008 incomeBearingClassOf
91. MK-CF-F-130 enteredMonthlyRaw
92. MK-CF-F-166 hasMonthlySalaryTable
93. MK-ST-F-036 reconcile
94. MK-CF-F-167 salaryCalendarYear
95. MK-CF-F-101 taxOwedFor
96. MK-CF-F-100 taxableIncomeFor
97. MK-CF-F-172 hasWage
98. MK-CF-F-074 tipsAnnual
99. MK-CF-F-003 categoryMonthly
100. MK-ST-F-010 nameEvidence
101. MK-CF-F-165 salaryMonths
102. MK-CF-F-099 deductionFor
103. MK-CF-F-081 salaryActiveMonths
104. MK-XS-F-147 call
105. MK-CF-F-187 seniorDeductionFor
106. MK-XS-F-064 currentIdToken
107. MK-XS-F-112 relayUrl</t>
        </is>
      </c>
      <c r="R616"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16" s="3" t="inlineStr">
        <is>
          <t>—</t>
        </is>
      </c>
      <c r="T616" s="3" t="inlineStr">
        <is>
          <t>—</t>
        </is>
      </c>
      <c r="U616" s="3" t="inlineStr">
        <is>
          <t>ACTIVE</t>
        </is>
      </c>
      <c r="V616" s="3" t="inlineStr">
        <is>
          <t>2026-08-27</t>
        </is>
      </c>
      <c r="W616" s="3" t="n"/>
      <c r="X616" s="3" t="n"/>
      <c r="Y616" s="3" t="inlineStr">
        <is>
          <t>NOTHING OPEN</t>
        </is>
      </c>
    </row>
    <row r="617" ht="45" customHeight="1">
      <c r="A617" s="3" t="inlineStr">
        <is>
          <t>MK-XS-F-093</t>
        </is>
      </c>
      <c r="B617" s="3" t="inlineStr">
        <is>
          <t>stripNonMoney</t>
        </is>
      </c>
      <c r="C617" s="3" t="inlineStr">
        <is>
          <t>src/services/receiptOCR.ts</t>
        </is>
      </c>
      <c r="D617" s="3" t="n">
        <v>109</v>
      </c>
      <c r="E617" s="3" t="inlineStr">
        <is>
          <t>3 · DEPENDENT</t>
        </is>
      </c>
      <c r="F617" s="3" t="inlineStr">
        <is>
          <t>A DATE IS NOT MONEY.</t>
        </is>
      </c>
      <c r="G617" s="11" t="inlineStr">
        <is>
          <t>the answer = the line with dates (30.04.24, 04/30/24, 2024-04-30) and times (08:30, 7:54:10) blanked out</t>
        </is>
      </c>
      <c r="H617" s="3" t="inlineStr">
        <is>
          <t>Blanks the dates and times on a receipt line so only the money figures remain for reading. No arithmetic.</t>
        </is>
      </c>
      <c r="I617" s="3" t="inlineStr">
        <is>
          <t>READ BY HAND 2026-08-26 — checked line by line against the code</t>
        </is>
      </c>
      <c r="J617" s="3" t="inlineStr">
        <is>
          <t>line: string</t>
        </is>
      </c>
      <c r="K617" s="3" t="inlineStr">
        <is>
          <t>string</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2026-09-12</t>
        </is>
      </c>
      <c r="W617" s="3" t="n"/>
      <c r="X617" s="3" t="n"/>
      <c r="Y617" s="3" t="inlineStr">
        <is>
          <t>NOTHING OPEN</t>
        </is>
      </c>
    </row>
    <row r="618" ht="60" customHeight="1">
      <c r="A618" s="3" t="inlineStr">
        <is>
          <t>MK-XS-F-094</t>
        </is>
      </c>
      <c r="B618" s="3" t="inlineStr">
        <is>
          <t>parseReceiptText</t>
        </is>
      </c>
      <c r="C618" s="3" t="inlineStr">
        <is>
          <t>src/services/receiptOCR.ts</t>
        </is>
      </c>
      <c r="D618" s="3" t="n">
        <v>155</v>
      </c>
      <c r="E618" s="3" t="inlineStr">
        <is>
          <t>3 · DEPENDENT (feeds an action only)</t>
        </is>
      </c>
      <c r="F618" s="3" t="inlineStr">
        <is>
          <t>NOT DETERMINED — the code carries no note saying what this is for, and it has no row in the old inventory. Needs reading.</t>
        </is>
      </c>
      <c r="G618"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18"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18" s="3" t="inlineStr">
        <is>
          <t>PARTLY READ — some of the code is still showing through; needs a hand pass</t>
        </is>
      </c>
      <c r="J618" s="3" t="inlineStr">
        <is>
          <t>text: string</t>
        </is>
      </c>
      <c r="K618" s="3" t="inlineStr">
        <is>
          <t>ParsedReceipt</t>
        </is>
      </c>
      <c r="L618" s="3" t="inlineStr">
        <is>
          <t>—</t>
        </is>
      </c>
      <c r="M618" s="3" t="inlineStr">
        <is>
          <t>1. Uses a built-in strong t of 0.
2. Uses a built-in weak t of 0.
3. Uses a built-in subtotal of 0.
4. Uses a built-in largest safe of 0.
5. Uses today's date from the device clock, so the answer changes by itself overnight.</t>
        </is>
      </c>
      <c r="N618" s="3" t="inlineStr">
        <is>
          <t>No</t>
        </is>
      </c>
      <c r="O618" s="3" t="inlineStr">
        <is>
          <t>1. MK-XS-F-144 guessCategory
2. MK-CF-F-204 line
3. MK-CF-F-132 map
4. MK-XS-F-058 parseReceipt
5. MK-XS-F-093 stripNonMoney</t>
        </is>
      </c>
      <c r="P618" s="3" t="n">
        <v>106</v>
      </c>
      <c r="Q618"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18"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MK-XS-F-095</t>
        </is>
      </c>
      <c r="B619" s="3" t="inlineStr">
        <is>
          <t>ocrAvailable</t>
        </is>
      </c>
      <c r="C619" s="3" t="inlineStr">
        <is>
          <t>src/services/receiptScan.ts</t>
        </is>
      </c>
      <c r="D619" s="3" t="n">
        <v>27</v>
      </c>
      <c r="E619" s="3" t="inlineStr">
        <is>
          <t>2 · DISPLAYED</t>
        </is>
      </c>
      <c r="F619" s="3" t="inlineStr">
        <is>
          <t>NOT DETERMINED — the code carries no note saying what this is for, and it has no row in the old inventory. Needs reading.</t>
        </is>
      </c>
      <c r="G619" s="11" t="inlineStr">
        <is>
          <t>the answer = true when the text-recognition module is present and usable</t>
        </is>
      </c>
      <c r="H619" s="3" t="inlineStr">
        <is>
          <t>Whether receipt scanning is available on this device. Not a calculation.</t>
        </is>
      </c>
      <c r="I619" s="3" t="inlineStr">
        <is>
          <t>READ BY HAND 2026-08-26 — checked line by line against the code</t>
        </is>
      </c>
      <c r="J619" s="3" t="inlineStr">
        <is>
          <t>Nothing is handed to it</t>
        </is>
      </c>
      <c r="K619" s="3" t="inlineStr">
        <is>
          <t>boolean</t>
        </is>
      </c>
      <c r="L619" s="3" t="inlineStr">
        <is>
          <t>NOT FOUND — a screen calls it, but the words printed beside its answer could not be traced automatically. Needs reading.</t>
        </is>
      </c>
      <c r="M619" s="3" t="inlineStr">
        <is>
          <t>None found in this function — anything it assumes comes from the functions it depends on.</t>
        </is>
      </c>
      <c r="N619" s="3" t="inlineStr">
        <is>
          <t>Yes</t>
        </is>
      </c>
      <c r="O619" s="3" t="inlineStr">
        <is>
          <t>—</t>
        </is>
      </c>
      <c r="P619" s="3" t="n">
        <v>0</v>
      </c>
      <c r="Q619" s="3" t="inlineStr">
        <is>
          <t>None — no dependent function stands behind it</t>
        </is>
      </c>
      <c r="R619" s="3" t="inlineStr">
        <is>
          <t>No dependent function — it reads its inputs and answers</t>
        </is>
      </c>
      <c r="S619" s="3" t="inlineStr">
        <is>
          <t>—</t>
        </is>
      </c>
      <c r="T619" s="3" t="inlineStr">
        <is>
          <t>—</t>
        </is>
      </c>
      <c r="U619" s="3" t="inlineStr">
        <is>
          <t>ACTIVE</t>
        </is>
      </c>
      <c r="V619" s="3" t="inlineStr">
        <is>
          <t>2026-09-12</t>
        </is>
      </c>
      <c r="W619" s="3" t="n"/>
      <c r="X619" s="3" t="n"/>
      <c r="Y619" s="3" t="inlineStr">
        <is>
          <t>NOTHING OPEN</t>
        </is>
      </c>
    </row>
    <row r="620" ht="60" customHeight="1">
      <c r="A620" s="3" t="inlineStr">
        <is>
          <t>MK-XS-F-096</t>
        </is>
      </c>
      <c r="B620" s="3" t="inlineStr">
        <is>
          <t>pickReceipt</t>
        </is>
      </c>
      <c r="C620" s="3" t="inlineStr">
        <is>
          <t>src/services/receiptScan.ts</t>
        </is>
      </c>
      <c r="D620" s="3" t="n">
        <v>55</v>
      </c>
      <c r="E620" s="3" t="inlineStr">
        <is>
          <t>2 · DISPLAYED</t>
        </is>
      </c>
      <c r="F620" s="3" t="inlineStr">
        <is>
          <t>Capture (camera) or pick (library) a receipt image; returns its uri or null if cancelled/denied.</t>
        </is>
      </c>
      <c r="G620"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20"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20" s="3" t="inlineStr">
        <is>
          <t>PARTLY READ — some of the code is still showing through; needs a hand pass</t>
        </is>
      </c>
      <c r="J620" s="3" t="inlineStr">
        <is>
          <t>source: 'camera' | 'library'</t>
        </is>
      </c>
      <c r="K620" s="3" t="inlineStr">
        <is>
          <t>Promise&lt;string | null&gt;</t>
        </is>
      </c>
      <c r="L620" s="3" t="inlineStr">
        <is>
          <t>NOT FOUND — a screen calls it, but the words printed beside its answer could not be traced automatically. Needs reading.</t>
        </is>
      </c>
      <c r="M620" s="3" t="inlineStr">
        <is>
          <t>None found in this function — anything it assumes comes from the functions it depends on.</t>
        </is>
      </c>
      <c r="N620" s="3" t="inlineStr">
        <is>
          <t>Yes</t>
        </is>
      </c>
      <c r="O620" s="3" t="inlineStr">
        <is>
          <t>MK-CF-F-204 line</t>
        </is>
      </c>
      <c r="P620" s="3" t="n">
        <v>103</v>
      </c>
      <c r="Q620"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MK-NW-F-072 rowOf
45. MK-CF-F-069 benefitActiveMonths
46. MK-CF-F-072 currentRetirementIncomeMonthly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MK-PL-F-012 waterfall
59. MK-CF-F-008 spendByMonth
60. MK-ST-F-047 activeCurrency
61. MK-NW-F-060 approxYTM
62. MK-NW-F-069 priceAtYield
63. MK-NW-F-011 assetClassOf
64. MK-NW-F-070 accruedInterestCaveat
65. MK-NW-F-071 isCertificateOfDeposit
66. MK-NW-F-058 yearsToMaturity
67. MK-CF-F-075 retirementIncomeMonthly
68. MK-CF-F-062 equityRowValue
69. MK-CF-F-070 benefitAnnual
70. MK-CF-F-176 sumMonthsOverEarners
71. MK-CF-F-177 wageGrossByMonth
72. MK-CF-F-090 effectiveRate
73. MK-CF-F-085 filingStatusOf
74. MK-CF-F-089 over65CountOf
75. MK-CF-F-098 progressiveMonthlyTax
76. MK-CF-F-086 stateRateOf
77. MK-CF-F-173 earnerWages
78. MK-CF-F-102 effectiveRateOnGrossFor
79. MK-CF-F-180 enteredLandsAnnual
80. MK-CF-F-082 salaryAnnual
81. MK-CF-F-084 taxableAnnual
82. MK-CF-F-067 rentalList
83. MK-CF-F-063 rowVestYear
84. MK-CF-F-120 pctBaseMonthly
85. MK-CF-F-004 spendBuckets
86. MK-NW-F-008 incomeBearingClassOf
87. MK-CF-F-130 enteredMonthlyRaw
88. MK-CF-F-166 hasMonthlySalaryTable
89. MK-ST-F-036 reconcile
90. MK-CF-F-167 salaryCalendarYear
91. MK-CF-F-101 taxOwedFor
92. MK-CF-F-100 taxableIncomeFor
93. MK-CF-F-172 hasWage
94. MK-CF-F-074 tipsAnnual
95. MK-CF-F-003 categoryMonthly
96. MK-ST-F-010 nameEvidence
97. MK-CF-F-165 salaryMonths
98. MK-CF-F-099 deductionFor
99. MK-CF-F-081 salaryActiveMonths
100. MK-XS-F-147 call
101. MK-CF-F-187 seniorDeductionFor
102. MK-XS-F-064 currentIdToken
103. MK-XS-F-112 relayUrl</t>
        </is>
      </c>
      <c r="R620"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MK-XS-F-097</t>
        </is>
      </c>
      <c r="B621" s="3" t="inlineStr">
        <is>
          <t>ocrReceipt</t>
        </is>
      </c>
      <c r="C621" s="3" t="inlineStr">
        <is>
          <t>src/services/receiptScan.ts</t>
        </is>
      </c>
      <c r="D621" s="3" t="n">
        <v>172</v>
      </c>
      <c r="E621" s="3" t="inlineStr">
        <is>
          <t>2 · DISPLAYED (presentation only)</t>
        </is>
      </c>
      <c r="F621" s="3" t="inlineStr">
        <is>
          <t>NOT DETERMINED — the code carries no note saying what this is for, and it has no row in the old inventory. Needs reading.</t>
        </is>
      </c>
      <c r="G621" s="11" t="inlineStr">
        <is>
          <t>raw = ''   when !ocr available()
res = await mlkit.recognize(uri)
text = res.text (or '' when missing)
the answer:
...parse receipt(text) = ...parse receipt(text)
raw = text</t>
        </is>
      </c>
      <c r="H621" s="3" t="inlineStr">
        <is>
          <t>When !ocr available(), it answers raw = ''. Res is await mlkit.recognize(uri). Text is res.text (or '' — when missing). The answer is ...parse receipt(text) = ...parse receipt(text); raw = text.</t>
        </is>
      </c>
      <c r="I621" s="3" t="inlineStr">
        <is>
          <t>PARTLY READ — some of the code is still showing through; needs a hand pass</t>
        </is>
      </c>
      <c r="J621" s="3" t="inlineStr">
        <is>
          <t>uri: string</t>
        </is>
      </c>
      <c r="K621" s="3" t="inlineStr">
        <is>
          <t>Promise&lt;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1. MK-XS-F-095 ocrAvailable
2. MK-XS-F-058 parseReceipt</t>
        </is>
      </c>
      <c r="P621" s="3" t="n">
        <v>106</v>
      </c>
      <c r="Q621"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MK-NW-F-072 rowOf
48. MK-CF-F-069 benefitActiveMonths
49. MK-CF-F-072 currentRetirementIncomeMonthly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MK-CF-F-062 equityRowValue
72. MK-CF-F-070 benefitAnnual
73. MK-CF-F-176 sumMonthsOverEarners
74. MK-CF-F-177 wageGrossByMonth
75. MK-CF-F-090 effectiveRate
76. MK-CF-F-085 filingStatusOf
77. MK-CF-F-089 over65CountOf
78. MK-CF-F-098 progressiveMonthlyTax
79. MK-CF-F-086 stateRateOf
80. MK-CF-F-173 earnerWages
81. MK-CF-F-102 effectiveRateOnGrossFor
82. MK-CF-F-180 enteredLandsAnnual
83. MK-CF-F-082 salaryAnnual
84. MK-CF-F-084 taxableAnnual
85. MK-CF-F-067 rentalList
86. MK-CF-F-063 rowVestYear
87. MK-CF-F-120 pctBaseMonthly
88. MK-CF-F-004 spendBuckets
89. MK-NW-F-008 incomeBearingClassOf
90. MK-CF-F-130 enteredMonthlyRaw
91. MK-CF-F-166 hasMonthlySalaryTable
92. MK-ST-F-036 reconcile
93. MK-CF-F-167 salaryCalendarYear
94. MK-CF-F-101 taxOwedFor
95. MK-CF-F-100 taxableIncomeFor
96. MK-CF-F-172 hasWage
97. MK-CF-F-074 tipsAnnual
98. MK-CF-F-003 categoryMonthly
99. MK-ST-F-010 nameEvidence
100. MK-CF-F-165 salaryMonths
101. MK-CF-F-099 deductionFor
102. MK-CF-F-081 salaryActiveMonths
103. MK-XS-F-147 call
104. MK-CF-F-187 seniorDeductionFor
105. MK-XS-F-064 currentIdToken
106. MK-XS-F-112 relayUrl</t>
        </is>
      </c>
      <c r="R621"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MK-XS-F-098</t>
        </is>
      </c>
      <c r="B622" s="3" t="inlineStr">
        <is>
          <t>setSyncProviderForTesting</t>
        </is>
      </c>
      <c r="C622" s="3" t="inlineStr">
        <is>
          <t>src/services/sync/index.ts</t>
        </is>
      </c>
      <c r="D622" s="3" t="n">
        <v>68</v>
      </c>
      <c r="E622" s="3" t="inlineStr">
        <is>
          <t>1 · ACTION</t>
        </is>
      </c>
      <c r="F622" s="3" t="inlineStr">
        <is>
          <t>NOT DETERMINED — the code carries no note saying what this is for, and it has no row in the old inventory. Needs reading.</t>
        </is>
      </c>
      <c r="G622" s="11" t="inlineStr">
        <is>
          <t>It records or announces something and returns no figure — no arithmetic of its own.</t>
        </is>
      </c>
      <c r="H622" s="3" t="inlineStr">
        <is>
          <t>It records or announces something and returns no figure — no arithmetic of its own.</t>
        </is>
      </c>
      <c r="I622" s="3" t="inlineStr">
        <is>
          <t>NO ARITHMETIC — there is no formula to state</t>
        </is>
      </c>
      <c r="J622" s="3" t="inlineStr">
        <is>
          <t>p: SyncProvider | null</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MK-XS-F-099</t>
        </is>
      </c>
      <c r="B623" s="3" t="inlineStr">
        <is>
          <t>activeSyncProvider</t>
        </is>
      </c>
      <c r="C623" s="3" t="inlineStr">
        <is>
          <t>src/services/sync/index.ts</t>
        </is>
      </c>
      <c r="D623" s="3" t="n">
        <v>89</v>
      </c>
      <c r="E623" s="3" t="inlineStr">
        <is>
          <t>2 · DISPLAYED</t>
        </is>
      </c>
      <c r="F623" s="3" t="inlineStr">
        <is>
          <t>The one lookup the UI uses.</t>
        </is>
      </c>
      <c r="G623" s="11" t="inlineStr">
        <is>
          <t>override provider   when override provider ! = undefined
new sandbox sync provider()   if typeof __DEV__ ! = 'undefined' and __DEV__
nothing   otherwise</t>
        </is>
      </c>
      <c r="H623" s="3" t="inlineStr">
        <is>
          <t>When override provider ! = undefined, it answers override provider. new sandbox sync provider() — when typeof __DEV__ ! = 'undefined' and __DEV__; no answer — otherwise.</t>
        </is>
      </c>
      <c r="I623" s="3" t="inlineStr">
        <is>
          <t>PARTLY READ — some of the code is still showing through; needs a hand pass</t>
        </is>
      </c>
      <c r="J623" s="3" t="inlineStr">
        <is>
          <t>Nothing is handed to it</t>
        </is>
      </c>
      <c r="K623" s="3" t="inlineStr">
        <is>
          <t>SyncProvider | null</t>
        </is>
      </c>
      <c r="L623" s="3" t="inlineStr">
        <is>
          <t>NOT FOUND — a screen calls it, but the words printed beside its answer could not be traced automatically. Needs reading.</t>
        </is>
      </c>
      <c r="M623" s="3" t="inlineStr">
        <is>
          <t>None found in this function — anything it assumes comes from the functions it depends on.</t>
        </is>
      </c>
      <c r="N623" s="3" t="inlineStr">
        <is>
          <t>Yes</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MK-XS-F-100</t>
        </is>
      </c>
      <c r="B624" s="3" t="inlineStr">
        <is>
          <t>connectionFreshness</t>
        </is>
      </c>
      <c r="C624" s="3" t="inlineStr">
        <is>
          <t>src/services/sync/index.ts</t>
        </is>
      </c>
      <c r="D624" s="3" t="n">
        <v>124</v>
      </c>
      <c r="E624" s="3" t="inlineStr">
        <is>
          <t>2 · DISPLAYED</t>
        </is>
      </c>
      <c r="F624" s="3" t="inlineStr">
        <is>
          <t>How old a connected account's last successful sync is.</t>
        </is>
      </c>
      <c r="G624" s="11" t="inlineStr">
        <is>
          <t>days = days since(last synced, now)
label = age label(last synced, now)
nothing   when days = nothing (or label = nothing when missing or zero)
the answer:
label = label
stale = is stale(last synced, now)
days old = days</t>
        </is>
      </c>
      <c r="H624" s="3" t="inlineStr">
        <is>
          <t>Days is days since(last synced, now). Label is age label(last synced, now). When days is missing (or label is missing — when missing or zero), it answers no answer. The answer is label = label; stale = is stale(last synced, now); days old = days.</t>
        </is>
      </c>
      <c r="I624" s="3" t="inlineStr">
        <is>
          <t>READ FROM THE CODE — rendered from the expressions the function runs</t>
        </is>
      </c>
      <c r="J624" s="3" t="inlineStr">
        <is>
          <t>1. lastSynced: string | null | undefined
2. now: number = Date.now()</t>
        </is>
      </c>
      <c r="K624" s="3" t="inlineStr">
        <is>
          <t>ConnectionFreshness | null</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1. MK-ST-F-076 ageLabel
2. MK-XS-F-170 daysSince
3. MK-ST-F-077 isStale</t>
        </is>
      </c>
      <c r="P624" s="3" t="n">
        <v>3</v>
      </c>
      <c r="Q624" s="3" t="inlineStr">
        <is>
          <t>1. MK-ST-F-076 ageLabel
2. MK-XS-F-170 daysSince
3. MK-ST-F-077 isStale</t>
        </is>
      </c>
      <c r="R624" s="3" t="inlineStr">
        <is>
          <t>1. MK-XS-F-170 daysSince → MK-ST-F-076 ageLabel → MK-XS-F-100 connectionFreshness
2. MK-XS-F-170 daysSince → MK-XS-F-100 connectionFreshness
3. MK-XS-F-170 daysSince → MK-ST-F-077 isStale → MK-XS-F-100 connectionFreshness</t>
        </is>
      </c>
      <c r="S624" s="3" t="inlineStr">
        <is>
          <t>—</t>
        </is>
      </c>
      <c r="T624" s="3" t="inlineStr">
        <is>
          <t>—</t>
        </is>
      </c>
      <c r="U624" s="3" t="inlineStr">
        <is>
          <t>ACTIVE</t>
        </is>
      </c>
      <c r="V624" s="3" t="inlineStr">
        <is>
          <t>2026-10-01</t>
        </is>
      </c>
      <c r="W624" s="3" t="n"/>
      <c r="X624" s="3" t="n"/>
      <c r="Y624" s="3" t="inlineStr">
        <is>
          <t>NOTHING OPEN</t>
        </is>
      </c>
    </row>
    <row r="625" ht="45" customHeight="1">
      <c r="A625" s="3" t="inlineStr">
        <is>
          <t>MK-XS-F-101</t>
        </is>
      </c>
      <c r="B625" s="3" t="inlineStr">
        <is>
          <t>stAssetId</t>
        </is>
      </c>
      <c r="C625" s="3" t="inlineStr">
        <is>
          <t>src/services/sync/ingest.ts</t>
        </is>
      </c>
      <c r="D625" s="3" t="n">
        <v>54</v>
      </c>
      <c r="E625" s="3" t="inlineStr">
        <is>
          <t>1 · ACTION</t>
        </is>
      </c>
      <c r="F625" s="3" t="inlineStr">
        <is>
          <t>What do we call this connected account internally?</t>
        </is>
      </c>
      <c r="G625" s="11" t="inlineStr">
        <is>
          <t>the answer = 'st-' + the SnapTrade account identifier</t>
        </is>
      </c>
      <c r="H625" s="3" t="inlineStr">
        <is>
          <t>The app's identifier for a connected account: the institution's identifier with an 'st-' prefix. No arithmetic.</t>
        </is>
      </c>
      <c r="I625" s="3" t="inlineStr">
        <is>
          <t>READ BY HAND 2026-08-26 — checked line by line against the code</t>
        </is>
      </c>
      <c r="J625" s="3" t="inlineStr">
        <is>
          <t>snapTradeAccountId: string</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ACCOUNT_IDENTITY</t>
        </is>
      </c>
      <c r="U625" s="3" t="inlineStr">
        <is>
          <t>ACTIVE</t>
        </is>
      </c>
      <c r="V625" s="3" t="inlineStr">
        <is>
          <t>2026-09-12</t>
        </is>
      </c>
      <c r="W625" s="3" t="n"/>
      <c r="X625" s="3" t="n"/>
      <c r="Y625" s="3" t="inlineStr">
        <is>
          <t>NOTHING OPEN</t>
        </is>
      </c>
    </row>
    <row r="626" ht="60" customHeight="1">
      <c r="A626" s="3" t="inlineStr">
        <is>
          <t>MK-XS-F-102</t>
        </is>
      </c>
      <c r="B626" s="3" t="inlineStr">
        <is>
          <t>ingestSync</t>
        </is>
      </c>
      <c r="C626" s="3" t="inlineStr">
        <is>
          <t>src/services/sync/ingest.ts</t>
        </is>
      </c>
      <c r="D626" s="3" t="n">
        <v>102</v>
      </c>
      <c r="E626" s="3" t="inlineStr">
        <is>
          <t>3 · DEPENDENT (feeds an action only)</t>
        </is>
      </c>
      <c r="F626" s="3" t="inlineStr">
        <is>
          <t>A broker just sent us data — what changes?</t>
        </is>
      </c>
      <c r="G626" s="11" t="inlineStr">
        <is>
          <t>accounts = [...existing accounts]
seen keys = { ...existing seen keys }
new transactions = []
needs wrapper confirm = []
st = account
guess = map account type(st.raw type, st.account category)
tail = string(st.number).slice(-4)   if st.number
''   otherwise
mask = `••${tail}`   if ÷ ^\d{4}$ ÷ .test(tail)
undefined   otherwise
inst = st.institution name.trim().to lower case()
asset id = prior.asset id (or st asset id(st.id) when missing)
mapped = for each of positions (or none when missing): map position where (m): m is non nullable&lt;typeof m&gt; =&gt; !!m
… the first steps only — the rest of the body needs reading by hand.</t>
        </is>
      </c>
      <c r="H626" s="3" t="inlineStr">
        <is>
          <t>Accounts is [...existing accounts]. Seen keys is { ...existing seen keys }. New transactions is []. Needs wrapper confirm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Mapped is for each of positions (or none — when missing): map position where (m): m is non nullable&lt;typeof m&gt; =&gt; !!m. Only the first steps are shown; the rest of the body needs reading by hand.</t>
        </is>
      </c>
      <c r="I626" s="3" t="inlineStr">
        <is>
          <t>PARTLY READ — some of the code is still showing through; needs a hand pass</t>
        </is>
      </c>
      <c r="J626" s="3" t="inlineStr">
        <is>
          <t>Nothing is handed to it</t>
        </is>
      </c>
      <c r="K626" s="3" t="inlineStr">
        <is>
          <t>NOT DECLARED — the code does not say what it gives back</t>
        </is>
      </c>
      <c r="L626" s="3" t="inlineStr">
        <is>
          <t>—</t>
        </is>
      </c>
      <c r="M626"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26" s="3" t="inlineStr">
        <is>
          <t>No</t>
        </is>
      </c>
      <c r="O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t>
        </is>
      </c>
      <c r="P626" s="3" t="n">
        <v>39</v>
      </c>
      <c r="Q626"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MK-ST-F-012 toLedgerRow
14. MK-ST-F-021 toNumber
15. MK-NW-F-025 accountDisplayName
16. MK-CF-F-155 cash
17. MK-XS-F-122 n
18. MK-ST-F-027 accountId
19. MK-ST-F-014 importKey
20. MK-ST-F-010 nameEvidence
21. MK-ST-F-056 has
22. MK-ST-F-007 classifyEvent
23. MK-XS-F-146 prettyExpiry
24. MK-XS-F-145 flatSymbol
25. MK-ST-F-060 verdict
26. MK-ST-F-053 money
27. MK-ST-F-058 numberOrUndefined
28. MK-ST-F-018 readMoney
29. MK-ST-F-019 signed
30. MK-NW-F-024 accountLastFour
31. MK-NW-F-012 taxTreatmentOf
32. MK-NW-F-023 wrapperWord
33. MK-XS-F-147 call
34. MK-ST-F-049 formatMoney
35. MK-XS-F-064 currentIdToken
36. MK-XS-F-112 relayUrl
37. MK-ST-F-048 currencySymbol
38. MK-ST-F-039 on
39. MK-ST-F-047 activeCurrency</t>
        </is>
      </c>
      <c r="R626" s="3" t="inlineStr">
        <is>
          <t>1. accountDisplayNames (already above — a loop) → MK-NW-F-025 accountDisplayName → MK-NW-F-026 accountDisplayNames → MK-XS-F-102 ingestSync
2. MK-NW-F-024 accountLastFour → MK-NW-F-025 accountDisplayName → MK-NW-F-026 accountDisplayNames → MK-XS-F-102 ingestSync
3. MK-NW-F-012 taxTreatmentOf → MK-NW-F-025 accountDisplayName → MK-NW-F-026 accountDisplayNames → MK-XS-F-102 ingestSync
4. MK-NW-F-023 wrapperWord → MK-NW-F-025 accountDisplayName → MK-NW-F-026 accountDisplayNames → MK-XS-F-102 ingestSync
5. MK-XS-F-122 n → MK-CF-F-155 cash → MK-NW-F-026 accountDisplayNames → MK-XS-F-102 ingestSync
6. MK-CF-F-132 map → MK-NW-F-026 accountDisplayNames → MK-XS-F-102 ingestSync
7. MK-XS-F-122 n → MK-NW-F-026 accountDisplayNames → MK-XS-F-102 ingestSync
8. MK-ST-F-027 accountId → MK-XS-F-108 activityKey → MK-XS-F-102 ingestSync
9. … and 5 more paths</t>
        </is>
      </c>
      <c r="S626" s="3" t="inlineStr">
        <is>
          <t>—</t>
        </is>
      </c>
      <c r="T626" s="3" t="inlineStr">
        <is>
          <t>SYNC_ONE_ACCOUNT</t>
        </is>
      </c>
      <c r="U626" s="3" t="inlineStr">
        <is>
          <t>ACTIVE</t>
        </is>
      </c>
      <c r="V626" s="3" t="inlineStr">
        <is>
          <t>2026-08-27</t>
        </is>
      </c>
      <c r="W626" s="3" t="n"/>
      <c r="X626" s="3" t="n"/>
      <c r="Y626" s="3" t="inlineStr">
        <is>
          <t>NOTHING OPEN</t>
        </is>
      </c>
    </row>
    <row r="627" ht="60" customHeight="1">
      <c r="A627" s="3" t="inlineStr">
        <is>
          <t>MK-XS-F-103</t>
        </is>
      </c>
      <c r="B627" s="3" t="inlineStr">
        <is>
          <t>confirmWrapper</t>
        </is>
      </c>
      <c r="C627" s="3" t="inlineStr">
        <is>
          <t>src/services/sync/ingest.ts</t>
        </is>
      </c>
      <c r="D627" s="3" t="n">
        <v>312</v>
      </c>
      <c r="E627" s="3" t="inlineStr">
        <is>
          <t>3 · DEPENDENT (feeds an action only)</t>
        </is>
      </c>
      <c r="F627" s="3" t="inlineStr">
        <is>
          <t>Mark an account's wrapper as USER-CONFIRMED — future syncs never override it.</t>
        </is>
      </c>
      <c r="G627" s="11" t="inlineStr">
        <is>
          <t>for each of accounts: ...each = ...each
kind = kind
tax bucket = tax bucket
wrapper confirmed = true   if asset id = asset id
each   otherwise</t>
        </is>
      </c>
      <c r="H627" s="3" t="inlineStr">
        <is>
          <t>for each of accounts: ...each = ...each; kind = kind; tax bucket = tax bucket; wrapper confirmed = true — when asset id = asset id; each — otherwise.</t>
        </is>
      </c>
      <c r="I627" s="3" t="inlineStr">
        <is>
          <t>READ FROM THE CODE — rendered from the expressions the function runs</t>
        </is>
      </c>
      <c r="J627" s="3" t="inlineStr">
        <is>
          <t>1. accounts: AssetAccount[]
2. assetId: string
3. kind: string
4. taxBucket: AssetAccount['tax_bucket']</t>
        </is>
      </c>
      <c r="K627" s="3" t="inlineStr">
        <is>
          <t>AssetAccount[]</t>
        </is>
      </c>
      <c r="L627" s="3" t="inlineStr">
        <is>
          <t>—</t>
        </is>
      </c>
      <c r="M627" s="3" t="inlineStr">
        <is>
          <t>None found in this function — anything it assumes comes from the functions it depends on.</t>
        </is>
      </c>
      <c r="N627" s="3" t="inlineStr">
        <is>
          <t>No</t>
        </is>
      </c>
      <c r="O627" s="3" t="inlineStr">
        <is>
          <t>MK-CF-F-132 map</t>
        </is>
      </c>
      <c r="P627" s="3" t="n">
        <v>1</v>
      </c>
      <c r="Q627" s="3" t="inlineStr">
        <is>
          <t>MK-CF-F-132 map</t>
        </is>
      </c>
      <c r="R627" s="3" t="inlineStr">
        <is>
          <t>MK-CF-F-132 map → MK-XS-F-103 confirmWrapper</t>
        </is>
      </c>
      <c r="S627" s="3" t="inlineStr">
        <is>
          <t>—</t>
        </is>
      </c>
      <c r="T627" s="3" t="inlineStr">
        <is>
          <t>CONFIRM_TAX_TYPE</t>
        </is>
      </c>
      <c r="U627" s="3" t="inlineStr">
        <is>
          <t>ACTIVE</t>
        </is>
      </c>
      <c r="V627" s="3" t="inlineStr">
        <is>
          <t>2026-08-27</t>
        </is>
      </c>
      <c r="W627" s="3" t="n"/>
      <c r="X627" s="3" t="n"/>
      <c r="Y627" s="3" t="inlineStr">
        <is>
          <t>NOTHING OPEN</t>
        </is>
      </c>
    </row>
    <row r="628" ht="60" customHeight="1">
      <c r="A628" s="3" t="inlineStr">
        <is>
          <t>MK-XS-F-104</t>
        </is>
      </c>
      <c r="B628" s="3" t="inlineStr">
        <is>
          <t>mapAccountType</t>
        </is>
      </c>
      <c r="C628" s="3" t="inlineStr">
        <is>
          <t>src/services/sync/snaptrade.ts</t>
        </is>
      </c>
      <c r="D628" s="3" t="n">
        <v>124</v>
      </c>
      <c r="E628" s="3" t="inlineStr">
        <is>
          <t>3 · DEPENDENT (feeds an action only)</t>
        </is>
      </c>
      <c r="F628" s="3" t="inlineStr">
        <is>
          <t>What kind of account is this, and how is it taxed?</t>
        </is>
      </c>
      <c r="G628"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28"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28" s="3" t="inlineStr">
        <is>
          <t>PARTLY READ — some of the code is still showing through; needs a hand pass</t>
        </is>
      </c>
      <c r="J628" s="3" t="inlineStr">
        <is>
          <t>1. rawType: string | null | undefined
2. category?: string | null</t>
        </is>
      </c>
      <c r="K628" s="3" t="inlineStr">
        <is>
          <t>WrapperGuess</t>
        </is>
      </c>
      <c r="L628" s="3" t="inlineStr">
        <is>
          <t>—</t>
        </is>
      </c>
      <c r="M628" s="3" t="inlineStr">
        <is>
          <t>None found in this function — anything it assumes comes from the functions it depends on.</t>
        </is>
      </c>
      <c r="N628" s="3" t="inlineStr">
        <is>
          <t>No</t>
        </is>
      </c>
      <c r="O628" s="3" t="inlineStr">
        <is>
          <t>MK-ST-F-056 has</t>
        </is>
      </c>
      <c r="P628" s="3" t="n">
        <v>1</v>
      </c>
      <c r="Q628" s="3" t="inlineStr">
        <is>
          <t>MK-ST-F-056 has</t>
        </is>
      </c>
      <c r="R628" s="3" t="inlineStr">
        <is>
          <t>MK-ST-F-056 has → MK-XS-F-104 mapAccountType</t>
        </is>
      </c>
      <c r="S628" s="3" t="inlineStr">
        <is>
          <t>—</t>
        </is>
      </c>
      <c r="T628" s="3" t="inlineStr">
        <is>
          <t>ACCOUNT_TAX_TYPE_GUESS</t>
        </is>
      </c>
      <c r="U628" s="3" t="inlineStr">
        <is>
          <t>ACTIVE</t>
        </is>
      </c>
      <c r="V628" s="3" t="inlineStr">
        <is>
          <t>2026-08-27</t>
        </is>
      </c>
      <c r="W628" s="3" t="n"/>
      <c r="X628" s="3" t="n"/>
      <c r="Y628" s="3" t="inlineStr">
        <is>
          <t>NOTHING OPEN</t>
        </is>
      </c>
    </row>
    <row r="629" ht="60" customHeight="1">
      <c r="A629" s="3" t="inlineStr">
        <is>
          <t>MK-XS-F-105</t>
        </is>
      </c>
      <c r="B629" s="3" t="inlineStr">
        <is>
          <t>mapPosition</t>
        </is>
      </c>
      <c r="C629" s="3" t="inlineStr">
        <is>
          <t>src/services/sync/snaptrade.ts</t>
        </is>
      </c>
      <c r="D629" s="3" t="n">
        <v>220</v>
      </c>
      <c r="E629" s="3" t="inlineStr">
        <is>
          <t>3 · DEPENDENT (feeds an action only)</t>
        </is>
      </c>
      <c r="F629" s="3" t="inlineStr">
        <is>
          <t>B7 (founder brief 2026-08-20): classification lives in the ONE function — name first, broker tag as fallback only.</t>
        </is>
      </c>
      <c r="G629" s="11" t="inlineStr">
        <is>
          <t>sym = flat symbol(p)
shares = units (or 0 when missing)
nothing   when sym is missing (or shares = 0 when missing or zero)
code = (sym.type.code ?? '').to lower case()
tick = (sym.raw symbol or sym.symbol or '').to upper case()</t>
        </is>
      </c>
      <c r="H629" s="3" t="inlineStr">
        <is>
          <t>Sym is flat symbol(p). Shares is units (or 0 — when missing). When sym is missing (or shares = 0 — when missing or zero), it answers no answer. Code is (sym.type.code ?? '').to lower case(). Tick is (sym.raw symbol or sym.symbol or '').to upper case().</t>
        </is>
      </c>
      <c r="I629" s="3" t="inlineStr">
        <is>
          <t>PARTLY READ — some of the code is still showing through; needs a hand pass</t>
        </is>
      </c>
      <c r="J629" s="3" t="inlineStr">
        <is>
          <t>p: StPosition</t>
        </is>
      </c>
      <c r="K629" s="3" t="inlineStr">
        <is>
          <t>MappedPosition | null</t>
        </is>
      </c>
      <c r="L629" s="3" t="inlineStr">
        <is>
          <t>—</t>
        </is>
      </c>
      <c r="M629" s="3" t="inlineStr">
        <is>
          <t>1. If units is missing it uses 0.
2. If quantity is missing it uses 0.</t>
        </is>
      </c>
      <c r="N629" s="3" t="inlineStr">
        <is>
          <t>No</t>
        </is>
      </c>
      <c r="O629" s="3" t="inlineStr">
        <is>
          <t>1. MK-ST-F-011 classifyHoldingClass
2. MK-XS-F-145 flatSymbol
3. MK-CF-F-132 map</t>
        </is>
      </c>
      <c r="P629" s="3" t="n">
        <v>9</v>
      </c>
      <c r="Q629" s="3" t="inlineStr">
        <is>
          <t>1. MK-ST-F-011 classifyHoldingClass
2. MK-XS-F-145 flatSymbol
3. MK-CF-F-132 map
4. MK-ST-F-010 nameEvidence
5. MK-XS-F-147 call
6. MK-ST-F-056 has
7. MK-ST-F-027 accountId
8. MK-XS-F-064 currentIdToken
9. MK-XS-F-112 relayUrl</t>
        </is>
      </c>
      <c r="R629"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29" s="3" t="inlineStr">
        <is>
          <t>—</t>
        </is>
      </c>
      <c r="T629" s="3" t="inlineStr">
        <is>
          <t>CLASS_FROM_BROKER</t>
        </is>
      </c>
      <c r="U629" s="3" t="inlineStr">
        <is>
          <t>ACTIVE</t>
        </is>
      </c>
      <c r="V629" s="3" t="inlineStr">
        <is>
          <t>2026-08-27</t>
        </is>
      </c>
      <c r="W629" s="3" t="n"/>
      <c r="X629" s="3" t="n"/>
      <c r="Y629" s="3" t="inlineStr">
        <is>
          <t>NOTHING OPEN</t>
        </is>
      </c>
    </row>
    <row r="630" ht="60" customHeight="1">
      <c r="A630" s="3" t="inlineStr">
        <is>
          <t>MK-XS-F-106</t>
        </is>
      </c>
      <c r="B630" s="3" t="inlineStr">
        <is>
          <t>mapOptionHolding</t>
        </is>
      </c>
      <c r="C630" s="3" t="inlineStr">
        <is>
          <t>src/services/sync/snaptrade.ts</t>
        </is>
      </c>
      <c r="D630" s="3" t="n">
        <v>310</v>
      </c>
      <c r="E630" s="3" t="inlineStr">
        <is>
          <t>3 · DEPENDENT (feeds an action only)</t>
        </is>
      </c>
      <c r="F630" s="3" t="inlineStr">
        <is>
          <t>What is this option position worth, and what do we call it?</t>
        </is>
      </c>
      <c r="G630"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30"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30" s="3" t="inlineStr">
        <is>
          <t>PARTLY READ — some of the code is still showing through; needs a hand pass</t>
        </is>
      </c>
      <c r="J630" s="3" t="inlineStr">
        <is>
          <t>1. o: StOptionHolding
2. multiplier = 100</t>
        </is>
      </c>
      <c r="K630" s="3" t="inlineStr">
        <is>
          <t>MappedOption | null</t>
        </is>
      </c>
      <c r="L630" s="3" t="inlineStr">
        <is>
          <t>—</t>
        </is>
      </c>
      <c r="M630" s="3" t="inlineStr">
        <is>
          <t>1. If units is missing it uses 0.
2. If price is missing it uses 0.
3. Rounds the answer to two decimals (cents).</t>
        </is>
      </c>
      <c r="N630" s="3" t="inlineStr">
        <is>
          <t>No</t>
        </is>
      </c>
      <c r="O630" s="3" t="inlineStr">
        <is>
          <t>1. MK-ST-F-007 classifyEvent
2. MK-XS-F-146 prettyExpiry</t>
        </is>
      </c>
      <c r="P630" s="3" t="n">
        <v>3</v>
      </c>
      <c r="Q630" s="3" t="inlineStr">
        <is>
          <t>1. MK-ST-F-007 classifyEvent
2. MK-XS-F-146 prettyExpiry
3. MK-CF-F-132 map</t>
        </is>
      </c>
      <c r="R630" s="3" t="inlineStr">
        <is>
          <t>1. MK-ST-F-007 classifyEvent → MK-XS-F-106 mapOptionHolding
2. MK-CF-F-132 map → MK-XS-F-146 prettyExpiry → MK-XS-F-106 mapOptionHolding</t>
        </is>
      </c>
      <c r="S630" s="3" t="inlineStr">
        <is>
          <t>—</t>
        </is>
      </c>
      <c r="T630" s="3" t="inlineStr">
        <is>
          <t>OPTION_HOLDING</t>
        </is>
      </c>
      <c r="U630" s="3" t="inlineStr">
        <is>
          <t>ACTIVE</t>
        </is>
      </c>
      <c r="V630" s="3" t="inlineStr">
        <is>
          <t>2026-08-27</t>
        </is>
      </c>
      <c r="W630" s="3" t="n"/>
      <c r="X630" s="3" t="n"/>
      <c r="Y630" s="3" t="inlineStr">
        <is>
          <t>NOTHING OPEN</t>
        </is>
      </c>
    </row>
    <row r="631" ht="60" customHeight="1">
      <c r="A631" s="3" t="inlineStr">
        <is>
          <t>MK-XS-F-107</t>
        </is>
      </c>
      <c r="B631" s="3" t="inlineStr">
        <is>
          <t>mapActivityType</t>
        </is>
      </c>
      <c r="C631" s="3" t="inlineStr">
        <is>
          <t>src/services/sync/snaptrade.ts</t>
        </is>
      </c>
      <c r="D631" s="3" t="n">
        <v>372</v>
      </c>
      <c r="E631" s="3" t="inlineStr">
        <is>
          <t>3 · DEPENDENT (feeds an action only)</t>
        </is>
      </c>
      <c r="F631" s="3" t="inlineStr">
        <is>
          <t>A line arrived from the broker. Is this money you paid IN, money you took OUT, or something that happened inside the account?</t>
        </is>
      </c>
      <c r="G631"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31"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31" s="3" t="inlineStr">
        <is>
          <t>PARTLY READ — some of the code is still showing through; needs a hand pass</t>
        </is>
      </c>
      <c r="J631" s="3" t="inlineStr">
        <is>
          <t>a: StActivity</t>
        </is>
      </c>
      <c r="K631" s="3" t="inlineStr">
        <is>
          <t>MappedActivity</t>
        </is>
      </c>
      <c r="L631" s="3" t="inlineStr">
        <is>
          <t>—</t>
        </is>
      </c>
      <c r="M631" s="3" t="inlineStr">
        <is>
          <t>· If amount is missing it uses 0.</t>
        </is>
      </c>
      <c r="N631" s="3" t="inlineStr">
        <is>
          <t>No</t>
        </is>
      </c>
      <c r="O631" s="3" t="inlineStr">
        <is>
          <t>MK-CF-F-155 cash</t>
        </is>
      </c>
      <c r="P631" s="3" t="n">
        <v>2</v>
      </c>
      <c r="Q631" s="3" t="inlineStr">
        <is>
          <t>1. MK-CF-F-155 cash
2. MK-XS-F-122 n</t>
        </is>
      </c>
      <c r="R631" s="3" t="inlineStr">
        <is>
          <t>MK-XS-F-122 n → MK-CF-F-155 cash → MK-XS-F-107 mapActivityType</t>
        </is>
      </c>
      <c r="S631" s="3" t="inlineStr">
        <is>
          <t>—</t>
        </is>
      </c>
      <c r="T631" s="3" t="inlineStr">
        <is>
          <t>TRANSLATE_BROKER_WORD</t>
        </is>
      </c>
      <c r="U631" s="3" t="inlineStr">
        <is>
          <t>ACTIVE</t>
        </is>
      </c>
      <c r="V631" s="3" t="inlineStr">
        <is>
          <t>2026-08-27</t>
        </is>
      </c>
      <c r="W631" s="3" t="n"/>
      <c r="X631" s="3" t="n"/>
      <c r="Y631" s="3" t="inlineStr">
        <is>
          <t>NOTHING OPEN</t>
        </is>
      </c>
    </row>
    <row r="632" ht="60" customHeight="1">
      <c r="A632" s="3" t="inlineStr">
        <is>
          <t>MK-XS-F-108</t>
        </is>
      </c>
      <c r="B632" s="3" t="inlineStr">
        <is>
          <t>activityKey</t>
        </is>
      </c>
      <c r="C632" s="3" t="inlineStr">
        <is>
          <t>src/services/sync/snaptrade.ts</t>
        </is>
      </c>
      <c r="D632" s="3" t="n">
        <v>453</v>
      </c>
      <c r="E632" s="3" t="inlineStr">
        <is>
          <t>3 · DEPENDENT (feeds an action only)</t>
        </is>
      </c>
      <c r="F632" s="3" t="inlineStr">
        <is>
          <t>── duplicate-proofing ───────────────────────────────────────────────────────────────────────── SnapTrade activity ids can change when they reprocess history, so identity = the composite of everything that makes the row THAT row.</t>
        </is>
      </c>
      <c r="G632" s="11" t="inlineStr">
        <is>
          <t>the answer = import key(account, trade date or settlement date, type, amount, units, security, reference, description)</t>
        </is>
      </c>
      <c r="H632" s="3" t="inlineStr">
        <is>
          <t>The stable identity of one imported activity row, built by MK-ST-F-014 importKey from the account, the date, the type, the amount, the units, the security, the reference and the description.</t>
        </is>
      </c>
      <c r="I632" s="3" t="inlineStr">
        <is>
          <t>READ BY HAND 2026-08-26 — checked line by line against the code</t>
        </is>
      </c>
      <c r="J632" s="3" t="inlineStr">
        <is>
          <t>1. accountId: string
2. a: StActivity</t>
        </is>
      </c>
      <c r="K632" s="3" t="inlineStr">
        <is>
          <t>string</t>
        </is>
      </c>
      <c r="L632" s="3" t="inlineStr">
        <is>
          <t>—</t>
        </is>
      </c>
      <c r="M632" s="3" t="inlineStr">
        <is>
          <t>None found in this function — anything it assumes comes from the functions it depends on.</t>
        </is>
      </c>
      <c r="N632" s="3" t="inlineStr">
        <is>
          <t>No</t>
        </is>
      </c>
      <c r="O632" s="3" t="inlineStr">
        <is>
          <t>1. MK-ST-F-027 accountId
2. MK-ST-F-014 importKey</t>
        </is>
      </c>
      <c r="P632" s="3" t="n">
        <v>2</v>
      </c>
      <c r="Q632" s="3" t="inlineStr">
        <is>
          <t>1. MK-ST-F-027 accountId
2. MK-ST-F-014 importKey</t>
        </is>
      </c>
      <c r="R632" s="3" t="inlineStr">
        <is>
          <t>1. MK-ST-F-027 accountId → MK-XS-F-108 activityKey
2. MK-ST-F-014 importKey → MK-XS-F-108 activityKey</t>
        </is>
      </c>
      <c r="S632" s="3" t="inlineStr">
        <is>
          <t>—</t>
        </is>
      </c>
      <c r="T632" s="3" t="inlineStr">
        <is>
          <t>ACTIVITY_IDENTITY</t>
        </is>
      </c>
      <c r="U632" s="3" t="inlineStr">
        <is>
          <t>ACTIVE</t>
        </is>
      </c>
      <c r="V632" s="3" t="inlineStr">
        <is>
          <t>2026-09-12</t>
        </is>
      </c>
      <c r="W632" s="3" t="n"/>
      <c r="X632" s="3" t="n"/>
      <c r="Y632" s="3" t="inlineStr">
        <is>
          <t>NOTHING OPEN</t>
        </is>
      </c>
    </row>
    <row r="633" ht="60" customHeight="1">
      <c r="A633" s="3" t="inlineStr">
        <is>
          <t>MK-XS-F-109</t>
        </is>
      </c>
      <c r="B633" s="3" t="inlineStr">
        <is>
          <t>dedupeActivities</t>
        </is>
      </c>
      <c r="C633" s="3" t="inlineStr">
        <is>
          <t>src/services/sync/snaptrade.ts</t>
        </is>
      </c>
      <c r="D633" s="3" t="n">
        <v>482</v>
      </c>
      <c r="E633" s="3" t="inlineStr">
        <is>
          <t>3 · DEPENDENT (feeds an action only)</t>
        </is>
      </c>
      <c r="F633" s="3" t="inlineStr">
        <is>
          <t>Which of these activities are new since the last sync?</t>
        </is>
      </c>
      <c r="G633" s="11" t="inlineStr">
        <is>
          <t>fresh = []
k = activity key(account id, a)
the answer = fresh</t>
        </is>
      </c>
      <c r="H633" s="3" t="inlineStr">
        <is>
          <t>Fresh is []. K is activity key(account id, a). The answer is fresh.</t>
        </is>
      </c>
      <c r="I633" s="3" t="inlineStr">
        <is>
          <t>READ FROM THE CODE — rendered from the expressions the function runs</t>
        </is>
      </c>
      <c r="J633" s="3" t="inlineStr">
        <is>
          <t>1. accountId: string
2. incoming: StActivity[]
3. seenKeys: Set&lt;string&gt;</t>
        </is>
      </c>
      <c r="K633" s="3" t="inlineStr">
        <is>
          <t>StActivity[]</t>
        </is>
      </c>
      <c r="L633" s="3" t="inlineStr">
        <is>
          <t>—</t>
        </is>
      </c>
      <c r="M633" s="3" t="inlineStr">
        <is>
          <t>None found in this function — anything it assumes comes from the functions it depends on.</t>
        </is>
      </c>
      <c r="N633" s="3" t="inlineStr">
        <is>
          <t>No</t>
        </is>
      </c>
      <c r="O633" s="3" t="inlineStr">
        <is>
          <t>1. MK-ST-F-027 accountId
2. MK-XS-F-108 activityKey
3. MK-ST-F-056 has</t>
        </is>
      </c>
      <c r="P633" s="3" t="n">
        <v>4</v>
      </c>
      <c r="Q633" s="3" t="inlineStr">
        <is>
          <t>1. MK-ST-F-027 accountId
2. MK-XS-F-108 activityKey
3. MK-ST-F-056 has
4. MK-ST-F-014 importKey</t>
        </is>
      </c>
      <c r="R633" s="3" t="inlineStr">
        <is>
          <t>1. MK-ST-F-027 accountId → MK-XS-F-109 dedupeActivities
2. MK-ST-F-027 accountId → MK-XS-F-108 activityKey → MK-XS-F-109 dedupeActivities
3. MK-ST-F-014 importKey → MK-XS-F-108 activityKey → MK-XS-F-109 dedupeActivities
4. MK-ST-F-056 has → MK-XS-F-109 dedupeActivities</t>
        </is>
      </c>
      <c r="S633" s="3" t="inlineStr">
        <is>
          <t>—</t>
        </is>
      </c>
      <c r="T633" s="3" t="inlineStr">
        <is>
          <t>ALREADY_SEEN_CHECK</t>
        </is>
      </c>
      <c r="U633" s="3" t="inlineStr">
        <is>
          <t>ACTIVE</t>
        </is>
      </c>
      <c r="V633" s="3" t="inlineStr">
        <is>
          <t>2026-08-27</t>
        </is>
      </c>
      <c r="W633" s="3" t="n"/>
      <c r="X633" s="3" t="n"/>
      <c r="Y633" s="3" t="inlineStr">
        <is>
          <t>NOTHING OPEN</t>
        </is>
      </c>
    </row>
    <row r="634" ht="60" customHeight="1">
      <c r="A634" s="3" t="inlineStr">
        <is>
          <t>MK-XS-F-110</t>
        </is>
      </c>
      <c r="B634" s="3" t="inlineStr">
        <is>
          <t>netCashSleeve</t>
        </is>
      </c>
      <c r="C634" s="3" t="inlineStr">
        <is>
          <t>src/services/sync/snaptrade.ts</t>
        </is>
      </c>
      <c r="D634" s="3" t="n">
        <v>523</v>
      </c>
      <c r="E634" s="3" t="inlineStr">
        <is>
          <t>3 · DEPENDENT (feeds an action only)</t>
        </is>
      </c>
      <c r="F634" s="3" t="inlineStr">
        <is>
          <t>── the cash sleeve, deduped ─────────────────────────────────────────────────────────────────── SnapTrade counts money-market (cash_equivalent) positions INSIDE balances.cash too.</t>
        </is>
      </c>
      <c r="G634" s="11" t="inlineStr">
        <is>
          <t>net = round((balances cash ?? 0) − mmf, 2 dp)
the answer:
0   if net &lt; 0 and net &gt; -1
net   otherwise</t>
        </is>
      </c>
      <c r="H634" s="3" t="inlineStr">
        <is>
          <t>Net is (balances cash ?? 0) minus mmf, to the cent. The answer is 0 — when net &lt; 0 and net &gt; -1; net — otherwise.</t>
        </is>
      </c>
      <c r="I634" s="3" t="inlineStr">
        <is>
          <t>PARTLY READ — some of the code is still showing through; needs a hand pass</t>
        </is>
      </c>
      <c r="J634" s="3" t="inlineStr">
        <is>
          <t>1. balancesCash: number | null | undefined
2. positions: MappedPosition[]</t>
        </is>
      </c>
      <c r="K634" s="3" t="inlineStr">
        <is>
          <t>number</t>
        </is>
      </c>
      <c r="L634" s="3" t="inlineStr">
        <is>
          <t>—</t>
        </is>
      </c>
      <c r="M634" s="3" t="inlineStr">
        <is>
          <t>1. If price is missing it uses 0.
2. If balances cash is missing it uses 0.
3. Rounds the answer to two decimals (cents).</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UNINVESTED_CASH</t>
        </is>
      </c>
      <c r="U634" s="3" t="inlineStr">
        <is>
          <t>ACTIVE</t>
        </is>
      </c>
      <c r="V634" s="3" t="inlineStr">
        <is>
          <t>2026-08-27</t>
        </is>
      </c>
      <c r="W634" s="3" t="n"/>
      <c r="X634" s="3" t="n"/>
      <c r="Y634" s="3" t="inlineStr">
        <is>
          <t>NOTHING OPEN</t>
        </is>
      </c>
    </row>
    <row r="635" ht="60" customHeight="1">
      <c r="A635" s="3" t="inlineStr">
        <is>
          <t>MK-XS-F-111</t>
        </is>
      </c>
      <c r="B635" s="3" t="inlineStr">
        <is>
          <t>mergeHistoryFrom</t>
        </is>
      </c>
      <c r="C635" s="3" t="inlineStr">
        <is>
          <t>src/services/sync/snaptrade.ts</t>
        </is>
      </c>
      <c r="D635" s="3" t="n">
        <v>559</v>
      </c>
      <c r="E635" s="3" t="inlineStr">
        <is>
          <t>3 · DEPENDENT (feeds an action only)</t>
        </is>
      </c>
      <c r="F635" s="3" t="inlineStr">
        <is>
          <t>FOUNDER RULE 2026-08-04: record how far back the broker's OWN activity feed reaches, so a "past year" income figure can label itself honestly.</t>
        </is>
      </c>
      <c r="G635" s="11" t="inlineStr">
        <is>
          <t>earliest now = the first of dates
existing   when earliest now is missing
earliest now   when existing is missing
the answer:
earliest now   if earliest now &lt; existing
existing   otherwise</t>
        </is>
      </c>
      <c r="H635" s="3" t="inlineStr">
        <is>
          <t>Earliest now: the first of dates. When earliest now is missing, it answers existing. When existing is missing, it answers earliest now. The answer is earliest now — when earliest now &lt; existing; existing — otherwise.</t>
        </is>
      </c>
      <c r="I635" s="3" t="inlineStr">
        <is>
          <t>READ FROM THE CODE — rendered from the expressions the function runs</t>
        </is>
      </c>
      <c r="J635" s="3" t="inlineStr">
        <is>
          <t>1. existing: string | undefined
2. activityDates: (string | null | undefined)[]</t>
        </is>
      </c>
      <c r="K635" s="3" t="inlineStr">
        <is>
          <t>string | undefined</t>
        </is>
      </c>
      <c r="L635" s="3" t="inlineStr">
        <is>
          <t>—</t>
        </is>
      </c>
      <c r="M635" s="3" t="inlineStr">
        <is>
          <t>None found in this function — anything it assumes comes from the functions it depends on.</t>
        </is>
      </c>
      <c r="N635" s="3" t="inlineStr">
        <is>
          <t>No</t>
        </is>
      </c>
      <c r="O635" s="3" t="inlineStr">
        <is>
          <t>MK-CF-F-132 map</t>
        </is>
      </c>
      <c r="P635" s="3" t="n">
        <v>1</v>
      </c>
      <c r="Q635" s="3" t="inlineStr">
        <is>
          <t>MK-CF-F-132 map</t>
        </is>
      </c>
      <c r="R635" s="3" t="inlineStr">
        <is>
          <t>MK-CF-F-132 map → MK-XS-F-111 mergeHistoryFrom</t>
        </is>
      </c>
      <c r="S635" s="3" t="inlineStr">
        <is>
          <t>—</t>
        </is>
      </c>
      <c r="T635" s="3" t="inlineStr">
        <is>
          <t>HISTORY_DEPTH</t>
        </is>
      </c>
      <c r="U635" s="3" t="inlineStr">
        <is>
          <t>ACTIVE</t>
        </is>
      </c>
      <c r="V635" s="3" t="inlineStr">
        <is>
          <t>2026-08-27</t>
        </is>
      </c>
      <c r="W635" s="3" t="n"/>
      <c r="X635" s="3" t="n"/>
      <c r="Y635" s="3" t="inlineStr">
        <is>
          <t>NOTHING OPEN</t>
        </is>
      </c>
    </row>
    <row r="636" ht="60" customHeight="1">
      <c r="A636" s="3" t="inlineStr">
        <is>
          <t>MK-XS-F-112</t>
        </is>
      </c>
      <c r="B636" s="3" t="inlineStr">
        <is>
          <t>relayUrl</t>
        </is>
      </c>
      <c r="C636" s="3" t="inlineStr">
        <is>
          <t>src/services/sync/snaptradeClient.ts</t>
        </is>
      </c>
      <c r="D636" s="3" t="n">
        <v>35</v>
      </c>
      <c r="E636" s="3" t="inlineStr">
        <is>
          <t>3 · DEPENDENT</t>
        </is>
      </c>
      <c r="F636" s="3" t="inlineStr">
        <is>
          <t>NOT DETERMINED — the code carries no note saying what this is for, and it has no row in the old inventory. Needs reading.</t>
        </is>
      </c>
      <c r="G636" s="11" t="inlineStr">
        <is>
          <t>the answer = the relay address from the app config, else from the environment, else nothing</t>
        </is>
      </c>
      <c r="H636" s="3" t="inlineStr">
        <is>
          <t>Where the connection relay lives, read from the app configuration. Not a calculation.</t>
        </is>
      </c>
      <c r="I636" s="3" t="inlineStr">
        <is>
          <t>READ BY HAND 2026-08-26 — checked line by line against the code</t>
        </is>
      </c>
      <c r="J636" s="3" t="inlineStr">
        <is>
          <t>Nothing is handed to it</t>
        </is>
      </c>
      <c r="K636" s="3" t="inlineStr">
        <is>
          <t>string | null</t>
        </is>
      </c>
      <c r="L636" s="3" t="inlineStr">
        <is>
          <t>—</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2026-09-12</t>
        </is>
      </c>
      <c r="W636" s="3" t="n"/>
      <c r="X636" s="3" t="n"/>
      <c r="Y636" s="3" t="inlineStr">
        <is>
          <t>NOTHING OPEN</t>
        </is>
      </c>
    </row>
    <row r="637" ht="60" customHeight="1">
      <c r="A637" s="3" t="inlineStr">
        <is>
          <t>MK-XS-F-113</t>
        </is>
      </c>
      <c r="B637" s="3" t="inlineStr">
        <is>
          <t>snaptradeConfigured</t>
        </is>
      </c>
      <c r="C637" s="3" t="inlineStr">
        <is>
          <t>src/services/sync/snaptradeClient.ts</t>
        </is>
      </c>
      <c r="D637" s="3" t="n">
        <v>60</v>
      </c>
      <c r="E637" s="3" t="inlineStr">
        <is>
          <t>1 · ACTION</t>
        </is>
      </c>
      <c r="F637" s="3" t="inlineStr">
        <is>
          <t>NOT DETERMINED — the code carries no note saying what this is for, and it has no row in the old inventory. Needs reading.</t>
        </is>
      </c>
      <c r="G637" s="11" t="inlineStr">
        <is>
          <t>!!relay url()</t>
        </is>
      </c>
      <c r="H637" s="3" t="inlineStr">
        <is>
          <t>!!relay url()</t>
        </is>
      </c>
      <c r="I637" s="3" t="inlineStr">
        <is>
          <t>READ FROM THE CODE — rendered from the expressions the function runs</t>
        </is>
      </c>
      <c r="J637" s="3" t="inlineStr">
        <is>
          <t>Nothing is handed to it</t>
        </is>
      </c>
      <c r="K637" s="3" t="inlineStr">
        <is>
          <t>NOT DECLARED — the code does not say what it gives back</t>
        </is>
      </c>
      <c r="L637" s="3" t="inlineStr">
        <is>
          <t>—</t>
        </is>
      </c>
      <c r="M637" s="3" t="inlineStr">
        <is>
          <t>None found in this function — anything it assumes comes from the functions it depends on.</t>
        </is>
      </c>
      <c r="N637" s="3" t="inlineStr">
        <is>
          <t>Yes</t>
        </is>
      </c>
      <c r="O637" s="3" t="inlineStr">
        <is>
          <t>MK-XS-F-112 relayUrl</t>
        </is>
      </c>
      <c r="P637" s="3" t="n">
        <v>1</v>
      </c>
      <c r="Q637" s="3" t="inlineStr">
        <is>
          <t>MK-XS-F-112 relayUrl</t>
        </is>
      </c>
      <c r="R637" s="3" t="inlineStr">
        <is>
          <t>MK-XS-F-112 relayUrl → MK-XS-F-113 snaptradeConfigured</t>
        </is>
      </c>
      <c r="S637" s="3" t="inlineStr">
        <is>
          <t>—</t>
        </is>
      </c>
      <c r="T637" s="3" t="inlineStr">
        <is>
          <t>—</t>
        </is>
      </c>
      <c r="U637" s="3" t="inlineStr">
        <is>
          <t>ACTIVE</t>
        </is>
      </c>
      <c r="V637" s="3" t="inlineStr">
        <is>
          <t>2026-08-27</t>
        </is>
      </c>
      <c r="W637" s="3" t="n"/>
      <c r="X637" s="3" t="n"/>
      <c r="Y637" s="3" t="inlineStr">
        <is>
          <t>NOTHING OPEN</t>
        </is>
      </c>
    </row>
    <row r="638" ht="60" customHeight="1">
      <c r="A638" s="3" t="inlineStr">
        <is>
          <t>MK-XS-F-114</t>
        </is>
      </c>
      <c r="B638" s="3" t="inlineStr">
        <is>
          <t>usdCash</t>
        </is>
      </c>
      <c r="C638" s="3" t="inlineStr">
        <is>
          <t>src/services/sync/snaptradeClient.ts</t>
        </is>
      </c>
      <c r="D638" s="3" t="n">
        <v>148</v>
      </c>
      <c r="E638" s="3" t="inlineStr">
        <is>
          <t>3 · DEPENDENT</t>
        </is>
      </c>
      <c r="F638" s="3" t="inlineStr">
        <is>
          <t>USD cash across the balances list (v1 is USD-only; other currencies are ignored, not guessed).</t>
        </is>
      </c>
      <c r="G638" s="11" t="inlineStr">
        <is>
          <t>the answer = Σ over balances in USD (or with no currency) of (cash, or 0)</t>
        </is>
      </c>
      <c r="H638" s="3" t="inlineStr">
        <is>
          <t>Adds up the cash balances a connected account reports in US dollars (a balance with no currency code counts as dollars). Other currencies are left out.</t>
        </is>
      </c>
      <c r="I638" s="3" t="inlineStr">
        <is>
          <t>READ BY HAND 2026-08-26 — checked line by line against the code</t>
        </is>
      </c>
      <c r="J638" s="3" t="inlineStr">
        <is>
          <t>balances: HoldingsPayload['balances'] | null | undefined</t>
        </is>
      </c>
      <c r="K638" s="3" t="inlineStr">
        <is>
          <t>number</t>
        </is>
      </c>
      <c r="L638" s="3" t="inlineStr">
        <is>
          <t>—</t>
        </is>
      </c>
      <c r="M638" s="3" t="inlineStr">
        <is>
          <t>· If cash is missing it uses 0.</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MK-XS-F-115</t>
        </is>
      </c>
      <c r="B639" s="3" t="inlineStr">
        <is>
          <t>shouldDailySync</t>
        </is>
      </c>
      <c r="C639" s="3" t="inlineStr">
        <is>
          <t>src/services/sync/snaptradeSync.ts</t>
        </is>
      </c>
      <c r="D639" s="3" t="n">
        <v>38</v>
      </c>
      <c r="E639" s="3" t="inlineStr">
        <is>
          <t>3 · DEPENDENT</t>
        </is>
      </c>
      <c r="F639" s="3" t="inlineStr">
        <is>
          <t>NOT DETERMINED — the code carries no note saying what this is for, and it has no row in the old inventory. Needs reading.</t>
        </is>
      </c>
      <c r="G639" s="11" t="inlineStr">
        <is>
          <t>true   when last sync at is missing
t = date.parse(last sync at)
the answer = number.is na n(t) (or now − t &gt; 20 × 3600000 when missing or zero)</t>
        </is>
      </c>
      <c r="H639" s="3" t="inlineStr">
        <is>
          <t>When last sync at is missing, it answers true. T is date.parse(last sync at). The answer is number.is na n(t) (or now minus t &gt; 20 times 3600000 — when missing or zero).</t>
        </is>
      </c>
      <c r="I639" s="3" t="inlineStr">
        <is>
          <t>PARTLY READ — some of the code is still showing through; needs a hand pass</t>
        </is>
      </c>
      <c r="J639" s="3" t="inlineStr">
        <is>
          <t>1. lastSyncAt: string | null | undefined
2. now: number = Date.now()</t>
        </is>
      </c>
      <c r="K639" s="3" t="inlineStr">
        <is>
          <t>boolean</t>
        </is>
      </c>
      <c r="L639" s="3" t="inlineStr">
        <is>
          <t>—</t>
        </is>
      </c>
      <c r="M639" s="3" t="inlineStr">
        <is>
          <t>· Uses today's date from the device clock, so the answer changes by itself overnight.</t>
        </is>
      </c>
      <c r="N639" s="3" t="inlineStr">
        <is>
          <t>Yes</t>
        </is>
      </c>
      <c r="O639" s="3" t="inlineStr">
        <is>
          <t>—</t>
        </is>
      </c>
      <c r="P639" s="3" t="n">
        <v>0</v>
      </c>
      <c r="Q639" s="3" t="inlineStr">
        <is>
          <t>None — no dependent function stands behind it</t>
        </is>
      </c>
      <c r="R639" s="3" t="inlineStr">
        <is>
          <t>No dependent function — it reads its inputs and answers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MK-XS-F-116</t>
        </is>
      </c>
      <c r="B640" s="3" t="inlineStr">
        <is>
          <t>runSnapTradeSync</t>
        </is>
      </c>
      <c r="C640" s="3" t="inlineStr">
        <is>
          <t>src/services/sync/snaptradeSync.ts</t>
        </is>
      </c>
      <c r="D640" s="3" t="n">
        <v>144</v>
      </c>
      <c r="E640" s="3" t="inlineStr">
        <is>
          <t>2 · DISPLAYED</t>
        </is>
      </c>
      <c r="F640" s="3" t="inlineStr">
        <is>
          <t>Full sync. Returns the number of accounts synced (0 = nothing connected).</t>
        </is>
      </c>
      <c r="G640"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40"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40" s="3" t="inlineStr">
        <is>
          <t>PARTLY READ — some of the code is still showing through; needs a hand pass</t>
        </is>
      </c>
      <c r="J640" s="3" t="inlineStr">
        <is>
          <t>1. opts: { force?: boolean } = {}
2. reads the app's stored data</t>
        </is>
      </c>
      <c r="K640" s="3" t="inlineStr">
        <is>
          <t>Promise&lt;number&gt;</t>
        </is>
      </c>
      <c r="L640" s="3" t="inlineStr">
        <is>
          <t>NOT FOUND — a screen calls it, but the words printed beside its answer could not be traced automatically. Needs reading.</t>
        </is>
      </c>
      <c r="M640" s="3" t="inlineStr">
        <is>
          <t>· Uses today's date from the device clock, so the answer changes by itself overnight.</t>
        </is>
      </c>
      <c r="N640" s="3" t="inlineStr">
        <is>
          <t>Yes</t>
        </is>
      </c>
      <c r="O640" s="3" t="inlineStr">
        <is>
          <t>1. MK-XS-F-149 allActivities
2. MK-CF-F-132 map
3. MK-XS-F-115 shouldDailySync
4. MK-XS-F-113 snaptradeConfigured
5. MK-XS-F-101 stAssetId
6. MK-XS-F-114 usdCash</t>
        </is>
      </c>
      <c r="P640" s="3" t="n">
        <v>9</v>
      </c>
      <c r="Q640" s="3" t="inlineStr">
        <is>
          <t>1. MK-XS-F-149 allActivities
2. MK-CF-F-132 map
3. MK-XS-F-115 shouldDailySync
4. MK-XS-F-113 snaptradeConfigured
5. MK-XS-F-101 stAssetId
6. MK-XS-F-114 usdCash
7. MK-ST-F-027 accountId
8. MK-XS-F-148 unwrapActivities
9. MK-XS-F-112 relayUrl</t>
        </is>
      </c>
      <c r="R640"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40" s="3" t="inlineStr">
        <is>
          <t>—</t>
        </is>
      </c>
      <c r="T640" s="3" t="inlineStr">
        <is>
          <t>—</t>
        </is>
      </c>
      <c r="U640" s="3" t="inlineStr">
        <is>
          <t>ACTIVE</t>
        </is>
      </c>
      <c r="V640" s="3" t="inlineStr">
        <is>
          <t>2026-08-27</t>
        </is>
      </c>
      <c r="W640" s="3" t="n"/>
      <c r="X640" s="3" t="n"/>
      <c r="Y640" s="3" t="inlineStr">
        <is>
          <t>NOTHING OPEN</t>
        </is>
      </c>
    </row>
    <row r="641" ht="60" customHeight="1">
      <c r="A641" s="3" t="inlineStr">
        <is>
          <t>MK-XS-F-118</t>
        </is>
      </c>
      <c r="B641" s="3" t="inlineStr">
        <is>
          <t>prettyDate</t>
        </is>
      </c>
      <c r="C641" s="3" t="inlineStr">
        <is>
          <t>src/domain/gaps/index.ts</t>
        </is>
      </c>
      <c r="D641" s="3" t="n">
        <v>58</v>
      </c>
      <c r="E641" s="3" t="inlineStr">
        <is>
          <t>3 · DEPENDENT</t>
        </is>
      </c>
      <c r="F641" s="3" t="inlineStr">
        <is>
          <t>daysSince now comes from the ONE freshness rule in src/domain/_shared/freshness.ts (DEC-0301).</t>
        </is>
      </c>
      <c r="G641" s="11" t="inlineStr">
        <is>
          <t>d = the date `${iso}-15T12:00:00`   if iso.length = 7
`${iso}T12:00:00`   otherwise
the answer:
iso   if is na n(get time())
to locale date string('en − US', { month: 'short', day: 'numeric' })   otherwise</t>
        </is>
      </c>
      <c r="H641" s="3" t="inlineStr">
        <is>
          <t>D: the date `${iso}-15T12:00:00` — when iso.length = 7; `${iso}T12:00:00` — otherwise. The answer is iso — when is na n(get time()); to locale date string('en minus US', { month: 'short', day: 'numeric' }) — otherwise.</t>
        </is>
      </c>
      <c r="I641" s="3" t="inlineStr">
        <is>
          <t>PARTLY READ — some of the code is still showing through; needs a hand pass</t>
        </is>
      </c>
      <c r="J641" s="3" t="inlineStr">
        <is>
          <t>iso: string</t>
        </is>
      </c>
      <c r="K641" s="3" t="inlineStr">
        <is>
          <t>NOT DECLARED — the code does not say what it gives back</t>
        </is>
      </c>
      <c r="L641" s="3" t="inlineStr">
        <is>
          <t>—</t>
        </is>
      </c>
      <c r="M641" s="3" t="inlineStr">
        <is>
          <t>None found in this function — anything it assumes comes from the functions it depends on.</t>
        </is>
      </c>
      <c r="N641" s="3" t="inlineStr">
        <is>
          <t>Yes</t>
        </is>
      </c>
      <c r="O641" s="3" t="inlineStr">
        <is>
          <t>—</t>
        </is>
      </c>
      <c r="P641" s="3" t="n">
        <v>0</v>
      </c>
      <c r="Q641" s="3" t="inlineStr">
        <is>
          <t>None — no dependent function stands behind it</t>
        </is>
      </c>
      <c r="R641" s="3" t="inlineStr">
        <is>
          <t>No dependent function — it reads its inputs and answers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MK-XS-F-119</t>
        </is>
      </c>
      <c r="B642" s="3" t="inlineStr">
        <is>
          <t>namesFor</t>
        </is>
      </c>
      <c r="C642" s="3" t="inlineStr">
        <is>
          <t>src/domain/gaps/index.ts</t>
        </is>
      </c>
      <c r="D642" s="3" t="n">
        <v>84</v>
      </c>
      <c r="E642" s="3" t="inlineStr">
        <is>
          <t>1 · ACTION</t>
        </is>
      </c>
      <c r="F642" s="3" t="inlineStr">
        <is>
          <t>Founder finding 2026-08-11: this named an account by its INSTITUTION alone, so two Vanguard accounts produced two identical banner lines ("Vanguard last updated Aug 3" twice) with no way to tell which was which.</t>
        </is>
      </c>
      <c r="G642" s="11" t="inlineStr">
        <is>
          <t>account display names(accounts)</t>
        </is>
      </c>
      <c r="H642" s="3" t="inlineStr">
        <is>
          <t>account display names(accounts)</t>
        </is>
      </c>
      <c r="I642" s="3" t="inlineStr">
        <is>
          <t>READ FROM THE CODE — rendered from the expressions the function runs</t>
        </is>
      </c>
      <c r="J642" s="3" t="inlineStr">
        <is>
          <t>accounts: AssetAccount[]</t>
        </is>
      </c>
      <c r="K642" s="3" t="inlineStr">
        <is>
          <t>NOT DECLARED — the code does not say what it gives back</t>
        </is>
      </c>
      <c r="L642" s="3" t="inlineStr">
        <is>
          <t>—</t>
        </is>
      </c>
      <c r="M642" s="3" t="inlineStr">
        <is>
          <t>None found in this function — anything it assumes comes from the functions it depends on.</t>
        </is>
      </c>
      <c r="N642" s="3" t="inlineStr">
        <is>
          <t>Yes</t>
        </is>
      </c>
      <c r="O642" s="3" t="inlineStr">
        <is>
          <t>MK-NW-F-026 accountDisplayNames</t>
        </is>
      </c>
      <c r="P642" s="3" t="n">
        <v>8</v>
      </c>
      <c r="Q642" s="3" t="inlineStr">
        <is>
          <t>1. MK-NW-F-026 accountDisplayNames
2. MK-NW-F-025 accountDisplayName
3. MK-CF-F-155 cash
4. MK-CF-F-132 map
5. MK-XS-F-122 n
6. MK-NW-F-024 accountLastFour
7. MK-NW-F-012 taxTreatmentOf
8. MK-NW-F-023 wrapperWord</t>
        </is>
      </c>
      <c r="R642" s="3" t="inlineStr">
        <is>
          <t>1. accountDisplayNames (already above — a loop) → MK-NW-F-025 accountDisplayName → MK-NW-F-026 accountDisplayNames → MK-XS-F-119 namesFor
2. MK-NW-F-024 accountLastFour → MK-NW-F-025 accountDisplayName → MK-NW-F-026 accountDisplayNames → MK-XS-F-119 namesFor
3. MK-NW-F-012 taxTreatmentOf → MK-NW-F-025 accountDisplayName → MK-NW-F-026 accountDisplayNames → MK-XS-F-119 namesFor
4. MK-NW-F-023 wrapperWord → MK-NW-F-025 accountDisplayName → MK-NW-F-026 accountDisplayNames → MK-XS-F-119 namesFor
5. MK-XS-F-122 n → MK-CF-F-155 cash → MK-NW-F-026 accountDisplayNames → MK-XS-F-119 namesFor
6. MK-CF-F-132 map → MK-NW-F-026 accountDisplayNames → MK-XS-F-119 namesFor
7. MK-XS-F-122 n → MK-NW-F-026 accountDisplayNames → MK-XS-F-119 namesFor</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MK-XS-F-120</t>
        </is>
      </c>
      <c r="B643" s="3" t="inlineStr">
        <is>
          <t>nameOf</t>
        </is>
      </c>
      <c r="C643" s="3" t="inlineStr">
        <is>
          <t>src/domain/gaps/index.ts</t>
        </is>
      </c>
      <c r="D643" s="3" t="n">
        <v>104</v>
      </c>
      <c r="E643" s="3" t="inlineStr">
        <is>
          <t>1 · ACTION</t>
        </is>
      </c>
      <c r="F643" s="3" t="inlineStr">
        <is>
          <t>NOT DETERMINED — the code carries no note saying what this is for, and it has no row in the old inventory. Needs reading.</t>
        </is>
      </c>
      <c r="G643" s="11" t="inlineStr">
        <is>
          <t>the answer = the person's name for the account, else the institution, else the label, else 'this account'</t>
        </is>
      </c>
      <c r="H643" s="3" t="inlineStr">
        <is>
          <t>What to call an account in a sentence — the person's own name for it, then the institution, then the label. No arithmetic.</t>
        </is>
      </c>
      <c r="I643" s="3" t="inlineStr">
        <is>
          <t>READ BY HAND 2026-08-26 — checked line by line against the code</t>
        </is>
      </c>
      <c r="J643" s="3" t="inlineStr">
        <is>
          <t>1. a: AssetAccount
2. names: Map&lt;string, string&gt;</t>
        </is>
      </c>
      <c r="K643" s="3" t="inlineStr">
        <is>
          <t>NOT DECLARED — the code does not say what it gives back</t>
        </is>
      </c>
      <c r="L643" s="3" t="inlineStr">
        <is>
          <t>—</t>
        </is>
      </c>
      <c r="M643" s="3" t="inlineStr">
        <is>
          <t>None found in this function — anything it assumes comes from the functions it depends on.</t>
        </is>
      </c>
      <c r="N643" s="3" t="inlineStr">
        <is>
          <t>Yes</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2026-09-12</t>
        </is>
      </c>
      <c r="W643" s="3" t="n"/>
      <c r="X643" s="3" t="n"/>
      <c r="Y643" s="3" t="inlineStr">
        <is>
          <t>NOTHING OPEN</t>
        </is>
      </c>
    </row>
    <row r="644" ht="60" customHeight="1">
      <c r="A644" s="3" t="inlineStr">
        <is>
          <t>MK-XS-F-121</t>
        </is>
      </c>
      <c r="B644" s="3" t="inlineStr">
        <is>
          <t>isYm</t>
        </is>
      </c>
      <c r="C644" s="3" t="inlineStr">
        <is>
          <t>src/domain/history.ts</t>
        </is>
      </c>
      <c r="D644" s="3" t="n">
        <v>134</v>
      </c>
      <c r="E644" s="3" t="inlineStr">
        <is>
          <t>1 · ACTION</t>
        </is>
      </c>
      <c r="F644" s="3" t="inlineStr">
        <is>
          <t>NOT DETERMINED — the code carries no note saying what this is for, and it has no row in the old inventory. Needs reading.</t>
        </is>
      </c>
      <c r="G644" s="11" t="inlineStr">
        <is>
          <t>the answer = true when the text is exactly 'YYYY-MM'</t>
        </is>
      </c>
      <c r="H644" s="3" t="inlineStr">
        <is>
          <t>Whether a text is a month key of the form 'YYYY-MM'. No arithmetic.</t>
        </is>
      </c>
      <c r="I644" s="3" t="inlineStr">
        <is>
          <t>READ BY HAND 2026-08-26 — checked line by line against the code</t>
        </is>
      </c>
      <c r="J644" s="3" t="inlineStr">
        <is>
          <t>s: unknown</t>
        </is>
      </c>
      <c r="K644" s="3" t="inlineStr">
        <is>
          <t>s is string</t>
        </is>
      </c>
      <c r="L644" s="3" t="inlineStr">
        <is>
          <t>—</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2026-09-12</t>
        </is>
      </c>
      <c r="W644" s="3" t="n"/>
      <c r="X644" s="3" t="n"/>
      <c r="Y644" s="3" t="inlineStr">
        <is>
          <t>NOTHING OPEN</t>
        </is>
      </c>
    </row>
    <row r="645" ht="60" customHeight="1">
      <c r="A645" s="3" t="inlineStr">
        <is>
          <t>MK-XS-F-122</t>
        </is>
      </c>
      <c r="B645" s="3" t="inlineStr">
        <is>
          <t>n</t>
        </is>
      </c>
      <c r="C645" s="3" t="inlineStr">
        <is>
          <t>src/domain/history.ts</t>
        </is>
      </c>
      <c r="D645" s="3" t="n">
        <v>175</v>
      </c>
      <c r="E645" s="3" t="inlineStr">
        <is>
          <t>1 · ACTION</t>
        </is>
      </c>
      <c r="F645" s="3" t="inlineStr">
        <is>
          <t>NOT DETERMINED — the code carries no note saying what this is for, and it has no row in the old inventory. Needs reading.</t>
        </is>
      </c>
      <c r="G645" s="11" t="inlineStr">
        <is>
          <t>v   if typeof v = 'number' and number.is finite(v)
fallback   otherwise</t>
        </is>
      </c>
      <c r="H645" s="3" t="inlineStr">
        <is>
          <t>v — when typeof v = 'number' and number.is finite(v); fallback — otherwise</t>
        </is>
      </c>
      <c r="I645" s="3" t="inlineStr">
        <is>
          <t>PARTLY READ — some of the code is still showing through; needs a hand pass</t>
        </is>
      </c>
      <c r="J645" s="3" t="inlineStr">
        <is>
          <t>1. v: unknown
2. fallback = 0</t>
        </is>
      </c>
      <c r="K645" s="3" t="inlineStr">
        <is>
          <t>number</t>
        </is>
      </c>
      <c r="L645" s="3" t="inlineStr">
        <is>
          <t>—</t>
        </is>
      </c>
      <c r="M645" s="3" t="inlineStr">
        <is>
          <t>None found in this function — anything it assumes comes from the functions it depends on.</t>
        </is>
      </c>
      <c r="N645" s="3" t="inlineStr">
        <is>
          <t>Yes</t>
        </is>
      </c>
      <c r="O645" s="3" t="inlineStr">
        <is>
          <t>—</t>
        </is>
      </c>
      <c r="P645" s="3" t="n">
        <v>0</v>
      </c>
      <c r="Q645" s="3" t="inlineStr">
        <is>
          <t>None — no dependent function stands behind it</t>
        </is>
      </c>
      <c r="R645" s="3" t="inlineStr">
        <is>
          <t>No dependent function — it reads its inputs and answers</t>
        </is>
      </c>
      <c r="S645" s="3" t="inlineStr">
        <is>
          <t>—</t>
        </is>
      </c>
      <c r="T645" s="3" t="inlineStr">
        <is>
          <t>—</t>
        </is>
      </c>
      <c r="U645" s="3" t="inlineStr">
        <is>
          <t>ACTIVE</t>
        </is>
      </c>
      <c r="V645" s="3" t="inlineStr">
        <is>
          <t>2026-08-27</t>
        </is>
      </c>
      <c r="W645" s="3" t="n"/>
      <c r="X645" s="3" t="n"/>
      <c r="Y645" s="3" t="inlineStr">
        <is>
          <t>NOTHING OPEN</t>
        </is>
      </c>
    </row>
    <row r="646" ht="60" customHeight="1">
      <c r="A646" s="3" t="inlineStr">
        <is>
          <t>MK-XS-F-123</t>
        </is>
      </c>
      <c r="B646" s="3" t="inlineStr">
        <is>
          <t>base64ToBytes</t>
        </is>
      </c>
      <c r="C646" s="3" t="inlineStr">
        <is>
          <t>src/domain/import/holdingsImport.ts</t>
        </is>
      </c>
      <c r="D646" s="3" t="n">
        <v>56</v>
      </c>
      <c r="E646" s="3" t="inlineStr">
        <is>
          <t>3 · DEPENDENT</t>
        </is>
      </c>
      <c r="F646" s="3" t="inlineStr">
        <is>
          <t>NOT DETERMINED — the code carries no note saying what this is for, and it has no row in the old inventory. Needs reading.</t>
        </is>
      </c>
      <c r="G646" s="11" t="inlineStr">
        <is>
          <t>c = b64.replace( ÷ [^A − za − z0 − 9+ ÷ ] ÷ g, '')
out = []
e1 = B64.index of(c[i]), e2 = B64.index of(c[i + 1]), e3 = B64.index of(c[i + 2]), e4 = B64.index of(c[i + 3])
n = (e1 &lt;&lt; 18) | (e2 &lt;&lt; 12) | ((e3 &amp; 63) &lt;&lt; 6) | (e4 &amp; 63)
the answer = out</t>
        </is>
      </c>
      <c r="H646"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46" s="3" t="inlineStr">
        <is>
          <t>PARTLY READ — some of the code is still showing through; needs a hand pass</t>
        </is>
      </c>
      <c r="J646" s="3" t="inlineStr">
        <is>
          <t>b64: string</t>
        </is>
      </c>
      <c r="K646" s="3" t="inlineStr">
        <is>
          <t>number[]</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t>
        </is>
      </c>
      <c r="U646" s="3" t="inlineStr">
        <is>
          <t>ACTIVE</t>
        </is>
      </c>
      <c r="V646" s="3" t="inlineStr">
        <is>
          <t>2026-08-27</t>
        </is>
      </c>
      <c r="W646" s="3" t="n"/>
      <c r="X646" s="3" t="n"/>
      <c r="Y646" s="3" t="inlineStr">
        <is>
          <t>NOTHING OPEN</t>
        </is>
      </c>
    </row>
    <row r="647" ht="60" customHeight="1">
      <c r="A647" s="3" t="inlineStr">
        <is>
          <t>MK-XS-F-124</t>
        </is>
      </c>
      <c r="B647" s="3" t="inlineStr">
        <is>
          <t>decodeUtf8</t>
        </is>
      </c>
      <c r="C647" s="3" t="inlineStr">
        <is>
          <t>src/domain/import/holdingsImport.ts</t>
        </is>
      </c>
      <c r="D647" s="3" t="n">
        <v>88</v>
      </c>
      <c r="E647" s="3" t="inlineStr">
        <is>
          <t>3 · DEPENDENT</t>
        </is>
      </c>
      <c r="F647" s="3" t="inlineStr">
        <is>
          <t>NOT DETERMINED — the code carries no note saying what this is for, and it has no row in the old inventory. Needs reading.</t>
        </is>
      </c>
      <c r="G647" s="11" t="inlineStr">
        <is>
          <t>s = ''
c = b[i++]
the answer = s</t>
        </is>
      </c>
      <c r="H647" s="3" t="inlineStr">
        <is>
          <t>S is ''. C is b[i++]. The answer is s.</t>
        </is>
      </c>
      <c r="I647" s="3" t="inlineStr">
        <is>
          <t>READ FROM THE CODE — rendered from the expressions the function runs</t>
        </is>
      </c>
      <c r="J647" s="3" t="inlineStr">
        <is>
          <t>1. b: number[]
2. start = 0</t>
        </is>
      </c>
      <c r="K647" s="3" t="inlineStr">
        <is>
          <t>string</t>
        </is>
      </c>
      <c r="L647" s="3" t="inlineStr">
        <is>
          <t>—</t>
        </is>
      </c>
      <c r="M647" s="3" t="inlineStr">
        <is>
          <t>None found in this function — anything it assumes comes from the functions it depends on.</t>
        </is>
      </c>
      <c r="N647" s="3" t="inlineStr">
        <is>
          <t>Yes</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t>
        </is>
      </c>
      <c r="U647" s="3" t="inlineStr">
        <is>
          <t>ACTIVE</t>
        </is>
      </c>
      <c r="V647" s="3" t="inlineStr">
        <is>
          <t>2026-08-27</t>
        </is>
      </c>
      <c r="W647" s="3" t="n"/>
      <c r="X647" s="3" t="n"/>
      <c r="Y647" s="3" t="inlineStr">
        <is>
          <t>NOTHING OPEN</t>
        </is>
      </c>
    </row>
    <row r="648" ht="60" customHeight="1">
      <c r="A648" s="3" t="inlineStr">
        <is>
          <t>MK-XS-F-125</t>
        </is>
      </c>
      <c r="B648" s="3" t="inlineStr">
        <is>
          <t>decodeUtf16</t>
        </is>
      </c>
      <c r="C648" s="3" t="inlineStr">
        <is>
          <t>src/domain/import/holdingsImport.ts</t>
        </is>
      </c>
      <c r="D648" s="3" t="n">
        <v>118</v>
      </c>
      <c r="E648" s="3" t="inlineStr">
        <is>
          <t>3 · DEPENDENT</t>
        </is>
      </c>
      <c r="F648" s="3" t="inlineStr">
        <is>
          <t>NOT DETERMINED — the code carries no note saying what this is for, and it has no row in the old inventory. Needs reading.</t>
        </is>
      </c>
      <c r="G648" s="11" t="inlineStr">
        <is>
          <t>s = ''
[LOOP — the answer is found inside a loop the extractor cannot render; the steps above are the ones before it. Read by hand.]</t>
        </is>
      </c>
      <c r="H648" s="3" t="inlineStr">
        <is>
          <t>S is ''. The answer is s. The answer is found inside a loop that cannot be rendered here; read the code by hand.</t>
        </is>
      </c>
      <c r="I648" s="3" t="inlineStr">
        <is>
          <t>PARTLY READ — the body has a loop the extractor cannot render; the steps shown are the ones before it. Needs a hand pass (G23).</t>
        </is>
      </c>
      <c r="J648" s="3" t="inlineStr">
        <is>
          <t>1. b: number[]
2. start: number
3. le: boolean</t>
        </is>
      </c>
      <c r="K648" s="3" t="inlineStr">
        <is>
          <t>string</t>
        </is>
      </c>
      <c r="L648" s="3" t="inlineStr">
        <is>
          <t>—</t>
        </is>
      </c>
      <c r="M648" s="3" t="inlineStr">
        <is>
          <t>None found in this function — anything it assumes comes from the functions it depends on.</t>
        </is>
      </c>
      <c r="N648" s="3" t="inlineStr">
        <is>
          <t>Yes</t>
        </is>
      </c>
      <c r="O648" s="3" t="inlineStr">
        <is>
          <t>—</t>
        </is>
      </c>
      <c r="P648" s="3" t="n">
        <v>0</v>
      </c>
      <c r="Q648" s="3" t="inlineStr">
        <is>
          <t>None — no dependent function stands behind it</t>
        </is>
      </c>
      <c r="R648" s="3" t="inlineStr">
        <is>
          <t>No dependent function — it reads its inputs and answers</t>
        </is>
      </c>
      <c r="S648" s="3" t="inlineStr">
        <is>
          <t>—</t>
        </is>
      </c>
      <c r="T648" s="3" t="inlineStr">
        <is>
          <t>—</t>
        </is>
      </c>
      <c r="U648" s="3" t="inlineStr">
        <is>
          <t>ACTIVE</t>
        </is>
      </c>
      <c r="V648" s="3" t="inlineStr">
        <is>
          <t>2026-09-08</t>
        </is>
      </c>
      <c r="W648" s="3" t="n"/>
      <c r="X648" s="3" t="n"/>
      <c r="Y648" s="3" t="inlineStr">
        <is>
          <t>NOTHING OPEN</t>
        </is>
      </c>
    </row>
    <row r="649" ht="60" customHeight="1">
      <c r="A649" s="3" t="inlineStr">
        <is>
          <t>MK-XS-F-126</t>
        </is>
      </c>
      <c r="B649" s="3" t="inlineStr">
        <is>
          <t>findCol</t>
        </is>
      </c>
      <c r="C649" s="3" t="inlineStr">
        <is>
          <t>src/domain/import/holdingsImport.ts</t>
        </is>
      </c>
      <c r="D649" s="3" t="n">
        <v>258</v>
      </c>
      <c r="E649" s="3" t="inlineStr">
        <is>
          <t>3 · DEPENDENT</t>
        </is>
      </c>
      <c r="F649" s="3" t="inlineStr">
        <is>
          <t>NOT DETERMINED — the code carries no note saying what this is for, and it has no row in the old inventory. Needs reading.</t>
        </is>
      </c>
      <c r="G649" s="11" t="inlineStr">
        <is>
          <t>i = headers.find index((h) =&gt; re.test(h))
i   when i ≥ 0
[LOOP — the answer is found inside a loop the extractor cannot render; the steps above are the ones before it. Read by hand.]</t>
        </is>
      </c>
      <c r="H649" s="3" t="inlineStr">
        <is>
          <t>I is headers.find index((h) =&gt; re.test(h)). When i is at least 0, it answers i. The answer is -1. The answer is found inside a loop that cannot be rendered here; read the code by hand.</t>
        </is>
      </c>
      <c r="I649" s="3" t="inlineStr">
        <is>
          <t>PARTLY READ — the body has a loop the extractor cannot render; the steps shown are the ones before it. Needs a hand pass (G23).</t>
        </is>
      </c>
      <c r="J649" s="3" t="inlineStr">
        <is>
          <t>1. headers: string[]
2. patterns: RegExp[]</t>
        </is>
      </c>
      <c r="K649" s="3" t="inlineStr">
        <is>
          <t>number</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2026-09-08</t>
        </is>
      </c>
      <c r="W649" s="3" t="n"/>
      <c r="X649" s="3" t="n"/>
      <c r="Y649" s="3" t="inlineStr">
        <is>
          <t>NOTHING OPEN</t>
        </is>
      </c>
    </row>
    <row r="650" ht="60" customHeight="1">
      <c r="A650" s="3" t="inlineStr">
        <is>
          <t>MK-XS-F-127</t>
        </is>
      </c>
      <c r="B650" s="3" t="inlineStr">
        <is>
          <t>toIsoDate</t>
        </is>
      </c>
      <c r="C650" s="3" t="inlineStr">
        <is>
          <t>src/domain/import/holdingsImport.ts</t>
        </is>
      </c>
      <c r="D650" s="3" t="n">
        <v>290</v>
      </c>
      <c r="E650" s="3" t="inlineStr">
        <is>
          <t>3 · DEPENDENT</t>
        </is>
      </c>
      <c r="F650" s="3" t="inlineStr">
        <is>
          <t>Normalise a date cell to 'YYYY-MM-DD', or undefined if it isn't a usable date.</t>
        </is>
      </c>
      <c r="G650" s="11" t="inlineStr">
        <is>
          <t>t = (v ?? '').trim()
undefined   when t is missing
m = match( ÷ ^(\d{4})[- ÷ ](\d{1,2})[- ÷ ](\d{1,2})$ ÷ )
`${m[1]}-${m[2].pad start(2, '0')}-${m[3].pad start(2, '0')}`   when m
`${m[3]}-${m[1].pad start(2, '0')}-${m[2].pad start(2, '0')}`   when m
the answer = undefined</t>
        </is>
      </c>
      <c r="H650" s="3" t="inlineStr">
        <is>
          <t>T is (v ?? '').trim(). When t is missing, it answers undefined. M is match( divided by ^(\d{4})[- divided by ](\d{1,2})[- divided by ](\d{1,2})$ divided by ). When m, it answers `${m[1]}-${m[2].pad start(2, '0')}-${m[3].pad start(2, '0')}`. When m, it answers `${m[3]}-${m[1].pad start(2, '0')}-${m[2].pad start(2, '0')}`. The answer is undefined.</t>
        </is>
      </c>
      <c r="I650" s="3" t="inlineStr">
        <is>
          <t>PARTLY READ — some of the code is still showing through; needs a hand pass</t>
        </is>
      </c>
      <c r="J650" s="3" t="inlineStr">
        <is>
          <t>v: string</t>
        </is>
      </c>
      <c r="K650" s="3" t="inlineStr">
        <is>
          <t>string | undefined</t>
        </is>
      </c>
      <c r="L650" s="3" t="inlineStr">
        <is>
          <t>—</t>
        </is>
      </c>
      <c r="M650" s="3" t="inlineStr">
        <is>
          <t>None found in this function — anything it assumes comes from the functions it depends on.</t>
        </is>
      </c>
      <c r="N650" s="3" t="inlineStr">
        <is>
          <t>Yes</t>
        </is>
      </c>
      <c r="O650" s="3" t="inlineStr">
        <is>
          <t>—</t>
        </is>
      </c>
      <c r="P650" s="3" t="n">
        <v>0</v>
      </c>
      <c r="Q650" s="3" t="inlineStr">
        <is>
          <t>None — no dependent function stands behind it</t>
        </is>
      </c>
      <c r="R650" s="3" t="inlineStr">
        <is>
          <t>No dependent function — it reads its inputs and answers</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MK-XS-F-128</t>
        </is>
      </c>
      <c r="B651" s="3" t="inlineStr">
        <is>
          <t>cleanTicker</t>
        </is>
      </c>
      <c r="C651" s="3" t="inlineStr">
        <is>
          <t>src/domain/import/holdingsImport.ts</t>
        </is>
      </c>
      <c r="D651" s="3" t="n">
        <v>323</v>
      </c>
      <c r="E651" s="3" t="inlineStr">
        <is>
          <t>3 · DEPENDENT</t>
        </is>
      </c>
      <c r="F651" s="3" t="inlineStr">
        <is>
          <t>A plausible tradeable ticker: 1–10 chars, letters/digits/.-, at least one letter, no spaces.</t>
        </is>
      </c>
      <c r="G651"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51"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51" s="3" t="inlineStr">
        <is>
          <t>PARTLY READ — some of the code is still showing through; needs a hand pass</t>
        </is>
      </c>
      <c r="J651" s="3" t="inlineStr">
        <is>
          <t>v: string</t>
        </is>
      </c>
      <c r="K651" s="3" t="inlineStr">
        <is>
          <t>string | null</t>
        </is>
      </c>
      <c r="L651" s="3" t="inlineStr">
        <is>
          <t>—</t>
        </is>
      </c>
      <c r="M651" s="3" t="inlineStr">
        <is>
          <t>None found in this function — anything it assumes comes from the functions it depends on.</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2026-08-27</t>
        </is>
      </c>
      <c r="W651" s="3" t="n"/>
      <c r="X651" s="3" t="n"/>
      <c r="Y651" s="3" t="inlineStr">
        <is>
          <t>NOTHING OPEN</t>
        </is>
      </c>
    </row>
    <row r="652" ht="60" customHeight="1">
      <c r="A652" s="3" t="inlineStr">
        <is>
          <t>MK-XS-F-129</t>
        </is>
      </c>
      <c r="B652" s="3" t="inlineStr">
        <is>
          <t>findHeaderRow</t>
        </is>
      </c>
      <c r="C652" s="3" t="inlineStr">
        <is>
          <t>src/domain/import/holdingsImport.ts</t>
        </is>
      </c>
      <c r="D652" s="3" t="n">
        <v>381</v>
      </c>
      <c r="E652" s="3" t="inlineStr">
        <is>
          <t>3 · DEPENDENT</t>
        </is>
      </c>
      <c r="F652" s="3" t="inlineStr">
        <is>
          <t>Find the real positions header — the first row that has BOTH a symbol/ticker AND a quantity/shares column (skips brokerage preambles like "Account Summary" and filter headers).</t>
        </is>
      </c>
      <c r="G652"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52"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52" s="3" t="inlineStr">
        <is>
          <t>PARTLY READ — the body has a loop the extractor cannot render; the steps shown are the ones before it. Needs a hand pass (G23).</t>
        </is>
      </c>
      <c r="J652" s="3" t="inlineStr">
        <is>
          <t>rows: string[][]</t>
        </is>
      </c>
      <c r="K652" s="3" t="inlineStr">
        <is>
          <t>number</t>
        </is>
      </c>
      <c r="L652" s="3" t="inlineStr">
        <is>
          <t>—</t>
        </is>
      </c>
      <c r="M652" s="3" t="inlineStr">
        <is>
          <t>None found in this function — anything it assumes comes from the functions it depends on.</t>
        </is>
      </c>
      <c r="N652" s="3" t="inlineStr">
        <is>
          <t>Yes</t>
        </is>
      </c>
      <c r="O652" s="3" t="inlineStr">
        <is>
          <t>MK-CF-F-132 map</t>
        </is>
      </c>
      <c r="P652" s="3" t="n">
        <v>1</v>
      </c>
      <c r="Q652" s="3" t="inlineStr">
        <is>
          <t>MK-CF-F-132 map</t>
        </is>
      </c>
      <c r="R652" s="3" t="inlineStr">
        <is>
          <t>MK-CF-F-132 map → MK-XS-F-129 findHeaderRow</t>
        </is>
      </c>
      <c r="S652" s="3" t="inlineStr">
        <is>
          <t>—</t>
        </is>
      </c>
      <c r="T652" s="3" t="inlineStr">
        <is>
          <t>—</t>
        </is>
      </c>
      <c r="U652" s="3" t="inlineStr">
        <is>
          <t>ACTIVE</t>
        </is>
      </c>
      <c r="V652" s="3" t="inlineStr">
        <is>
          <t>2026-09-08</t>
        </is>
      </c>
      <c r="W652" s="3" t="n"/>
      <c r="X652" s="3" t="n"/>
      <c r="Y652" s="3" t="inlineStr">
        <is>
          <t>NOTHING OPEN</t>
        </is>
      </c>
    </row>
    <row r="653" ht="60" customHeight="1">
      <c r="A653" s="3" t="inlineStr">
        <is>
          <t>MK-XS-F-130</t>
        </is>
      </c>
      <c r="B653" s="3" t="inlineStr">
        <is>
          <t>normInst</t>
        </is>
      </c>
      <c r="C653" s="3" t="inlineStr">
        <is>
          <t>src/domain/import/holdingsImport.ts</t>
        </is>
      </c>
      <c r="D653" s="3" t="n">
        <v>512</v>
      </c>
      <c r="E653" s="3" t="inlineStr">
        <is>
          <t>1 · ACTION</t>
        </is>
      </c>
      <c r="F653" s="3" t="inlineStr">
        <is>
          <t>NOT DETERMINED — the code carries no note saying what this is for, and it has no row in the old inventory. Needs reading.</t>
        </is>
      </c>
      <c r="G653" s="11" t="inlineStr">
        <is>
          <t>(s ?? '').trim().to lower case().replace( ÷ [^a − z0 − 9] ÷ g, '')</t>
        </is>
      </c>
      <c r="H653" s="3" t="inlineStr">
        <is>
          <t>(s ?? '').trim().to lower case().replace( divided by [^a minus z0 minus 9] divided by g, '')</t>
        </is>
      </c>
      <c r="I653" s="3" t="inlineStr">
        <is>
          <t>PARTLY READ — some of the code is still showing through; needs a hand pass</t>
        </is>
      </c>
      <c r="J653" s="3" t="inlineStr">
        <is>
          <t>s?: string</t>
        </is>
      </c>
      <c r="K653" s="3" t="inlineStr">
        <is>
          <t>NOT DECLARED — the code does not say what it gives back</t>
        </is>
      </c>
      <c r="L653" s="3" t="inlineStr">
        <is>
          <t>—</t>
        </is>
      </c>
      <c r="M653" s="3" t="inlineStr">
        <is>
          <t>None found in this function — anything it assumes comes from the functions it depends on.</t>
        </is>
      </c>
      <c r="N653" s="3" t="inlineStr">
        <is>
          <t>Yes</t>
        </is>
      </c>
      <c r="O653" s="3" t="inlineStr">
        <is>
          <t>—</t>
        </is>
      </c>
      <c r="P653" s="3" t="n">
        <v>0</v>
      </c>
      <c r="Q653" s="3" t="inlineStr">
        <is>
          <t>None — no dependent function stands behind it</t>
        </is>
      </c>
      <c r="R653" s="3" t="inlineStr">
        <is>
          <t>No dependent function — it reads its inputs and answers</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MK-XS-F-131</t>
        </is>
      </c>
      <c r="B654" s="3" t="inlineStr">
        <is>
          <t>toInt</t>
        </is>
      </c>
      <c r="C654" s="3" t="inlineStr">
        <is>
          <t>src/domain/profile/onboarding.ts</t>
        </is>
      </c>
      <c r="D654" s="3" t="n">
        <v>28</v>
      </c>
      <c r="E654" s="3" t="inlineStr">
        <is>
          <t>3 · DEPENDENT</t>
        </is>
      </c>
      <c r="F654" s="3" t="inlineStr">
        <is>
          <t>NOT DETERMINED — the code carries no note saying what this is for, and it has no row in the old inventory. Needs reading.</t>
        </is>
      </c>
      <c r="G654" s="11" t="inlineStr">
        <is>
          <t>n = parse int(string(v ?? '').replace( ÷ [^0 − 9] ÷ g, ''), 10)
the answer:
n   if number.is finite(n)
nothing   otherwise</t>
        </is>
      </c>
      <c r="H654" s="3" t="inlineStr">
        <is>
          <t>N is parse int(string(v ?? '').replace( divided by [^0 minus 9] divided by g, ''), 10). The answer is n — when number.is finite(n); no answer — otherwise.</t>
        </is>
      </c>
      <c r="I654" s="3" t="inlineStr">
        <is>
          <t>PARTLY READ — some of the code is still showing through; needs a hand pass</t>
        </is>
      </c>
      <c r="J654" s="3" t="inlineStr">
        <is>
          <t>v: any</t>
        </is>
      </c>
      <c r="K654" s="3" t="inlineStr">
        <is>
          <t>number | null</t>
        </is>
      </c>
      <c r="L654" s="3" t="inlineStr">
        <is>
          <t>—</t>
        </is>
      </c>
      <c r="M654" s="3" t="inlineStr">
        <is>
          <t>None found in this function — anything it assumes comes from the functions it depends on.</t>
        </is>
      </c>
      <c r="N654" s="3" t="inlineStr">
        <is>
          <t>Yes</t>
        </is>
      </c>
      <c r="O654" s="3" t="inlineStr">
        <is>
          <t>MK-XS-F-122 n</t>
        </is>
      </c>
      <c r="P654" s="3" t="n">
        <v>1</v>
      </c>
      <c r="Q654" s="3" t="inlineStr">
        <is>
          <t>MK-XS-F-122 n</t>
        </is>
      </c>
      <c r="R654" s="3" t="inlineStr">
        <is>
          <t>MK-XS-F-122 n → MK-XS-F-131 toInt</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MK-XS-F-132</t>
        </is>
      </c>
      <c r="B655" s="3" t="inlineStr">
        <is>
          <t>load</t>
        </is>
      </c>
      <c r="C655" s="3" t="inlineStr">
        <is>
          <t>src/services/appLock.ts</t>
        </is>
      </c>
      <c r="D655" s="3" t="n">
        <v>25</v>
      </c>
      <c r="E655" s="3" t="inlineStr">
        <is>
          <t>3 · DEPENDENT</t>
        </is>
      </c>
      <c r="F655" s="3" t="inlineStr">
        <is>
          <t>NOT DETERMINED — the code carries no note saying what this is for, and it has no row in the old inventory. Needs reading.</t>
        </is>
      </c>
      <c r="G655" s="11" t="inlineStr">
        <is>
          <t>LA   when LA
LA</t>
        </is>
      </c>
      <c r="H655" s="3" t="inlineStr">
        <is>
          <t>When LA, it answers LA. LA.</t>
        </is>
      </c>
      <c r="I655" s="3" t="inlineStr">
        <is>
          <t>READ FROM THE CODE — rendered from the expressions the function runs</t>
        </is>
      </c>
      <c r="J655" s="3" t="inlineStr">
        <is>
          <t>Nothing is handed to it</t>
        </is>
      </c>
      <c r="K655" s="3" t="inlineStr">
        <is>
          <t>any</t>
        </is>
      </c>
      <c r="L655" s="3" t="inlineStr">
        <is>
          <t>—</t>
        </is>
      </c>
      <c r="M655" s="3" t="inlineStr">
        <is>
          <t>None found in this function — anything it assumes comes from the functions it depends on.</t>
        </is>
      </c>
      <c r="N655" s="3" t="inlineStr">
        <is>
          <t>Yes</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MK-XS-F-133</t>
        </is>
      </c>
      <c r="B656" s="3" t="inlineStr">
        <is>
          <t>loadSentry</t>
        </is>
      </c>
      <c r="C656" s="3" t="inlineStr">
        <is>
          <t>src/services/crashReporter.ts</t>
        </is>
      </c>
      <c r="D656" s="3" t="n">
        <v>33</v>
      </c>
      <c r="E656" s="3" t="inlineStr">
        <is>
          <t>3 · DEPENDENT</t>
        </is>
      </c>
      <c r="F656" s="3" t="inlineStr">
        <is>
          <t>NOT DETERMINED — the code carries no note saying what this is for, and it has no row in the old inventory. Needs reading.</t>
        </is>
      </c>
      <c r="G656" s="11" t="inlineStr">
        <is>
          <t>the answer = the crash-reporting module, or nothing when it is absent</t>
        </is>
      </c>
      <c r="H656" s="3" t="inlineStr">
        <is>
          <t>Loads the crash reporter if it is installed. Not a calculation.</t>
        </is>
      </c>
      <c r="I656" s="3" t="inlineStr">
        <is>
          <t>READ BY HAND 2026-08-26 — checked line by line against the code</t>
        </is>
      </c>
      <c r="J656" s="3" t="inlineStr">
        <is>
          <t>Nothing is handed to it</t>
        </is>
      </c>
      <c r="K656" s="3" t="inlineStr">
        <is>
          <t>any</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MK-XS-F-134</t>
        </is>
      </c>
      <c r="B657" s="3" t="inlineStr">
        <is>
          <t>installGlobalHandler</t>
        </is>
      </c>
      <c r="C657" s="3" t="inlineStr">
        <is>
          <t>src/services/crashReporter.ts</t>
        </is>
      </c>
      <c r="D657" s="3" t="n">
        <v>94</v>
      </c>
      <c r="E657" s="3" t="inlineStr">
        <is>
          <t>1 · ACTION</t>
        </is>
      </c>
      <c r="F657" s="3" t="inlineStr">
        <is>
          <t>NOT DETERMINED — the code carries no note saying what this is for, and it has no row in the old inventory. Needs reading.</t>
        </is>
      </c>
      <c r="G657" s="11" t="inlineStr">
        <is>
          <t>g = global this as any
prev = error utils.get global handler.()</t>
        </is>
      </c>
      <c r="H657" s="3" t="inlineStr">
        <is>
          <t>G is global this as any. Prev is error utils.get global handler.().</t>
        </is>
      </c>
      <c r="I657" s="3" t="inlineStr">
        <is>
          <t>READ FROM THE CODE — rendered from the expressions the function runs</t>
        </is>
      </c>
      <c r="J657" s="3" t="inlineStr">
        <is>
          <t>Nothing is handed to it</t>
        </is>
      </c>
      <c r="K657" s="3" t="inlineStr">
        <is>
          <t>void</t>
        </is>
      </c>
      <c r="L657" s="3" t="inlineStr">
        <is>
          <t>—</t>
        </is>
      </c>
      <c r="M657" s="3" t="inlineStr">
        <is>
          <t>None found in this function — anything it assumes comes from the functions it depends on.</t>
        </is>
      </c>
      <c r="N657" s="3" t="inlineStr">
        <is>
          <t>Yes</t>
        </is>
      </c>
      <c r="O657" s="3" t="inlineStr">
        <is>
          <t>MK-XS-F-037 captureException</t>
        </is>
      </c>
      <c r="P657" s="3" t="n">
        <v>1</v>
      </c>
      <c r="Q657" s="3" t="inlineStr">
        <is>
          <t>MK-XS-F-037 captureException</t>
        </is>
      </c>
      <c r="R657" s="3" t="inlineStr">
        <is>
          <t>MK-XS-F-037 captureException → MK-XS-F-134 installGlobalHandler</t>
        </is>
      </c>
      <c r="S657" s="3" t="inlineStr">
        <is>
          <t>—</t>
        </is>
      </c>
      <c r="T657" s="3" t="inlineStr">
        <is>
          <t>—</t>
        </is>
      </c>
      <c r="U657" s="3" t="inlineStr">
        <is>
          <t>ACTIVE</t>
        </is>
      </c>
      <c r="V657" s="3" t="inlineStr">
        <is>
          <t>2026-08-27</t>
        </is>
      </c>
      <c r="W657" s="3" t="n"/>
      <c r="X657" s="3" t="n"/>
      <c r="Y657" s="3" t="inlineStr">
        <is>
          <t>NOTHING OPEN</t>
        </is>
      </c>
    </row>
    <row r="658" ht="60" customHeight="1">
      <c r="A658" s="3" t="inlineStr">
        <is>
          <t>MK-XS-F-135</t>
        </is>
      </c>
      <c r="B658" s="3" t="inlineStr">
        <is>
          <t>secureGet</t>
        </is>
      </c>
      <c r="C658" s="3" t="inlineStr">
        <is>
          <t>src/services/dataCrypto.ts</t>
        </is>
      </c>
      <c r="D658" s="3" t="n">
        <v>48</v>
      </c>
      <c r="E658" s="3" t="inlineStr">
        <is>
          <t>4 · BRINGS DATA IN</t>
        </is>
      </c>
      <c r="F658" s="3" t="inlineStr">
        <is>
          <t>NOT DETERMINED — the code carries no note saying what this is for, and it has no row in the old inventory. Needs reading.</t>
        </is>
      </c>
      <c r="G658" s="11" t="inlineStr">
        <is>
          <t>It reaches outside the app for data and hands back what came back — no arithmetic of its own.</t>
        </is>
      </c>
      <c r="H658" s="3" t="inlineStr">
        <is>
          <t>It reaches outside the app for data and hands back what came back — no arithmetic of its own.</t>
        </is>
      </c>
      <c r="I658" s="3" t="inlineStr">
        <is>
          <t>NO ARITHMETIC — there is no formula to state</t>
        </is>
      </c>
      <c r="J658" s="3" t="inlineStr">
        <is>
          <t>name: string</t>
        </is>
      </c>
      <c r="K658" s="3" t="inlineStr">
        <is>
          <t>Promise&lt;string | null&gt;</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MK-XS-F-136</t>
        </is>
      </c>
      <c r="B659" s="3" t="inlineStr">
        <is>
          <t>secureSet</t>
        </is>
      </c>
      <c r="C659" s="3" t="inlineStr">
        <is>
          <t>src/services/dataCrypto.ts</t>
        </is>
      </c>
      <c r="D659" s="3" t="n">
        <v>72</v>
      </c>
      <c r="E659" s="3" t="inlineStr">
        <is>
          <t>1 · ACTION</t>
        </is>
      </c>
      <c r="F659" s="3" t="inlineStr">
        <is>
          <t>NOT DETERMINED — the code carries no note saying what this is for, and it has no row in the old inventory. Needs reading.</t>
        </is>
      </c>
      <c r="G659" s="11" t="inlineStr">
        <is>
          <t>It reaches outside the app for data and hands back what came back — no arithmetic of its own.</t>
        </is>
      </c>
      <c r="H659" s="3" t="inlineStr">
        <is>
          <t>It reaches outside the app for data and hands back what came back — no arithmetic of its own.</t>
        </is>
      </c>
      <c r="I659" s="3" t="inlineStr">
        <is>
          <t>NO ARITHMETIC — there is no formula to state</t>
        </is>
      </c>
      <c r="J659" s="3" t="inlineStr">
        <is>
          <t>1. name: string
2. value: string</t>
        </is>
      </c>
      <c r="K659" s="3" t="inlineStr">
        <is>
          <t>Promise&lt;void&gt;</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MK-XS-F-137</t>
        </is>
      </c>
      <c r="B660" s="3" t="inlineStr">
        <is>
          <t>secureDelete</t>
        </is>
      </c>
      <c r="C660" s="3" t="inlineStr">
        <is>
          <t>src/services/dataCrypto.ts</t>
        </is>
      </c>
      <c r="D660" s="3" t="n">
        <v>95</v>
      </c>
      <c r="E660" s="3" t="inlineStr">
        <is>
          <t>1 · ACTION</t>
        </is>
      </c>
      <c r="F660" s="3" t="inlineStr">
        <is>
          <t>NOT DETERMINED — the code carries no note saying what this is for, and it has no row in the old inventory. Needs reading.</t>
        </is>
      </c>
      <c r="G660" s="11" t="inlineStr">
        <is>
          <t>It reaches outside the app for data and hands back what came back — no arithmetic of its own.</t>
        </is>
      </c>
      <c r="H660" s="3" t="inlineStr">
        <is>
          <t>It reaches outside the app for data and hands back what came back — no arithmetic of its own.</t>
        </is>
      </c>
      <c r="I660" s="3" t="inlineStr">
        <is>
          <t>NO ARITHMETIC — there is no formula to state</t>
        </is>
      </c>
      <c r="J660" s="3" t="inlineStr">
        <is>
          <t>name: string</t>
        </is>
      </c>
      <c r="K660" s="3" t="inlineStr">
        <is>
          <t>Promise&lt;void&gt;</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MK-XS-F-138</t>
        </is>
      </c>
      <c r="B661" s="3" t="inlineStr">
        <is>
          <t>deriveKeyFromSecret</t>
        </is>
      </c>
      <c r="C661" s="3" t="inlineStr">
        <is>
          <t>src/services/dataCrypto.ts</t>
        </is>
      </c>
      <c r="D661" s="3" t="n">
        <v>262</v>
      </c>
      <c r="E661" s="3" t="inlineStr">
        <is>
          <t>3 · DEPENDENT</t>
        </is>
      </c>
      <c r="F661" s="3" t="inlineStr">
        <is>
          <t>── Wrapping (lock/unlock the DEK with a password or recovery code) ───</t>
        </is>
      </c>
      <c r="G661" s="11" t="inlineStr">
        <is>
          <t>crypto js.PBKDF2(secret.trim(), uid, { key size: 256 ÷ 32, iterations: PBKDF2_ITERS }).to string(crypto js.enc.hex)</t>
        </is>
      </c>
      <c r="H661" s="3" t="inlineStr">
        <is>
          <t>crypto js.PBKDF2(secret.trim(), uid, { key size: 256 divided by 32, iterations: PBKDF2_ITERS }).to string(crypto js.enc.hex).</t>
        </is>
      </c>
      <c r="I661" s="3" t="inlineStr">
        <is>
          <t>PARTLY READ — some of the code is still showing through; needs a hand pass</t>
        </is>
      </c>
      <c r="J661" s="3" t="inlineStr">
        <is>
          <t>1. secret: string
2. uid: string</t>
        </is>
      </c>
      <c r="K661" s="3" t="inlineStr">
        <is>
          <t>string</t>
        </is>
      </c>
      <c r="L661" s="3" t="inlineStr">
        <is>
          <t>—</t>
        </is>
      </c>
      <c r="M661" s="3" t="inlineStr">
        <is>
          <t>None found in this function — anything it assumes comes from the functions it depends on.</t>
        </is>
      </c>
      <c r="N661" s="3" t="inlineStr">
        <is>
          <t>Yes</t>
        </is>
      </c>
      <c r="O661" s="3" t="inlineStr">
        <is>
          <t>MK-XS-F-175 uid</t>
        </is>
      </c>
      <c r="P661" s="3" t="n">
        <v>80</v>
      </c>
      <c r="Q661" s="3" t="inlineStr">
        <is>
          <t>1. MK-XS-F-175 uid
2. MK-ST-F-027 accountId
3. MK-CF-F-111 applyTransaction
4. MK-NW-F-040 assetsFromOnboarding
5. MK-PF-F-013 benchmarkTicker
6. MK-ST-F-028 buildDayFromAccounts
7. MK-PF-F-034 closeOnOrBefore
8. MK-CF-F-186 convertTakeHomeMode
9. MK-CF-F-038 debtsFromOnboarding
10. MK-XS-F-083 fetchPriceSeries
11. MK-PL-F-013 goalsFromOnboarding
12. MK-ST-F-056 has
13. MK-CF-F-116 inverseOf
14. MK-ST-F-065 isoLocalDate
15. MK-CF-F-112 makeTransaction
16. MK-CF-F-132 map
17. MK-XS-F-122 n
18. MK-ST-F-043 newEntityId
19. MK-XS-F-006 pruneDaily
20. MK-ST-F-073 rebuildDays
21. MK-NW-F-054 reclassifyAccounts
22. MK-XS-F-174 recomputeBalances
23. MK-CF-F-115 restoreUndo
24. MK-CF-F-109 reviewTransactions
25. MK-ST-F-044 setMoneyFormat
26. MK-CF-F-114 undoSnapshot
27. MK-CF-F-191 ym
28. MK-CF-F-138 addLot
29. MK-CF-F-136 bumpCash
30. MK-CF-F-137 findPos
31. MK-CF-F-139 removeShares
32. MK-PF-F-001 totalShares
33. MK-ST-F-052 toNum
34. MK-ST-F-053 money
35. MK-CF-F-085 filingStatusOf
36. MK-CF-F-097 grossFromNet
37. MK-CF-F-185 needsTakeHomeConversion
38. MK-CF-F-089 over65CountOf
39. MK-CF-F-037 inferDebtType
40. MK-ST-F-069 amountOf
41. MK-CF-F-133 cashOf
42. MK-ST-F-066 isDayKey
43. MK-ST-F-070 isOpening
44. MK-ST-F-071 rebuildableFrom
45. MK-ST-F-068 stepDay
46. MK-ST-F-072 undo
47. MK-NW-F-053 correctClassOf
48. MK-NW-F-008 incomeBearingClassOf
49. MK-PF-F-002 costBasis
50. MK-PF-F-009 latestClose
51. MK-PF-F-004 marketValue
52. MK-ST-F-030 record
53. MK-XS-F-024 resolveLens
54. MK-ST-F-055 round2
55. MK-CF-F-162 daysApart
56. MK-CF-F-108 isMoneyOut
57. MK-PL-F-074 median
58. MK-CF-F-131 normPayee
59. MK-CF-F-113 affectedAccountIds
60. MK-CF-F-134 usesSleeve
61. MK-ST-F-049 formatMoney
62. MK-CF-F-101 taxOwedFor
63. MK-ST-F-067 utcOfDay
64. MK-CF-F-155 cash
65. MK-ST-F-035 covers
66. MK-NW-F-009 maturityClass
67. MK-ST-F-010 nameEvidence
68. MK-PF-F-031 contractMultiplier
69. MK-CF-F-072 currentRetirementIncomeMonthly
70. MK-ST-F-048 currencySymbol
71. MK-ST-F-039 on
72. MK-CF-F-100 taxableIncomeFor
73. MK-ST-F-034 firstDate
74. MK-XS-F-147 call
75. MK-CF-F-075 retirementIncomeMonthly
76. MK-ST-F-047 activeCurrency
77. MK-CF-F-099 deductionFor
78. MK-XS-F-064 currentIdToken
79. MK-XS-F-112 relayUrl
80. MK-CF-F-187 seniorDeductionFor</t>
        </is>
      </c>
      <c r="R661"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MK-XS-F-139</t>
        </is>
      </c>
      <c r="B662" s="3" t="inlineStr">
        <is>
          <t>wrapWithSecret</t>
        </is>
      </c>
      <c r="C662" s="3" t="inlineStr">
        <is>
          <t>src/services/dataCrypto.ts</t>
        </is>
      </c>
      <c r="D662" s="3" t="n">
        <v>287</v>
      </c>
      <c r="E662" s="3" t="inlineStr">
        <is>
          <t>3 · DEPENDENT</t>
        </is>
      </c>
      <c r="F662" s="3" t="inlineStr">
        <is>
          <t>NOT DETERMINED — the code carries no note saying what this is for, and it has no row in the old inventory. Needs reading.</t>
        </is>
      </c>
      <c r="G662" s="11" t="inlineStr">
        <is>
          <t>encrypt with key(dek, derive key from secret(secret, uid))</t>
        </is>
      </c>
      <c r="H662" s="3" t="inlineStr">
        <is>
          <t>encrypt with key(dek, derive key from secret(secret, uid)).</t>
        </is>
      </c>
      <c r="I662" s="3" t="inlineStr">
        <is>
          <t>READ FROM THE CODE — rendered from the expressions the function runs</t>
        </is>
      </c>
      <c r="J662" s="3" t="inlineStr">
        <is>
          <t>1. dek: string
2. uid: string
3. secret: string</t>
        </is>
      </c>
      <c r="K662" s="3" t="inlineStr">
        <is>
          <t>string</t>
        </is>
      </c>
      <c r="L662" s="3" t="inlineStr">
        <is>
          <t>—</t>
        </is>
      </c>
      <c r="M662" s="3" t="inlineStr">
        <is>
          <t>None found in this function — anything it assumes comes from the functions it depends on.</t>
        </is>
      </c>
      <c r="N662" s="3" t="inlineStr">
        <is>
          <t>Yes</t>
        </is>
      </c>
      <c r="O662" s="3" t="inlineStr">
        <is>
          <t>1. MK-XS-F-138 deriveKeyFromSecret
2. MK-XS-F-052 encryptWithKey
3. MK-XS-F-175 uid</t>
        </is>
      </c>
      <c r="P662" s="3" t="n">
        <v>82</v>
      </c>
      <c r="Q662"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MK-CF-F-038 debtsFromOnboarding
12. MK-XS-F-083 fetchPriceSeries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MK-ST-F-039 on
74. MK-CF-F-100 taxableIncomeFor
75. MK-ST-F-034 firstDate
76. MK-XS-F-147 call
77. MK-CF-F-075 retirementIncomeMonthly
78. MK-ST-F-047 activeCurrency
79. MK-CF-F-099 deductionFor
80. MK-XS-F-064 currentIdToken
81. MK-XS-F-112 relayUrl
82. MK-CF-F-187 seniorDeductionFor</t>
        </is>
      </c>
      <c r="R662"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MK-XS-F-140</t>
        </is>
      </c>
      <c r="B663" s="3" t="inlineStr">
        <is>
          <t>fetchInflation</t>
        </is>
      </c>
      <c r="C663" s="3" t="inlineStr">
        <is>
          <t>src/services/economicData.ts</t>
        </is>
      </c>
      <c r="D663" s="3" t="n">
        <v>111</v>
      </c>
      <c r="E663" s="3" t="inlineStr">
        <is>
          <t>4 · BRINGS DATA IN</t>
        </is>
      </c>
      <c r="F663" s="3" t="inlineStr">
        <is>
          <t>NOT DETERMINED — the code carries no note saying what this is for, and it has no row in the old inventory. Needs reading.</t>
        </is>
      </c>
      <c r="G663" s="11" t="inlineStr">
        <is>
          <t>res = await fetch(BLS_API + BLS_CPI_SERIES)
json = await res.json()
series = json.results.series.[0].data
latest = parse float(series[0].value)
year ago = parse float(series[12].value)
rate = ((latest − year ago) ÷ year ago) × 100
the answer = round(rate, 2 dp)</t>
        </is>
      </c>
      <c r="H663"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63" s="3" t="inlineStr">
        <is>
          <t>PARTLY READ — some of the code is still showing through; needs a hand pass</t>
        </is>
      </c>
      <c r="J663" s="3" t="inlineStr">
        <is>
          <t>Nothing is handed to it</t>
        </is>
      </c>
      <c r="K663" s="3" t="inlineStr">
        <is>
          <t>Promise&lt;number&gt;</t>
        </is>
      </c>
      <c r="L663" s="3" t="inlineStr">
        <is>
          <t>—</t>
        </is>
      </c>
      <c r="M663" s="3" t="inlineStr">
        <is>
          <t>· Rounds the answer to two decimals (cents).</t>
        </is>
      </c>
      <c r="N663" s="3" t="inlineStr">
        <is>
          <t>No</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MK-XS-F-141</t>
        </is>
      </c>
      <c r="B664" s="3" t="inlineStr">
        <is>
          <t>fetchTreasuryYield</t>
        </is>
      </c>
      <c r="C664" s="3" t="inlineStr">
        <is>
          <t>src/services/economicData.ts</t>
        </is>
      </c>
      <c r="D664" s="3" t="n">
        <v>153</v>
      </c>
      <c r="E664" s="3" t="inlineStr">
        <is>
          <t>4 · BRINGS DATA IN</t>
        </is>
      </c>
      <c r="F664" s="3" t="inlineStr">
        <is>
          <t>NOT DETERMINED — the code carries no note saying what this is for, and it has no row in the old inventory. Needs reading.</t>
        </is>
      </c>
      <c r="G664" s="11" t="inlineStr">
        <is>
          <t>res = await fetch(TREASURY_API)
csv = await res.text()
rows = csv.trim().split('\n').slice(1)
value = rows[i].split(',')[1].trim()
rate = parse float(value)
[LOOP — the answer is found inside a loop the extractor cannot render; the steps above are the ones before it. Read by hand.]</t>
        </is>
      </c>
      <c r="H664" s="3" t="inlineStr">
        <is>
          <t>Res is await fetch(TREASURY_API). Csv is await res.text(). Rows is csv.trim().split('\n').slice(1). Value is rows[i].split(',')[1].trim(). Rate is parse float(value). The answer is rate, to the cent. The answer is found inside a loop that cannot be rendered here; read the code by hand.</t>
        </is>
      </c>
      <c r="I664" s="3" t="inlineStr">
        <is>
          <t>PARTLY READ — the body has a loop the extractor cannot render; the steps shown are the ones before it. Needs a hand pass (G23).</t>
        </is>
      </c>
      <c r="J664" s="3" t="inlineStr">
        <is>
          <t>Nothing is handed to it</t>
        </is>
      </c>
      <c r="K664" s="3" t="inlineStr">
        <is>
          <t>Promise&lt;number&gt;</t>
        </is>
      </c>
      <c r="L664" s="3" t="inlineStr">
        <is>
          <t>—</t>
        </is>
      </c>
      <c r="M664" s="3" t="inlineStr">
        <is>
          <t>· Rounds the answer to two decimals (cents).</t>
        </is>
      </c>
      <c r="N664" s="3" t="inlineStr">
        <is>
          <t>No</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2026-09-08</t>
        </is>
      </c>
      <c r="W664" s="3" t="n"/>
      <c r="X664" s="3" t="n"/>
      <c r="Y664" s="3" t="inlineStr">
        <is>
          <t>NOTHING OPEN</t>
        </is>
      </c>
    </row>
    <row r="665" ht="60" customHeight="1">
      <c r="A665" s="3" t="inlineStr">
        <is>
          <t>MK-XS-F-142</t>
        </is>
      </c>
      <c r="B665" s="3" t="inlineStr">
        <is>
          <t>makeInviteCode</t>
        </is>
      </c>
      <c r="C665" s="3" t="inlineStr">
        <is>
          <t>src/services/firebase.ts</t>
        </is>
      </c>
      <c r="D665" s="3" t="n">
        <v>535</v>
      </c>
      <c r="E665" s="3" t="inlineStr">
        <is>
          <t>3 · DEPENDENT</t>
        </is>
      </c>
      <c r="F665" s="3" t="inlineStr">
        <is>
          <t>── Household / spouse invites ───────────────────────────────────── Spouses share ONE data document: all reads/writes go to users/{householdId} where householdId = the inviter's uid.</t>
        </is>
      </c>
      <c r="G665" s="11" t="inlineStr">
        <is>
          <t>alphabet = 'ABCDEFGHJKMNPQRSTUVWXYZ23456789'
the answer = array.from({ length: 6 }, () =&gt; ALPHABET[math.floor(math.random() × ALPHABET.length)]).join('')</t>
        </is>
      </c>
      <c r="H665" s="3" t="inlineStr">
        <is>
          <t>Alphabet is 'ABCDEFGHJKMNPQRSTUVWXYZ23456789'. The answer is array.from({ length: 6 }, () =&gt; ALPHABET[math.floor(math.random() times ALPHABET.length)]).join('').</t>
        </is>
      </c>
      <c r="I665" s="3" t="inlineStr">
        <is>
          <t>PARTLY READ — some of the code is still showing through; needs a hand pass</t>
        </is>
      </c>
      <c r="J665" s="3" t="inlineStr">
        <is>
          <t>Nothing is handed to it</t>
        </is>
      </c>
      <c r="K665" s="3" t="inlineStr">
        <is>
          <t>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2026-08-27</t>
        </is>
      </c>
      <c r="W665" s="3" t="n"/>
      <c r="X665" s="3" t="n"/>
      <c r="Y665" s="3" t="inlineStr">
        <is>
          <t>NOTHING OPEN</t>
        </is>
      </c>
    </row>
    <row r="666" ht="60" customHeight="1">
      <c r="A666" s="3" t="inlineStr">
        <is>
          <t>MK-XS-F-143</t>
        </is>
      </c>
      <c r="B666" s="3" t="inlineStr">
        <is>
          <t>yahooSymbol</t>
        </is>
      </c>
      <c r="C666" s="3" t="inlineStr">
        <is>
          <t>src/services/marketData.ts</t>
        </is>
      </c>
      <c r="D666" s="3" t="n">
        <v>41</v>
      </c>
      <c r="E666" s="3" t="inlineStr">
        <is>
          <t>4 · BRINGS DATA IN</t>
        </is>
      </c>
      <c r="F666" s="3" t="inlineStr">
        <is>
          <t>Map a plain ticker to the provider's symbol convention (crypto needs the -USD pair on Yahoo).</t>
        </is>
      </c>
      <c r="G666"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66"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66" s="3" t="inlineStr">
        <is>
          <t>PARTLY READ — some of the code is still showing through; needs a hand pass</t>
        </is>
      </c>
      <c r="J666" s="3" t="inlineStr">
        <is>
          <t>ticker: string</t>
        </is>
      </c>
      <c r="K666" s="3" t="inlineStr">
        <is>
          <t>string</t>
        </is>
      </c>
      <c r="L666" s="3" t="inlineStr">
        <is>
          <t>—</t>
        </is>
      </c>
      <c r="M666" s="3" t="inlineStr">
        <is>
          <t>None found in this function — anything it assumes comes from the functions it depends on.</t>
        </is>
      </c>
      <c r="N666" s="3" t="inlineStr">
        <is>
          <t>No</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inlineStr">
        <is>
          <t>[from MK-NW-M-029, Formula (mathematical)] Is the formula embedded directly in the code and not as a separate function? Live price was to be sourced from Yahoo or similar engine.</t>
        </is>
      </c>
      <c r="X666" s="6" t="inlineStr">
        <is>
          <t>This is the feed: Yahoo Finance daily closes, free, no key. 'Current price' on the holding screen = the last close of this series, picked on the screen (no named function). Answer in full on MK-NW-M-029.</t>
        </is>
      </c>
      <c r="Y666" s="6" t="inlineStr">
        <is>
          <t>WAITING ON YOU — answer to read</t>
        </is>
      </c>
    </row>
    <row r="667" ht="60" customHeight="1">
      <c r="A667" s="3" t="inlineStr">
        <is>
          <t>MK-XS-F-144</t>
        </is>
      </c>
      <c r="B667" s="3" t="inlineStr">
        <is>
          <t>guessCategory</t>
        </is>
      </c>
      <c r="C667" s="3" t="inlineStr">
        <is>
          <t>src/services/receiptOCR.ts</t>
        </is>
      </c>
      <c r="D667" s="3" t="n">
        <v>287</v>
      </c>
      <c r="E667" s="3" t="inlineStr">
        <is>
          <t>3 · DEPENDENT (feeds an action only)</t>
        </is>
      </c>
      <c r="F667" s="3" t="inlineStr">
        <is>
          <t>NOT DETERMINED — the code carries no note saying what this is for, and it has no row in the old inventory. Needs reading.</t>
        </is>
      </c>
      <c r="G667"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67"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67" s="3" t="inlineStr">
        <is>
          <t>PARTLY READ — some of the code is still showing through; needs a hand pass</t>
        </is>
      </c>
      <c r="J667" s="3" t="inlineStr">
        <is>
          <t>1. store: string
2. text: string</t>
        </is>
      </c>
      <c r="K667" s="3" t="inlineStr">
        <is>
          <t>string</t>
        </is>
      </c>
      <c r="L667" s="3" t="inlineStr">
        <is>
          <t>—</t>
        </is>
      </c>
      <c r="M667" s="3" t="inlineStr">
        <is>
          <t>None found in this function — anything it assumes comes from the functions it depends on.</t>
        </is>
      </c>
      <c r="N667" s="3" t="inlineStr">
        <is>
          <t>No</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MK-XS-F-145</t>
        </is>
      </c>
      <c r="B668" s="3" t="inlineStr">
        <is>
          <t>flatSymbol</t>
        </is>
      </c>
      <c r="C668" s="3" t="inlineStr">
        <is>
          <t>src/services/sync/snaptrade.ts</t>
        </is>
      </c>
      <c r="D668" s="3" t="n">
        <v>170</v>
      </c>
      <c r="E668" s="3" t="inlineStr">
        <is>
          <t>3 · DEPENDENT (feeds an action only)</t>
        </is>
      </c>
      <c r="F668" s="3" t="inlineStr">
        <is>
          <t>── positions → our holdings ───────────────────────────────────────────────────────────────────</t>
        </is>
      </c>
      <c r="G668" s="11" t="inlineStr">
        <is>
          <t>s = symbol
nothing   when s is missing
the answer:
symbol   if symbol and typeof symbol = 'object'
s   otherwise</t>
        </is>
      </c>
      <c r="H668" s="3" t="inlineStr">
        <is>
          <t>S is symbol. When s is missing, it answers no answer. The answer is symbol — when symbol and typeof symbol = 'object'; s — otherwise.</t>
        </is>
      </c>
      <c r="I668" s="3" t="inlineStr">
        <is>
          <t>PARTLY READ — some of the code is still showing through; needs a hand pass</t>
        </is>
      </c>
      <c r="J668" s="3" t="inlineStr">
        <is>
          <t>p: StPosition</t>
        </is>
      </c>
      <c r="K668" s="3" t="inlineStr">
        <is>
          <t>StSymbol | null</t>
        </is>
      </c>
      <c r="L668" s="3" t="inlineStr">
        <is>
          <t>—</t>
        </is>
      </c>
      <c r="M668" s="3" t="inlineStr">
        <is>
          <t>None found in this function — anything it assumes comes from the functions it depends on.</t>
        </is>
      </c>
      <c r="N668" s="3" t="inlineStr">
        <is>
          <t>No</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MK-XS-F-146</t>
        </is>
      </c>
      <c r="B669" s="3" t="inlineStr">
        <is>
          <t>prettyExpiry</t>
        </is>
      </c>
      <c r="C669" s="3" t="inlineStr">
        <is>
          <t>src/services/sync/snaptrade.ts</t>
        </is>
      </c>
      <c r="D669" s="3" t="n">
        <v>272</v>
      </c>
      <c r="E669" s="3" t="inlineStr">
        <is>
          <t>3 · DEPENDENT (feeds an action only)</t>
        </is>
      </c>
      <c r="F669" s="3" t="inlineStr">
        <is>
          <t>NOT DETERMINED — the code carries no note saying what this is for, and it has no row in the old inventory. Needs reading.</t>
        </is>
      </c>
      <c r="G669" s="11" t="inlineStr">
        <is>
          <t>`${MONTHS[m − 1]} ${d} ${y}`   if y and m and d
'unknown expiry'   otherwise</t>
        </is>
      </c>
      <c r="H669" s="3" t="inlineStr">
        <is>
          <t>`${MONTHS[m minus 1]} ${d} ${y}` — when y and m and d; 'unknown expiry' — otherwise.</t>
        </is>
      </c>
      <c r="I669" s="3" t="inlineStr">
        <is>
          <t>PARTLY READ — some of the code is still showing through; needs a hand pass</t>
        </is>
      </c>
      <c r="J669" s="3" t="inlineStr">
        <is>
          <t>iso: string | null | undefined</t>
        </is>
      </c>
      <c r="K669" s="3" t="inlineStr">
        <is>
          <t>NOT DECLARED — the code does not say what it gives back</t>
        </is>
      </c>
      <c r="L669" s="3" t="inlineStr">
        <is>
          <t>—</t>
        </is>
      </c>
      <c r="M669" s="3" t="inlineStr">
        <is>
          <t>None found in this function — anything it assumes comes from the functions it depends on.</t>
        </is>
      </c>
      <c r="N669" s="3" t="inlineStr">
        <is>
          <t>No</t>
        </is>
      </c>
      <c r="O669" s="3" t="inlineStr">
        <is>
          <t>MK-CF-F-132 map</t>
        </is>
      </c>
      <c r="P669" s="3" t="n">
        <v>1</v>
      </c>
      <c r="Q669" s="3" t="inlineStr">
        <is>
          <t>MK-CF-F-132 map</t>
        </is>
      </c>
      <c r="R669" s="3" t="inlineStr">
        <is>
          <t>MK-CF-F-132 map → MK-XS-F-146 prettyExpiry</t>
        </is>
      </c>
      <c r="S669" s="3" t="inlineStr">
        <is>
          <t>—</t>
        </is>
      </c>
      <c r="T669" s="3" t="inlineStr">
        <is>
          <t>—</t>
        </is>
      </c>
      <c r="U669" s="3" t="inlineStr">
        <is>
          <t>ACTIVE</t>
        </is>
      </c>
      <c r="V669" s="3" t="inlineStr">
        <is>
          <t>2026-08-27</t>
        </is>
      </c>
      <c r="W669" s="3" t="n"/>
      <c r="X669" s="3" t="n"/>
      <c r="Y669" s="3" t="inlineStr">
        <is>
          <t>NOTHING OPEN</t>
        </is>
      </c>
    </row>
    <row r="670" ht="60" customHeight="1">
      <c r="A670" s="3" t="inlineStr">
        <is>
          <t>MK-XS-F-147</t>
        </is>
      </c>
      <c r="B670" s="3" t="inlineStr">
        <is>
          <t>call</t>
        </is>
      </c>
      <c r="C670" s="3" t="inlineStr">
        <is>
          <t>src/services/sync/snaptradeClient.ts</t>
        </is>
      </c>
      <c r="D670" s="3" t="n">
        <v>93</v>
      </c>
      <c r="E670" s="3" t="inlineStr">
        <is>
          <t>4 · BRINGS DATA IN</t>
        </is>
      </c>
      <c r="F670" s="3" t="inlineStr">
        <is>
          <t>NOT DETERMINED — the code carries no note saying what this is for, and it has no row in the old inventory. Needs reading.</t>
        </is>
      </c>
      <c r="G670" s="11" t="inlineStr">
        <is>
          <t>url = relay url()
token = await current id token()
data = await res.json().catch(() =&gt; nothing)
the answer = data as T</t>
        </is>
      </c>
      <c r="H670" s="3" t="inlineStr">
        <is>
          <t>Url is relay url(). Token is await current id token(). Data is await res.json().catch(() =&gt; no answer). The answer is data as T.</t>
        </is>
      </c>
      <c r="I670" s="3" t="inlineStr">
        <is>
          <t>PARTLY READ — some of the code is still showing through; needs a hand pass</t>
        </is>
      </c>
      <c r="J670" s="3" t="inlineStr">
        <is>
          <t>1. action: string
2. params: Record&lt;string, unknown&gt; = {}</t>
        </is>
      </c>
      <c r="K670" s="3" t="inlineStr">
        <is>
          <t>Promise&lt;T&gt;</t>
        </is>
      </c>
      <c r="L670" s="3" t="inlineStr">
        <is>
          <t>—</t>
        </is>
      </c>
      <c r="M670" s="3" t="inlineStr">
        <is>
          <t>None found in this function — anything it assumes comes from the functions it depends on.</t>
        </is>
      </c>
      <c r="N670" s="3" t="inlineStr">
        <is>
          <t>No</t>
        </is>
      </c>
      <c r="O670" s="3" t="inlineStr">
        <is>
          <t>1. MK-ST-F-027 accountId
2. MK-XS-F-064 currentIdToken
3. MK-XS-F-112 relayUrl</t>
        </is>
      </c>
      <c r="P670" s="3" t="n">
        <v>3</v>
      </c>
      <c r="Q670" s="3" t="inlineStr">
        <is>
          <t>1. MK-ST-F-027 accountId
2. MK-XS-F-064 currentIdToken
3. MK-XS-F-112 relayUrl</t>
        </is>
      </c>
      <c r="R670" s="3" t="inlineStr">
        <is>
          <t>1. MK-ST-F-027 accountId → MK-XS-F-147 call
2. MK-XS-F-064 currentIdToken → MK-XS-F-147 call
3. MK-XS-F-112 relayUrl → MK-XS-F-147 call</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MK-XS-F-148</t>
        </is>
      </c>
      <c r="B671" s="3" t="inlineStr">
        <is>
          <t>unwrapActivities</t>
        </is>
      </c>
      <c r="C671" s="3" t="inlineStr">
        <is>
          <t>src/services/sync/snaptradeSync.ts</t>
        </is>
      </c>
      <c r="D671" s="3" t="n">
        <v>73</v>
      </c>
      <c r="E671" s="3" t="inlineStr">
        <is>
          <t>3 · DEPENDENT</t>
        </is>
      </c>
      <c r="F671" s="3" t="inlineStr">
        <is>
          <t>SnapTrade wraps this endpoint in a pagination envelope {data, pagination:{total}} — LIVE-VERIFIED 2026-07-19 against a real E*TRADE connection (their docs' examples show a bare array; production does not).</t>
        </is>
      </c>
      <c r="G671"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71"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71" s="3" t="inlineStr">
        <is>
          <t>PARTLY READ — some of the code is still showing through; needs a hand pass</t>
        </is>
      </c>
      <c r="J671" s="3" t="inlineStr">
        <is>
          <t>raw: unknown</t>
        </is>
      </c>
      <c r="K671" s="3" t="inlineStr">
        <is>
          <t>NOT DECLARED — the code does not say what it gives back</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MK-XS-F-149</t>
        </is>
      </c>
      <c r="B672" s="3" t="inlineStr">
        <is>
          <t>allActivities</t>
        </is>
      </c>
      <c r="C672" s="3" t="inlineStr">
        <is>
          <t>src/services/sync/snaptradeSync.ts</t>
        </is>
      </c>
      <c r="D672" s="3" t="n">
        <v>102</v>
      </c>
      <c r="E672" s="3" t="inlineStr">
        <is>
          <t>3 · DEPENDENT</t>
        </is>
      </c>
      <c r="F672" s="3" t="inlineStr">
        <is>
          <t>NOT DETERMINED — the code carries no note saying what this is for, and it has no row in the old inventory. Needs reading.</t>
        </is>
      </c>
      <c r="G672" s="11" t="inlineStr">
        <is>
          <t>out = []
the answer = out</t>
        </is>
      </c>
      <c r="H672" s="3" t="inlineStr">
        <is>
          <t>Out is []. The answer is out.</t>
        </is>
      </c>
      <c r="I672" s="3" t="inlineStr">
        <is>
          <t>READ FROM THE CODE — rendered from the expressions the function runs</t>
        </is>
      </c>
      <c r="J672" s="3" t="inlineStr">
        <is>
          <t>1. accountId: string
2. startDate?: string</t>
        </is>
      </c>
      <c r="K672" s="3" t="inlineStr">
        <is>
          <t>Promise&lt;StActivity[]&gt;</t>
        </is>
      </c>
      <c r="L672" s="3" t="inlineStr">
        <is>
          <t>—</t>
        </is>
      </c>
      <c r="M672" s="3" t="inlineStr">
        <is>
          <t>· Uses a built-in page of 0.</t>
        </is>
      </c>
      <c r="N672" s="3" t="inlineStr">
        <is>
          <t>Yes</t>
        </is>
      </c>
      <c r="O672" s="3" t="inlineStr">
        <is>
          <t>1. MK-ST-F-027 accountId
2. MK-XS-F-148 unwrapActivities</t>
        </is>
      </c>
      <c r="P672" s="3" t="n">
        <v>2</v>
      </c>
      <c r="Q672" s="3" t="inlineStr">
        <is>
          <t>1. MK-ST-F-027 accountId
2. MK-XS-F-148 unwrapActivities</t>
        </is>
      </c>
      <c r="R672" s="3" t="inlineStr">
        <is>
          <t>1. MK-ST-F-027 accountId → MK-XS-F-149 allActivities
2. MK-XS-F-148 unwrapActivities → MK-XS-F-149 allActivities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MK-XS-F-170</t>
        </is>
      </c>
      <c r="B673" s="3" t="inlineStr">
        <is>
          <t>daysSince</t>
        </is>
      </c>
      <c r="C673" s="3" t="inlineStr">
        <is>
          <t>src/domain/_shared/freshness.ts</t>
        </is>
      </c>
      <c r="D673" s="3" t="n">
        <v>50</v>
      </c>
      <c r="E673" s="3" t="inlineStr">
        <is>
          <t>3 · DEPENDENT</t>
        </is>
      </c>
      <c r="F673" s="3" t="inlineStr">
        <is>
          <t>Whole days between a recorded moment and now, or null when the moment cannot be read.</t>
        </is>
      </c>
      <c r="G673" s="11" t="inlineStr">
        <is>
          <t>nothing   when when = nothing (or when = '' when missing or zero)
ms = now − (typeof when = 'number' ? when : date.parse(string(when)))
nothing   when !number.is finite(ms) (or ms &lt; 0 when missing or zero)
the answer = round down(ms ÷ 86400000)</t>
        </is>
      </c>
      <c r="H673"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73" s="3" t="inlineStr">
        <is>
          <t>PARTLY READ — some of the code is still showing through; needs a hand pass</t>
        </is>
      </c>
      <c r="J673" s="3" t="inlineStr">
        <is>
          <t>1. when: string | number | null | undefined
2. now: number</t>
        </is>
      </c>
      <c r="K673" s="3" t="inlineStr">
        <is>
          <t>number | null</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2026-10-01</t>
        </is>
      </c>
      <c r="W673" s="3" t="n"/>
      <c r="X673" s="3" t="n"/>
      <c r="Y673" s="3" t="inlineStr">
        <is>
          <t>NOTHING OPEN</t>
        </is>
      </c>
    </row>
    <row r="674" ht="60" customHeight="1">
      <c r="A674" s="3" t="inlineStr">
        <is>
          <t>MK-XS-F-171</t>
        </is>
      </c>
      <c r="B674" s="3" t="inlineStr">
        <is>
          <t>numOrNaN</t>
        </is>
      </c>
      <c r="C674" s="3" t="inlineStr">
        <is>
          <t>src/domain/import/holdingsImport.ts</t>
        </is>
      </c>
      <c r="D674" s="3" t="n">
        <v>233</v>
      </c>
      <c r="E674" s="3" t="inlineStr">
        <is>
          <t>3 · DEPENDENT</t>
        </is>
      </c>
      <c r="F674" s="3" t="inlineStr">
        <is>
          <t>NOT DETERMINED — the code carries no note saying what this is for, and it has no row in the old inventory. Needs reading.</t>
        </is>
      </c>
      <c r="G674" s="11" t="inlineStr">
        <is>
          <t>n = parse float(string(v ?? '').replace( ÷ [$,%\s] ÷ g, '').replace( ÷ [()] ÷ g, ''))
the answer:
n   if number.is finite(n)
na n   otherwise</t>
        </is>
      </c>
      <c r="H674" s="3" t="inlineStr">
        <is>
          <t>N is parse float(string(v ?? '').replace( divided by [$,%\s] divided by g, '').replace( divided by [()] divided by g, '')). The answer is n — when number.is finite(n); na n — otherwise.</t>
        </is>
      </c>
      <c r="I674" s="3" t="inlineStr">
        <is>
          <t>PARTLY READ — some of the code is still showing through; needs a hand pass</t>
        </is>
      </c>
      <c r="J674" s="3" t="inlineStr">
        <is>
          <t>v: string</t>
        </is>
      </c>
      <c r="K674" s="3" t="inlineStr">
        <is>
          <t>number</t>
        </is>
      </c>
      <c r="L674" s="3" t="inlineStr">
        <is>
          <t>—</t>
        </is>
      </c>
      <c r="M674" s="3" t="inlineStr">
        <is>
          <t>None found in this function — anything it assumes comes from the functions it depends on.</t>
        </is>
      </c>
      <c r="N674" s="3" t="inlineStr">
        <is>
          <t>Yes</t>
        </is>
      </c>
      <c r="O674" s="3" t="inlineStr">
        <is>
          <t>MK-XS-F-122 n</t>
        </is>
      </c>
      <c r="P674" s="3" t="n">
        <v>1</v>
      </c>
      <c r="Q674" s="3" t="inlineStr">
        <is>
          <t>MK-XS-F-122 n</t>
        </is>
      </c>
      <c r="R674" s="3" t="inlineStr">
        <is>
          <t>MK-XS-F-122 n → MK-XS-F-171 numOrNaN</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MK-XS-F-172</t>
        </is>
      </c>
      <c r="B675" s="3" t="inlineStr">
        <is>
          <t>assetClassForSymbol</t>
        </is>
      </c>
      <c r="C675" s="3" t="inlineStr">
        <is>
          <t>src/domain/import/holdingsImport.ts</t>
        </is>
      </c>
      <c r="D675" s="3" t="n">
        <v>352</v>
      </c>
      <c r="E675" s="3" t="inlineStr">
        <is>
          <t>3 · DEPENDENT</t>
        </is>
      </c>
      <c r="F675" s="3" t="inlineStr">
        <is>
          <t>B7 (founder brief 2026-08-20): classification lives in the ONE function — this road only adapts.</t>
        </is>
      </c>
      <c r="G675" s="11" t="inlineStr">
        <is>
          <t>classify holding class({ ticker: symbol, name, has security identity: true }).cls</t>
        </is>
      </c>
      <c r="H675" s="3" t="inlineStr">
        <is>
          <t>classify holding class({ ticker: symbol, name, has security identity: true }).cls.</t>
        </is>
      </c>
      <c r="I675" s="3" t="inlineStr">
        <is>
          <t>PARTLY READ — some of the code is still showing through; needs a hand pass</t>
        </is>
      </c>
      <c r="J675" s="3" t="inlineStr">
        <is>
          <t>1. symbol: string
2. name = ''</t>
        </is>
      </c>
      <c r="K675" s="3" t="inlineStr">
        <is>
          <t>AssetClass</t>
        </is>
      </c>
      <c r="L675" s="3" t="inlineStr">
        <is>
          <t>—</t>
        </is>
      </c>
      <c r="M675" s="3" t="inlineStr">
        <is>
          <t>None found in this function — anything it assumes comes from the functions it depends on.</t>
        </is>
      </c>
      <c r="N675" s="3" t="inlineStr">
        <is>
          <t>Yes</t>
        </is>
      </c>
      <c r="O675" s="3" t="inlineStr">
        <is>
          <t>MK-ST-F-011 classifyHoldingClass</t>
        </is>
      </c>
      <c r="P675" s="3" t="n">
        <v>8</v>
      </c>
      <c r="Q675" s="3" t="inlineStr">
        <is>
          <t>1. MK-ST-F-011 classifyHoldingClass
2. MK-ST-F-010 nameEvidence
3. MK-XS-F-147 call
4. MK-ST-F-056 has
5. MK-CF-F-132 map
6. MK-ST-F-027 accountId
7. MK-XS-F-064 currentIdToken
8. MK-XS-F-112 relayUrl</t>
        </is>
      </c>
      <c r="R675"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MK-XS-F-173</t>
        </is>
      </c>
      <c r="B676" s="3" t="inlineStr">
        <is>
          <t>getOrCreateKey</t>
        </is>
      </c>
      <c r="C676" s="3" t="inlineStr">
        <is>
          <t>src/store/secureStorage.ts</t>
        </is>
      </c>
      <c r="D676" s="3" t="n">
        <v>47</v>
      </c>
      <c r="E676" s="3" t="inlineStr">
        <is>
          <t>4 · BRINGS DATA IN</t>
        </is>
      </c>
      <c r="F676" s="3" t="inlineStr">
        <is>
          <t>NOT DETERMINED — the code carries no note saying what this is for, and it has no row in the old inventory. Needs reading.</t>
        </is>
      </c>
      <c r="G676"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76"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76" s="3" t="inlineStr">
        <is>
          <t>PARTLY READ — some of the code is still showing through; needs a hand pass</t>
        </is>
      </c>
      <c r="J676" s="3" t="inlineStr">
        <is>
          <t>Nothing is handed to it</t>
        </is>
      </c>
      <c r="K676" s="3" t="inlineStr">
        <is>
          <t>Promise&lt;string&gt;</t>
        </is>
      </c>
      <c r="L676" s="3" t="inlineStr">
        <is>
          <t>—</t>
        </is>
      </c>
      <c r="M676" s="3" t="inlineStr">
        <is>
          <t>None found in this function — anything it assumes comes from the functions it depends on.</t>
        </is>
      </c>
      <c r="N676" s="3" t="inlineStr">
        <is>
          <t>No</t>
        </is>
      </c>
      <c r="O676" s="3" t="inlineStr">
        <is>
          <t>1. MK-XS-F-135 secureGet
2. MK-XS-F-136 secureSet</t>
        </is>
      </c>
      <c r="P676" s="3" t="n">
        <v>2</v>
      </c>
      <c r="Q676" s="3" t="inlineStr">
        <is>
          <t>1. MK-XS-F-135 secureGet
2. MK-XS-F-136 secureSet</t>
        </is>
      </c>
      <c r="R676" s="3" t="inlineStr">
        <is>
          <t>1. MK-XS-F-135 secureGet → MK-XS-F-173 getOrCreateKey
2. MK-XS-F-136 secureSet → MK-XS-F-173 getOrCreateKey</t>
        </is>
      </c>
      <c r="S676" s="3" t="inlineStr">
        <is>
          <t>—</t>
        </is>
      </c>
      <c r="T676" s="3" t="inlineStr">
        <is>
          <t>—</t>
        </is>
      </c>
      <c r="U676" s="3" t="inlineStr">
        <is>
          <t>ACTIVE</t>
        </is>
      </c>
      <c r="V676" s="3" t="inlineStr">
        <is>
          <t>2026-09-12</t>
        </is>
      </c>
      <c r="W676" s="3" t="n"/>
      <c r="X676" s="3" t="n"/>
      <c r="Y676" s="3" t="inlineStr">
        <is>
          <t>NOTHING OPEN</t>
        </is>
      </c>
    </row>
    <row r="677" ht="60" customHeight="1">
      <c r="A677" s="3" t="inlineStr">
        <is>
          <t>MK-XS-F-174</t>
        </is>
      </c>
      <c r="B677" s="3" t="inlineStr">
        <is>
          <t>recomputeBalances</t>
        </is>
      </c>
      <c r="C677" s="3" t="inlineStr">
        <is>
          <t>src/store/useStore.ts</t>
        </is>
      </c>
      <c r="D677" s="3" t="n">
        <v>60</v>
      </c>
      <c r="E677" s="3" t="inlineStr">
        <is>
          <t>3 · DEPENDENT</t>
        </is>
      </c>
      <c r="F677" s="3" t="inlineStr">
        <is>
          <t>Recompute the cached `balance` of every ledger-managed account = cash sleeve + Σ(position × live price).</t>
        </is>
      </c>
      <c r="G677"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77"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77" s="3" t="inlineStr">
        <is>
          <t>PARTLY READ — some of the code is still showing through; needs a hand pass</t>
        </is>
      </c>
      <c r="J677" s="3" t="inlineStr">
        <is>
          <t>1. accs: AssetAccount[]
2. cache: Record&lt;string, PriceSeries&gt;</t>
        </is>
      </c>
      <c r="K677" s="3" t="inlineStr">
        <is>
          <t>AssetAccount[]</t>
        </is>
      </c>
      <c r="L677" s="3" t="inlineStr">
        <is>
          <t>—</t>
        </is>
      </c>
      <c r="M677" s="3" t="inlineStr">
        <is>
          <t>· If cash balance is missing it counts as zero, so nothing recorded and a real zero look the same.</t>
        </is>
      </c>
      <c r="N677" s="3" t="inlineStr">
        <is>
          <t>Yes</t>
        </is>
      </c>
      <c r="O677" s="3" t="inlineStr">
        <is>
          <t>1. MK-ST-F-028 buildDayFromAccounts
2. MK-PF-F-002 costBasis
3. MK-CF-F-038 debtsFromOnboarding
4. MK-PF-F-009 latestClose
5. MK-CF-F-132 map
6. MK-PF-F-004 marketValue
7. MK-ST-F-030 record
8. MK-XS-F-024 resolveLens
9. MK-ST-F-055 round2
10. MK-ST-F-044 setMoneyFormat</t>
        </is>
      </c>
      <c r="P677" s="3" t="n">
        <v>79</v>
      </c>
      <c r="Q677" s="3" t="inlineStr">
        <is>
          <t>1. MK-ST-F-028 buildDayFromAccounts
2. MK-PF-F-002 costBasis
3. MK-CF-F-038 debtsFromOnboarding
4. MK-PF-F-009 latestClose
5. MK-CF-F-132 map
6. MK-PF-F-004 marketValue
7. MK-ST-F-030 record
8. MK-XS-F-024 resolveLens
9. MK-ST-F-055 round2
10. MK-ST-F-044 setMoneyFormat
11. MK-PF-F-031 contractMultiplier
12. MK-CF-F-037 inferDebtType
13. MK-ST-F-043 newEntityId
14. MK-ST-F-052 toNum
15. MK-XS-F-175 uid
16. MK-PF-F-001 totalShares
17. MK-CF-F-072 currentRetirementIncomeMonthly
18. MK-ST-F-053 money
19. MK-XS-F-122 n
20. MK-ST-F-027 accountId
21. MK-CF-F-111 applyTransaction
22. MK-NW-F-040 assetsFromOnboarding
23. MK-PF-F-013 benchmarkTicker
24. MK-PF-F-034 closeOnOrBefore
25. MK-CF-F-186 convertTakeHomeMode
26. MK-XS-F-083 fetchPriceSeries
27. MK-PL-F-013 goalsFromOnboarding
28. MK-ST-F-056 has
29. MK-CF-F-116 inverseOf
30. MK-ST-F-065 isoLocalDate
31. MK-CF-F-112 makeTransaction
32. MK-XS-F-006 pruneDaily
33. MK-ST-F-073 rebuildDays
34. MK-NW-F-054 reclassifyAccounts
35. MK-CF-F-115 restoreUndo
36. MK-CF-F-109 reviewTransactions
37. MK-CF-F-114 undoSnapshot
38. MK-CF-F-191 ym
39. MK-CF-F-075 retirementIncomeMonthly
40. MK-ST-F-049 formatMoney
41. MK-CF-F-138 addLot
42. MK-CF-F-136 bumpCash
43. MK-CF-F-137 findPos
44. MK-CF-F-139 removeShares
45. MK-CF-F-085 filingStatusOf
46. MK-CF-F-097 grossFromNet
47. MK-CF-F-185 needsTakeHomeConversion
48. MK-CF-F-089 over65CountOf
49. MK-ST-F-069 amountOf
50. MK-CF-F-133 cashOf
51. MK-ST-F-066 isDayKey
52. MK-ST-F-070 isOpening
53. MK-ST-F-071 rebuildableFrom
54. MK-ST-F-068 stepDay
55. MK-ST-F-072 undo
56. MK-NW-F-053 correctClassOf
57. MK-NW-F-008 incomeBearingClassOf
58. MK-CF-F-162 daysApart
59. MK-CF-F-108 isMoneyOut
60. MK-PL-F-074 median
61. MK-CF-F-131 normPayee
62. MK-CF-F-113 affectedAccountIds
63. MK-ST-F-048 currencySymbol
64. MK-ST-F-039 on
65. MK-CF-F-134 usesSleeve
66. MK-CF-F-101 taxOwedFor
67. MK-ST-F-067 utcOfDay
68. MK-CF-F-155 cash
69. MK-ST-F-035 covers
70. MK-NW-F-009 maturityClass
71. MK-ST-F-010 nameEvidence
72. MK-ST-F-047 activeCurrency
73. MK-CF-F-100 taxableIncomeFor
74. MK-ST-F-034 firstDate
75. MK-XS-F-147 call
76. MK-CF-F-099 deductionFor
77. MK-XS-F-064 currentIdToken
78. MK-XS-F-112 relayUrl
79. MK-CF-F-187 seniorDeductionFor</t>
        </is>
      </c>
      <c r="R677" s="3" t="inlineStr">
        <is>
          <t>1. MK-ST-F-028 buildDayFromAccounts → MK-XS-F-174 recomputeBalances
2. MK-PF-F-031 contractMultiplier → MK-PF-F-002 costBasis → MK-XS-F-174 recomputeBalances
3. MK-CF-F-037 inferDebtType → MK-CF-F-038 debtsFromOnboarding → MK-XS-F-174 recomputeBalances
4. MK-ST-F-043 newEntityId → MK-CF-F-038 debtsFromOnboarding → MK-XS-F-174 recomputeBalances
5. MK-XS-F-122 n → MK-ST-F-052 toNum → MK-CF-F-038 debtsFromOnboarding → MK-XS-F-174 recomputeBalances
6. MK-ST-F-027 accountId → MK-XS-F-175 uid → MK-CF-F-038 debtsFromOnboarding → MK-XS-F-174 recomputeBalances
7. MK-CF-F-137 findPos → MK-CF-F-138 addLot → MK-CF-F-111 applyTransaction → MK-XS-F-175 uid → MK-CF-F-038 debtsFromOnboarding → MK-XS-F-174 recomputeBalances
8. MK-CF-F-132 map → MK-CF-F-138 addLot → MK-CF-F-111 applyTransaction → MK-XS-F-175 uid → MK-CF-F-038 debtsFromOnboarding → MK-XS-F-174 recomputeBalances
9. … and 5 more paths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MK-XS-F-175</t>
        </is>
      </c>
      <c r="B678" s="3" t="inlineStr">
        <is>
          <t>uid</t>
        </is>
      </c>
      <c r="C678" s="3" t="inlineStr">
        <is>
          <t>src/store/useStore.ts</t>
        </is>
      </c>
      <c r="D678" s="3" t="n">
        <v>586</v>
      </c>
      <c r="E678" s="3" t="inlineStr">
        <is>
          <t>2 · DISPLAYED</t>
        </is>
      </c>
      <c r="F678" s="3" t="inlineStr">
        <is>
          <t>NOT DETERMINED — the code carries no note saying what this is for, and it has no row in the old inventory. Needs reading.</t>
        </is>
      </c>
      <c r="G678" s="11" t="inlineStr">
        <is>
          <t>math.random().to string(36).slice(2, 10) + date.now().to string(36)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r   when active is missing
[LOOP — the answer is found inside a loop the extractor cannot render; the steps above are the ones before it. Read by hand.]
… the first steps only — the rest of the body needs reading by hand.</t>
        </is>
      </c>
      <c r="H678" s="3" t="inlineStr">
        <is>
          <t>math.random().to string(36).slice(2, 10) plus date.now().to string(36).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When active is missing, it answers r. The answer is found inside a loop that cannot be rendered here; read the code by hand. Only the first steps are shown; the rest of the body needs reading by hand.</t>
        </is>
      </c>
      <c r="I678" s="3" t="inlineStr">
        <is>
          <t>PARTLY READ — the body has a loop the extractor cannot render; the steps shown are the ones before it. Needs a hand pass (G23).</t>
        </is>
      </c>
      <c r="J678" s="3" t="inlineStr">
        <is>
          <t>1. Nothing is handed to it
2. reads the app's stored data</t>
        </is>
      </c>
      <c r="K678" s="3" t="inlineStr">
        <is>
          <t>NOT DECLARED — the code does not say what it gives back</t>
        </is>
      </c>
      <c r="L678" s="3" t="inlineStr">
        <is>
          <t>NOT FOUND — a screen calls it, but the words printed beside its answer could not be traced automatically. Needs reading.</t>
        </is>
      </c>
      <c r="M678"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78" s="3" t="inlineStr">
        <is>
          <t>Yes</t>
        </is>
      </c>
      <c r="O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t>
        </is>
      </c>
      <c r="P678" s="3" t="n">
        <v>79</v>
      </c>
      <c r="Q678" s="3" t="inlineStr">
        <is>
          <t>1. MK-ST-F-027 accountId
2. MK-CF-F-111 applyTransaction
3. MK-NW-F-040 assetsFromOnboarding
4. MK-PF-F-013 benchmarkTicker
5. MK-ST-F-028 buildDayFromAccounts
6. MK-PF-F-034 closeOnOrBefore
7. MK-CF-F-186 convertTakeHomeMode
8. MK-CF-F-038 debtsFromOnboarding
9. MK-XS-F-083 fetchPriceSeries
10. MK-PL-F-013 goalsFromOnboarding
11. MK-ST-F-056 has
12. MK-CF-F-116 inverseOf
13. MK-ST-F-065 isoLocalDate
14. MK-CF-F-112 makeTransaction
15. MK-CF-F-132 map
16. MK-XS-F-122 n
17. MK-ST-F-043 newEntityId
18. MK-XS-F-006 pruneDaily
19. MK-ST-F-073 rebuildDays
20. MK-NW-F-054 reclassifyAccounts
21. MK-XS-F-174 recomputeBalances
22. MK-CF-F-115 restoreUndo
23. MK-CF-F-109 reviewTransactions
24. MK-ST-F-044 setMoneyFormat
25. MK-CF-F-114 undoSnapshot
26. MK-CF-F-191 ym
27. MK-CF-F-138 addLot
28. MK-CF-F-136 bumpCash
29. MK-CF-F-137 findPos
30. MK-CF-F-139 removeShares
31. MK-PF-F-001 totalShares
32. MK-ST-F-052 toNum
33. MK-ST-F-053 money
34. MK-CF-F-085 filingStatusOf
35. MK-CF-F-097 grossFromNet
36. MK-CF-F-185 needsTakeHomeConversion
37. MK-CF-F-089 over65CountOf
38. MK-CF-F-037 inferDebtType
39. MK-ST-F-069 amountOf
40. MK-CF-F-133 cashOf
41. MK-ST-F-066 isDayKey
42. MK-ST-F-070 isOpening
43. MK-ST-F-071 rebuildableFrom
44. MK-ST-F-068 stepDay
45. MK-ST-F-072 undo
46. MK-NW-F-053 correctClassOf
47. MK-NW-F-008 incomeBearingClassOf
48. MK-PF-F-002 costBasis
49. MK-PF-F-009 latestClose
50. MK-PF-F-004 marketValue
51. MK-ST-F-030 record
52. MK-XS-F-024 resolveLens
53. MK-ST-F-055 round2
54. MK-CF-F-162 daysApart
55. MK-CF-F-108 isMoneyOut
56. MK-PL-F-074 median
57. MK-CF-F-131 normPayee
58. MK-CF-F-113 affectedAccountIds
59. MK-CF-F-134 usesSleeve
60. MK-ST-F-049 formatMoney
61. MK-CF-F-101 taxOwedFor
62. MK-ST-F-067 utcOfDay
63. MK-CF-F-155 cash
64. MK-ST-F-035 covers
65. MK-NW-F-009 maturityClass
66. MK-ST-F-010 nameEvidence
67. MK-PF-F-031 contractMultiplier
68. MK-CF-F-072 currentRetirementIncomeMonthly
69. MK-ST-F-048 currencySymbol
70. MK-ST-F-039 on
71. MK-CF-F-100 taxableIncomeFor
72. MK-ST-F-034 firstDate
73. MK-XS-F-147 call
74. MK-CF-F-075 retirementIncomeMonthly
75. MK-ST-F-047 activeCurrency
76. MK-CF-F-099 deductionFor
77. MK-XS-F-064 currentIdToken
78. MK-XS-F-112 relayUrl
79. MK-CF-F-187 seniorDeductionFor</t>
        </is>
      </c>
      <c r="R678"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78" s="3" t="inlineStr">
        <is>
          <t>—</t>
        </is>
      </c>
      <c r="T678" s="3" t="inlineStr">
        <is>
          <t>—</t>
        </is>
      </c>
      <c r="U678" s="3" t="inlineStr">
        <is>
          <t>ACTIVE</t>
        </is>
      </c>
      <c r="V678" s="3" t="inlineStr">
        <is>
          <t>2026-09-25</t>
        </is>
      </c>
      <c r="W678" s="3" t="n"/>
      <c r="X678" s="3" t="n"/>
      <c r="Y678" s="3" t="inlineStr">
        <is>
          <t>NOTHING OPEN</t>
        </is>
      </c>
    </row>
    <row r="679" ht="60" customHeight="1">
      <c r="A679" s="3" t="inlineStr">
        <is>
          <t>MK-XS-F-176</t>
        </is>
      </c>
      <c r="B679" s="3" t="inlineStr">
        <is>
          <t>useMonthlyStats</t>
        </is>
      </c>
      <c r="C679" s="3" t="inlineStr">
        <is>
          <t>src/store/useStore.ts</t>
        </is>
      </c>
      <c r="D679" s="3" t="n">
        <v>1296</v>
      </c>
      <c r="E679" s="3" t="inlineStr">
        <is>
          <t>2 · DISPLAYED</t>
        </is>
      </c>
      <c r="F679" s="3" t="inlineStr">
        <is>
          <t>── Selectors ──────────────────────────────────────────────────────────</t>
        </is>
      </c>
      <c r="G679"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79"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79" s="3" t="inlineStr">
        <is>
          <t>PARTLY READ — some of the code is still showing through; needs a hand pass</t>
        </is>
      </c>
      <c r="J679" s="3" t="inlineStr">
        <is>
          <t>1. Nothing is handed to it
2. reads the app's stored data</t>
        </is>
      </c>
      <c r="K679" s="3" t="inlineStr">
        <is>
          <t>NOT DECLARED — the code does not say what it gives back</t>
        </is>
      </c>
      <c r="L679" s="3" t="inlineStr">
        <is>
          <t>NOT FOUND — a screen calls it, but the words printed beside its answer could not be traced automatically. Needs reading.</t>
        </is>
      </c>
      <c r="M679" s="3" t="inlineStr">
        <is>
          <t>· Uses today's date from the device clock, so the answer changes by itself overnight.</t>
        </is>
      </c>
      <c r="N679" s="3" t="inlineStr">
        <is>
          <t>Yes</t>
        </is>
      </c>
      <c r="O679" s="3" t="inlineStr">
        <is>
          <t>MK-CF-O-002 expenses</t>
        </is>
      </c>
      <c r="P679" s="3" t="n">
        <v>15</v>
      </c>
      <c r="Q679"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79"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79" s="3" t="inlineStr">
        <is>
          <t>—</t>
        </is>
      </c>
      <c r="T679" s="3" t="inlineStr">
        <is>
          <t>—</t>
        </is>
      </c>
      <c r="U679" s="3" t="inlineStr">
        <is>
          <t>ACTIVE</t>
        </is>
      </c>
      <c r="V679" s="3" t="inlineStr">
        <is>
          <t>2026-09-12</t>
        </is>
      </c>
      <c r="W679" s="3" t="n"/>
      <c r="X679" s="3" t="n"/>
      <c r="Y679" s="3" t="inlineStr">
        <is>
          <t>NOTHING OPEN</t>
        </is>
      </c>
    </row>
    <row r="680" ht="60" customHeight="1">
      <c r="A680" s="3" t="inlineStr">
        <is>
          <t>MK-XS-F-177</t>
        </is>
      </c>
      <c r="B680" s="3" t="inlineStr">
        <is>
          <t>useCategorySpend</t>
        </is>
      </c>
      <c r="C680" s="3" t="inlineStr">
        <is>
          <t>src/store/useStore.ts</t>
        </is>
      </c>
      <c r="D680" s="3" t="n">
        <v>1353</v>
      </c>
      <c r="E680" s="3" t="inlineStr">
        <is>
          <t>2 · DISPLAYED</t>
        </is>
      </c>
      <c r="F680" s="3" t="inlineStr">
        <is>
          <t>NOT DETERMINED — the code carries no note saying what this is for, and it has no row in the old inventory. Needs reading.</t>
        </is>
      </c>
      <c r="G680" s="11" t="inlineStr">
        <is>
          <t>now = new date()
d = the date date
to date string() = now.to date string()   when budget frequency = 'daily'
d ≥ new date(now.get time() − 7 × 86400000)   when budget frequency = 'weekly'
the answer = get full year() = now.get full year() and get month() = now.get month()
map = {}</t>
        </is>
      </c>
      <c r="H680"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80" s="3" t="inlineStr">
        <is>
          <t>PARTLY READ — some of the code is still showing through; needs a hand pass</t>
        </is>
      </c>
      <c r="J680" s="3" t="inlineStr">
        <is>
          <t>1. Nothing is handed to it
2. reads the app's stored data</t>
        </is>
      </c>
      <c r="K680" s="3" t="inlineStr">
        <is>
          <t>NOT DECLARED — the code does not say what it gives back</t>
        </is>
      </c>
      <c r="L680" s="3" t="inlineStr">
        <is>
          <t>NOT FOUND — a screen calls it, but the words printed beside its answer could not be traced automatically. Needs reading.</t>
        </is>
      </c>
      <c r="M680" s="3" t="inlineStr">
        <is>
          <t>1. If category] is missing it counts as zero, so nothing recorded and a real zero look the same.
2. Uses today's date from the device clock, so the answer changes by itself overnight.</t>
        </is>
      </c>
      <c r="N680" s="3" t="inlineStr">
        <is>
          <t>Yes</t>
        </is>
      </c>
      <c r="O680" s="3" t="inlineStr">
        <is>
          <t>1. MK-CF-O-002 expenses
2. MK-CF-F-132 map</t>
        </is>
      </c>
      <c r="P680" s="3" t="n">
        <v>15</v>
      </c>
      <c r="Q680"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80"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80" s="3" t="inlineStr">
        <is>
          <t>—</t>
        </is>
      </c>
      <c r="T680" s="3" t="inlineStr">
        <is>
          <t>—</t>
        </is>
      </c>
      <c r="U680" s="3" t="inlineStr">
        <is>
          <t>ACTIVE</t>
        </is>
      </c>
      <c r="V680" s="3" t="inlineStr">
        <is>
          <t>2026-09-12</t>
        </is>
      </c>
      <c r="W680" s="3" t="n"/>
      <c r="X680" s="3" t="n"/>
      <c r="Y680" s="3" t="inlineStr">
        <is>
          <t>NOTHING OPEN</t>
        </is>
      </c>
    </row>
    <row r="681" ht="60" customHeight="1">
      <c r="A681" s="3" t="inlineStr">
        <is>
          <t>MK-XS-F-178</t>
        </is>
      </c>
      <c r="B681" s="3" t="inlineStr">
        <is>
          <t>useLevel</t>
        </is>
      </c>
      <c r="C681" s="3" t="inlineStr">
        <is>
          <t>src/store/useStore.ts</t>
        </is>
      </c>
      <c r="D681" s="3" t="n">
        <v>1386</v>
      </c>
      <c r="E681" s="3" t="inlineStr">
        <is>
          <t>2 · DISPLAYED</t>
        </is>
      </c>
      <c r="F681" s="3" t="inlineStr">
        <is>
          <t>NOT DETERMINED — the code carries no note saying what this is for, and it has no row in the old inventory. Needs reading.</t>
        </is>
      </c>
      <c r="G681" s="11" t="inlineStr">
        <is>
          <t>xp = use store((s) =&gt; xp)
current = levels[0], next = levels[1]
pct = min(((xp − current.min) ÷ (next.min − current.min)) × 100, 100)   if next.min &gt; current.min
100   otherwise
the answer = { ...current, next, xp, pct }</t>
        </is>
      </c>
      <c r="H681" s="3" t="inlineStr">
        <is>
          <t>Xp is use store((s) =&gt; xp). Current is levels[0], next = levels[1]. Pct: the smaller of ((xp minus current.min) divided by (next.min minus current.min)) times 100 and 100 — when next.min &gt; current.min; 100 — otherwise. The answer is { ...current, next, xp, pct }.</t>
        </is>
      </c>
      <c r="I681" s="3" t="inlineStr">
        <is>
          <t>PARTLY READ — some of the code is still showing through; needs a hand pass</t>
        </is>
      </c>
      <c r="J681" s="3" t="inlineStr">
        <is>
          <t>1. Nothing is handed to it
2. reads the app's stored data</t>
        </is>
      </c>
      <c r="K681" s="3" t="inlineStr">
        <is>
          <t>NOT DECLARED — the code does not say what it gives back</t>
        </is>
      </c>
      <c r="L681" s="3" t="inlineStr">
        <is>
          <t>NOT FOUND — a screen calls it, but the words printed beside its answer could not be traced automatically. Needs reading.</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2026-09-12</t>
        </is>
      </c>
      <c r="W681" s="3" t="n"/>
      <c r="X681" s="3" t="n"/>
      <c r="Y681" s="3" t="inlineStr">
        <is>
          <t>NOTHING OPEN</t>
        </is>
      </c>
    </row>
    <row r="682" ht="60" customHeight="1">
      <c r="A682" s="3" t="inlineStr">
        <is>
          <t>MK-XS-F-179</t>
        </is>
      </c>
      <c r="B682" s="3" t="inlineStr">
        <is>
          <t>ageToday</t>
        </is>
      </c>
      <c r="C682" s="3" t="inlineStr">
        <is>
          <t>src/domain/profile/calc.ts</t>
        </is>
      </c>
      <c r="D682" s="3" t="n">
        <v>78</v>
      </c>
      <c r="E682" s="3" t="inlineStr">
        <is>
          <t>2 · DISPLAYED</t>
        </is>
      </c>
      <c r="F682"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82" s="11" t="inlineStr">
        <is>
          <t>y = number(birth year); if (!y or !number.is finite(y)) return nothing
m = birth month read as a number
current age(y, m, as of)   when m ≥ 1 and m ≤ 12
the answer = as of.get full year() − y</t>
        </is>
      </c>
      <c r="H682" s="3" t="inlineStr">
        <is>
          <t>Y is number(birth year); — when (!y or !number.is finite(y)) return no answer. M is birth month read as a number. When m is at least 1 and m is at most 12, it answers current age(y, m, as of). The answer is as of.get full year() minus y.</t>
        </is>
      </c>
      <c r="I682" s="3" t="inlineStr">
        <is>
          <t>PARTLY READ — some of the code is still showing through; needs a hand pass</t>
        </is>
      </c>
      <c r="J682" s="3" t="inlineStr">
        <is>
          <t>1. birthYear: number | null | undefined
2. birthMonth: number | null | undefined
3. asOf: Date = new Date()</t>
        </is>
      </c>
      <c r="K682" s="3" t="inlineStr">
        <is>
          <t>number | null</t>
        </is>
      </c>
      <c r="L682" s="3" t="inlineStr">
        <is>
          <t>NOT FOUND — a screen calls it, but the words printed beside its answer could not be traced automatically. Needs reading.</t>
        </is>
      </c>
      <c r="M682"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82" s="3" t="inlineStr">
        <is>
          <t>Yes</t>
        </is>
      </c>
      <c r="O682" s="3" t="inlineStr">
        <is>
          <t>MK-XS-F-017 currentAge</t>
        </is>
      </c>
      <c r="P682" s="3" t="n">
        <v>1</v>
      </c>
      <c r="Q682" s="3" t="inlineStr">
        <is>
          <t>MK-XS-F-017 currentAge</t>
        </is>
      </c>
      <c r="R682" s="3" t="inlineStr">
        <is>
          <t>MK-XS-F-017 currentAge → MK-XS-F-179 ageToday</t>
        </is>
      </c>
      <c r="S682" s="3" t="inlineStr">
        <is>
          <t>—</t>
        </is>
      </c>
      <c r="T682" s="3" t="inlineStr">
        <is>
          <t>—</t>
        </is>
      </c>
      <c r="U682" s="3" t="inlineStr">
        <is>
          <t>ACTIVE</t>
        </is>
      </c>
      <c r="V682" s="3" t="inlineStr">
        <is>
          <t>2026-09-12</t>
        </is>
      </c>
      <c r="W682" s="3" t="n"/>
      <c r="X682" s="3" t="n"/>
      <c r="Y682" s="3" t="inlineStr">
        <is>
          <t>NOTHING OPEN</t>
        </is>
      </c>
    </row>
    <row r="683" ht="60" customHeight="1">
      <c r="A683" s="3" t="inlineStr">
        <is>
          <t>MK-XS-F-180</t>
        </is>
      </c>
      <c r="B683" s="3" t="inlineStr">
        <is>
          <t>declareFigures</t>
        </is>
      </c>
      <c r="C683" s="3" t="inlineStr">
        <is>
          <t>MoneyKeel/functions/_figure-spec.ts</t>
        </is>
      </c>
      <c r="D683" s="3" t="n">
        <v>174</v>
      </c>
      <c r="E683" s="3" t="inlineStr">
        <is>
          <t>3 · DEPENDENT</t>
        </is>
      </c>
      <c r="F683" s="3" t="inlineStr">
        <is>
          <t>Declare the figures a door hands out.</t>
        </is>
      </c>
      <c r="G683" s="11" t="inlineStr">
        <is>
          <t>NOT READ YET — the body is not a shape this can render faithfully, so nothing is claimed rather than something being guessed. It needs reading by hand.</t>
        </is>
      </c>
      <c r="H683" s="3" t="inlineStr">
        <is>
          <t>NOT READ YET — the body is not a shape this can render faithfully, so nothing is claimed rather than something being guessed. It needs reading by hand.</t>
        </is>
      </c>
      <c r="I683" s="3" t="inlineStr">
        <is>
          <t>NOT READ — nothing is claimed rather than something guessed</t>
        </is>
      </c>
      <c r="J683" s="3" t="inlineStr">
        <is>
          <t>f: T</t>
        </is>
      </c>
      <c r="K683" s="3" t="inlineStr">
        <is>
          <t>T</t>
        </is>
      </c>
      <c r="L683" s="3" t="inlineStr">
        <is>
          <t>—</t>
        </is>
      </c>
      <c r="M683" s="3" t="inlineStr">
        <is>
          <t>None found in this function — anything it assumes comes from the functions it depends on.</t>
        </is>
      </c>
      <c r="N683" s="3" t="inlineStr">
        <is>
          <t>Yes</t>
        </is>
      </c>
      <c r="O683" s="3" t="inlineStr">
        <is>
          <t>—</t>
        </is>
      </c>
      <c r="P683" s="3" t="n">
        <v>0</v>
      </c>
      <c r="Q683" s="3" t="inlineStr">
        <is>
          <t>None — no dependent function stands behind it</t>
        </is>
      </c>
      <c r="R683" s="3" t="inlineStr">
        <is>
          <t>No dependent function — it reads its inputs and answers</t>
        </is>
      </c>
      <c r="S683" s="3" t="inlineStr">
        <is>
          <t>—</t>
        </is>
      </c>
      <c r="T683" s="3" t="inlineStr">
        <is>
          <t>—</t>
        </is>
      </c>
      <c r="U683" s="3" t="inlineStr">
        <is>
          <t>ACTIVE</t>
        </is>
      </c>
      <c r="V683" s="3" t="inlineStr">
        <is>
          <t>2026-09-14</t>
        </is>
      </c>
      <c r="W683" s="3" t="n"/>
      <c r="X683" s="3" t="n"/>
      <c r="Y683" s="3" t="inlineStr">
        <is>
          <t>NOTHING OPEN</t>
        </is>
      </c>
    </row>
    <row r="684" ht="60" customHeight="1">
      <c r="A684" s="3" t="inlineStr">
        <is>
          <t>MK-XS-F-181</t>
        </is>
      </c>
      <c r="B684" s="3" t="inlineStr">
        <is>
          <t>merge</t>
        </is>
      </c>
      <c r="C684" s="3" t="inlineStr">
        <is>
          <t>MoneyKeel/functions/figures.ts</t>
        </is>
      </c>
      <c r="D684" s="3" t="n">
        <v>65</v>
      </c>
      <c r="E684" s="3" t="inlineStr">
        <is>
          <t>3 · DEPENDENT (feeds an action only)</t>
        </is>
      </c>
      <c r="F684" s="3" t="inlineStr">
        <is>
          <t>NOT DETERMINED — the code carries no note saying what this is for, and it has no row in the old inventory. Needs reading.</t>
        </is>
      </c>
      <c r="G684" s="11" t="inlineStr">
        <is>
          <t>out = {}
from = {}
the answer = out</t>
        </is>
      </c>
      <c r="H684" s="3" t="inlineStr">
        <is>
          <t>Out is {}. From is {}. The answer is out.</t>
        </is>
      </c>
      <c r="I684" s="3" t="inlineStr">
        <is>
          <t>READ FROM THE CODE — rendered from the expressions the function runs</t>
        </is>
      </c>
      <c r="J684" s="3" t="inlineStr">
        <is>
          <t>Nothing is handed to it</t>
        </is>
      </c>
      <c r="K684" s="3" t="inlineStr">
        <is>
          <t>Record&lt;string, FigureSpec&gt;</t>
        </is>
      </c>
      <c r="L684" s="3" t="inlineStr">
        <is>
          <t>—</t>
        </is>
      </c>
      <c r="M684" s="3" t="inlineStr">
        <is>
          <t>None found in this function — anything it assumes comes from the functions it depends on.</t>
        </is>
      </c>
      <c r="N684" s="3" t="inlineStr">
        <is>
          <t>No</t>
        </is>
      </c>
      <c r="O684" s="3" t="inlineStr">
        <is>
          <t>MK-CF-F-132 map</t>
        </is>
      </c>
      <c r="P684" s="3" t="n">
        <v>1</v>
      </c>
      <c r="Q684" s="3" t="inlineStr">
        <is>
          <t>MK-CF-F-132 map</t>
        </is>
      </c>
      <c r="R684" s="3" t="inlineStr">
        <is>
          <t>MK-CF-F-132 map → MK-XS-F-181 merge</t>
        </is>
      </c>
      <c r="S684" s="3" t="inlineStr">
        <is>
          <t>—</t>
        </is>
      </c>
      <c r="T684" s="3" t="inlineStr">
        <is>
          <t>—</t>
        </is>
      </c>
      <c r="U684" s="3" t="inlineStr">
        <is>
          <t>ACTIVE</t>
        </is>
      </c>
      <c r="V684" s="3" t="inlineStr">
        <is>
          <t>2026-09-14</t>
        </is>
      </c>
      <c r="W684" s="3" t="n"/>
      <c r="X684" s="3" t="n"/>
      <c r="Y684" s="3" t="inlineStr">
        <is>
          <t>NOTHING OPEN</t>
        </is>
      </c>
    </row>
    <row r="685" ht="45" customHeight="1">
      <c r="A685" s="3" t="inlineStr">
        <is>
          <t>MK-XS-F-182</t>
        </is>
      </c>
      <c r="B685" s="3" t="inlineStr">
        <is>
          <t>figureSpec</t>
        </is>
      </c>
      <c r="C685" s="3" t="inlineStr">
        <is>
          <t>MoneyKeel/functions/figures.ts</t>
        </is>
      </c>
      <c r="D685" s="3" t="n">
        <v>99</v>
      </c>
      <c r="E685" s="3" t="inlineStr">
        <is>
          <t>2 · DISPLAYED</t>
        </is>
      </c>
      <c r="F685" s="3" t="inlineStr">
        <is>
          <t>The declaration behind an identifier, or a refusal that names the identifier — never a silent blank.</t>
        </is>
      </c>
      <c r="G685" s="11" t="inlineStr">
        <is>
          <t>spec = FIGURE_REGISTER[id]
the answer = spec</t>
        </is>
      </c>
      <c r="H685" s="3" t="inlineStr">
        <is>
          <t>Spec is FIGURE_REGISTER[id]. The answer is spec.</t>
        </is>
      </c>
      <c r="I685" s="3" t="inlineStr">
        <is>
          <t>READ FROM THE CODE — rendered from the expressions the function runs</t>
        </is>
      </c>
      <c r="J685" s="3" t="inlineStr">
        <is>
          <t>id: string</t>
        </is>
      </c>
      <c r="K685" s="3" t="inlineStr">
        <is>
          <t>FigureSpec</t>
        </is>
      </c>
      <c r="L685" s="3" t="inlineStr">
        <is>
          <t>NOT FOUND — a screen calls it, but the words printed beside its answer could not be traced automatically. Needs reading.</t>
        </is>
      </c>
      <c r="M685" s="3" t="inlineStr">
        <is>
          <t>None found in this function — anything it assumes comes from the functions it depends on.</t>
        </is>
      </c>
      <c r="N685" s="3" t="inlineStr">
        <is>
          <t>Yes</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2026-09-14</t>
        </is>
      </c>
      <c r="W685" s="3" t="n"/>
      <c r="X685" s="3" t="n"/>
      <c r="Y685" s="3" t="inlineStr">
        <is>
          <t>NOTHING OPEN</t>
        </is>
      </c>
    </row>
    <row r="686" ht="60" customHeight="1">
      <c r="A686" s="3" t="inlineStr">
        <is>
          <t>MK-XS-F-183</t>
        </is>
      </c>
      <c r="B686" s="3" t="inlineStr">
        <is>
          <t>writeFigure</t>
        </is>
      </c>
      <c r="C686" s="3" t="inlineStr">
        <is>
          <t>MoneyKeel/functions/_figure-spec.ts</t>
        </is>
      </c>
      <c r="D686" s="3" t="n">
        <v>68</v>
      </c>
      <c r="E686" s="3" t="inlineStr">
        <is>
          <t>2 · DISPLAYED</t>
        </is>
      </c>
      <c r="F686" s="3" t="inlineStr">
        <is>
          <t>WRITE A FIGURE THE WAY THE SCREEN WRITES IT — one writer, two callers (2026-09-28).</t>
        </is>
      </c>
      <c r="G686" s="11" t="inlineStr">
        <is>
          <t>spec.refusal   when value = nothing (or !number.is finite(value) when missing or zero)
body + (opts.spoken ? ` a ${spec.per}` : ` ÷ ${spec.per}`)   when opts.with period and spec.per
body</t>
        </is>
      </c>
      <c r="H686" s="3" t="inlineStr">
        <is>
          <t>When value is missing (or !number.is finite(value) — when missing or zero), it answers spec.refusal. When opts.with period and spec.per, it answers body plus (opts.spoken ? ` a ${spec.per}` : ` divided by ${spec.per}`). body.</t>
        </is>
      </c>
      <c r="I686" s="3" t="inlineStr">
        <is>
          <t>PARTLY READ — some of the code is still showing through; needs a hand pass</t>
        </is>
      </c>
      <c r="J686" s="3" t="inlineStr">
        <is>
          <t>1. spec: FigureSpec
2. value: number | null
3. opts?: { spoken?: boolean; withPeriod?: boolean }</t>
        </is>
      </c>
      <c r="K686" s="3" t="inlineStr">
        <is>
          <t>string</t>
        </is>
      </c>
      <c r="L686" s="3" t="inlineStr">
        <is>
          <t>NOT FOUND — a screen calls it, but the words printed beside its answer could not be traced automatically. Needs reading.</t>
        </is>
      </c>
      <c r="M686" s="3" t="inlineStr">
        <is>
          <t>1. Rounds the answer to 1 decimal place.
2. Shows 2 decimal places.
3. Shows 1 decimal place.</t>
        </is>
      </c>
      <c r="N686" s="3" t="inlineStr">
        <is>
          <t>Yes</t>
        </is>
      </c>
      <c r="O686" s="3" t="inlineStr">
        <is>
          <t>1. MK-ST-F-049 formatMoney
2. MK-ST-F-050 formatMoneyCents
3. MK-ST-F-051 moneyCompact
4. MK-ST-F-039 on
5. MK-ST-F-060 verdict</t>
        </is>
      </c>
      <c r="P686" s="3" t="n">
        <v>8</v>
      </c>
      <c r="Q686" s="3" t="inlineStr">
        <is>
          <t>1. MK-ST-F-049 formatMoney
2. MK-ST-F-050 formatMoneyCents
3. MK-ST-F-051 moneyCompact
4. MK-ST-F-039 on
5. MK-ST-F-060 verdict
6. MK-ST-F-048 currencySymbol
7. MK-XS-F-122 n
8. MK-ST-F-047 activeCurrency</t>
        </is>
      </c>
      <c r="R686"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86" s="3" t="inlineStr">
        <is>
          <t>—</t>
        </is>
      </c>
      <c r="T686" s="3" t="inlineStr">
        <is>
          <t>—</t>
        </is>
      </c>
      <c r="U686" s="3" t="inlineStr">
        <is>
          <t>ACTIVE</t>
        </is>
      </c>
      <c r="V686" s="3" t="inlineStr">
        <is>
          <t>2026-09-28</t>
        </is>
      </c>
      <c r="W686" s="3" t="n"/>
      <c r="X686" s="3" t="n"/>
      <c r="Y686" s="3" t="inlineStr">
        <is>
          <t>NOTHING OPEN</t>
        </is>
      </c>
    </row>
  </sheetData>
  <autoFilter ref="A1:Y686"/>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107</v>
      </c>
      <c r="C3" s="3" t="n">
        <v>30</v>
      </c>
      <c r="D3" s="3" t="n">
        <v>0</v>
      </c>
      <c r="E3" s="3" t="n">
        <v>60</v>
      </c>
      <c r="F3" s="3" t="n">
        <v>20</v>
      </c>
    </row>
    <row r="4" ht="15" customHeight="1">
      <c r="A4" s="3" t="inlineStr">
        <is>
          <t>2 · DISPLAYED</t>
        </is>
      </c>
      <c r="B4" s="3" t="n">
        <v>258</v>
      </c>
      <c r="C4" s="3" t="n">
        <v>40</v>
      </c>
      <c r="D4" s="3" t="n">
        <v>4</v>
      </c>
      <c r="E4" s="3" t="n">
        <v>61</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216</v>
      </c>
      <c r="C6" s="3" t="n">
        <v>21</v>
      </c>
      <c r="D6" s="3" t="n">
        <v>0</v>
      </c>
      <c r="E6" s="3" t="n">
        <v>25</v>
      </c>
      <c r="F6" s="3" t="n">
        <v>12</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684</v>
      </c>
      <c r="C9" s="3" t="n">
        <v>112</v>
      </c>
      <c r="D9" s="3" t="n">
        <v>4</v>
      </c>
      <c r="E9" s="3" t="n">
        <v>167</v>
      </c>
      <c r="F9" s="3" t="n">
        <v>77</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53</v>
      </c>
      <c r="C3" s="3" t="n">
        <v>1</v>
      </c>
      <c r="D3" s="3" t="n">
        <v>3</v>
      </c>
      <c r="E3" s="3" t="n">
        <v>45</v>
      </c>
      <c r="F3" s="3" t="n">
        <v>4</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63</v>
      </c>
      <c r="C6" s="3" t="n">
        <v>0</v>
      </c>
      <c r="D6" s="3" t="n">
        <v>1</v>
      </c>
      <c r="E6" s="3" t="n">
        <v>59</v>
      </c>
      <c r="F6" s="3" t="n">
        <v>3</v>
      </c>
    </row>
    <row r="7" ht="15" customHeight="1">
      <c r="A7" s="3" t="inlineStr">
        <is>
          <t>Performance</t>
        </is>
      </c>
      <c r="B7" s="3" t="n">
        <v>19</v>
      </c>
      <c r="C7" s="3" t="n">
        <v>0</v>
      </c>
      <c r="D7" s="3" t="n">
        <v>3</v>
      </c>
      <c r="E7" s="3" t="n">
        <v>16</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211</v>
      </c>
      <c r="C10" s="3" t="n">
        <v>1</v>
      </c>
      <c r="D10" s="3" t="n">
        <v>25</v>
      </c>
      <c r="E10" s="3" t="n">
        <v>148</v>
      </c>
      <c r="F10" s="3" t="n">
        <v>37</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2026-10-02T15:48:16Z</dcterms:created>
  <dcterms:modified xsi:type="dcterms:W3CDTF">2026-10-02T15:49:00Z</dcterms:modified>
</cp:coreProperties>
</file>